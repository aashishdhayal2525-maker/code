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des" sheetId="2" state="visible" r:id="rId4"/>
    <sheet name="Silver Monthly" sheetId="3" state="visible" r:id="rId5"/>
    <sheet name="Gold Monthly" sheetId="4" state="visible" r:id="rId6"/>
    <sheet name="Notes" sheetId="5" state="visible" r:id="rId7"/>
  </sheets>
  <definedNames>
    <definedName function="false" hidden="true" localSheetId="1" name="_xlnm._FilterDatabase" vbProcedure="false">Trades!$A$1:$P$543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Number of standard lots per trade. All P&amp;L scales with this.</t>
        </r>
      </text>
    </comment>
    <comment ref="B5" authorId="0">
      <text>
        <r>
          <rPr>
            <sz val="10"/>
            <rFont val="Arial"/>
            <family val="2"/>
          </rPr>
          <t xml:space="preserve">MCX SILVER lot = 30 kg, quoted in ₹/kg.</t>
        </r>
      </text>
    </comment>
    <comment ref="B6" authorId="0">
      <text>
        <r>
          <rPr>
            <sz val="10"/>
            <rFont val="Arial"/>
            <family val="2"/>
          </rPr>
          <t xml:space="preserve">MCX GOLD lot = 1 kg, quoted in ₹/10 g.</t>
        </r>
      </text>
    </comment>
  </commentList>
</comments>
</file>

<file path=xl/sharedStrings.xml><?xml version="1.0" encoding="utf-8"?>
<sst xmlns="http://schemas.openxmlformats.org/spreadsheetml/2006/main" count="2348" uniqueCount="96">
  <si>
    <t xml:space="preserve">Swastika Signal (reconstructed) - backtest summary, MCX 1h, Jan 2025 - Sep 2026</t>
  </si>
  <si>
    <t xml:space="preserve">Inputs (edit the yellow cells)</t>
  </si>
  <si>
    <t xml:space="preserve">Lots per trade</t>
  </si>
  <si>
    <t xml:space="preserve">Number of standard lots per trade. All P&amp;L scales with this.</t>
  </si>
  <si>
    <t xml:space="preserve">Silver: ₹ per point per lot</t>
  </si>
  <si>
    <t xml:space="preserve">MCX SILVER lot = 30 kg, quoted in ₹/kg.</t>
  </si>
  <si>
    <t xml:space="preserve">Gold: ₹ per point per lot</t>
  </si>
  <si>
    <t xml:space="preserve">MCX GOLD lot = 1 kg, quoted in ₹/10 g.</t>
  </si>
  <si>
    <t xml:space="preserve">Results by strategy (all formulas)</t>
  </si>
  <si>
    <t xml:space="preserve">Metal</t>
  </si>
  <si>
    <t xml:space="preserve">Strategy</t>
  </si>
  <si>
    <t xml:space="preserve">Description</t>
  </si>
  <si>
    <t xml:space="preserve">Trades</t>
  </si>
  <si>
    <t xml:space="preserve">Wins</t>
  </si>
  <si>
    <t xml:space="preserve">Win %</t>
  </si>
  <si>
    <t xml:space="preserve">Net P&amp;L (₹)</t>
  </si>
  <si>
    <t xml:space="preserve">2025 net (₹)</t>
  </si>
  <si>
    <t xml:space="preserve">2026 net (₹)</t>
  </si>
  <si>
    <t xml:space="preserve">Avg win (₹)</t>
  </si>
  <si>
    <t xml:space="preserve">Avg loss (₹)</t>
  </si>
  <si>
    <t xml:space="preserve">Profit factor</t>
  </si>
  <si>
    <t xml:space="preserve">Max drawdown (₹)</t>
  </si>
  <si>
    <t xml:space="preserve">Profitable months %</t>
  </si>
  <si>
    <t xml:space="preserve">Best month (₹)</t>
  </si>
  <si>
    <t xml:space="preserve">Worst month (₹)</t>
  </si>
  <si>
    <t xml:space="preserve">Trades / month</t>
  </si>
  <si>
    <t xml:space="preserve">SILVER</t>
  </si>
  <si>
    <t xml:space="preserve">V0</t>
  </si>
  <si>
    <t xml:space="preserve">Real Buy/Sell, always in</t>
  </si>
  <si>
    <t xml:space="preserve">V1</t>
  </si>
  <si>
    <t xml:space="preserve">Day filter</t>
  </si>
  <si>
    <t xml:space="preserve">W8</t>
  </si>
  <si>
    <t xml:space="preserve">Day filter + profit lock</t>
  </si>
  <si>
    <t xml:space="preserve">W8C</t>
  </si>
  <si>
    <t xml:space="preserve">Day + lock + 1-bar confirm</t>
  </si>
  <si>
    <t xml:space="preserve">T6</t>
  </si>
  <si>
    <t xml:space="preserve">W8, faster band x3/x4 (1h)</t>
  </si>
  <si>
    <t xml:space="preserve">T7</t>
  </si>
  <si>
    <t xml:space="preserve">W8 on 30m + trend re-entry</t>
  </si>
  <si>
    <t xml:space="preserve">GOLD</t>
  </si>
  <si>
    <t xml:space="preserve">Highlighted rows = recommended setup (Day filter + profit lock). W8C was chosen after seeing results and rests on 16-18 trades. T6/T7 trade more often at a lower win rate.</t>
  </si>
  <si>
    <t xml:space="preserve">Side</t>
  </si>
  <si>
    <t xml:space="preserve">Entry time</t>
  </si>
  <si>
    <t xml:space="preserve">Exit time</t>
  </si>
  <si>
    <t xml:space="preserve">Exit month</t>
  </si>
  <si>
    <t xml:space="preserve">Entry price</t>
  </si>
  <si>
    <t xml:space="preserve">Exit reason</t>
  </si>
  <si>
    <t xml:space="preserve">Net points / lot (after costs)</t>
  </si>
  <si>
    <t xml:space="preserve">Lots</t>
  </si>
  <si>
    <t xml:space="preserve">R multiple</t>
  </si>
  <si>
    <t xml:space="preserve">Win (1/0)</t>
  </si>
  <si>
    <t xml:space="preserve">Cumulative P&amp;L (₹)</t>
  </si>
  <si>
    <t xml:space="preserve">Peak (₹)</t>
  </si>
  <si>
    <t xml:space="preserve">Drawdown (₹)</t>
  </si>
  <si>
    <t xml:space="preserve">LONG</t>
  </si>
  <si>
    <t xml:space="preserve">flip</t>
  </si>
  <si>
    <t xml:space="preserve">SHORT</t>
  </si>
  <si>
    <t xml:space="preserve">end</t>
  </si>
  <si>
    <t xml:space="preserve">stop</t>
  </si>
  <si>
    <t xml:space="preserve">Silver - monthly backtest (P&amp;L booked in the month a trade closes)</t>
  </si>
  <si>
    <t xml:space="preserve">All figures are formulas over the Trades sheet; lot size comes from Summary!B4.</t>
  </si>
  <si>
    <t xml:space="preserve">Month</t>
  </si>
  <si>
    <t xml:space="preserve">V0: Real Buy/Sell, always in</t>
  </si>
  <si>
    <t xml:space="preserve">V1: Day filter</t>
  </si>
  <si>
    <t xml:space="preserve">W8: Day filter + profit lock</t>
  </si>
  <si>
    <t xml:space="preserve">W8C: Day + lock + 1-bar confirm</t>
  </si>
  <si>
    <t xml:space="preserve">T6: W8, faster band x3/x4 (1h)</t>
  </si>
  <si>
    <t xml:space="preserve">T7: W8 on 30m + trend re-entry</t>
  </si>
  <si>
    <t xml:space="preserve">Cumulative (₹)</t>
  </si>
  <si>
    <t xml:space="preserve">2025 total</t>
  </si>
  <si>
    <t xml:space="preserve">2026 total (to Sep)</t>
  </si>
  <si>
    <t xml:space="preserve">All months</t>
  </si>
  <si>
    <t xml:space="preserve">Gold - monthly backtest (P&amp;L booked in the month a trade closes)</t>
  </si>
  <si>
    <t xml:space="preserve">Method and assumptions</t>
  </si>
  <si>
    <t xml:space="preserve">Data</t>
  </si>
  <si>
    <t xml:space="preserve">MCX near-month futures, 1-minute bars, 1 Jan 2025 - 23 Sep 2026 (user-supplied CSVs). Contract rolls are back-adjusted by the roll gap (like TradingView B-ADJ).</t>
  </si>
  <si>
    <t xml:space="preserve">Signals</t>
  </si>
  <si>
    <t xml:space="preserve">Reconstructed Swastika Signal on 1h bars from 09:00: SuperTrend band ATR 20, inner x5 / outer x6. These settings reproduce all 9 real Buy/Sell labels on the user's SILVER1! screenshot (Jul-Sep 2026).</t>
  </si>
  <si>
    <t xml:space="preserve">Day row</t>
  </si>
  <si>
    <t xml:space="preserve">Direction of the same band on daily bars, using the previous finished day only (no look-ahead).</t>
  </si>
  <si>
    <t xml:space="preserve">Every Buy/Sell label, always in the market (stop-and-reverse).</t>
  </si>
  <si>
    <t xml:space="preserve">Take Buy/Sell only when the Day row agrees; exit on the opposite label; otherwise flat.</t>
  </si>
  <si>
    <t xml:space="preserve">V1 + once the trade is +0.5R in profit, move the stop to entry +0.1R. R = distance from entry to the outer band at entry. Checked minute by minute.</t>
  </si>
  <si>
    <t xml:space="preserve">W8 + wait one bar after the signal and enter only if the band held and the bar closed beyond the signal bar. Chosen after seeing results; small sample (16-18 trades per metal).</t>
  </si>
  <si>
    <t xml:space="preserve">W8 with a faster band (inner x3 / outer x4, ATR 20) on 1h. About twice the trades; no longer matches the real indicator's settings.</t>
  </si>
  <si>
    <t xml:space="preserve">W8 on the 30m chart (real band settings) + trend re-entry: while flat and the band and Day row still agree, re-enter when a bar closes beyond the previous 20 bars' high (long) or low (short).</t>
  </si>
  <si>
    <t xml:space="preserve">Execution</t>
  </si>
  <si>
    <t xml:space="preserve">Signal on 1h close, fill at next bar's open. Stops fill at the stop price, or the minute's open if it gapped.</t>
  </si>
  <si>
    <t xml:space="preserve">Costs</t>
  </si>
  <si>
    <t xml:space="preserve">Already inside 'Net points / lot': 0.02% of notional per round trip + 5 ticks slippage per side, plus one extra round trip for every roll a position is held through.</t>
  </si>
  <si>
    <t xml:space="preserve">Monthly P&amp;L</t>
  </si>
  <si>
    <t xml:space="preserve">Booked in the month a trade closes. Open positions are not marked to market at month end.</t>
  </si>
  <si>
    <t xml:space="preserve">Caveats</t>
  </si>
  <si>
    <t xml:space="preserve">2025-26 was a strong trending period for both metals. Back-adjustment removes the overnight move on roll days. Past results do not guarantee future returns.</t>
  </si>
  <si>
    <t xml:space="preserve">Blue / green / black</t>
  </si>
  <si>
    <t xml:space="preserve">Blue = values from the simulation, green = link to the Summary inputs, black = formulas.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</si>
</sst>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;\-0;\-"/>
    <numFmt numFmtId="167" formatCode="0.0%;\-0.0%;\-"/>
    <numFmt numFmtId="168" formatCode="\₹#,##0;[RED]&quot;(₹&quot;#,##0\);\-"/>
    <numFmt numFmtId="169" formatCode="0.00"/>
    <numFmt numFmtId="170" formatCode="0.0"/>
    <numFmt numFmtId="171" formatCode="dd\-mmm\-yy\ hh:mm"/>
    <numFmt numFmtId="172" formatCode="mmm\-yyyy"/>
    <numFmt numFmtId="173" formatCode="#,##0.0;[RED]\-#,##0.0"/>
    <numFmt numFmtId="174" formatCode="0"/>
    <numFmt numFmtId="175" formatCode="0.00;[RED]\-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59240"/>
      <rgbColor rgb="FFFF6600"/>
      <rgbColor rgb="FF7D5FA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Silver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Monthly'!$E$5:$E$25</c:f>
              <c:numCache>
                <c:formatCode>\₹#,##0;[RED]"(₹"#,##0\);\-</c:formatCode>
                <c:ptCount val="21"/>
                <c:pt idx="0">
                  <c:v>-79423.2</c:v>
                </c:pt>
                <c:pt idx="1">
                  <c:v>-173286</c:v>
                </c:pt>
                <c:pt idx="2">
                  <c:v>-130751.4</c:v>
                </c:pt>
                <c:pt idx="3">
                  <c:v>94074.9</c:v>
                </c:pt>
                <c:pt idx="4">
                  <c:v>-144286.5</c:v>
                </c:pt>
                <c:pt idx="5">
                  <c:v>-35601.6</c:v>
                </c:pt>
                <c:pt idx="6">
                  <c:v>-81793.2</c:v>
                </c:pt>
                <c:pt idx="7">
                  <c:v>-20190.9</c:v>
                </c:pt>
                <c:pt idx="8">
                  <c:v>-15597.2999999999</c:v>
                </c:pt>
                <c:pt idx="9">
                  <c:v>807573</c:v>
                </c:pt>
                <c:pt idx="10">
                  <c:v>1025636.4</c:v>
                </c:pt>
                <c:pt idx="11">
                  <c:v>1718459.7</c:v>
                </c:pt>
                <c:pt idx="12">
                  <c:v>1632222</c:v>
                </c:pt>
                <c:pt idx="13">
                  <c:v>5064359.1</c:v>
                </c:pt>
                <c:pt idx="14">
                  <c:v>6047433.3</c:v>
                </c:pt>
                <c:pt idx="15">
                  <c:v>5252006.1</c:v>
                </c:pt>
                <c:pt idx="16">
                  <c:v>5306012.1</c:v>
                </c:pt>
                <c:pt idx="17">
                  <c:v>6420078.9</c:v>
                </c:pt>
                <c:pt idx="18">
                  <c:v>6625433.4</c:v>
                </c:pt>
                <c:pt idx="19">
                  <c:v>6618753.6</c:v>
                </c:pt>
                <c:pt idx="20">
                  <c:v>6378578.1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-101277.6</c:v>
                </c:pt>
                <c:pt idx="3">
                  <c:v>93386.1</c:v>
                </c:pt>
                <c:pt idx="4">
                  <c:v>-33748.2</c:v>
                </c:pt>
                <c:pt idx="5">
                  <c:v>-114077.4</c:v>
                </c:pt>
                <c:pt idx="6">
                  <c:v>-35233.5</c:v>
                </c:pt>
                <c:pt idx="7">
                  <c:v>-9568.49999999996</c:v>
                </c:pt>
                <c:pt idx="8">
                  <c:v>197642.1</c:v>
                </c:pt>
                <c:pt idx="9">
                  <c:v>891360.3</c:v>
                </c:pt>
                <c:pt idx="10">
                  <c:v>1162933.2</c:v>
                </c:pt>
                <c:pt idx="11">
                  <c:v>2697719.1</c:v>
                </c:pt>
                <c:pt idx="12">
                  <c:v>4500822</c:v>
                </c:pt>
                <c:pt idx="13">
                  <c:v>4500822</c:v>
                </c:pt>
                <c:pt idx="14">
                  <c:v>5358323.4</c:v>
                </c:pt>
                <c:pt idx="15">
                  <c:v>4829722.5</c:v>
                </c:pt>
                <c:pt idx="16">
                  <c:v>4453309.5</c:v>
                </c:pt>
                <c:pt idx="17">
                  <c:v>5877179.7</c:v>
                </c:pt>
                <c:pt idx="18">
                  <c:v>6085194.3</c:v>
                </c:pt>
                <c:pt idx="19">
                  <c:v>5739147.9</c:v>
                </c:pt>
                <c:pt idx="20">
                  <c:v>5793475.8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-70897.8</c:v>
                </c:pt>
                <c:pt idx="3">
                  <c:v>123765.9</c:v>
                </c:pt>
                <c:pt idx="4">
                  <c:v>43818</c:v>
                </c:pt>
                <c:pt idx="5">
                  <c:v>-36511.2</c:v>
                </c:pt>
                <c:pt idx="6">
                  <c:v>75070.8000000001</c:v>
                </c:pt>
                <c:pt idx="7">
                  <c:v>100735.8</c:v>
                </c:pt>
                <c:pt idx="8">
                  <c:v>348566.4</c:v>
                </c:pt>
                <c:pt idx="9">
                  <c:v>850978.5</c:v>
                </c:pt>
                <c:pt idx="10">
                  <c:v>1122551.4</c:v>
                </c:pt>
                <c:pt idx="11">
                  <c:v>2657337.3</c:v>
                </c:pt>
                <c:pt idx="12">
                  <c:v>4348685.7</c:v>
                </c:pt>
                <c:pt idx="13">
                  <c:v>4348685.7</c:v>
                </c:pt>
                <c:pt idx="14">
                  <c:v>4455248.4</c:v>
                </c:pt>
                <c:pt idx="15">
                  <c:v>3962100.9</c:v>
                </c:pt>
                <c:pt idx="16">
                  <c:v>3652027.2</c:v>
                </c:pt>
                <c:pt idx="17">
                  <c:v>5075897.4</c:v>
                </c:pt>
                <c:pt idx="18">
                  <c:v>5304717</c:v>
                </c:pt>
                <c:pt idx="19">
                  <c:v>5094555.6</c:v>
                </c:pt>
                <c:pt idx="20">
                  <c:v>5072715.3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15062.4</c:v>
                </c:pt>
                <c:pt idx="3">
                  <c:v>15062.4</c:v>
                </c:pt>
                <c:pt idx="4">
                  <c:v>22298.4</c:v>
                </c:pt>
                <c:pt idx="5">
                  <c:v>22298.4</c:v>
                </c:pt>
                <c:pt idx="6">
                  <c:v>27854.4</c:v>
                </c:pt>
                <c:pt idx="7">
                  <c:v>27854.4</c:v>
                </c:pt>
                <c:pt idx="8">
                  <c:v>273028.2</c:v>
                </c:pt>
                <c:pt idx="9">
                  <c:v>273028.2</c:v>
                </c:pt>
                <c:pt idx="10">
                  <c:v>531909.9</c:v>
                </c:pt>
                <c:pt idx="11">
                  <c:v>1178374.8</c:v>
                </c:pt>
                <c:pt idx="12">
                  <c:v>2707383</c:v>
                </c:pt>
                <c:pt idx="13">
                  <c:v>2707383</c:v>
                </c:pt>
                <c:pt idx="14">
                  <c:v>2721801.3</c:v>
                </c:pt>
                <c:pt idx="15">
                  <c:v>2754183.3</c:v>
                </c:pt>
                <c:pt idx="16">
                  <c:v>2814296.1</c:v>
                </c:pt>
                <c:pt idx="17">
                  <c:v>3266768.4</c:v>
                </c:pt>
                <c:pt idx="18">
                  <c:v>3464943.9</c:v>
                </c:pt>
                <c:pt idx="19">
                  <c:v>3464943.9</c:v>
                </c:pt>
                <c:pt idx="20">
                  <c:v>3316208.4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-28711.2</c:v>
                </c:pt>
                <c:pt idx="2">
                  <c:v>29181</c:v>
                </c:pt>
                <c:pt idx="3">
                  <c:v>-89931</c:v>
                </c:pt>
                <c:pt idx="4">
                  <c:v>-58765.2</c:v>
                </c:pt>
                <c:pt idx="5">
                  <c:v>-130370.7</c:v>
                </c:pt>
                <c:pt idx="6">
                  <c:v>-82809</c:v>
                </c:pt>
                <c:pt idx="7">
                  <c:v>-48559.5</c:v>
                </c:pt>
                <c:pt idx="8">
                  <c:v>545340.6</c:v>
                </c:pt>
                <c:pt idx="9">
                  <c:v>850829.1</c:v>
                </c:pt>
                <c:pt idx="10">
                  <c:v>619241.7</c:v>
                </c:pt>
                <c:pt idx="11">
                  <c:v>2729003.7</c:v>
                </c:pt>
                <c:pt idx="12">
                  <c:v>5803082.7</c:v>
                </c:pt>
                <c:pt idx="13">
                  <c:v>5539314</c:v>
                </c:pt>
                <c:pt idx="14">
                  <c:v>5504106</c:v>
                </c:pt>
                <c:pt idx="15">
                  <c:v>5127427.5</c:v>
                </c:pt>
                <c:pt idx="16">
                  <c:v>5125695</c:v>
                </c:pt>
                <c:pt idx="17">
                  <c:v>5377677</c:v>
                </c:pt>
                <c:pt idx="18">
                  <c:v>5512608.9</c:v>
                </c:pt>
                <c:pt idx="19">
                  <c:v>5194346.1</c:v>
                </c:pt>
                <c:pt idx="20">
                  <c:v>5244862.2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19050.3</c:v>
                </c:pt>
                <c:pt idx="2">
                  <c:v>-41460.3</c:v>
                </c:pt>
                <c:pt idx="3">
                  <c:v>98112.6</c:v>
                </c:pt>
                <c:pt idx="4">
                  <c:v>51855.3</c:v>
                </c:pt>
                <c:pt idx="5">
                  <c:v>26540.4</c:v>
                </c:pt>
                <c:pt idx="6">
                  <c:v>122423.1</c:v>
                </c:pt>
                <c:pt idx="7">
                  <c:v>147374.1</c:v>
                </c:pt>
                <c:pt idx="8">
                  <c:v>745443</c:v>
                </c:pt>
                <c:pt idx="9">
                  <c:v>1108245.9</c:v>
                </c:pt>
                <c:pt idx="10">
                  <c:v>1472753.7</c:v>
                </c:pt>
                <c:pt idx="11">
                  <c:v>3000381.3</c:v>
                </c:pt>
                <c:pt idx="12">
                  <c:v>6049002</c:v>
                </c:pt>
                <c:pt idx="13">
                  <c:v>5272980</c:v>
                </c:pt>
                <c:pt idx="14">
                  <c:v>5561672.4</c:v>
                </c:pt>
                <c:pt idx="15">
                  <c:v>5347413.9</c:v>
                </c:pt>
                <c:pt idx="16">
                  <c:v>5345681.4</c:v>
                </c:pt>
                <c:pt idx="17">
                  <c:v>6920562.6</c:v>
                </c:pt>
                <c:pt idx="18">
                  <c:v>7084250.7</c:v>
                </c:pt>
                <c:pt idx="19">
                  <c:v>6741150.3</c:v>
                </c:pt>
                <c:pt idx="20">
                  <c:v>6679868.7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795926"/>
        <c:axId val="23837734"/>
      </c:lineChart>
      <c:catAx>
        <c:axId val="8879592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837734"/>
        <c:crosses val="autoZero"/>
        <c:auto val="1"/>
        <c:lblAlgn val="ctr"/>
        <c:lblOffset val="100"/>
        <c:noMultiLvlLbl val="0"/>
      </c:catAx>
      <c:valAx>
        <c:axId val="23837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959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Gold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Monthly'!$E$5:$E$25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482841</c:v>
                </c:pt>
                <c:pt idx="2">
                  <c:v>528839</c:v>
                </c:pt>
                <c:pt idx="3">
                  <c:v>1117304</c:v>
                </c:pt>
                <c:pt idx="4">
                  <c:v>1062830</c:v>
                </c:pt>
                <c:pt idx="5">
                  <c:v>856600</c:v>
                </c:pt>
                <c:pt idx="6">
                  <c:v>701023</c:v>
                </c:pt>
                <c:pt idx="7">
                  <c:v>885028</c:v>
                </c:pt>
                <c:pt idx="8">
                  <c:v>1577845</c:v>
                </c:pt>
                <c:pt idx="9">
                  <c:v>2560356</c:v>
                </c:pt>
                <c:pt idx="10">
                  <c:v>3070779</c:v>
                </c:pt>
                <c:pt idx="11">
                  <c:v>4038831</c:v>
                </c:pt>
                <c:pt idx="12">
                  <c:v>4136127</c:v>
                </c:pt>
                <c:pt idx="13">
                  <c:v>5304610</c:v>
                </c:pt>
                <c:pt idx="14">
                  <c:v>8028111</c:v>
                </c:pt>
                <c:pt idx="15">
                  <c:v>7235704</c:v>
                </c:pt>
                <c:pt idx="16">
                  <c:v>7894004</c:v>
                </c:pt>
                <c:pt idx="17">
                  <c:v>8336687</c:v>
                </c:pt>
                <c:pt idx="18">
                  <c:v>8775954</c:v>
                </c:pt>
                <c:pt idx="19">
                  <c:v>10197812</c:v>
                </c:pt>
                <c:pt idx="20">
                  <c:v>9564695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682730</c:v>
                </c:pt>
                <c:pt idx="5">
                  <c:v>691370</c:v>
                </c:pt>
                <c:pt idx="6">
                  <c:v>639616</c:v>
                </c:pt>
                <c:pt idx="7">
                  <c:v>797026</c:v>
                </c:pt>
                <c:pt idx="8">
                  <c:v>1667237</c:v>
                </c:pt>
                <c:pt idx="9">
                  <c:v>2965592</c:v>
                </c:pt>
                <c:pt idx="10">
                  <c:v>3074421</c:v>
                </c:pt>
                <c:pt idx="11">
                  <c:v>4042473</c:v>
                </c:pt>
                <c:pt idx="12">
                  <c:v>5236100</c:v>
                </c:pt>
                <c:pt idx="13">
                  <c:v>5236100</c:v>
                </c:pt>
                <c:pt idx="14">
                  <c:v>7231314</c:v>
                </c:pt>
                <c:pt idx="15">
                  <c:v>6625880</c:v>
                </c:pt>
                <c:pt idx="16">
                  <c:v>6625880</c:v>
                </c:pt>
                <c:pt idx="17">
                  <c:v>7300703</c:v>
                </c:pt>
                <c:pt idx="18">
                  <c:v>7896115</c:v>
                </c:pt>
                <c:pt idx="19">
                  <c:v>7896115</c:v>
                </c:pt>
                <c:pt idx="20">
                  <c:v>7134101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894411</c:v>
                </c:pt>
                <c:pt idx="5">
                  <c:v>924437</c:v>
                </c:pt>
                <c:pt idx="6">
                  <c:v>910776</c:v>
                </c:pt>
                <c:pt idx="7">
                  <c:v>1068186</c:v>
                </c:pt>
                <c:pt idx="8">
                  <c:v>1938397</c:v>
                </c:pt>
                <c:pt idx="9">
                  <c:v>3236752</c:v>
                </c:pt>
                <c:pt idx="10">
                  <c:v>3345581</c:v>
                </c:pt>
                <c:pt idx="11">
                  <c:v>4313633</c:v>
                </c:pt>
                <c:pt idx="12">
                  <c:v>5501370</c:v>
                </c:pt>
                <c:pt idx="13">
                  <c:v>5501370</c:v>
                </c:pt>
                <c:pt idx="14">
                  <c:v>5555227</c:v>
                </c:pt>
                <c:pt idx="15">
                  <c:v>5011207</c:v>
                </c:pt>
                <c:pt idx="16">
                  <c:v>5011207</c:v>
                </c:pt>
                <c:pt idx="17">
                  <c:v>5686030</c:v>
                </c:pt>
                <c:pt idx="18">
                  <c:v>6322975</c:v>
                </c:pt>
                <c:pt idx="19">
                  <c:v>6322975</c:v>
                </c:pt>
                <c:pt idx="20">
                  <c:v>5560961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-117018</c:v>
                </c:pt>
                <c:pt idx="2">
                  <c:v>21946</c:v>
                </c:pt>
                <c:pt idx="3">
                  <c:v>21946</c:v>
                </c:pt>
                <c:pt idx="4">
                  <c:v>144005</c:v>
                </c:pt>
                <c:pt idx="5">
                  <c:v>159759</c:v>
                </c:pt>
                <c:pt idx="6">
                  <c:v>218190</c:v>
                </c:pt>
                <c:pt idx="7">
                  <c:v>366099</c:v>
                </c:pt>
                <c:pt idx="8">
                  <c:v>1204507</c:v>
                </c:pt>
                <c:pt idx="9">
                  <c:v>2032279</c:v>
                </c:pt>
                <c:pt idx="10">
                  <c:v>2135607</c:v>
                </c:pt>
                <c:pt idx="11">
                  <c:v>2135607</c:v>
                </c:pt>
                <c:pt idx="12">
                  <c:v>3232924</c:v>
                </c:pt>
                <c:pt idx="13">
                  <c:v>3232924</c:v>
                </c:pt>
                <c:pt idx="14">
                  <c:v>3258354</c:v>
                </c:pt>
                <c:pt idx="15">
                  <c:v>3258354</c:v>
                </c:pt>
                <c:pt idx="16">
                  <c:v>3258354</c:v>
                </c:pt>
                <c:pt idx="17">
                  <c:v>3931677</c:v>
                </c:pt>
                <c:pt idx="18">
                  <c:v>4529628</c:v>
                </c:pt>
                <c:pt idx="19">
                  <c:v>4529628</c:v>
                </c:pt>
                <c:pt idx="20">
                  <c:v>4234572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-84009</c:v>
                </c:pt>
                <c:pt idx="2">
                  <c:v>-75653</c:v>
                </c:pt>
                <c:pt idx="3">
                  <c:v>521793</c:v>
                </c:pt>
                <c:pt idx="4">
                  <c:v>684021</c:v>
                </c:pt>
                <c:pt idx="5">
                  <c:v>749652</c:v>
                </c:pt>
                <c:pt idx="6">
                  <c:v>844578</c:v>
                </c:pt>
                <c:pt idx="7">
                  <c:v>859733</c:v>
                </c:pt>
                <c:pt idx="8">
                  <c:v>2070191</c:v>
                </c:pt>
                <c:pt idx="9">
                  <c:v>1893572</c:v>
                </c:pt>
                <c:pt idx="10">
                  <c:v>1542995</c:v>
                </c:pt>
                <c:pt idx="11">
                  <c:v>2086070</c:v>
                </c:pt>
                <c:pt idx="12">
                  <c:v>3710987</c:v>
                </c:pt>
                <c:pt idx="13">
                  <c:v>3364489</c:v>
                </c:pt>
                <c:pt idx="14">
                  <c:v>3481382</c:v>
                </c:pt>
                <c:pt idx="15">
                  <c:v>3205047</c:v>
                </c:pt>
                <c:pt idx="16">
                  <c:v>2942534</c:v>
                </c:pt>
                <c:pt idx="17">
                  <c:v>2753413</c:v>
                </c:pt>
                <c:pt idx="18">
                  <c:v>2877623</c:v>
                </c:pt>
                <c:pt idx="19">
                  <c:v>3108898</c:v>
                </c:pt>
                <c:pt idx="20">
                  <c:v>3186182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f59240"/>
            </a:solidFill>
            <a:ln w="28440">
              <a:solidFill>
                <a:srgbClr val="f5924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1084</c:v>
                </c:pt>
                <c:pt idx="2">
                  <c:v>98241</c:v>
                </c:pt>
                <c:pt idx="3">
                  <c:v>478988</c:v>
                </c:pt>
                <c:pt idx="4">
                  <c:v>533547</c:v>
                </c:pt>
                <c:pt idx="5">
                  <c:v>553773</c:v>
                </c:pt>
                <c:pt idx="6">
                  <c:v>628123</c:v>
                </c:pt>
                <c:pt idx="7">
                  <c:v>732318</c:v>
                </c:pt>
                <c:pt idx="8">
                  <c:v>1918876</c:v>
                </c:pt>
                <c:pt idx="9">
                  <c:v>2639175</c:v>
                </c:pt>
                <c:pt idx="10">
                  <c:v>2583526</c:v>
                </c:pt>
                <c:pt idx="11">
                  <c:v>3290310</c:v>
                </c:pt>
                <c:pt idx="12">
                  <c:v>4879044</c:v>
                </c:pt>
                <c:pt idx="13">
                  <c:v>2731162</c:v>
                </c:pt>
                <c:pt idx="14">
                  <c:v>4129818</c:v>
                </c:pt>
                <c:pt idx="15">
                  <c:v>3630824</c:v>
                </c:pt>
                <c:pt idx="16">
                  <c:v>3676266</c:v>
                </c:pt>
                <c:pt idx="17">
                  <c:v>4448414</c:v>
                </c:pt>
                <c:pt idx="18">
                  <c:v>4387734</c:v>
                </c:pt>
                <c:pt idx="19">
                  <c:v>3978520</c:v>
                </c:pt>
                <c:pt idx="20">
                  <c:v>4137634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517460"/>
        <c:axId val="54777899"/>
      </c:lineChart>
      <c:catAx>
        <c:axId val="6551746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77899"/>
        <c:crosses val="autoZero"/>
        <c:auto val="1"/>
        <c:lblAlgn val="ctr"/>
        <c:lblOffset val="100"/>
        <c:noMultiLvlLbl val="0"/>
      </c:catAx>
      <c:valAx>
        <c:axId val="547778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174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1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v>1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30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100</v>
      </c>
      <c r="C6" s="5" t="s">
        <v>7</v>
      </c>
    </row>
    <row r="8" customFormat="false" ht="15" hidden="false" customHeight="false" outlineLevel="0" collapsed="false">
      <c r="A8" s="2" t="s">
        <v>8</v>
      </c>
    </row>
    <row r="9" customFormat="false" ht="31.5" hidden="false" customHeight="tru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6" t="s">
        <v>15</v>
      </c>
      <c r="H9" s="6" t="s">
        <v>16</v>
      </c>
      <c r="I9" s="6" t="s">
        <v>17</v>
      </c>
      <c r="J9" s="6" t="s">
        <v>18</v>
      </c>
      <c r="K9" s="6" t="s">
        <v>19</v>
      </c>
      <c r="L9" s="6" t="s">
        <v>20</v>
      </c>
      <c r="M9" s="6" t="s">
        <v>21</v>
      </c>
      <c r="N9" s="6" t="s">
        <v>22</v>
      </c>
      <c r="O9" s="6" t="s">
        <v>23</v>
      </c>
      <c r="P9" s="6" t="s">
        <v>24</v>
      </c>
      <c r="Q9" s="6" t="s">
        <v>25</v>
      </c>
    </row>
    <row r="10" customFormat="false" ht="15" hidden="false" customHeight="false" outlineLevel="0" collapsed="false">
      <c r="A10" s="7" t="s">
        <v>26</v>
      </c>
      <c r="B10" s="7" t="s">
        <v>27</v>
      </c>
      <c r="C10" s="8" t="s">
        <v>28</v>
      </c>
      <c r="D10" s="9" t="n">
        <f aca="false">COUNTIFS(Trades!$A$2:$A$543,A10,Trades!$B$2:$B$543,B10)</f>
        <v>69</v>
      </c>
      <c r="E10" s="9" t="n">
        <f aca="false">COUNTIFS(Trades!$A$2:$A$543,A10,Trades!$B$2:$B$543,B10,Trades!$M$2:$M$543,1)</f>
        <v>33</v>
      </c>
      <c r="F10" s="10" t="n">
        <f aca="false">IF(D10=0,"",E10/D10)</f>
        <v>0.478260869565217</v>
      </c>
      <c r="G10" s="11" t="n">
        <f aca="false">SUMIFS(Trades!$K$2:$K$543,Trades!$A$2:$A$543,A10,Trades!$B$2:$B$543,B10)</f>
        <v>6378578.1</v>
      </c>
      <c r="H10" s="11" t="n">
        <f aca="false">SUMIFS(Trades!$K$2:$K$543,Trades!$A$2:$A$543,A10,Trades!$B$2:$B$543,B10,Trades!$E$2:$E$543,"&gt;="&amp;DATE(2025,1,1),Trades!$E$2:$E$543,"&lt;"&amp;DATE(2026,1,1))</f>
        <v>1718459.7</v>
      </c>
      <c r="I10" s="11" t="n">
        <f aca="false">SUMIFS(Trades!$K$2:$K$543,Trades!$A$2:$A$543,A10,Trades!$B$2:$B$543,B10,Trades!$E$2:$E$543,"&gt;="&amp;DATE(2026,1,1))</f>
        <v>4660118.4</v>
      </c>
      <c r="J10" s="11" t="n">
        <f aca="false">IFERROR(AVERAGEIFS(Trades!$K$2:$K$543,Trades!$A$2:$A$543,A10,Trades!$B$2:$B$543,B10,Trades!$K$2:$K$543,"&gt;0"),0)</f>
        <v>406739.045454545</v>
      </c>
      <c r="K10" s="11" t="n">
        <f aca="false">IFERROR(AVERAGEIFS(Trades!$K$2:$K$543,Trades!$A$2:$A$543,A10,Trades!$B$2:$B$543,B10,Trades!$K$2:$K$543,"&lt;=0"),0)</f>
        <v>-195661.4</v>
      </c>
      <c r="L10" s="12" t="n">
        <f aca="false">IFERROR(SUMIFS(Trades!$K$2:$K$543,Trades!$A$2:$A$543,A10,Trades!$B$2:$B$543,B10,Trades!$K$2:$K$543,"&gt;0")/-SUMIFS(Trades!$K$2:$K$543,Trades!$A$2:$A$543,A10,Trades!$B$2:$B$543,B10,Trades!$K$2:$K$543,"&lt;=0"),"no losses")</f>
        <v>1.90555789235894</v>
      </c>
      <c r="M10" s="11" t="n">
        <f aca="false">_xlfn.MINIFS(Trades!$P$2:$P$543,Trades!$A$2:$A$543,A10,Trades!$B$2:$B$543,B10)</f>
        <v>-1535198.1</v>
      </c>
      <c r="N10" s="10" t="n">
        <f aca="false">IFERROR(COUNTIF('Silver Monthly'!D$5:D$25,"&gt;0")/COUNTIF('Silver Monthly'!B$5:B$25,"&gt;0"),"")</f>
        <v>0.619047619047619</v>
      </c>
      <c r="O10" s="11" t="n">
        <f aca="false">MAX('Silver Monthly'!D$5:D$25)</f>
        <v>3432137.1</v>
      </c>
      <c r="P10" s="11" t="n">
        <f aca="false">MIN('Silver Monthly'!D$5:D$25)</f>
        <v>-795427.2</v>
      </c>
      <c r="Q10" s="13" t="n">
        <f aca="false">D10/COUNT('Silver Monthly'!$A$5:$A$25)</f>
        <v>3.28571428571429</v>
      </c>
    </row>
    <row r="11" customFormat="false" ht="15" hidden="false" customHeight="false" outlineLevel="0" collapsed="false">
      <c r="A11" s="7" t="s">
        <v>26</v>
      </c>
      <c r="B11" s="7" t="s">
        <v>29</v>
      </c>
      <c r="C11" s="8" t="s">
        <v>30</v>
      </c>
      <c r="D11" s="9" t="n">
        <f aca="false">COUNTIFS(Trades!$A$2:$A$543,A11,Trades!$B$2:$B$543,B11)</f>
        <v>32</v>
      </c>
      <c r="E11" s="9" t="n">
        <f aca="false">COUNTIFS(Trades!$A$2:$A$543,A11,Trades!$B$2:$B$543,B11,Trades!$M$2:$M$543,1)</f>
        <v>19</v>
      </c>
      <c r="F11" s="10" t="n">
        <f aca="false">IF(D11=0,"",E11/D11)</f>
        <v>0.59375</v>
      </c>
      <c r="G11" s="11" t="n">
        <f aca="false">SUMIFS(Trades!$K$2:$K$543,Trades!$A$2:$A$543,A11,Trades!$B$2:$B$543,B11)</f>
        <v>5793475.8</v>
      </c>
      <c r="H11" s="11" t="n">
        <f aca="false">SUMIFS(Trades!$K$2:$K$543,Trades!$A$2:$A$543,A11,Trades!$B$2:$B$543,B11,Trades!$E$2:$E$543,"&gt;="&amp;DATE(2025,1,1),Trades!$E$2:$E$543,"&lt;"&amp;DATE(2026,1,1))</f>
        <v>2697719.1</v>
      </c>
      <c r="I11" s="11" t="n">
        <f aca="false">SUMIFS(Trades!$K$2:$K$543,Trades!$A$2:$A$543,A11,Trades!$B$2:$B$543,B11,Trades!$E$2:$E$543,"&gt;="&amp;DATE(2026,1,1))</f>
        <v>3095756.7</v>
      </c>
      <c r="J11" s="11" t="n">
        <f aca="false">IFERROR(AVERAGEIFS(Trades!$K$2:$K$543,Trades!$A$2:$A$543,A11,Trades!$B$2:$B$543,B11,Trades!$K$2:$K$543,"&gt;0"),0)</f>
        <v>398927.305263158</v>
      </c>
      <c r="K11" s="11" t="n">
        <f aca="false">IFERROR(AVERAGEIFS(Trades!$K$2:$K$543,Trades!$A$2:$A$543,A11,Trades!$B$2:$B$543,B11,Trades!$K$2:$K$543,"&lt;=0"),0)</f>
        <v>-137395.615384615</v>
      </c>
      <c r="L11" s="12" t="n">
        <f aca="false">IFERROR(SUMIFS(Trades!$K$2:$K$543,Trades!$A$2:$A$543,A11,Trades!$B$2:$B$543,B11,Trades!$K$2:$K$543,"&gt;0")/-SUMIFS(Trades!$K$2:$K$543,Trades!$A$2:$A$543,A11,Trades!$B$2:$B$543,B11,Trades!$K$2:$K$543,"&lt;=0"),"no losses")</f>
        <v>4.24356773225884</v>
      </c>
      <c r="M11" s="11" t="n">
        <f aca="false">_xlfn.MINIFS(Trades!$P$2:$P$543,Trades!$A$2:$A$543,A11,Trades!$B$2:$B$543,B11)</f>
        <v>-905013.9</v>
      </c>
      <c r="N11" s="10" t="n">
        <f aca="false">IFERROR(COUNTIF('Silver Monthly'!H$5:H$25,"&gt;0")/COUNTIF('Silver Monthly'!F$5:F$25,"&gt;0"),"")</f>
        <v>0.631578947368421</v>
      </c>
      <c r="O11" s="11" t="n">
        <f aca="false">MAX('Silver Monthly'!H$5:H$25)</f>
        <v>1803102.9</v>
      </c>
      <c r="P11" s="11" t="n">
        <f aca="false">MIN('Silver Monthly'!H$5:H$25)</f>
        <v>-528600.9</v>
      </c>
      <c r="Q11" s="13" t="n">
        <f aca="false">D11/COUNT('Silver Monthly'!$A$5:$A$25)</f>
        <v>1.52380952380952</v>
      </c>
    </row>
    <row r="12" customFormat="false" ht="15" hidden="false" customHeight="false" outlineLevel="0" collapsed="false">
      <c r="A12" s="14" t="s">
        <v>26</v>
      </c>
      <c r="B12" s="14" t="s">
        <v>31</v>
      </c>
      <c r="C12" s="15" t="s">
        <v>32</v>
      </c>
      <c r="D12" s="16" t="n">
        <f aca="false">COUNTIFS(Trades!$A$2:$A$543,A12,Trades!$B$2:$B$543,B12)</f>
        <v>32</v>
      </c>
      <c r="E12" s="16" t="n">
        <f aca="false">COUNTIFS(Trades!$A$2:$A$543,A12,Trades!$B$2:$B$543,B12,Trades!$M$2:$M$543,1)</f>
        <v>25</v>
      </c>
      <c r="F12" s="17" t="n">
        <f aca="false">IF(D12=0,"",E12/D12)</f>
        <v>0.78125</v>
      </c>
      <c r="G12" s="18" t="n">
        <f aca="false">SUMIFS(Trades!$K$2:$K$543,Trades!$A$2:$A$543,A12,Trades!$B$2:$B$543,B12)</f>
        <v>5072715.3</v>
      </c>
      <c r="H12" s="18" t="n">
        <f aca="false">SUMIFS(Trades!$K$2:$K$543,Trades!$A$2:$A$543,A12,Trades!$B$2:$B$543,B12,Trades!$E$2:$E$543,"&gt;="&amp;DATE(2025,1,1),Trades!$E$2:$E$543,"&lt;"&amp;DATE(2026,1,1))</f>
        <v>2657337.3</v>
      </c>
      <c r="I12" s="18" t="n">
        <f aca="false">SUMIFS(Trades!$K$2:$K$543,Trades!$A$2:$A$543,A12,Trades!$B$2:$B$543,B12,Trades!$E$2:$E$543,"&gt;="&amp;DATE(2026,1,1))</f>
        <v>2415378</v>
      </c>
      <c r="J12" s="18" t="n">
        <f aca="false">IFERROR(AVERAGEIFS(Trades!$K$2:$K$543,Trades!$A$2:$A$543,A12,Trades!$B$2:$B$543,B12,Trades!$K$2:$K$543,"&gt;0"),0)</f>
        <v>256761.048</v>
      </c>
      <c r="K12" s="18" t="n">
        <f aca="false">IFERROR(AVERAGEIFS(Trades!$K$2:$K$543,Trades!$A$2:$A$543,A12,Trades!$B$2:$B$543,B12,Trades!$K$2:$K$543,"&lt;=0"),0)</f>
        <v>-192330.128571429</v>
      </c>
      <c r="L12" s="19" t="n">
        <f aca="false">IFERROR(SUMIFS(Trades!$K$2:$K$543,Trades!$A$2:$A$543,A12,Trades!$B$2:$B$543,B12,Trades!$K$2:$K$543,"&gt;0")/-SUMIFS(Trades!$K$2:$K$543,Trades!$A$2:$A$543,A12,Trades!$B$2:$B$543,B12,Trades!$K$2:$K$543,"&lt;=0"),"no losses")</f>
        <v>4.76786320306847</v>
      </c>
      <c r="M12" s="18" t="n">
        <f aca="false">_xlfn.MINIFS(Trades!$P$2:$P$543,Trades!$A$2:$A$543,A12,Trades!$B$2:$B$543,B12)</f>
        <v>-803221.2</v>
      </c>
      <c r="N12" s="17" t="n">
        <f aca="false">IFERROR(COUNTIF('Silver Monthly'!L$5:L$25,"&gt;0")/COUNTIF('Silver Monthly'!J$5:J$25,"&gt;0"),"")</f>
        <v>0.631578947368421</v>
      </c>
      <c r="O12" s="18" t="n">
        <f aca="false">MAX('Silver Monthly'!L$5:L$25)</f>
        <v>1691348.4</v>
      </c>
      <c r="P12" s="18" t="n">
        <f aca="false">MIN('Silver Monthly'!L$5:L$25)</f>
        <v>-493147.5</v>
      </c>
      <c r="Q12" s="20" t="n">
        <f aca="false">D12/COUNT('Silver Monthly'!$A$5:$A$25)</f>
        <v>1.52380952380952</v>
      </c>
    </row>
    <row r="13" customFormat="false" ht="15" hidden="false" customHeight="false" outlineLevel="0" collapsed="false">
      <c r="A13" s="7" t="s">
        <v>26</v>
      </c>
      <c r="B13" s="7" t="s">
        <v>33</v>
      </c>
      <c r="C13" s="8" t="s">
        <v>34</v>
      </c>
      <c r="D13" s="9" t="n">
        <f aca="false">COUNTIFS(Trades!$A$2:$A$543,A13,Trades!$B$2:$B$543,B13)</f>
        <v>16</v>
      </c>
      <c r="E13" s="9" t="n">
        <f aca="false">COUNTIFS(Trades!$A$2:$A$543,A13,Trades!$B$2:$B$543,B13,Trades!$M$2:$M$543,1)</f>
        <v>15</v>
      </c>
      <c r="F13" s="10" t="n">
        <f aca="false">IF(D13=0,"",E13/D13)</f>
        <v>0.9375</v>
      </c>
      <c r="G13" s="11" t="n">
        <f aca="false">SUMIFS(Trades!$K$2:$K$543,Trades!$A$2:$A$543,A13,Trades!$B$2:$B$543,B13)</f>
        <v>3316208.4</v>
      </c>
      <c r="H13" s="11" t="n">
        <f aca="false">SUMIFS(Trades!$K$2:$K$543,Trades!$A$2:$A$543,A13,Trades!$B$2:$B$543,B13,Trades!$E$2:$E$543,"&gt;="&amp;DATE(2025,1,1),Trades!$E$2:$E$543,"&lt;"&amp;DATE(2026,1,1))</f>
        <v>1178374.8</v>
      </c>
      <c r="I13" s="11" t="n">
        <f aca="false">SUMIFS(Trades!$K$2:$K$543,Trades!$A$2:$A$543,A13,Trades!$B$2:$B$543,B13,Trades!$E$2:$E$543,"&gt;="&amp;DATE(2026,1,1))</f>
        <v>2137833.6</v>
      </c>
      <c r="J13" s="11" t="n">
        <f aca="false">IFERROR(AVERAGEIFS(Trades!$K$2:$K$543,Trades!$A$2:$A$543,A13,Trades!$B$2:$B$543,B13,Trades!$K$2:$K$543,"&gt;0"),0)</f>
        <v>232949.48</v>
      </c>
      <c r="K13" s="11" t="n">
        <f aca="false">IFERROR(AVERAGEIFS(Trades!$K$2:$K$543,Trades!$A$2:$A$543,A13,Trades!$B$2:$B$543,B13,Trades!$K$2:$K$543,"&lt;=0"),0)</f>
        <v>-178033.8</v>
      </c>
      <c r="L13" s="12" t="n">
        <f aca="false">IFERROR(SUMIFS(Trades!$K$2:$K$543,Trades!$A$2:$A$543,A13,Trades!$B$2:$B$543,B13,Trades!$K$2:$K$543,"&gt;0")/-SUMIFS(Trades!$K$2:$K$543,Trades!$A$2:$A$543,A13,Trades!$B$2:$B$543,B13,Trades!$K$2:$K$543,"&lt;=0"),"no losses")</f>
        <v>19.6268472615874</v>
      </c>
      <c r="M13" s="11" t="n">
        <f aca="false">_xlfn.MINIFS(Trades!$P$2:$P$543,Trades!$A$2:$A$543,A13,Trades!$B$2:$B$543,B13)</f>
        <v>-178033.8</v>
      </c>
      <c r="N13" s="10" t="n">
        <f aca="false">IFERROR(COUNTIF('Silver Monthly'!P$5:P$25,"&gt;0")/COUNTIF('Silver Monthly'!N$5:N$25,"&gt;0"),"")</f>
        <v>0.923076923076923</v>
      </c>
      <c r="O13" s="11" t="n">
        <f aca="false">MAX('Silver Monthly'!P$5:P$25)</f>
        <v>1529008.2</v>
      </c>
      <c r="P13" s="11" t="n">
        <f aca="false">MIN('Silver Monthly'!P$5:P$25)</f>
        <v>-148735.5</v>
      </c>
      <c r="Q13" s="13" t="n">
        <f aca="false">D13/COUNT('Silver Monthly'!$A$5:$A$25)</f>
        <v>0.761904761904762</v>
      </c>
    </row>
    <row r="14" customFormat="false" ht="15" hidden="false" customHeight="false" outlineLevel="0" collapsed="false">
      <c r="A14" s="7" t="s">
        <v>26</v>
      </c>
      <c r="B14" s="7" t="s">
        <v>35</v>
      </c>
      <c r="C14" s="8" t="s">
        <v>36</v>
      </c>
      <c r="D14" s="9" t="n">
        <f aca="false">COUNTIFS(Trades!$A$2:$A$543,A14,Trades!$B$2:$B$543,B14)</f>
        <v>55</v>
      </c>
      <c r="E14" s="9" t="n">
        <f aca="false">COUNTIFS(Trades!$A$2:$A$543,A14,Trades!$B$2:$B$543,B14,Trades!$M$2:$M$543,1)</f>
        <v>36</v>
      </c>
      <c r="F14" s="10" t="n">
        <f aca="false">IF(D14=0,"",E14/D14)</f>
        <v>0.654545454545455</v>
      </c>
      <c r="G14" s="11" t="n">
        <f aca="false">SUMIFS(Trades!$K$2:$K$543,Trades!$A$2:$A$543,A14,Trades!$B$2:$B$543,B14)</f>
        <v>5244862.2</v>
      </c>
      <c r="H14" s="11" t="n">
        <f aca="false">SUMIFS(Trades!$K$2:$K$543,Trades!$A$2:$A$543,A14,Trades!$B$2:$B$543,B14,Trades!$E$2:$E$543,"&gt;="&amp;DATE(2025,1,1),Trades!$E$2:$E$543,"&lt;"&amp;DATE(2026,1,1))</f>
        <v>2729003.7</v>
      </c>
      <c r="I14" s="11" t="n">
        <f aca="false">SUMIFS(Trades!$K$2:$K$543,Trades!$A$2:$A$543,A14,Trades!$B$2:$B$543,B14,Trades!$E$2:$E$543,"&gt;="&amp;DATE(2026,1,1))</f>
        <v>2515858.5</v>
      </c>
      <c r="J14" s="11" t="n">
        <f aca="false">IFERROR(AVERAGEIFS(Trades!$K$2:$K$543,Trades!$A$2:$A$543,A14,Trades!$B$2:$B$543,B14,Trades!$K$2:$K$543,"&gt;0"),0)</f>
        <v>220525.433333333</v>
      </c>
      <c r="K14" s="11" t="n">
        <f aca="false">IFERROR(AVERAGEIFS(Trades!$K$2:$K$543,Trades!$A$2:$A$543,A14,Trades!$B$2:$B$543,B14,Trades!$K$2:$K$543,"&lt;=0"),0)</f>
        <v>-141792.284210526</v>
      </c>
      <c r="L14" s="12" t="n">
        <f aca="false">IFERROR(SUMIFS(Trades!$K$2:$K$543,Trades!$A$2:$A$543,A14,Trades!$B$2:$B$543,B14,Trades!$K$2:$K$543,"&gt;0")/-SUMIFS(Trades!$K$2:$K$543,Trades!$A$2:$A$543,A14,Trades!$B$2:$B$543,B14,Trades!$K$2:$K$543,"&lt;=0"),"no losses")</f>
        <v>2.94682933901756</v>
      </c>
      <c r="M14" s="11" t="n">
        <f aca="false">_xlfn.MINIFS(Trades!$P$2:$P$543,Trades!$A$2:$A$543,A14,Trades!$B$2:$B$543,B14)</f>
        <v>-1133730.6</v>
      </c>
      <c r="N14" s="10" t="n">
        <f aca="false">IFERROR(COUNTIF('Silver Monthly'!T$5:T$25,"&gt;0")/COUNTIF('Silver Monthly'!R$5:R$25,"&gt;0"),"")</f>
        <v>0.55</v>
      </c>
      <c r="O14" s="11" t="n">
        <f aca="false">MAX('Silver Monthly'!T$5:T$25)</f>
        <v>3074079</v>
      </c>
      <c r="P14" s="11" t="n">
        <f aca="false">MIN('Silver Monthly'!T$5:T$25)</f>
        <v>-376678.5</v>
      </c>
      <c r="Q14" s="13" t="n">
        <f aca="false">D14/COUNT('Silver Monthly'!$A$5:$A$25)</f>
        <v>2.61904761904762</v>
      </c>
    </row>
    <row r="15" customFormat="false" ht="15" hidden="false" customHeight="false" outlineLevel="0" collapsed="false">
      <c r="A15" s="7" t="s">
        <v>26</v>
      </c>
      <c r="B15" s="7" t="s">
        <v>37</v>
      </c>
      <c r="C15" s="8" t="s">
        <v>38</v>
      </c>
      <c r="D15" s="9" t="n">
        <f aca="false">COUNTIFS(Trades!$A$2:$A$543,A15,Trades!$B$2:$B$543,B15)</f>
        <v>73</v>
      </c>
      <c r="E15" s="9" t="n">
        <f aca="false">COUNTIFS(Trades!$A$2:$A$543,A15,Trades!$B$2:$B$543,B15,Trades!$M$2:$M$543,1)</f>
        <v>52</v>
      </c>
      <c r="F15" s="10" t="n">
        <f aca="false">IF(D15=0,"",E15/D15)</f>
        <v>0.712328767123288</v>
      </c>
      <c r="G15" s="11" t="n">
        <f aca="false">SUMIFS(Trades!$K$2:$K$543,Trades!$A$2:$A$543,A15,Trades!$B$2:$B$543,B15)</f>
        <v>6679868.7</v>
      </c>
      <c r="H15" s="11" t="n">
        <f aca="false">SUMIFS(Trades!$K$2:$K$543,Trades!$A$2:$A$543,A15,Trades!$B$2:$B$543,B15,Trades!$E$2:$E$543,"&gt;="&amp;DATE(2025,1,1),Trades!$E$2:$E$543,"&lt;"&amp;DATE(2026,1,1))</f>
        <v>3000381.3</v>
      </c>
      <c r="I15" s="11" t="n">
        <f aca="false">SUMIFS(Trades!$K$2:$K$543,Trades!$A$2:$A$543,A15,Trades!$B$2:$B$543,B15,Trades!$E$2:$E$543,"&gt;="&amp;DATE(2026,1,1))</f>
        <v>3679487.4</v>
      </c>
      <c r="J15" s="11" t="n">
        <f aca="false">IFERROR(AVERAGEIFS(Trades!$K$2:$K$543,Trades!$A$2:$A$543,A15,Trades!$B$2:$B$543,B15,Trades!$K$2:$K$543,"&gt;0"),0)</f>
        <v>194114.151923077</v>
      </c>
      <c r="K15" s="11" t="n">
        <f aca="false">IFERROR(AVERAGEIFS(Trades!$K$2:$K$543,Trades!$A$2:$A$543,A15,Trades!$B$2:$B$543,B15,Trades!$K$2:$K$543,"&lt;=0"),0)</f>
        <v>-162574.628571429</v>
      </c>
      <c r="L15" s="12" t="n">
        <f aca="false">IFERROR(SUMIFS(Trades!$K$2:$K$543,Trades!$A$2:$A$543,A15,Trades!$B$2:$B$543,B15,Trades!$K$2:$K$543,"&gt;0")/-SUMIFS(Trades!$K$2:$K$543,Trades!$A$2:$A$543,A15,Trades!$B$2:$B$543,B15,Trades!$K$2:$K$543,"&lt;=0"),"no losses")</f>
        <v>2.95657212019728</v>
      </c>
      <c r="M15" s="11" t="n">
        <f aca="false">_xlfn.MINIFS(Trades!$P$2:$P$543,Trades!$A$2:$A$543,A15,Trades!$B$2:$B$543,B15)</f>
        <v>-1200000.3</v>
      </c>
      <c r="N15" s="10" t="n">
        <f aca="false">IFERROR(COUNTIF('Silver Monthly'!X$5:X$25,"&gt;0")/COUNTIF('Silver Monthly'!V$5:V$25,"&gt;0"),"")</f>
        <v>0.6</v>
      </c>
      <c r="O15" s="11" t="n">
        <f aca="false">MAX('Silver Monthly'!X$5:X$25)</f>
        <v>3048620.7</v>
      </c>
      <c r="P15" s="11" t="n">
        <f aca="false">MIN('Silver Monthly'!X$5:X$25)</f>
        <v>-776022</v>
      </c>
      <c r="Q15" s="13" t="n">
        <f aca="false">D15/COUNT('Silver Monthly'!$A$5:$A$25)</f>
        <v>3.47619047619048</v>
      </c>
    </row>
    <row r="16" customFormat="false" ht="15" hidden="false" customHeight="false" outlineLevel="0" collapsed="false">
      <c r="A16" s="7" t="s">
        <v>39</v>
      </c>
      <c r="B16" s="7" t="s">
        <v>27</v>
      </c>
      <c r="C16" s="8" t="s">
        <v>28</v>
      </c>
      <c r="D16" s="9" t="n">
        <f aca="false">COUNTIFS(Trades!$A$2:$A$543,A16,Trades!$B$2:$B$543,B16)</f>
        <v>59</v>
      </c>
      <c r="E16" s="9" t="n">
        <f aca="false">COUNTIFS(Trades!$A$2:$A$543,A16,Trades!$B$2:$B$543,B16,Trades!$M$2:$M$543,1)</f>
        <v>31</v>
      </c>
      <c r="F16" s="10" t="n">
        <f aca="false">IF(D16=0,"",E16/D16)</f>
        <v>0.525423728813559</v>
      </c>
      <c r="G16" s="11" t="n">
        <f aca="false">SUMIFS(Trades!$K$2:$K$543,Trades!$A$2:$A$543,A16,Trades!$B$2:$B$543,B16)</f>
        <v>9564695</v>
      </c>
      <c r="H16" s="11" t="n">
        <f aca="false">SUMIFS(Trades!$K$2:$K$543,Trades!$A$2:$A$543,A16,Trades!$B$2:$B$543,B16,Trades!$E$2:$E$543,"&gt;="&amp;DATE(2025,1,1),Trades!$E$2:$E$543,"&lt;"&amp;DATE(2026,1,1))</f>
        <v>4038831</v>
      </c>
      <c r="I16" s="11" t="n">
        <f aca="false">SUMIFS(Trades!$K$2:$K$543,Trades!$A$2:$A$543,A16,Trades!$B$2:$B$543,B16,Trades!$E$2:$E$543,"&gt;="&amp;DATE(2026,1,1))</f>
        <v>5525864</v>
      </c>
      <c r="J16" s="11" t="n">
        <f aca="false">IFERROR(AVERAGEIFS(Trades!$K$2:$K$543,Trades!$A$2:$A$543,A16,Trades!$B$2:$B$543,B16,Trades!$K$2:$K$543,"&gt;0"),0)</f>
        <v>482994.129032258</v>
      </c>
      <c r="K16" s="11" t="n">
        <f aca="false">IFERROR(AVERAGEIFS(Trades!$K$2:$K$543,Trades!$A$2:$A$543,A16,Trades!$B$2:$B$543,B16,Trades!$K$2:$K$543,"&lt;=0"),0)</f>
        <v>-193147.25</v>
      </c>
      <c r="L16" s="12" t="n">
        <f aca="false">IFERROR(SUMIFS(Trades!$K$2:$K$543,Trades!$A$2:$A$543,A16,Trades!$B$2:$B$543,B16,Trades!$K$2:$K$543,"&gt;0")/-SUMIFS(Trades!$K$2:$K$543,Trades!$A$2:$A$543,A16,Trades!$B$2:$B$543,B16,Trades!$K$2:$K$543,"&lt;=0"),"no losses")</f>
        <v>2.76857941285729</v>
      </c>
      <c r="M16" s="11" t="n">
        <f aca="false">_xlfn.MINIFS(Trades!$P$2:$P$543,Trades!$A$2:$A$543,A16,Trades!$B$2:$B$543,B16)</f>
        <v>-1112560</v>
      </c>
      <c r="N16" s="10" t="n">
        <f aca="false">IFERROR(COUNTIF('Gold Monthly'!D$5:D$25,"&gt;0")/COUNTIF('Gold Monthly'!B$5:B$25,"&gt;0"),"")</f>
        <v>0.75</v>
      </c>
      <c r="O16" s="11" t="n">
        <f aca="false">MAX('Gold Monthly'!D$5:D$25)</f>
        <v>2723501</v>
      </c>
      <c r="P16" s="11" t="n">
        <f aca="false">MIN('Gold Monthly'!D$5:D$25)</f>
        <v>-792407</v>
      </c>
      <c r="Q16" s="13" t="n">
        <f aca="false">D16/COUNT('Gold Monthly'!$A$5:$A$25)</f>
        <v>2.80952380952381</v>
      </c>
    </row>
    <row r="17" customFormat="false" ht="15" hidden="false" customHeight="false" outlineLevel="0" collapsed="false">
      <c r="A17" s="7" t="s">
        <v>39</v>
      </c>
      <c r="B17" s="7" t="s">
        <v>29</v>
      </c>
      <c r="C17" s="8" t="s">
        <v>30</v>
      </c>
      <c r="D17" s="9" t="n">
        <f aca="false">COUNTIFS(Trades!$A$2:$A$543,A17,Trades!$B$2:$B$543,B17)</f>
        <v>28</v>
      </c>
      <c r="E17" s="9" t="n">
        <f aca="false">COUNTIFS(Trades!$A$2:$A$543,A17,Trades!$B$2:$B$543,B17,Trades!$M$2:$M$543,1)</f>
        <v>18</v>
      </c>
      <c r="F17" s="10" t="n">
        <f aca="false">IF(D17=0,"",E17/D17)</f>
        <v>0.642857142857143</v>
      </c>
      <c r="G17" s="11" t="n">
        <f aca="false">SUMIFS(Trades!$K$2:$K$543,Trades!$A$2:$A$543,A17,Trades!$B$2:$B$543,B17)</f>
        <v>7134101</v>
      </c>
      <c r="H17" s="11" t="n">
        <f aca="false">SUMIFS(Trades!$K$2:$K$543,Trades!$A$2:$A$543,A17,Trades!$B$2:$B$543,B17,Trades!$E$2:$E$543,"&gt;="&amp;DATE(2025,1,1),Trades!$E$2:$E$543,"&lt;"&amp;DATE(2026,1,1))</f>
        <v>4042473</v>
      </c>
      <c r="I17" s="11" t="n">
        <f aca="false">SUMIFS(Trades!$K$2:$K$543,Trades!$A$2:$A$543,A17,Trades!$B$2:$B$543,B17,Trades!$E$2:$E$543,"&gt;="&amp;DATE(2026,1,1))</f>
        <v>3091628</v>
      </c>
      <c r="J17" s="11" t="n">
        <f aca="false">IFERROR(AVERAGEIFS(Trades!$K$2:$K$543,Trades!$A$2:$A$543,A17,Trades!$B$2:$B$543,B17,Trades!$K$2:$K$543,"&gt;0"),0)</f>
        <v>495598.555555556</v>
      </c>
      <c r="K17" s="11" t="n">
        <f aca="false">IFERROR(AVERAGEIFS(Trades!$K$2:$K$543,Trades!$A$2:$A$543,A17,Trades!$B$2:$B$543,B17,Trades!$K$2:$K$543,"&lt;=0"),0)</f>
        <v>-178667.3</v>
      </c>
      <c r="L17" s="12" t="n">
        <f aca="false">IFERROR(SUMIFS(Trades!$K$2:$K$543,Trades!$A$2:$A$543,A17,Trades!$B$2:$B$543,B17,Trades!$K$2:$K$543,"&gt;0")/-SUMIFS(Trades!$K$2:$K$543,Trades!$A$2:$A$543,A17,Trades!$B$2:$B$543,B17,Trades!$K$2:$K$543,"&lt;=0"),"no losses")</f>
        <v>4.99295282348813</v>
      </c>
      <c r="M17" s="11" t="n">
        <f aca="false">_xlfn.MINIFS(Trades!$P$2:$P$543,Trades!$A$2:$A$543,A17,Trades!$B$2:$B$543,B17)</f>
        <v>-770980</v>
      </c>
      <c r="N17" s="10" t="n">
        <f aca="false">IFERROR(COUNTIF('Gold Monthly'!H$5:H$25,"&gt;0")/COUNTIF('Gold Monthly'!F$5:F$25,"&gt;0"),"")</f>
        <v>0.705882352941177</v>
      </c>
      <c r="O17" s="11" t="n">
        <f aca="false">MAX('Gold Monthly'!H$5:H$25)</f>
        <v>1995214</v>
      </c>
      <c r="P17" s="11" t="n">
        <f aca="false">MIN('Gold Monthly'!H$5:H$25)</f>
        <v>-762014</v>
      </c>
      <c r="Q17" s="13" t="n">
        <f aca="false">D17/COUNT('Gold Monthly'!$A$5:$A$25)</f>
        <v>1.33333333333333</v>
      </c>
    </row>
    <row r="18" customFormat="false" ht="15" hidden="false" customHeight="false" outlineLevel="0" collapsed="false">
      <c r="A18" s="14" t="s">
        <v>39</v>
      </c>
      <c r="B18" s="14" t="s">
        <v>31</v>
      </c>
      <c r="C18" s="15" t="s">
        <v>32</v>
      </c>
      <c r="D18" s="16" t="n">
        <f aca="false">COUNTIFS(Trades!$A$2:$A$543,A18,Trades!$B$2:$B$543,B18)</f>
        <v>28</v>
      </c>
      <c r="E18" s="16" t="n">
        <f aca="false">COUNTIFS(Trades!$A$2:$A$543,A18,Trades!$B$2:$B$543,B18,Trades!$M$2:$M$543,1)</f>
        <v>23</v>
      </c>
      <c r="F18" s="17" t="n">
        <f aca="false">IF(D18=0,"",E18/D18)</f>
        <v>0.821428571428571</v>
      </c>
      <c r="G18" s="18" t="n">
        <f aca="false">SUMIFS(Trades!$K$2:$K$543,Trades!$A$2:$A$543,A18,Trades!$B$2:$B$543,B18)</f>
        <v>5560961</v>
      </c>
      <c r="H18" s="18" t="n">
        <f aca="false">SUMIFS(Trades!$K$2:$K$543,Trades!$A$2:$A$543,A18,Trades!$B$2:$B$543,B18,Trades!$E$2:$E$543,"&gt;="&amp;DATE(2025,1,1),Trades!$E$2:$E$543,"&lt;"&amp;DATE(2026,1,1))</f>
        <v>4313633</v>
      </c>
      <c r="I18" s="18" t="n">
        <f aca="false">SUMIFS(Trades!$K$2:$K$543,Trades!$A$2:$A$543,A18,Trades!$B$2:$B$543,B18,Trades!$E$2:$E$543,"&gt;="&amp;DATE(2026,1,1))</f>
        <v>1247328</v>
      </c>
      <c r="J18" s="18" t="n">
        <f aca="false">IFERROR(AVERAGEIFS(Trades!$K$2:$K$543,Trades!$A$2:$A$543,A18,Trades!$B$2:$B$543,B18,Trades!$K$2:$K$543,"&gt;0"),0)</f>
        <v>307792.608695652</v>
      </c>
      <c r="K18" s="18" t="n">
        <f aca="false">IFERROR(AVERAGEIFS(Trades!$K$2:$K$543,Trades!$A$2:$A$543,A18,Trades!$B$2:$B$543,B18,Trades!$K$2:$K$543,"&lt;=0"),0)</f>
        <v>-303653.8</v>
      </c>
      <c r="L18" s="19" t="n">
        <f aca="false">IFERROR(SUMIFS(Trades!$K$2:$K$543,Trades!$A$2:$A$543,A18,Trades!$B$2:$B$543,B18,Trades!$K$2:$K$543,"&gt;0")/-SUMIFS(Trades!$K$2:$K$543,Trades!$A$2:$A$543,A18,Trades!$B$2:$B$543,B18,Trades!$K$2:$K$543,"&lt;=0"),"no losses")</f>
        <v>4.66269811212638</v>
      </c>
      <c r="M18" s="18" t="n">
        <f aca="false">_xlfn.MINIFS(Trades!$P$2:$P$543,Trades!$A$2:$A$543,A18,Trades!$B$2:$B$543,B18)</f>
        <v>-762014</v>
      </c>
      <c r="N18" s="17" t="n">
        <f aca="false">IFERROR(COUNTIF('Gold Monthly'!L$5:L$25,"&gt;0")/COUNTIF('Gold Monthly'!J$5:J$25,"&gt;0"),"")</f>
        <v>0.764705882352941</v>
      </c>
      <c r="O18" s="18" t="n">
        <f aca="false">MAX('Gold Monthly'!L$5:L$25)</f>
        <v>1298355</v>
      </c>
      <c r="P18" s="18" t="n">
        <f aca="false">MIN('Gold Monthly'!L$5:L$25)</f>
        <v>-762014</v>
      </c>
      <c r="Q18" s="20" t="n">
        <f aca="false">D18/COUNT('Gold Monthly'!$A$5:$A$25)</f>
        <v>1.33333333333333</v>
      </c>
    </row>
    <row r="19" customFormat="false" ht="15" hidden="false" customHeight="false" outlineLevel="0" collapsed="false">
      <c r="A19" s="7" t="s">
        <v>39</v>
      </c>
      <c r="B19" s="7" t="s">
        <v>33</v>
      </c>
      <c r="C19" s="8" t="s">
        <v>34</v>
      </c>
      <c r="D19" s="9" t="n">
        <f aca="false">COUNTIFS(Trades!$A$2:$A$543,A19,Trades!$B$2:$B$543,B19)</f>
        <v>18</v>
      </c>
      <c r="E19" s="9" t="n">
        <f aca="false">COUNTIFS(Trades!$A$2:$A$543,A19,Trades!$B$2:$B$543,B19,Trades!$M$2:$M$543,1)</f>
        <v>16</v>
      </c>
      <c r="F19" s="10" t="n">
        <f aca="false">IF(D19=0,"",E19/D19)</f>
        <v>0.888888888888889</v>
      </c>
      <c r="G19" s="11" t="n">
        <f aca="false">SUMIFS(Trades!$K$2:$K$543,Trades!$A$2:$A$543,A19,Trades!$B$2:$B$543,B19)</f>
        <v>4234572</v>
      </c>
      <c r="H19" s="11" t="n">
        <f aca="false">SUMIFS(Trades!$K$2:$K$543,Trades!$A$2:$A$543,A19,Trades!$B$2:$B$543,B19,Trades!$E$2:$E$543,"&gt;="&amp;DATE(2025,1,1),Trades!$E$2:$E$543,"&lt;"&amp;DATE(2026,1,1))</f>
        <v>2135607</v>
      </c>
      <c r="I19" s="11" t="n">
        <f aca="false">SUMIFS(Trades!$K$2:$K$543,Trades!$A$2:$A$543,A19,Trades!$B$2:$B$543,B19,Trades!$E$2:$E$543,"&gt;="&amp;DATE(2026,1,1))</f>
        <v>2098965</v>
      </c>
      <c r="J19" s="11" t="n">
        <f aca="false">IFERROR(AVERAGEIFS(Trades!$K$2:$K$543,Trades!$A$2:$A$543,A19,Trades!$B$2:$B$543,B19,Trades!$K$2:$K$543,"&gt;0"),0)</f>
        <v>290415.375</v>
      </c>
      <c r="K19" s="11" t="n">
        <f aca="false">IFERROR(AVERAGEIFS(Trades!$K$2:$K$543,Trades!$A$2:$A$543,A19,Trades!$B$2:$B$543,B19,Trades!$K$2:$K$543,"&lt;=0"),0)</f>
        <v>-206037</v>
      </c>
      <c r="L19" s="12" t="n">
        <f aca="false">IFERROR(SUMIFS(Trades!$K$2:$K$543,Trades!$A$2:$A$543,A19,Trades!$B$2:$B$543,B19,Trades!$K$2:$K$543,"&gt;0")/-SUMIFS(Trades!$K$2:$K$543,Trades!$A$2:$A$543,A19,Trades!$B$2:$B$543,B19,Trades!$K$2:$K$543,"&lt;=0"),"no losses")</f>
        <v>11.276241645918</v>
      </c>
      <c r="M19" s="11" t="n">
        <f aca="false">_xlfn.MINIFS(Trades!$P$2:$P$543,Trades!$A$2:$A$543,A19,Trades!$B$2:$B$543,B19)</f>
        <v>-295056</v>
      </c>
      <c r="N19" s="10" t="n">
        <f aca="false">IFERROR(COUNTIF('Gold Monthly'!P$5:P$25,"&gt;0")/COUNTIF('Gold Monthly'!N$5:N$25,"&gt;0"),"")</f>
        <v>0.857142857142857</v>
      </c>
      <c r="O19" s="11" t="n">
        <f aca="false">MAX('Gold Monthly'!P$5:P$25)</f>
        <v>1097317</v>
      </c>
      <c r="P19" s="11" t="n">
        <f aca="false">MIN('Gold Monthly'!P$5:P$25)</f>
        <v>-295056</v>
      </c>
      <c r="Q19" s="13" t="n">
        <f aca="false">D19/COUNT('Gold Monthly'!$A$5:$A$25)</f>
        <v>0.857142857142857</v>
      </c>
    </row>
    <row r="20" customFormat="false" ht="15" hidden="false" customHeight="false" outlineLevel="0" collapsed="false">
      <c r="A20" s="7" t="s">
        <v>39</v>
      </c>
      <c r="B20" s="7" t="s">
        <v>35</v>
      </c>
      <c r="C20" s="8" t="s">
        <v>36</v>
      </c>
      <c r="D20" s="9" t="n">
        <f aca="false">COUNTIFS(Trades!$A$2:$A$543,A20,Trades!$B$2:$B$543,B20)</f>
        <v>57</v>
      </c>
      <c r="E20" s="9" t="n">
        <f aca="false">COUNTIFS(Trades!$A$2:$A$543,A20,Trades!$B$2:$B$543,B20,Trades!$M$2:$M$543,1)</f>
        <v>40</v>
      </c>
      <c r="F20" s="10" t="n">
        <f aca="false">IF(D20=0,"",E20/D20)</f>
        <v>0.701754385964912</v>
      </c>
      <c r="G20" s="11" t="n">
        <f aca="false">SUMIFS(Trades!$K$2:$K$543,Trades!$A$2:$A$543,A20,Trades!$B$2:$B$543,B20)</f>
        <v>3186182</v>
      </c>
      <c r="H20" s="11" t="n">
        <f aca="false">SUMIFS(Trades!$K$2:$K$543,Trades!$A$2:$A$543,A20,Trades!$B$2:$B$543,B20,Trades!$E$2:$E$543,"&gt;="&amp;DATE(2025,1,1),Trades!$E$2:$E$543,"&lt;"&amp;DATE(2026,1,1))</f>
        <v>2086070</v>
      </c>
      <c r="I20" s="11" t="n">
        <f aca="false">SUMIFS(Trades!$K$2:$K$543,Trades!$A$2:$A$543,A20,Trades!$B$2:$B$543,B20,Trades!$E$2:$E$543,"&gt;="&amp;DATE(2026,1,1))</f>
        <v>1100112</v>
      </c>
      <c r="J20" s="11" t="n">
        <f aca="false">IFERROR(AVERAGEIFS(Trades!$K$2:$K$543,Trades!$A$2:$A$543,A20,Trades!$B$2:$B$543,B20,Trades!$K$2:$K$543,"&gt;0"),0)</f>
        <v>175023.375</v>
      </c>
      <c r="K20" s="11" t="n">
        <f aca="false">IFERROR(AVERAGEIFS(Trades!$K$2:$K$543,Trades!$A$2:$A$543,A20,Trades!$B$2:$B$543,B20,Trades!$K$2:$K$543,"&lt;=0"),0)</f>
        <v>-224397.235294118</v>
      </c>
      <c r="L20" s="12" t="n">
        <f aca="false">IFERROR(SUMIFS(Trades!$K$2:$K$543,Trades!$A$2:$A$543,A20,Trades!$B$2:$B$543,B20,Trades!$K$2:$K$543,"&gt;0")/-SUMIFS(Trades!$K$2:$K$543,Trades!$A$2:$A$543,A20,Trades!$B$2:$B$543,B20,Trades!$K$2:$K$543,"&lt;=0"),"no losses")</f>
        <v>1.83522629119107</v>
      </c>
      <c r="M20" s="11" t="n">
        <f aca="false">_xlfn.MINIFS(Trades!$P$2:$P$543,Trades!$A$2:$A$543,A20,Trades!$B$2:$B$543,B20)</f>
        <v>-1267242</v>
      </c>
      <c r="N20" s="10" t="n">
        <f aca="false">IFERROR(COUNTIF('Gold Monthly'!T$5:T$25,"&gt;0")/COUNTIF('Gold Monthly'!R$5:R$25,"&gt;0"),"")</f>
        <v>0.65</v>
      </c>
      <c r="O20" s="11" t="n">
        <f aca="false">MAX('Gold Monthly'!T$5:T$25)</f>
        <v>1624917</v>
      </c>
      <c r="P20" s="11" t="n">
        <f aca="false">MIN('Gold Monthly'!T$5:T$25)</f>
        <v>-350577</v>
      </c>
      <c r="Q20" s="13" t="n">
        <f aca="false">D20/COUNT('Gold Monthly'!$A$5:$A$25)</f>
        <v>2.71428571428571</v>
      </c>
    </row>
    <row r="21" customFormat="false" ht="15" hidden="false" customHeight="false" outlineLevel="0" collapsed="false">
      <c r="A21" s="7" t="s">
        <v>39</v>
      </c>
      <c r="B21" s="7" t="s">
        <v>37</v>
      </c>
      <c r="C21" s="8" t="s">
        <v>38</v>
      </c>
      <c r="D21" s="9" t="n">
        <f aca="false">COUNTIFS(Trades!$A$2:$A$543,A21,Trades!$B$2:$B$543,B21)</f>
        <v>75</v>
      </c>
      <c r="E21" s="9" t="n">
        <f aca="false">COUNTIFS(Trades!$A$2:$A$543,A21,Trades!$B$2:$B$543,B21,Trades!$M$2:$M$543,1)</f>
        <v>50</v>
      </c>
      <c r="F21" s="10" t="n">
        <f aca="false">IF(D21=0,"",E21/D21)</f>
        <v>0.666666666666667</v>
      </c>
      <c r="G21" s="11" t="n">
        <f aca="false">SUMIFS(Trades!$K$2:$K$543,Trades!$A$2:$A$543,A21,Trades!$B$2:$B$543,B21)</f>
        <v>4137634</v>
      </c>
      <c r="H21" s="11" t="n">
        <f aca="false">SUMIFS(Trades!$K$2:$K$543,Trades!$A$2:$A$543,A21,Trades!$B$2:$B$543,B21,Trades!$E$2:$E$543,"&gt;="&amp;DATE(2025,1,1),Trades!$E$2:$E$543,"&lt;"&amp;DATE(2026,1,1))</f>
        <v>3290310</v>
      </c>
      <c r="I21" s="11" t="n">
        <f aca="false">SUMIFS(Trades!$K$2:$K$543,Trades!$A$2:$A$543,A21,Trades!$B$2:$B$543,B21,Trades!$E$2:$E$543,"&gt;="&amp;DATE(2026,1,1))</f>
        <v>847324</v>
      </c>
      <c r="J21" s="11" t="n">
        <f aca="false">IFERROR(AVERAGEIFS(Trades!$K$2:$K$543,Trades!$A$2:$A$543,A21,Trades!$B$2:$B$543,B21,Trades!$K$2:$K$543,"&gt;0"),0)</f>
        <v>212244.7</v>
      </c>
      <c r="K21" s="11" t="n">
        <f aca="false">IFERROR(AVERAGEIFS(Trades!$K$2:$K$543,Trades!$A$2:$A$543,A21,Trades!$B$2:$B$543,B21,Trades!$K$2:$K$543,"&lt;=0"),0)</f>
        <v>-258984.04</v>
      </c>
      <c r="L21" s="12" t="n">
        <f aca="false">IFERROR(SUMIFS(Trades!$K$2:$K$543,Trades!$A$2:$A$543,A21,Trades!$B$2:$B$543,B21,Trades!$K$2:$K$543,"&gt;0")/-SUMIFS(Trades!$K$2:$K$543,Trades!$A$2:$A$543,A21,Trades!$B$2:$B$543,B21,Trades!$K$2:$K$543,"&lt;=0"),"no losses")</f>
        <v>1.63905621365703</v>
      </c>
      <c r="M21" s="11" t="n">
        <f aca="false">_xlfn.MINIFS(Trades!$P$2:$P$543,Trades!$A$2:$A$543,A21,Trades!$B$2:$B$543,B21)</f>
        <v>-2147882</v>
      </c>
      <c r="N21" s="10" t="n">
        <f aca="false">IFERROR(COUNTIF('Gold Monthly'!X$5:X$25,"&gt;0")/COUNTIF('Gold Monthly'!V$5:V$25,"&gt;0"),"")</f>
        <v>0.75</v>
      </c>
      <c r="O21" s="11" t="n">
        <f aca="false">MAX('Gold Monthly'!X$5:X$25)</f>
        <v>1588734</v>
      </c>
      <c r="P21" s="11" t="n">
        <f aca="false">MIN('Gold Monthly'!X$5:X$25)</f>
        <v>-2147882</v>
      </c>
      <c r="Q21" s="13" t="n">
        <f aca="false">D21/COUNT('Gold Monthly'!$A$5:$A$25)</f>
        <v>3.57142857142857</v>
      </c>
    </row>
    <row r="23" customFormat="false" ht="15" hidden="false" customHeight="false" outlineLevel="0" collapsed="false">
      <c r="A23" s="5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5"/>
    <col collapsed="false" customWidth="true" hidden="false" outlineLevel="0" max="16" min="15" style="0" width="13"/>
  </cols>
  <sheetData>
    <row r="1" customFormat="false" ht="42" hidden="false" customHeight="true" outlineLevel="0" collapsed="false">
      <c r="A1" s="6" t="s">
        <v>9</v>
      </c>
      <c r="B1" s="6" t="s">
        <v>10</v>
      </c>
      <c r="C1" s="6" t="s">
        <v>41</v>
      </c>
      <c r="D1" s="6" t="s">
        <v>42</v>
      </c>
      <c r="E1" s="6" t="s">
        <v>43</v>
      </c>
      <c r="F1" s="6" t="s">
        <v>44</v>
      </c>
      <c r="G1" s="6" t="s">
        <v>45</v>
      </c>
      <c r="H1" s="6" t="s">
        <v>46</v>
      </c>
      <c r="I1" s="6" t="s">
        <v>47</v>
      </c>
      <c r="J1" s="6" t="s">
        <v>48</v>
      </c>
      <c r="K1" s="6" t="s">
        <v>15</v>
      </c>
      <c r="L1" s="6" t="s">
        <v>49</v>
      </c>
      <c r="M1" s="6" t="s">
        <v>50</v>
      </c>
      <c r="N1" s="6" t="s">
        <v>51</v>
      </c>
      <c r="O1" s="6" t="s">
        <v>52</v>
      </c>
      <c r="P1" s="6" t="s">
        <v>53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54</v>
      </c>
      <c r="D2" s="21" t="n">
        <v>45663.7083333333</v>
      </c>
      <c r="E2" s="21" t="n">
        <v>45680.7916666667</v>
      </c>
      <c r="F2" s="22" t="n">
        <f aca="false">DATE(YEAR(E2),MONTH(E2),1)</f>
        <v>45658</v>
      </c>
      <c r="G2" s="23" t="n">
        <v>129941</v>
      </c>
      <c r="H2" s="8" t="s">
        <v>55</v>
      </c>
      <c r="I2" s="24" t="n">
        <v>-502.14</v>
      </c>
      <c r="J2" s="25" t="n">
        <f aca="false">Summary!$B$4</f>
        <v>1</v>
      </c>
      <c r="K2" s="11" t="n">
        <f aca="false">I2*J2*IF(A2="SILVER",Summary!$B$5,Summary!$B$6)</f>
        <v>-15064.2</v>
      </c>
      <c r="L2" s="26" t="n">
        <v>-0.175</v>
      </c>
      <c r="M2" s="27" t="n">
        <f aca="false">IF(K2&gt;0,1,0)</f>
        <v>0</v>
      </c>
      <c r="N2" s="11" t="n">
        <f aca="false">SUMIFS(K$2:K2,A$2:A2,A2,B$2:B2,B2)</f>
        <v>-15064.2</v>
      </c>
      <c r="O2" s="11" t="n">
        <f aca="false">MAX(0,_xlfn.MAXIFS(N$2:N2,A$2:A2,A2,B$2:B2,B2))</f>
        <v>0</v>
      </c>
      <c r="P2" s="11" t="n">
        <f aca="false">N2-O2</f>
        <v>-15064.2</v>
      </c>
    </row>
    <row r="3" customFormat="false" ht="15" hidden="false" customHeight="false" outlineLevel="0" collapsed="false">
      <c r="A3" s="8" t="s">
        <v>26</v>
      </c>
      <c r="B3" s="8" t="s">
        <v>27</v>
      </c>
      <c r="C3" s="8" t="s">
        <v>56</v>
      </c>
      <c r="D3" s="21" t="n">
        <v>45680.7916666667</v>
      </c>
      <c r="E3" s="21" t="n">
        <v>45687.5416666667</v>
      </c>
      <c r="F3" s="22" t="n">
        <f aca="false">DATE(YEAR(E3),MONTH(E3),1)</f>
        <v>45658</v>
      </c>
      <c r="G3" s="23" t="n">
        <v>129467</v>
      </c>
      <c r="H3" s="8" t="s">
        <v>55</v>
      </c>
      <c r="I3" s="24" t="n">
        <v>-2145.3</v>
      </c>
      <c r="J3" s="25" t="n">
        <f aca="false">Summary!$B$4</f>
        <v>1</v>
      </c>
      <c r="K3" s="11" t="n">
        <f aca="false">I3*J3*IF(A3="SILVER",Summary!$B$5,Summary!$B$6)</f>
        <v>-64359</v>
      </c>
      <c r="L3" s="26" t="n">
        <v>-0.895</v>
      </c>
      <c r="M3" s="27" t="n">
        <f aca="false">IF(K3&gt;0,1,0)</f>
        <v>0</v>
      </c>
      <c r="N3" s="11" t="n">
        <f aca="false">SUMIFS(K$2:K3,A$2:A3,A3,B$2:B3,B3)</f>
        <v>-79423.2</v>
      </c>
      <c r="O3" s="11" t="n">
        <f aca="false">MAX(0,_xlfn.MAXIFS(N$2:N3,A$2:A3,A3,B$2:B3,B3))</f>
        <v>0</v>
      </c>
      <c r="P3" s="11" t="n">
        <f aca="false">N3-O3</f>
        <v>-79423.2</v>
      </c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54</v>
      </c>
      <c r="D4" s="21" t="n">
        <v>45687.5416666667</v>
      </c>
      <c r="E4" s="21" t="n">
        <v>45699.7916666667</v>
      </c>
      <c r="F4" s="22" t="n">
        <f aca="false">DATE(YEAR(E4),MONTH(E4),1)</f>
        <v>45689</v>
      </c>
      <c r="G4" s="23" t="n">
        <v>131584</v>
      </c>
      <c r="H4" s="8" t="s">
        <v>55</v>
      </c>
      <c r="I4" s="24" t="n">
        <v>730.41</v>
      </c>
      <c r="J4" s="25" t="n">
        <f aca="false">Summary!$B$4</f>
        <v>1</v>
      </c>
      <c r="K4" s="11" t="n">
        <f aca="false">I4*J4*IF(A4="SILVER",Summary!$B$5,Summary!$B$6)</f>
        <v>21912.3</v>
      </c>
      <c r="L4" s="26" t="n">
        <v>0.309</v>
      </c>
      <c r="M4" s="27" t="n">
        <f aca="false">IF(K4&gt;0,1,0)</f>
        <v>1</v>
      </c>
      <c r="N4" s="11" t="n">
        <f aca="false">SUMIFS(K$2:K4,A$2:A4,A4,B$2:B4,B4)</f>
        <v>-57510.9</v>
      </c>
      <c r="O4" s="11" t="n">
        <f aca="false">MAX(0,_xlfn.MAXIFS(N$2:N4,A$2:A4,A4,B$2:B4,B4))</f>
        <v>0</v>
      </c>
      <c r="P4" s="11" t="n">
        <f aca="false">N4-O4</f>
        <v>-57510.9</v>
      </c>
    </row>
    <row r="5" customFormat="false" ht="15" hidden="false" customHeight="false" outlineLevel="0" collapsed="false">
      <c r="A5" s="8" t="s">
        <v>26</v>
      </c>
      <c r="B5" s="8" t="s">
        <v>27</v>
      </c>
      <c r="C5" s="8" t="s">
        <v>56</v>
      </c>
      <c r="D5" s="21" t="n">
        <v>45699.7916666667</v>
      </c>
      <c r="E5" s="21" t="n">
        <v>45702.4166666667</v>
      </c>
      <c r="F5" s="22" t="n">
        <f aca="false">DATE(YEAR(E5),MONTH(E5),1)</f>
        <v>45689</v>
      </c>
      <c r="G5" s="23" t="n">
        <v>132343</v>
      </c>
      <c r="H5" s="8" t="s">
        <v>55</v>
      </c>
      <c r="I5" s="24" t="n">
        <v>-3073.97</v>
      </c>
      <c r="J5" s="25" t="n">
        <f aca="false">Summary!$B$4</f>
        <v>1</v>
      </c>
      <c r="K5" s="11" t="n">
        <f aca="false">I5*J5*IF(A5="SILVER",Summary!$B$5,Summary!$B$6)</f>
        <v>-92219.1</v>
      </c>
      <c r="L5" s="26" t="n">
        <v>-1.128</v>
      </c>
      <c r="M5" s="27" t="n">
        <f aca="false">IF(K5&gt;0,1,0)</f>
        <v>0</v>
      </c>
      <c r="N5" s="11" t="n">
        <f aca="false">SUMIFS(K$2:K5,A$2:A5,A5,B$2:B5,B5)</f>
        <v>-149730</v>
      </c>
      <c r="O5" s="11" t="n">
        <f aca="false">MAX(0,_xlfn.MAXIFS(N$2:N5,A$2:A5,A5,B$2:B5,B5))</f>
        <v>0</v>
      </c>
      <c r="P5" s="11" t="n">
        <f aca="false">N5-O5</f>
        <v>-149730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s">
        <v>54</v>
      </c>
      <c r="D6" s="21" t="n">
        <v>45702.4166666667</v>
      </c>
      <c r="E6" s="21" t="n">
        <v>45702.9166666667</v>
      </c>
      <c r="F6" s="22" t="n">
        <f aca="false">DATE(YEAR(E6),MONTH(E6),1)</f>
        <v>45689</v>
      </c>
      <c r="G6" s="23" t="n">
        <v>135388</v>
      </c>
      <c r="H6" s="8" t="s">
        <v>55</v>
      </c>
      <c r="I6" s="24" t="n">
        <v>-785.2</v>
      </c>
      <c r="J6" s="25" t="n">
        <f aca="false">Summary!$B$4</f>
        <v>1</v>
      </c>
      <c r="K6" s="11" t="n">
        <f aca="false">I6*J6*IF(A6="SILVER",Summary!$B$5,Summary!$B$6)</f>
        <v>-23556</v>
      </c>
      <c r="L6" s="26" t="n">
        <v>-0.286</v>
      </c>
      <c r="M6" s="27" t="n">
        <f aca="false">IF(K6&gt;0,1,0)</f>
        <v>0</v>
      </c>
      <c r="N6" s="11" t="n">
        <f aca="false">SUMIFS(K$2:K6,A$2:A6,A6,B$2:B6,B6)</f>
        <v>-173286</v>
      </c>
      <c r="O6" s="11" t="n">
        <f aca="false">MAX(0,_xlfn.MAXIFS(N$2:N6,A$2:A6,A6,B$2:B6,B6))</f>
        <v>0</v>
      </c>
      <c r="P6" s="11" t="n">
        <f aca="false">N6-O6</f>
        <v>-173286</v>
      </c>
    </row>
    <row r="7" customFormat="false" ht="15" hidden="false" customHeight="false" outlineLevel="0" collapsed="false">
      <c r="A7" s="8" t="s">
        <v>26</v>
      </c>
      <c r="B7" s="8" t="s">
        <v>27</v>
      </c>
      <c r="C7" s="8" t="s">
        <v>56</v>
      </c>
      <c r="D7" s="21" t="n">
        <v>45702.9166666667</v>
      </c>
      <c r="E7" s="21" t="n">
        <v>45721.4631944444</v>
      </c>
      <c r="F7" s="22" t="n">
        <f aca="false">DATE(YEAR(E7),MONTH(E7),1)</f>
        <v>45717</v>
      </c>
      <c r="G7" s="23" t="n">
        <v>134632</v>
      </c>
      <c r="H7" s="8" t="s">
        <v>55</v>
      </c>
      <c r="I7" s="24" t="n">
        <v>430.92</v>
      </c>
      <c r="J7" s="25" t="n">
        <f aca="false">Summary!$B$4</f>
        <v>1</v>
      </c>
      <c r="K7" s="11" t="n">
        <f aca="false">I7*J7*IF(A7="SILVER",Summary!$B$5,Summary!$B$6)</f>
        <v>12927.6</v>
      </c>
      <c r="L7" s="26" t="n">
        <v>0.136</v>
      </c>
      <c r="M7" s="27" t="n">
        <f aca="false">IF(K7&gt;0,1,0)</f>
        <v>1</v>
      </c>
      <c r="N7" s="11" t="n">
        <f aca="false">SUMIFS(K$2:K7,A$2:A7,A7,B$2:B7,B7)</f>
        <v>-160358.4</v>
      </c>
      <c r="O7" s="11" t="n">
        <f aca="false">MAX(0,_xlfn.MAXIFS(N$2:N7,A$2:A7,A7,B$2:B7,B7))</f>
        <v>0</v>
      </c>
      <c r="P7" s="11" t="n">
        <f aca="false">N7-O7</f>
        <v>-160358.4</v>
      </c>
    </row>
    <row r="8" customFormat="false" ht="15" hidden="false" customHeight="false" outlineLevel="0" collapsed="false">
      <c r="A8" s="8" t="s">
        <v>26</v>
      </c>
      <c r="B8" s="8" t="s">
        <v>27</v>
      </c>
      <c r="C8" s="8" t="s">
        <v>54</v>
      </c>
      <c r="D8" s="21" t="n">
        <v>45721.4631944444</v>
      </c>
      <c r="E8" s="21" t="n">
        <v>45736.6666666667</v>
      </c>
      <c r="F8" s="22" t="n">
        <f aca="false">DATE(YEAR(E8),MONTH(E8),1)</f>
        <v>45717</v>
      </c>
      <c r="G8" s="23" t="n">
        <v>134172</v>
      </c>
      <c r="H8" s="8" t="s">
        <v>55</v>
      </c>
      <c r="I8" s="24" t="n">
        <v>1719.77</v>
      </c>
      <c r="J8" s="25" t="n">
        <f aca="false">Summary!$B$4</f>
        <v>1</v>
      </c>
      <c r="K8" s="11" t="n">
        <f aca="false">I8*J8*IF(A8="SILVER",Summary!$B$5,Summary!$B$6)</f>
        <v>51593.1</v>
      </c>
      <c r="L8" s="26" t="n">
        <v>0.885</v>
      </c>
      <c r="M8" s="27" t="n">
        <f aca="false">IF(K8&gt;0,1,0)</f>
        <v>1</v>
      </c>
      <c r="N8" s="11" t="n">
        <f aca="false">SUMIFS(K$2:K8,A$2:A8,A8,B$2:B8,B8)</f>
        <v>-108765.3</v>
      </c>
      <c r="O8" s="11" t="n">
        <f aca="false">MAX(0,_xlfn.MAXIFS(N$2:N8,A$2:A8,A8,B$2:B8,B8))</f>
        <v>0</v>
      </c>
      <c r="P8" s="11" t="n">
        <f aca="false">N8-O8</f>
        <v>-108765.3</v>
      </c>
    </row>
    <row r="9" customFormat="false" ht="15" hidden="false" customHeight="false" outlineLevel="0" collapsed="false">
      <c r="A9" s="8" t="s">
        <v>26</v>
      </c>
      <c r="B9" s="8" t="s">
        <v>27</v>
      </c>
      <c r="C9" s="8" t="s">
        <v>56</v>
      </c>
      <c r="D9" s="21" t="n">
        <v>45736.6666666667</v>
      </c>
      <c r="E9" s="21" t="n">
        <v>45742.5</v>
      </c>
      <c r="F9" s="22" t="n">
        <f aca="false">DATE(YEAR(E9),MONTH(E9),1)</f>
        <v>45717</v>
      </c>
      <c r="G9" s="23" t="n">
        <v>135951</v>
      </c>
      <c r="H9" s="8" t="s">
        <v>55</v>
      </c>
      <c r="I9" s="24" t="n">
        <v>-732.87</v>
      </c>
      <c r="J9" s="25" t="n">
        <f aca="false">Summary!$B$4</f>
        <v>1</v>
      </c>
      <c r="K9" s="11" t="n">
        <f aca="false">I9*J9*IF(A9="SILVER",Summary!$B$5,Summary!$B$6)</f>
        <v>-21986.1</v>
      </c>
      <c r="L9" s="26" t="n">
        <v>-0.237</v>
      </c>
      <c r="M9" s="27" t="n">
        <f aca="false">IF(K9&gt;0,1,0)</f>
        <v>0</v>
      </c>
      <c r="N9" s="11" t="n">
        <f aca="false">SUMIFS(K$2:K9,A$2:A9,A9,B$2:B9,B9)</f>
        <v>-130751.4</v>
      </c>
      <c r="O9" s="11" t="n">
        <f aca="false">MAX(0,_xlfn.MAXIFS(N$2:N9,A$2:A9,A9,B$2:B9,B9))</f>
        <v>0</v>
      </c>
      <c r="P9" s="11" t="n">
        <f aca="false">N9-O9</f>
        <v>-130751.4</v>
      </c>
    </row>
    <row r="10" customFormat="false" ht="15" hidden="false" customHeight="false" outlineLevel="0" collapsed="false">
      <c r="A10" s="8" t="s">
        <v>26</v>
      </c>
      <c r="B10" s="8" t="s">
        <v>27</v>
      </c>
      <c r="C10" s="8" t="s">
        <v>54</v>
      </c>
      <c r="D10" s="21" t="n">
        <v>45742.5</v>
      </c>
      <c r="E10" s="21" t="n">
        <v>45748.9166666667</v>
      </c>
      <c r="F10" s="22" t="n">
        <f aca="false">DATE(YEAR(E10),MONTH(E10),1)</f>
        <v>45748</v>
      </c>
      <c r="G10" s="23" t="n">
        <v>136654</v>
      </c>
      <c r="H10" s="8" t="s">
        <v>55</v>
      </c>
      <c r="I10" s="24" t="n">
        <v>-386.89</v>
      </c>
      <c r="J10" s="25" t="n">
        <f aca="false">Summary!$B$4</f>
        <v>1</v>
      </c>
      <c r="K10" s="11" t="n">
        <f aca="false">I10*J10*IF(A10="SILVER",Summary!$B$5,Summary!$B$6)</f>
        <v>-11606.7</v>
      </c>
      <c r="L10" s="26" t="n">
        <v>-0.176</v>
      </c>
      <c r="M10" s="27" t="n">
        <f aca="false">IF(K10&gt;0,1,0)</f>
        <v>0</v>
      </c>
      <c r="N10" s="11" t="n">
        <f aca="false">SUMIFS(K$2:K10,A$2:A10,A10,B$2:B10,B10)</f>
        <v>-142358.1</v>
      </c>
      <c r="O10" s="11" t="n">
        <f aca="false">MAX(0,_xlfn.MAXIFS(N$2:N10,A$2:A10,A10,B$2:B10,B10))</f>
        <v>0</v>
      </c>
      <c r="P10" s="11" t="n">
        <f aca="false">N10-O10</f>
        <v>-142358.1</v>
      </c>
    </row>
    <row r="11" customFormat="false" ht="15" hidden="false" customHeight="false" outlineLevel="0" collapsed="false">
      <c r="A11" s="8" t="s">
        <v>26</v>
      </c>
      <c r="B11" s="8" t="s">
        <v>27</v>
      </c>
      <c r="C11" s="8" t="s">
        <v>56</v>
      </c>
      <c r="D11" s="21" t="n">
        <v>45748.9166666667</v>
      </c>
      <c r="E11" s="21" t="n">
        <v>45758.5833333333</v>
      </c>
      <c r="F11" s="22" t="n">
        <f aca="false">DATE(YEAR(E11),MONTH(E11),1)</f>
        <v>45748</v>
      </c>
      <c r="G11" s="23" t="n">
        <v>136297</v>
      </c>
      <c r="H11" s="8" t="s">
        <v>55</v>
      </c>
      <c r="I11" s="24" t="n">
        <v>6488.79</v>
      </c>
      <c r="J11" s="25" t="n">
        <f aca="false">Summary!$B$4</f>
        <v>1</v>
      </c>
      <c r="K11" s="11" t="n">
        <f aca="false">I11*J11*IF(A11="SILVER",Summary!$B$5,Summary!$B$6)</f>
        <v>194663.7</v>
      </c>
      <c r="L11" s="26" t="n">
        <v>2.033</v>
      </c>
      <c r="M11" s="27" t="n">
        <f aca="false">IF(K11&gt;0,1,0)</f>
        <v>1</v>
      </c>
      <c r="N11" s="11" t="n">
        <f aca="false">SUMIFS(K$2:K11,A$2:A11,A11,B$2:B11,B11)</f>
        <v>52305.6</v>
      </c>
      <c r="O11" s="11" t="n">
        <f aca="false">MAX(0,_xlfn.MAXIFS(N$2:N11,A$2:A11,A11,B$2:B11,B11))</f>
        <v>52305.6</v>
      </c>
      <c r="P11" s="11" t="n">
        <f aca="false">N11-O11</f>
        <v>0</v>
      </c>
    </row>
    <row r="12" customFormat="false" ht="15" hidden="false" customHeight="false" outlineLevel="0" collapsed="false">
      <c r="A12" s="8" t="s">
        <v>26</v>
      </c>
      <c r="B12" s="8" t="s">
        <v>27</v>
      </c>
      <c r="C12" s="8" t="s">
        <v>54</v>
      </c>
      <c r="D12" s="21" t="n">
        <v>45758.5833333333</v>
      </c>
      <c r="E12" s="21" t="n">
        <v>45777.5833333333</v>
      </c>
      <c r="F12" s="22" t="n">
        <f aca="false">DATE(YEAR(E12),MONTH(E12),1)</f>
        <v>45748</v>
      </c>
      <c r="G12" s="23" t="n">
        <v>129779</v>
      </c>
      <c r="H12" s="8" t="s">
        <v>55</v>
      </c>
      <c r="I12" s="24" t="n">
        <v>1392.31</v>
      </c>
      <c r="J12" s="25" t="n">
        <f aca="false">Summary!$B$4</f>
        <v>1</v>
      </c>
      <c r="K12" s="11" t="n">
        <f aca="false">I12*J12*IF(A12="SILVER",Summary!$B$5,Summary!$B$6)</f>
        <v>41769.3</v>
      </c>
      <c r="L12" s="26" t="n">
        <v>0.319</v>
      </c>
      <c r="M12" s="27" t="n">
        <f aca="false">IF(K12&gt;0,1,0)</f>
        <v>1</v>
      </c>
      <c r="N12" s="11" t="n">
        <f aca="false">SUMIFS(K$2:K12,A$2:A12,A12,B$2:B12,B12)</f>
        <v>94074.9</v>
      </c>
      <c r="O12" s="11" t="n">
        <f aca="false">MAX(0,_xlfn.MAXIFS(N$2:N12,A$2:A12,A12,B$2:B12,B12))</f>
        <v>94074.9</v>
      </c>
      <c r="P12" s="11" t="n">
        <f aca="false">N12-O12</f>
        <v>0</v>
      </c>
    </row>
    <row r="13" customFormat="false" ht="15" hidden="false" customHeight="false" outlineLevel="0" collapsed="false">
      <c r="A13" s="8" t="s">
        <v>26</v>
      </c>
      <c r="B13" s="8" t="s">
        <v>27</v>
      </c>
      <c r="C13" s="8" t="s">
        <v>56</v>
      </c>
      <c r="D13" s="21" t="n">
        <v>45777.5833333333</v>
      </c>
      <c r="E13" s="21" t="n">
        <v>45790.5833333333</v>
      </c>
      <c r="F13" s="22" t="n">
        <f aca="false">DATE(YEAR(E13),MONTH(E13),1)</f>
        <v>45778</v>
      </c>
      <c r="G13" s="23" t="n">
        <v>131200</v>
      </c>
      <c r="H13" s="8" t="s">
        <v>55</v>
      </c>
      <c r="I13" s="24" t="n">
        <v>-1298.69</v>
      </c>
      <c r="J13" s="25" t="n">
        <f aca="false">Summary!$B$4</f>
        <v>1</v>
      </c>
      <c r="K13" s="11" t="n">
        <f aca="false">I13*J13*IF(A13="SILVER",Summary!$B$5,Summary!$B$6)</f>
        <v>-38960.7</v>
      </c>
      <c r="L13" s="26" t="n">
        <v>-0.351</v>
      </c>
      <c r="M13" s="27" t="n">
        <f aca="false">IF(K13&gt;0,1,0)</f>
        <v>0</v>
      </c>
      <c r="N13" s="11" t="n">
        <f aca="false">SUMIFS(K$2:K13,A$2:A13,A13,B$2:B13,B13)</f>
        <v>55114.2</v>
      </c>
      <c r="O13" s="11" t="n">
        <f aca="false">MAX(0,_xlfn.MAXIFS(N$2:N13,A$2:A13,A13,B$2:B13,B13))</f>
        <v>94074.9</v>
      </c>
      <c r="P13" s="11" t="n">
        <f aca="false">N13-O13</f>
        <v>-38960.7</v>
      </c>
    </row>
    <row r="14" customFormat="false" ht="15" hidden="false" customHeight="false" outlineLevel="0" collapsed="false">
      <c r="A14" s="8" t="s">
        <v>26</v>
      </c>
      <c r="B14" s="8" t="s">
        <v>27</v>
      </c>
      <c r="C14" s="8" t="s">
        <v>54</v>
      </c>
      <c r="D14" s="21" t="n">
        <v>45790.5833333333</v>
      </c>
      <c r="E14" s="21" t="n">
        <v>45792.4583333333</v>
      </c>
      <c r="F14" s="22" t="n">
        <f aca="false">DATE(YEAR(E14),MONTH(E14),1)</f>
        <v>45778</v>
      </c>
      <c r="G14" s="23" t="n">
        <v>132440</v>
      </c>
      <c r="H14" s="8" t="s">
        <v>55</v>
      </c>
      <c r="I14" s="24" t="n">
        <v>-3449.18</v>
      </c>
      <c r="J14" s="25" t="n">
        <f aca="false">Summary!$B$4</f>
        <v>1</v>
      </c>
      <c r="K14" s="11" t="n">
        <f aca="false">I14*J14*IF(A14="SILVER",Summary!$B$5,Summary!$B$6)</f>
        <v>-103475.4</v>
      </c>
      <c r="L14" s="26" t="n">
        <v>-1.034</v>
      </c>
      <c r="M14" s="27" t="n">
        <f aca="false">IF(K14&gt;0,1,0)</f>
        <v>0</v>
      </c>
      <c r="N14" s="11" t="n">
        <f aca="false">SUMIFS(K$2:K14,A$2:A14,A14,B$2:B14,B14)</f>
        <v>-48361.2</v>
      </c>
      <c r="O14" s="11" t="n">
        <f aca="false">MAX(0,_xlfn.MAXIFS(N$2:N14,A$2:A14,A14,B$2:B14,B14))</f>
        <v>94074.9</v>
      </c>
      <c r="P14" s="11" t="n">
        <f aca="false">N14-O14</f>
        <v>-142436.1</v>
      </c>
    </row>
    <row r="15" customFormat="false" ht="15" hidden="false" customHeight="false" outlineLevel="0" collapsed="false">
      <c r="A15" s="8" t="s">
        <v>26</v>
      </c>
      <c r="B15" s="8" t="s">
        <v>27</v>
      </c>
      <c r="C15" s="8" t="s">
        <v>56</v>
      </c>
      <c r="D15" s="21" t="n">
        <v>45792.4583333333</v>
      </c>
      <c r="E15" s="21" t="n">
        <v>45797.9166666667</v>
      </c>
      <c r="F15" s="22" t="n">
        <f aca="false">DATE(YEAR(E15),MONTH(E15),1)</f>
        <v>45778</v>
      </c>
      <c r="G15" s="23" t="n">
        <v>129020</v>
      </c>
      <c r="H15" s="8" t="s">
        <v>55</v>
      </c>
      <c r="I15" s="24" t="n">
        <v>-2939.12</v>
      </c>
      <c r="J15" s="25" t="n">
        <f aca="false">Summary!$B$4</f>
        <v>1</v>
      </c>
      <c r="K15" s="11" t="n">
        <f aca="false">I15*J15*IF(A15="SILVER",Summary!$B$5,Summary!$B$6)</f>
        <v>-88173.6</v>
      </c>
      <c r="L15" s="26" t="n">
        <v>-0.983</v>
      </c>
      <c r="M15" s="27" t="n">
        <f aca="false">IF(K15&gt;0,1,0)</f>
        <v>0</v>
      </c>
      <c r="N15" s="11" t="n">
        <f aca="false">SUMIFS(K$2:K15,A$2:A15,A15,B$2:B15,B15)</f>
        <v>-136534.8</v>
      </c>
      <c r="O15" s="11" t="n">
        <f aca="false">MAX(0,_xlfn.MAXIFS(N$2:N15,A$2:A15,A15,B$2:B15,B15))</f>
        <v>94074.9</v>
      </c>
      <c r="P15" s="11" t="n">
        <f aca="false">N15-O15</f>
        <v>-230609.7</v>
      </c>
    </row>
    <row r="16" customFormat="false" ht="15" hidden="false" customHeight="false" outlineLevel="0" collapsed="false">
      <c r="A16" s="8" t="s">
        <v>26</v>
      </c>
      <c r="B16" s="8" t="s">
        <v>27</v>
      </c>
      <c r="C16" s="8" t="s">
        <v>54</v>
      </c>
      <c r="D16" s="21" t="n">
        <v>45797.9166666667</v>
      </c>
      <c r="E16" s="21" t="n">
        <v>45799.7083333333</v>
      </c>
      <c r="F16" s="22" t="n">
        <f aca="false">DATE(YEAR(E16),MONTH(E16),1)</f>
        <v>45778</v>
      </c>
      <c r="G16" s="23" t="n">
        <v>131930</v>
      </c>
      <c r="H16" s="8" t="s">
        <v>55</v>
      </c>
      <c r="I16" s="24" t="n">
        <v>-258.39</v>
      </c>
      <c r="J16" s="25" t="n">
        <f aca="false">Summary!$B$4</f>
        <v>1</v>
      </c>
      <c r="K16" s="11" t="n">
        <f aca="false">I16*J16*IF(A16="SILVER",Summary!$B$5,Summary!$B$6)</f>
        <v>-7751.7</v>
      </c>
      <c r="L16" s="26" t="n">
        <v>-0.108</v>
      </c>
      <c r="M16" s="27" t="n">
        <f aca="false">IF(K16&gt;0,1,0)</f>
        <v>0</v>
      </c>
      <c r="N16" s="11" t="n">
        <f aca="false">SUMIFS(K$2:K16,A$2:A16,A16,B$2:B16,B16)</f>
        <v>-144286.5</v>
      </c>
      <c r="O16" s="11" t="n">
        <f aca="false">MAX(0,_xlfn.MAXIFS(N$2:N16,A$2:A16,A16,B$2:B16,B16))</f>
        <v>94074.9</v>
      </c>
      <c r="P16" s="11" t="n">
        <f aca="false">N16-O16</f>
        <v>-238361.4</v>
      </c>
    </row>
    <row r="17" customFormat="false" ht="15" hidden="false" customHeight="false" outlineLevel="0" collapsed="false">
      <c r="A17" s="8" t="s">
        <v>26</v>
      </c>
      <c r="B17" s="8" t="s">
        <v>27</v>
      </c>
      <c r="C17" s="8" t="s">
        <v>56</v>
      </c>
      <c r="D17" s="21" t="n">
        <v>45799.7083333333</v>
      </c>
      <c r="E17" s="21" t="n">
        <v>45810.7916666667</v>
      </c>
      <c r="F17" s="22" t="n">
        <f aca="false">DATE(YEAR(E17),MONTH(E17),1)</f>
        <v>45809</v>
      </c>
      <c r="G17" s="23" t="n">
        <v>131701</v>
      </c>
      <c r="H17" s="8" t="s">
        <v>55</v>
      </c>
      <c r="I17" s="24" t="n">
        <v>-2677.64</v>
      </c>
      <c r="J17" s="25" t="n">
        <f aca="false">Summary!$B$4</f>
        <v>1</v>
      </c>
      <c r="K17" s="11" t="n">
        <f aca="false">I17*J17*IF(A17="SILVER",Summary!$B$5,Summary!$B$6)</f>
        <v>-80329.2</v>
      </c>
      <c r="L17" s="26" t="n">
        <v>-1.046</v>
      </c>
      <c r="M17" s="27" t="n">
        <f aca="false">IF(K17&gt;0,1,0)</f>
        <v>0</v>
      </c>
      <c r="N17" s="11" t="n">
        <f aca="false">SUMIFS(K$2:K17,A$2:A17,A17,B$2:B17,B17)</f>
        <v>-224615.7</v>
      </c>
      <c r="O17" s="11" t="n">
        <f aca="false">MAX(0,_xlfn.MAXIFS(N$2:N17,A$2:A17,A17,B$2:B17,B17))</f>
        <v>94074.9</v>
      </c>
      <c r="P17" s="11" t="n">
        <f aca="false">N17-O17</f>
        <v>-318690.6</v>
      </c>
    </row>
    <row r="18" customFormat="false" ht="15" hidden="false" customHeight="false" outlineLevel="0" collapsed="false">
      <c r="A18" s="8" t="s">
        <v>26</v>
      </c>
      <c r="B18" s="8" t="s">
        <v>27</v>
      </c>
      <c r="C18" s="8" t="s">
        <v>54</v>
      </c>
      <c r="D18" s="21" t="n">
        <v>45810.7916666667</v>
      </c>
      <c r="E18" s="21" t="n">
        <v>45828.4166666667</v>
      </c>
      <c r="F18" s="22" t="n">
        <f aca="false">DATE(YEAR(E18),MONTH(E18),1)</f>
        <v>45809</v>
      </c>
      <c r="G18" s="23" t="n">
        <v>134349</v>
      </c>
      <c r="H18" s="8" t="s">
        <v>55</v>
      </c>
      <c r="I18" s="24" t="n">
        <v>6300.47</v>
      </c>
      <c r="J18" s="25" t="n">
        <f aca="false">Summary!$B$4</f>
        <v>1</v>
      </c>
      <c r="K18" s="11" t="n">
        <f aca="false">I18*J18*IF(A18="SILVER",Summary!$B$5,Summary!$B$6)</f>
        <v>189014.1</v>
      </c>
      <c r="L18" s="26" t="n">
        <v>2.033</v>
      </c>
      <c r="M18" s="27" t="n">
        <f aca="false">IF(K18&gt;0,1,0)</f>
        <v>1</v>
      </c>
      <c r="N18" s="11" t="n">
        <f aca="false">SUMIFS(K$2:K18,A$2:A18,A18,B$2:B18,B18)</f>
        <v>-35601.6</v>
      </c>
      <c r="O18" s="11" t="n">
        <f aca="false">MAX(0,_xlfn.MAXIFS(N$2:N18,A$2:A18,A18,B$2:B18,B18))</f>
        <v>94074.9</v>
      </c>
      <c r="P18" s="11" t="n">
        <f aca="false">N18-O18</f>
        <v>-129676.5</v>
      </c>
    </row>
    <row r="19" customFormat="false" ht="15" hidden="false" customHeight="false" outlineLevel="0" collapsed="false">
      <c r="A19" s="8" t="s">
        <v>26</v>
      </c>
      <c r="B19" s="8" t="s">
        <v>27</v>
      </c>
      <c r="C19" s="8" t="s">
        <v>56</v>
      </c>
      <c r="D19" s="21" t="n">
        <v>45828.4166666667</v>
      </c>
      <c r="E19" s="21" t="n">
        <v>45841.53125</v>
      </c>
      <c r="F19" s="22" t="n">
        <f aca="false">DATE(YEAR(E19),MONTH(E19),1)</f>
        <v>45839</v>
      </c>
      <c r="G19" s="23" t="n">
        <v>140680</v>
      </c>
      <c r="H19" s="8" t="s">
        <v>55</v>
      </c>
      <c r="I19" s="24" t="n">
        <v>-1556.31</v>
      </c>
      <c r="J19" s="25" t="n">
        <f aca="false">Summary!$B$4</f>
        <v>1</v>
      </c>
      <c r="K19" s="11" t="n">
        <f aca="false">I19*J19*IF(A19="SILVER",Summary!$B$5,Summary!$B$6)</f>
        <v>-46689.3</v>
      </c>
      <c r="L19" s="26" t="n">
        <v>-0.49</v>
      </c>
      <c r="M19" s="27" t="n">
        <f aca="false">IF(K19&gt;0,1,0)</f>
        <v>0</v>
      </c>
      <c r="N19" s="11" t="n">
        <f aca="false">SUMIFS(K$2:K19,A$2:A19,A19,B$2:B19,B19)</f>
        <v>-82290.9</v>
      </c>
      <c r="O19" s="11" t="n">
        <f aca="false">MAX(0,_xlfn.MAXIFS(N$2:N19,A$2:A19,A19,B$2:B19,B19))</f>
        <v>94074.9</v>
      </c>
      <c r="P19" s="11" t="n">
        <f aca="false">N19-O19</f>
        <v>-176365.8</v>
      </c>
    </row>
    <row r="20" customFormat="false" ht="15" hidden="false" customHeight="false" outlineLevel="0" collapsed="false">
      <c r="A20" s="8" t="s">
        <v>26</v>
      </c>
      <c r="B20" s="8" t="s">
        <v>27</v>
      </c>
      <c r="C20" s="8" t="s">
        <v>54</v>
      </c>
      <c r="D20" s="21" t="n">
        <v>45841.53125</v>
      </c>
      <c r="E20" s="21" t="n">
        <v>45853.875</v>
      </c>
      <c r="F20" s="22" t="n">
        <f aca="false">DATE(YEAR(E20),MONTH(E20),1)</f>
        <v>45839</v>
      </c>
      <c r="G20" s="23" t="n">
        <v>142205</v>
      </c>
      <c r="H20" s="8" t="s">
        <v>55</v>
      </c>
      <c r="I20" s="24" t="n">
        <v>3515.84</v>
      </c>
      <c r="J20" s="25" t="n">
        <f aca="false">Summary!$B$4</f>
        <v>1</v>
      </c>
      <c r="K20" s="11" t="n">
        <f aca="false">I20*J20*IF(A20="SILVER",Summary!$B$5,Summary!$B$6)</f>
        <v>105475.2</v>
      </c>
      <c r="L20" s="26" t="n">
        <v>1.461</v>
      </c>
      <c r="M20" s="27" t="n">
        <f aca="false">IF(K20&gt;0,1,0)</f>
        <v>1</v>
      </c>
      <c r="N20" s="11" t="n">
        <f aca="false">SUMIFS(K$2:K20,A$2:A20,A20,B$2:B20,B20)</f>
        <v>23184.3</v>
      </c>
      <c r="O20" s="11" t="n">
        <f aca="false">MAX(0,_xlfn.MAXIFS(N$2:N20,A$2:A20,A20,B$2:B20,B20))</f>
        <v>94074.9</v>
      </c>
      <c r="P20" s="11" t="n">
        <f aca="false">N20-O20</f>
        <v>-70890.6</v>
      </c>
    </row>
    <row r="21" customFormat="false" ht="15" hidden="false" customHeight="false" outlineLevel="0" collapsed="false">
      <c r="A21" s="8" t="s">
        <v>26</v>
      </c>
      <c r="B21" s="8" t="s">
        <v>27</v>
      </c>
      <c r="C21" s="8" t="s">
        <v>56</v>
      </c>
      <c r="D21" s="21" t="n">
        <v>45853.875</v>
      </c>
      <c r="E21" s="21" t="n">
        <v>45859.6666666667</v>
      </c>
      <c r="F21" s="22" t="n">
        <f aca="false">DATE(YEAR(E21),MONTH(E21),1)</f>
        <v>45839</v>
      </c>
      <c r="G21" s="23" t="n">
        <v>145785</v>
      </c>
      <c r="H21" s="8" t="s">
        <v>55</v>
      </c>
      <c r="I21" s="24" t="n">
        <v>-2611.54</v>
      </c>
      <c r="J21" s="25" t="n">
        <f aca="false">Summary!$B$4</f>
        <v>1</v>
      </c>
      <c r="K21" s="11" t="n">
        <f aca="false">I21*J21*IF(A21="SILVER",Summary!$B$5,Summary!$B$6)</f>
        <v>-78346.2</v>
      </c>
      <c r="L21" s="26" t="n">
        <v>-0.725</v>
      </c>
      <c r="M21" s="27" t="n">
        <f aca="false">IF(K21&gt;0,1,0)</f>
        <v>0</v>
      </c>
      <c r="N21" s="11" t="n">
        <f aca="false">SUMIFS(K$2:K21,A$2:A21,A21,B$2:B21,B21)</f>
        <v>-55161.9</v>
      </c>
      <c r="O21" s="11" t="n">
        <f aca="false">MAX(0,_xlfn.MAXIFS(N$2:N21,A$2:A21,A21,B$2:B21,B21))</f>
        <v>94074.9</v>
      </c>
      <c r="P21" s="11" t="n">
        <f aca="false">N21-O21</f>
        <v>-149236.8</v>
      </c>
    </row>
    <row r="22" customFormat="false" ht="15" hidden="false" customHeight="false" outlineLevel="0" collapsed="false">
      <c r="A22" s="8" t="s">
        <v>26</v>
      </c>
      <c r="B22" s="8" t="s">
        <v>27</v>
      </c>
      <c r="C22" s="8" t="s">
        <v>54</v>
      </c>
      <c r="D22" s="21" t="n">
        <v>45859.6666666667</v>
      </c>
      <c r="E22" s="21" t="n">
        <v>45863.875</v>
      </c>
      <c r="F22" s="22" t="n">
        <f aca="false">DATE(YEAR(E22),MONTH(E22),1)</f>
        <v>45839</v>
      </c>
      <c r="G22" s="23" t="n">
        <v>148364</v>
      </c>
      <c r="H22" s="8" t="s">
        <v>55</v>
      </c>
      <c r="I22" s="24" t="n">
        <v>-887.71</v>
      </c>
      <c r="J22" s="25" t="n">
        <f aca="false">Summary!$B$4</f>
        <v>1</v>
      </c>
      <c r="K22" s="11" t="n">
        <f aca="false">I22*J22*IF(A22="SILVER",Summary!$B$5,Summary!$B$6)</f>
        <v>-26631.3</v>
      </c>
      <c r="L22" s="26" t="n">
        <v>-0.376</v>
      </c>
      <c r="M22" s="27" t="n">
        <f aca="false">IF(K22&gt;0,1,0)</f>
        <v>0</v>
      </c>
      <c r="N22" s="11" t="n">
        <f aca="false">SUMIFS(K$2:K22,A$2:A22,A22,B$2:B22,B22)</f>
        <v>-81793.2</v>
      </c>
      <c r="O22" s="11" t="n">
        <f aca="false">MAX(0,_xlfn.MAXIFS(N$2:N22,A$2:A22,A22,B$2:B22,B22))</f>
        <v>94074.9</v>
      </c>
      <c r="P22" s="11" t="n">
        <f aca="false">N22-O22</f>
        <v>-175868.1</v>
      </c>
    </row>
    <row r="23" customFormat="false" ht="15" hidden="false" customHeight="false" outlineLevel="0" collapsed="false">
      <c r="A23" s="8" t="s">
        <v>26</v>
      </c>
      <c r="B23" s="8" t="s">
        <v>27</v>
      </c>
      <c r="C23" s="8" t="s">
        <v>56</v>
      </c>
      <c r="D23" s="21" t="n">
        <v>45863.875</v>
      </c>
      <c r="E23" s="21" t="n">
        <v>45873.5833333333</v>
      </c>
      <c r="F23" s="22" t="n">
        <f aca="false">DATE(YEAR(E23),MONTH(E23),1)</f>
        <v>45870</v>
      </c>
      <c r="G23" s="23" t="n">
        <v>147509</v>
      </c>
      <c r="H23" s="8" t="s">
        <v>55</v>
      </c>
      <c r="I23" s="24" t="n">
        <v>1045.48</v>
      </c>
      <c r="J23" s="25" t="n">
        <f aca="false">Summary!$B$4</f>
        <v>1</v>
      </c>
      <c r="K23" s="11" t="n">
        <f aca="false">I23*J23*IF(A23="SILVER",Summary!$B$5,Summary!$B$6)</f>
        <v>31364.4</v>
      </c>
      <c r="L23" s="26" t="n">
        <v>0.291</v>
      </c>
      <c r="M23" s="27" t="n">
        <f aca="false">IF(K23&gt;0,1,0)</f>
        <v>1</v>
      </c>
      <c r="N23" s="11" t="n">
        <f aca="false">SUMIFS(K$2:K23,A$2:A23,A23,B$2:B23,B23)</f>
        <v>-50428.8</v>
      </c>
      <c r="O23" s="11" t="n">
        <f aca="false">MAX(0,_xlfn.MAXIFS(N$2:N23,A$2:A23,A23,B$2:B23,B23))</f>
        <v>94074.9</v>
      </c>
      <c r="P23" s="11" t="n">
        <f aca="false">N23-O23</f>
        <v>-144503.7</v>
      </c>
    </row>
    <row r="24" customFormat="false" ht="15" hidden="false" customHeight="false" outlineLevel="0" collapsed="false">
      <c r="A24" s="8" t="s">
        <v>26</v>
      </c>
      <c r="B24" s="8" t="s">
        <v>27</v>
      </c>
      <c r="C24" s="8" t="s">
        <v>54</v>
      </c>
      <c r="D24" s="21" t="n">
        <v>45873.5833333333</v>
      </c>
      <c r="E24" s="21" t="n">
        <v>45888.5</v>
      </c>
      <c r="F24" s="22" t="n">
        <f aca="false">DATE(YEAR(E24),MONTH(E24),1)</f>
        <v>45870</v>
      </c>
      <c r="G24" s="23" t="n">
        <v>146431</v>
      </c>
      <c r="H24" s="8" t="s">
        <v>55</v>
      </c>
      <c r="I24" s="24" t="n">
        <v>855.5</v>
      </c>
      <c r="J24" s="25" t="n">
        <f aca="false">Summary!$B$4</f>
        <v>1</v>
      </c>
      <c r="K24" s="11" t="n">
        <f aca="false">I24*J24*IF(A24="SILVER",Summary!$B$5,Summary!$B$6)</f>
        <v>25665</v>
      </c>
      <c r="L24" s="26" t="n">
        <v>0.278</v>
      </c>
      <c r="M24" s="27" t="n">
        <f aca="false">IF(K24&gt;0,1,0)</f>
        <v>1</v>
      </c>
      <c r="N24" s="11" t="n">
        <f aca="false">SUMIFS(K$2:K24,A$2:A24,A24,B$2:B24,B24)</f>
        <v>-24763.8</v>
      </c>
      <c r="O24" s="11" t="n">
        <f aca="false">MAX(0,_xlfn.MAXIFS(N$2:N24,A$2:A24,A24,B$2:B24,B24))</f>
        <v>94074.9</v>
      </c>
      <c r="P24" s="11" t="n">
        <f aca="false">N24-O24</f>
        <v>-118838.7</v>
      </c>
    </row>
    <row r="25" customFormat="false" ht="15" hidden="false" customHeight="false" outlineLevel="0" collapsed="false">
      <c r="A25" s="8" t="s">
        <v>26</v>
      </c>
      <c r="B25" s="8" t="s">
        <v>27</v>
      </c>
      <c r="C25" s="8" t="s">
        <v>56</v>
      </c>
      <c r="D25" s="21" t="n">
        <v>45888.5</v>
      </c>
      <c r="E25" s="21" t="n">
        <v>45890.4166666667</v>
      </c>
      <c r="F25" s="22" t="n">
        <f aca="false">DATE(YEAR(E25),MONTH(E25),1)</f>
        <v>45870</v>
      </c>
      <c r="G25" s="23" t="n">
        <v>147319</v>
      </c>
      <c r="H25" s="8" t="s">
        <v>55</v>
      </c>
      <c r="I25" s="24" t="n">
        <v>152.43</v>
      </c>
      <c r="J25" s="25" t="n">
        <f aca="false">Summary!$B$4</f>
        <v>1</v>
      </c>
      <c r="K25" s="11" t="n">
        <f aca="false">I25*J25*IF(A25="SILVER",Summary!$B$5,Summary!$B$6)</f>
        <v>4572.9</v>
      </c>
      <c r="L25" s="26" t="n">
        <v>0.07</v>
      </c>
      <c r="M25" s="27" t="n">
        <f aca="false">IF(K25&gt;0,1,0)</f>
        <v>1</v>
      </c>
      <c r="N25" s="11" t="n">
        <f aca="false">SUMIFS(K$2:K25,A$2:A25,A25,B$2:B25,B25)</f>
        <v>-20190.9</v>
      </c>
      <c r="O25" s="11" t="n">
        <f aca="false">MAX(0,_xlfn.MAXIFS(N$2:N25,A$2:A25,A25,B$2:B25,B25))</f>
        <v>94074.9</v>
      </c>
      <c r="P25" s="11" t="n">
        <f aca="false">N25-O25</f>
        <v>-114265.8</v>
      </c>
    </row>
    <row r="26" customFormat="false" ht="15" hidden="false" customHeight="false" outlineLevel="0" collapsed="false">
      <c r="A26" s="8" t="s">
        <v>26</v>
      </c>
      <c r="B26" s="8" t="s">
        <v>27</v>
      </c>
      <c r="C26" s="8" t="s">
        <v>54</v>
      </c>
      <c r="D26" s="21" t="n">
        <v>45890.4166666667</v>
      </c>
      <c r="E26" s="21" t="n">
        <v>45908.4166666667</v>
      </c>
      <c r="F26" s="22" t="n">
        <f aca="false">DATE(YEAR(E26),MONTH(E26),1)</f>
        <v>45901</v>
      </c>
      <c r="G26" s="23" t="n">
        <v>147134</v>
      </c>
      <c r="H26" s="8" t="s">
        <v>55</v>
      </c>
      <c r="I26" s="24" t="n">
        <v>7960.59</v>
      </c>
      <c r="J26" s="25" t="n">
        <f aca="false">Summary!$B$4</f>
        <v>1</v>
      </c>
      <c r="K26" s="11" t="n">
        <f aca="false">I26*J26*IF(A26="SILVER",Summary!$B$5,Summary!$B$6)</f>
        <v>238817.7</v>
      </c>
      <c r="L26" s="26" t="n">
        <v>3.424</v>
      </c>
      <c r="M26" s="27" t="n">
        <f aca="false">IF(K26&gt;0,1,0)</f>
        <v>1</v>
      </c>
      <c r="N26" s="11" t="n">
        <f aca="false">SUMIFS(K$2:K26,A$2:A26,A26,B$2:B26,B26)</f>
        <v>218626.8</v>
      </c>
      <c r="O26" s="11" t="n">
        <f aca="false">MAX(0,_xlfn.MAXIFS(N$2:N26,A$2:A26,A26,B$2:B26,B26))</f>
        <v>218626.8</v>
      </c>
      <c r="P26" s="11" t="n">
        <f aca="false">N26-O26</f>
        <v>0</v>
      </c>
    </row>
    <row r="27" customFormat="false" ht="15" hidden="false" customHeight="false" outlineLevel="0" collapsed="false">
      <c r="A27" s="8" t="s">
        <v>26</v>
      </c>
      <c r="B27" s="8" t="s">
        <v>27</v>
      </c>
      <c r="C27" s="8" t="s">
        <v>56</v>
      </c>
      <c r="D27" s="21" t="n">
        <v>45908.4166666667</v>
      </c>
      <c r="E27" s="21" t="n">
        <v>45912.4166666667</v>
      </c>
      <c r="F27" s="22" t="n">
        <f aca="false">DATE(YEAR(E27),MONTH(E27),1)</f>
        <v>45901</v>
      </c>
      <c r="G27" s="23" t="n">
        <v>155163</v>
      </c>
      <c r="H27" s="8" t="s">
        <v>55</v>
      </c>
      <c r="I27" s="24" t="n">
        <v>-4573.22</v>
      </c>
      <c r="J27" s="25" t="n">
        <f aca="false">Summary!$B$4</f>
        <v>1</v>
      </c>
      <c r="K27" s="11" t="n">
        <f aca="false">I27*J27*IF(A27="SILVER",Summary!$B$5,Summary!$B$6)</f>
        <v>-137196.6</v>
      </c>
      <c r="L27" s="26" t="n">
        <v>-1.102</v>
      </c>
      <c r="M27" s="27" t="n">
        <f aca="false">IF(K27&gt;0,1,0)</f>
        <v>0</v>
      </c>
      <c r="N27" s="11" t="n">
        <f aca="false">SUMIFS(K$2:K27,A$2:A27,A27,B$2:B27,B27)</f>
        <v>81430.2000000001</v>
      </c>
      <c r="O27" s="11" t="n">
        <f aca="false">MAX(0,_xlfn.MAXIFS(N$2:N27,A$2:A27,A27,B$2:B27,B27))</f>
        <v>218626.8</v>
      </c>
      <c r="P27" s="11" t="n">
        <f aca="false">N27-O27</f>
        <v>-137196.6</v>
      </c>
    </row>
    <row r="28" customFormat="false" ht="15" hidden="false" customHeight="false" outlineLevel="0" collapsed="false">
      <c r="A28" s="8" t="s">
        <v>26</v>
      </c>
      <c r="B28" s="8" t="s">
        <v>27</v>
      </c>
      <c r="C28" s="8" t="s">
        <v>54</v>
      </c>
      <c r="D28" s="21" t="n">
        <v>45912.4166666667</v>
      </c>
      <c r="E28" s="21" t="n">
        <v>45917.4166666667</v>
      </c>
      <c r="F28" s="22" t="n">
        <f aca="false">DATE(YEAR(E28),MONTH(E28),1)</f>
        <v>45901</v>
      </c>
      <c r="G28" s="23" t="n">
        <v>159701</v>
      </c>
      <c r="H28" s="8" t="s">
        <v>55</v>
      </c>
      <c r="I28" s="24" t="n">
        <v>-1053.57</v>
      </c>
      <c r="J28" s="25" t="n">
        <f aca="false">Summary!$B$4</f>
        <v>1</v>
      </c>
      <c r="K28" s="11" t="n">
        <f aca="false">I28*J28*IF(A28="SILVER",Summary!$B$5,Summary!$B$6)</f>
        <v>-31607.1</v>
      </c>
      <c r="L28" s="26" t="n">
        <v>-0.313</v>
      </c>
      <c r="M28" s="27" t="n">
        <f aca="false">IF(K28&gt;0,1,0)</f>
        <v>0</v>
      </c>
      <c r="N28" s="11" t="n">
        <f aca="false">SUMIFS(K$2:K28,A$2:A28,A28,B$2:B28,B28)</f>
        <v>49823.1000000001</v>
      </c>
      <c r="O28" s="11" t="n">
        <f aca="false">MAX(0,_xlfn.MAXIFS(N$2:N28,A$2:A28,A28,B$2:B28,B28))</f>
        <v>218626.8</v>
      </c>
      <c r="P28" s="11" t="n">
        <f aca="false">N28-O28</f>
        <v>-168803.7</v>
      </c>
    </row>
    <row r="29" customFormat="false" ht="15" hidden="false" customHeight="false" outlineLevel="0" collapsed="false">
      <c r="A29" s="8" t="s">
        <v>26</v>
      </c>
      <c r="B29" s="8" t="s">
        <v>27</v>
      </c>
      <c r="C29" s="8" t="s">
        <v>56</v>
      </c>
      <c r="D29" s="21" t="n">
        <v>45917.4166666667</v>
      </c>
      <c r="E29" s="21" t="n">
        <v>45919.875</v>
      </c>
      <c r="F29" s="22" t="n">
        <f aca="false">DATE(YEAR(E29),MONTH(E29),1)</f>
        <v>45901</v>
      </c>
      <c r="G29" s="23" t="n">
        <v>158683</v>
      </c>
      <c r="H29" s="8" t="s">
        <v>55</v>
      </c>
      <c r="I29" s="24" t="n">
        <v>-2180.68</v>
      </c>
      <c r="J29" s="25" t="n">
        <f aca="false">Summary!$B$4</f>
        <v>1</v>
      </c>
      <c r="K29" s="11" t="n">
        <f aca="false">I29*J29*IF(A29="SILVER",Summary!$B$5,Summary!$B$6)</f>
        <v>-65420.4</v>
      </c>
      <c r="L29" s="26" t="n">
        <v>-0.713</v>
      </c>
      <c r="M29" s="27" t="n">
        <f aca="false">IF(K29&gt;0,1,0)</f>
        <v>0</v>
      </c>
      <c r="N29" s="11" t="n">
        <f aca="false">SUMIFS(K$2:K29,A$2:A29,A29,B$2:B29,B29)</f>
        <v>-15597.2999999999</v>
      </c>
      <c r="O29" s="11" t="n">
        <f aca="false">MAX(0,_xlfn.MAXIFS(N$2:N29,A$2:A29,A29,B$2:B29,B29))</f>
        <v>218626.8</v>
      </c>
      <c r="P29" s="11" t="n">
        <f aca="false">N29-O29</f>
        <v>-234224.1</v>
      </c>
    </row>
    <row r="30" customFormat="false" ht="15" hidden="false" customHeight="false" outlineLevel="0" collapsed="false">
      <c r="A30" s="8" t="s">
        <v>26</v>
      </c>
      <c r="B30" s="8" t="s">
        <v>27</v>
      </c>
      <c r="C30" s="8" t="s">
        <v>54</v>
      </c>
      <c r="D30" s="21" t="n">
        <v>45919.875</v>
      </c>
      <c r="E30" s="21" t="n">
        <v>45940.4166666667</v>
      </c>
      <c r="F30" s="22" t="n">
        <f aca="false">DATE(YEAR(E30),MONTH(E30),1)</f>
        <v>45931</v>
      </c>
      <c r="G30" s="23" t="n">
        <v>160828</v>
      </c>
      <c r="H30" s="8" t="s">
        <v>55</v>
      </c>
      <c r="I30" s="24" t="n">
        <v>15943.5</v>
      </c>
      <c r="J30" s="25" t="n">
        <f aca="false">Summary!$B$4</f>
        <v>1</v>
      </c>
      <c r="K30" s="11" t="n">
        <f aca="false">I30*J30*IF(A30="SILVER",Summary!$B$5,Summary!$B$6)</f>
        <v>478305</v>
      </c>
      <c r="L30" s="26" t="n">
        <v>4.182</v>
      </c>
      <c r="M30" s="27" t="n">
        <f aca="false">IF(K30&gt;0,1,0)</f>
        <v>1</v>
      </c>
      <c r="N30" s="11" t="n">
        <f aca="false">SUMIFS(K$2:K30,A$2:A30,A30,B$2:B30,B30)</f>
        <v>462707.7</v>
      </c>
      <c r="O30" s="11" t="n">
        <f aca="false">MAX(0,_xlfn.MAXIFS(N$2:N30,A$2:A30,A30,B$2:B30,B30))</f>
        <v>462707.7</v>
      </c>
      <c r="P30" s="11" t="n">
        <f aca="false">N30-O30</f>
        <v>0</v>
      </c>
    </row>
    <row r="31" customFormat="false" ht="15" hidden="false" customHeight="false" outlineLevel="0" collapsed="false">
      <c r="A31" s="8" t="s">
        <v>26</v>
      </c>
      <c r="B31" s="8" t="s">
        <v>27</v>
      </c>
      <c r="C31" s="8" t="s">
        <v>56</v>
      </c>
      <c r="D31" s="21" t="n">
        <v>45940.4166666667</v>
      </c>
      <c r="E31" s="21" t="n">
        <v>45943.8333333333</v>
      </c>
      <c r="F31" s="22" t="n">
        <f aca="false">DATE(YEAR(E31),MONTH(E31),1)</f>
        <v>45931</v>
      </c>
      <c r="G31" s="23" t="n">
        <v>176809</v>
      </c>
      <c r="H31" s="8" t="s">
        <v>55</v>
      </c>
      <c r="I31" s="24" t="n">
        <v>-8860.97</v>
      </c>
      <c r="J31" s="25" t="n">
        <f aca="false">Summary!$B$4</f>
        <v>1</v>
      </c>
      <c r="K31" s="11" t="n">
        <f aca="false">I31*J31*IF(A31="SILVER",Summary!$B$5,Summary!$B$6)</f>
        <v>-265829.1</v>
      </c>
      <c r="L31" s="26" t="n">
        <v>-1.043</v>
      </c>
      <c r="M31" s="27" t="n">
        <f aca="false">IF(K31&gt;0,1,0)</f>
        <v>0</v>
      </c>
      <c r="N31" s="11" t="n">
        <f aca="false">SUMIFS(K$2:K31,A$2:A31,A31,B$2:B31,B31)</f>
        <v>196878.6</v>
      </c>
      <c r="O31" s="11" t="n">
        <f aca="false">MAX(0,_xlfn.MAXIFS(N$2:N31,A$2:A31,A31,B$2:B31,B31))</f>
        <v>462707.7</v>
      </c>
      <c r="P31" s="11" t="n">
        <f aca="false">N31-O31</f>
        <v>-265829.1</v>
      </c>
    </row>
    <row r="32" customFormat="false" ht="15" hidden="false" customHeight="false" outlineLevel="0" collapsed="false">
      <c r="A32" s="8" t="s">
        <v>26</v>
      </c>
      <c r="B32" s="8" t="s">
        <v>27</v>
      </c>
      <c r="C32" s="8" t="s">
        <v>54</v>
      </c>
      <c r="D32" s="21" t="n">
        <v>45943.8333333333</v>
      </c>
      <c r="E32" s="21" t="n">
        <v>45947.8333333333</v>
      </c>
      <c r="F32" s="22" t="n">
        <f aca="false">DATE(YEAR(E32),MONTH(E32),1)</f>
        <v>45931</v>
      </c>
      <c r="G32" s="23" t="n">
        <v>185630</v>
      </c>
      <c r="H32" s="8" t="s">
        <v>55</v>
      </c>
      <c r="I32" s="24" t="n">
        <v>7180.44</v>
      </c>
      <c r="J32" s="25" t="n">
        <f aca="false">Summary!$B$4</f>
        <v>1</v>
      </c>
      <c r="K32" s="11" t="n">
        <f aca="false">I32*J32*IF(A32="SILVER",Summary!$B$5,Summary!$B$6)</f>
        <v>215413.2</v>
      </c>
      <c r="L32" s="26" t="n">
        <v>0.85</v>
      </c>
      <c r="M32" s="27" t="n">
        <f aca="false">IF(K32&gt;0,1,0)</f>
        <v>1</v>
      </c>
      <c r="N32" s="11" t="n">
        <f aca="false">SUMIFS(K$2:K32,A$2:A32,A32,B$2:B32,B32)</f>
        <v>412291.8</v>
      </c>
      <c r="O32" s="11" t="n">
        <f aca="false">MAX(0,_xlfn.MAXIFS(N$2:N32,A$2:A32,A32,B$2:B32,B32))</f>
        <v>462707.7</v>
      </c>
      <c r="P32" s="11" t="n">
        <f aca="false">N32-O32</f>
        <v>-50415.9</v>
      </c>
    </row>
    <row r="33" customFormat="false" ht="15" hidden="false" customHeight="false" outlineLevel="0" collapsed="false">
      <c r="A33" s="8" t="s">
        <v>26</v>
      </c>
      <c r="B33" s="8" t="s">
        <v>27</v>
      </c>
      <c r="C33" s="8" t="s">
        <v>56</v>
      </c>
      <c r="D33" s="21" t="n">
        <v>45947.8333333333</v>
      </c>
      <c r="E33" s="21" t="n">
        <v>45960.8333333333</v>
      </c>
      <c r="F33" s="22" t="n">
        <f aca="false">DATE(YEAR(E33),MONTH(E33),1)</f>
        <v>45931</v>
      </c>
      <c r="G33" s="23" t="n">
        <v>192852</v>
      </c>
      <c r="H33" s="8" t="s">
        <v>55</v>
      </c>
      <c r="I33" s="24" t="n">
        <v>13176.04</v>
      </c>
      <c r="J33" s="25" t="n">
        <f aca="false">Summary!$B$4</f>
        <v>1</v>
      </c>
      <c r="K33" s="11" t="n">
        <f aca="false">I33*J33*IF(A33="SILVER",Summary!$B$5,Summary!$B$6)</f>
        <v>395281.2</v>
      </c>
      <c r="L33" s="26" t="n">
        <v>1.158</v>
      </c>
      <c r="M33" s="27" t="n">
        <f aca="false">IF(K33&gt;0,1,0)</f>
        <v>1</v>
      </c>
      <c r="N33" s="11" t="n">
        <f aca="false">SUMIFS(K$2:K33,A$2:A33,A33,B$2:B33,B33)</f>
        <v>807573</v>
      </c>
      <c r="O33" s="11" t="n">
        <f aca="false">MAX(0,_xlfn.MAXIFS(N$2:N33,A$2:A33,A33,B$2:B33,B33))</f>
        <v>807573</v>
      </c>
      <c r="P33" s="11" t="n">
        <f aca="false">N33-O33</f>
        <v>0</v>
      </c>
    </row>
    <row r="34" customFormat="false" ht="15" hidden="false" customHeight="false" outlineLevel="0" collapsed="false">
      <c r="A34" s="8" t="s">
        <v>26</v>
      </c>
      <c r="B34" s="8" t="s">
        <v>27</v>
      </c>
      <c r="C34" s="8" t="s">
        <v>54</v>
      </c>
      <c r="D34" s="21" t="n">
        <v>45960.8333333333</v>
      </c>
      <c r="E34" s="21" t="n">
        <v>45975.75</v>
      </c>
      <c r="F34" s="22" t="n">
        <f aca="false">DATE(YEAR(E34),MONTH(E34),1)</f>
        <v>45962</v>
      </c>
      <c r="G34" s="23" t="n">
        <v>179635</v>
      </c>
      <c r="H34" s="8" t="s">
        <v>55</v>
      </c>
      <c r="I34" s="24" t="n">
        <v>9052.43</v>
      </c>
      <c r="J34" s="25" t="n">
        <f aca="false">Summary!$B$4</f>
        <v>1</v>
      </c>
      <c r="K34" s="11" t="n">
        <f aca="false">I34*J34*IF(A34="SILVER",Summary!$B$5,Summary!$B$6)</f>
        <v>271572.9</v>
      </c>
      <c r="L34" s="26" t="n">
        <v>1.197</v>
      </c>
      <c r="M34" s="27" t="n">
        <f aca="false">IF(K34&gt;0,1,0)</f>
        <v>1</v>
      </c>
      <c r="N34" s="11" t="n">
        <f aca="false">SUMIFS(K$2:K34,A$2:A34,A34,B$2:B34,B34)</f>
        <v>1079145.9</v>
      </c>
      <c r="O34" s="11" t="n">
        <f aca="false">MAX(0,_xlfn.MAXIFS(N$2:N34,A$2:A34,A34,B$2:B34,B34))</f>
        <v>1079145.9</v>
      </c>
      <c r="P34" s="11" t="n">
        <f aca="false">N34-O34</f>
        <v>0</v>
      </c>
    </row>
    <row r="35" customFormat="false" ht="15" hidden="false" customHeight="false" outlineLevel="0" collapsed="false">
      <c r="A35" s="8" t="s">
        <v>26</v>
      </c>
      <c r="B35" s="8" t="s">
        <v>27</v>
      </c>
      <c r="C35" s="8" t="s">
        <v>56</v>
      </c>
      <c r="D35" s="21" t="n">
        <v>45975.75</v>
      </c>
      <c r="E35" s="21" t="n">
        <v>45987.7083333333</v>
      </c>
      <c r="F35" s="22" t="n">
        <f aca="false">DATE(YEAR(E35),MONTH(E35),1)</f>
        <v>45962</v>
      </c>
      <c r="G35" s="23" t="n">
        <v>188728</v>
      </c>
      <c r="H35" s="8" t="s">
        <v>55</v>
      </c>
      <c r="I35" s="24" t="n">
        <v>-1783.65</v>
      </c>
      <c r="J35" s="25" t="n">
        <f aca="false">Summary!$B$4</f>
        <v>1</v>
      </c>
      <c r="K35" s="11" t="n">
        <f aca="false">I35*J35*IF(A35="SILVER",Summary!$B$5,Summary!$B$6)</f>
        <v>-53509.5</v>
      </c>
      <c r="L35" s="26" t="n">
        <v>-0.194</v>
      </c>
      <c r="M35" s="27" t="n">
        <f aca="false">IF(K35&gt;0,1,0)</f>
        <v>0</v>
      </c>
      <c r="N35" s="11" t="n">
        <f aca="false">SUMIFS(K$2:K35,A$2:A35,A35,B$2:B35,B35)</f>
        <v>1025636.4</v>
      </c>
      <c r="O35" s="11" t="n">
        <f aca="false">MAX(0,_xlfn.MAXIFS(N$2:N35,A$2:A35,A35,B$2:B35,B35))</f>
        <v>1079145.9</v>
      </c>
      <c r="P35" s="11" t="n">
        <f aca="false">N35-O35</f>
        <v>-53509.5</v>
      </c>
    </row>
    <row r="36" customFormat="false" ht="15" hidden="false" customHeight="false" outlineLevel="0" collapsed="false">
      <c r="A36" s="8" t="s">
        <v>26</v>
      </c>
      <c r="B36" s="8" t="s">
        <v>27</v>
      </c>
      <c r="C36" s="8" t="s">
        <v>54</v>
      </c>
      <c r="D36" s="21" t="n">
        <v>45987.7083333333</v>
      </c>
      <c r="E36" s="21" t="n">
        <v>46003.9583333333</v>
      </c>
      <c r="F36" s="22" t="n">
        <f aca="false">DATE(YEAR(E36),MONTH(E36),1)</f>
        <v>45992</v>
      </c>
      <c r="G36" s="23" t="n">
        <v>190470</v>
      </c>
      <c r="H36" s="8" t="s">
        <v>55</v>
      </c>
      <c r="I36" s="24" t="n">
        <v>29264.67</v>
      </c>
      <c r="J36" s="25" t="n">
        <f aca="false">Summary!$B$4</f>
        <v>1</v>
      </c>
      <c r="K36" s="11" t="n">
        <f aca="false">I36*J36*IF(A36="SILVER",Summary!$B$5,Summary!$B$6)</f>
        <v>877940.1</v>
      </c>
      <c r="L36" s="26" t="n">
        <v>5.619</v>
      </c>
      <c r="M36" s="27" t="n">
        <f aca="false">IF(K36&gt;0,1,0)</f>
        <v>1</v>
      </c>
      <c r="N36" s="11" t="n">
        <f aca="false">SUMIFS(K$2:K36,A$2:A36,A36,B$2:B36,B36)</f>
        <v>1903576.5</v>
      </c>
      <c r="O36" s="11" t="n">
        <f aca="false">MAX(0,_xlfn.MAXIFS(N$2:N36,A$2:A36,A36,B$2:B36,B36))</f>
        <v>1903576.5</v>
      </c>
      <c r="P36" s="11" t="n">
        <f aca="false">N36-O36</f>
        <v>0</v>
      </c>
    </row>
    <row r="37" customFormat="false" ht="15" hidden="false" customHeight="false" outlineLevel="0" collapsed="false">
      <c r="A37" s="8" t="s">
        <v>26</v>
      </c>
      <c r="B37" s="8" t="s">
        <v>27</v>
      </c>
      <c r="C37" s="8" t="s">
        <v>56</v>
      </c>
      <c r="D37" s="21" t="n">
        <v>46003.9583333333</v>
      </c>
      <c r="E37" s="21" t="n">
        <v>46008.4166666667</v>
      </c>
      <c r="F37" s="22" t="n">
        <f aca="false">DATE(YEAR(E37),MONTH(E37),1)</f>
        <v>45992</v>
      </c>
      <c r="G37" s="23" t="n">
        <v>219828</v>
      </c>
      <c r="H37" s="8" t="s">
        <v>55</v>
      </c>
      <c r="I37" s="24" t="n">
        <v>-13107.6</v>
      </c>
      <c r="J37" s="25" t="n">
        <f aca="false">Summary!$B$4</f>
        <v>1</v>
      </c>
      <c r="K37" s="11" t="n">
        <f aca="false">I37*J37*IF(A37="SILVER",Summary!$B$5,Summary!$B$6)</f>
        <v>-393228</v>
      </c>
      <c r="L37" s="26" t="n">
        <v>-1.252</v>
      </c>
      <c r="M37" s="27" t="n">
        <f aca="false">IF(K37&gt;0,1,0)</f>
        <v>0</v>
      </c>
      <c r="N37" s="11" t="n">
        <f aca="false">SUMIFS(K$2:K37,A$2:A37,A37,B$2:B37,B37)</f>
        <v>1510348.5</v>
      </c>
      <c r="O37" s="11" t="n">
        <f aca="false">MAX(0,_xlfn.MAXIFS(N$2:N37,A$2:A37,A37,B$2:B37,B37))</f>
        <v>1903576.5</v>
      </c>
      <c r="P37" s="11" t="n">
        <f aca="false">N37-O37</f>
        <v>-393228</v>
      </c>
    </row>
    <row r="38" customFormat="false" ht="15" hidden="false" customHeight="false" outlineLevel="0" collapsed="false">
      <c r="A38" s="8" t="s">
        <v>26</v>
      </c>
      <c r="B38" s="8" t="s">
        <v>27</v>
      </c>
      <c r="C38" s="8" t="s">
        <v>54</v>
      </c>
      <c r="D38" s="21" t="n">
        <v>46008.4166666667</v>
      </c>
      <c r="E38" s="21" t="n">
        <v>46020.8333333333</v>
      </c>
      <c r="F38" s="22" t="n">
        <f aca="false">DATE(YEAR(E38),MONTH(E38),1)</f>
        <v>45992</v>
      </c>
      <c r="G38" s="23" t="n">
        <v>232886</v>
      </c>
      <c r="H38" s="8" t="s">
        <v>55</v>
      </c>
      <c r="I38" s="24" t="n">
        <v>21894.86</v>
      </c>
      <c r="J38" s="25" t="n">
        <f aca="false">Summary!$B$4</f>
        <v>1</v>
      </c>
      <c r="K38" s="11" t="n">
        <f aca="false">I38*J38*IF(A38="SILVER",Summary!$B$5,Summary!$B$6)</f>
        <v>656845.8</v>
      </c>
      <c r="L38" s="26" t="n">
        <v>1.672</v>
      </c>
      <c r="M38" s="27" t="n">
        <f aca="false">IF(K38&gt;0,1,0)</f>
        <v>1</v>
      </c>
      <c r="N38" s="11" t="n">
        <f aca="false">SUMIFS(K$2:K38,A$2:A38,A38,B$2:B38,B38)</f>
        <v>2167194.3</v>
      </c>
      <c r="O38" s="11" t="n">
        <f aca="false">MAX(0,_xlfn.MAXIFS(N$2:N38,A$2:A38,A38,B$2:B38,B38))</f>
        <v>2167194.3</v>
      </c>
      <c r="P38" s="11" t="n">
        <f aca="false">N38-O38</f>
        <v>0</v>
      </c>
    </row>
    <row r="39" customFormat="false" ht="15" hidden="false" customHeight="false" outlineLevel="0" collapsed="false">
      <c r="A39" s="8" t="s">
        <v>26</v>
      </c>
      <c r="B39" s="8" t="s">
        <v>27</v>
      </c>
      <c r="C39" s="8" t="s">
        <v>56</v>
      </c>
      <c r="D39" s="21" t="n">
        <v>46020.8333333333</v>
      </c>
      <c r="E39" s="21" t="n">
        <v>46022.375</v>
      </c>
      <c r="F39" s="22" t="n">
        <f aca="false">DATE(YEAR(E39),MONTH(E39),1)</f>
        <v>45992</v>
      </c>
      <c r="G39" s="23" t="n">
        <v>254834</v>
      </c>
      <c r="H39" s="8" t="s">
        <v>55</v>
      </c>
      <c r="I39" s="24" t="n">
        <v>-14957.82</v>
      </c>
      <c r="J39" s="25" t="n">
        <f aca="false">Summary!$B$4</f>
        <v>1</v>
      </c>
      <c r="K39" s="11" t="n">
        <f aca="false">I39*J39*IF(A39="SILVER",Summary!$B$5,Summary!$B$6)</f>
        <v>-448734.6</v>
      </c>
      <c r="L39" s="26" t="n">
        <v>-0.547</v>
      </c>
      <c r="M39" s="27" t="n">
        <f aca="false">IF(K39&gt;0,1,0)</f>
        <v>0</v>
      </c>
      <c r="N39" s="11" t="n">
        <f aca="false">SUMIFS(K$2:K39,A$2:A39,A39,B$2:B39,B39)</f>
        <v>1718459.7</v>
      </c>
      <c r="O39" s="11" t="n">
        <f aca="false">MAX(0,_xlfn.MAXIFS(N$2:N39,A$2:A39,A39,B$2:B39,B39))</f>
        <v>2167194.3</v>
      </c>
      <c r="P39" s="11" t="n">
        <f aca="false">N39-O39</f>
        <v>-448734.6</v>
      </c>
    </row>
    <row r="40" customFormat="false" ht="15" hidden="false" customHeight="false" outlineLevel="0" collapsed="false">
      <c r="A40" s="8" t="s">
        <v>26</v>
      </c>
      <c r="B40" s="8" t="s">
        <v>27</v>
      </c>
      <c r="C40" s="8" t="s">
        <v>54</v>
      </c>
      <c r="D40" s="21" t="n">
        <v>46022.375</v>
      </c>
      <c r="E40" s="21" t="n">
        <v>46030.5</v>
      </c>
      <c r="F40" s="22" t="n">
        <f aca="false">DATE(YEAR(E40),MONTH(E40),1)</f>
        <v>46023</v>
      </c>
      <c r="G40" s="23" t="n">
        <v>269734</v>
      </c>
      <c r="H40" s="8" t="s">
        <v>55</v>
      </c>
      <c r="I40" s="24" t="n">
        <v>1395.57</v>
      </c>
      <c r="J40" s="25" t="n">
        <f aca="false">Summary!$B$4</f>
        <v>1</v>
      </c>
      <c r="K40" s="11" t="n">
        <f aca="false">I40*J40*IF(A40="SILVER",Summary!$B$5,Summary!$B$6)</f>
        <v>41867.1</v>
      </c>
      <c r="L40" s="26" t="n">
        <v>0.101</v>
      </c>
      <c r="M40" s="27" t="n">
        <f aca="false">IF(K40&gt;0,1,0)</f>
        <v>1</v>
      </c>
      <c r="N40" s="11" t="n">
        <f aca="false">SUMIFS(K$2:K40,A$2:A40,A40,B$2:B40,B40)</f>
        <v>1760326.8</v>
      </c>
      <c r="O40" s="11" t="n">
        <f aca="false">MAX(0,_xlfn.MAXIFS(N$2:N40,A$2:A40,A40,B$2:B40,B40))</f>
        <v>2167194.3</v>
      </c>
      <c r="P40" s="11" t="n">
        <f aca="false">N40-O40</f>
        <v>-406867.5</v>
      </c>
    </row>
    <row r="41" customFormat="false" ht="15" hidden="false" customHeight="false" outlineLevel="0" collapsed="false">
      <c r="A41" s="8" t="s">
        <v>26</v>
      </c>
      <c r="B41" s="8" t="s">
        <v>27</v>
      </c>
      <c r="C41" s="8" t="s">
        <v>56</v>
      </c>
      <c r="D41" s="21" t="n">
        <v>46030.5</v>
      </c>
      <c r="E41" s="21" t="n">
        <v>46031.875</v>
      </c>
      <c r="F41" s="22" t="n">
        <f aca="false">DATE(YEAR(E41),MONTH(E41),1)</f>
        <v>46023</v>
      </c>
      <c r="G41" s="23" t="n">
        <v>271189</v>
      </c>
      <c r="H41" s="8" t="s">
        <v>55</v>
      </c>
      <c r="I41" s="24" t="n">
        <v>-11804.75</v>
      </c>
      <c r="J41" s="25" t="n">
        <f aca="false">Summary!$B$4</f>
        <v>1</v>
      </c>
      <c r="K41" s="11" t="n">
        <f aca="false">I41*J41*IF(A41="SILVER",Summary!$B$5,Summary!$B$6)</f>
        <v>-354142.5</v>
      </c>
      <c r="L41" s="26" t="n">
        <v>-0.659</v>
      </c>
      <c r="M41" s="27" t="n">
        <f aca="false">IF(K41&gt;0,1,0)</f>
        <v>0</v>
      </c>
      <c r="N41" s="11" t="n">
        <f aca="false">SUMIFS(K$2:K41,A$2:A41,A41,B$2:B41,B41)</f>
        <v>1406184.3</v>
      </c>
      <c r="O41" s="11" t="n">
        <f aca="false">MAX(0,_xlfn.MAXIFS(N$2:N41,A$2:A41,A41,B$2:B41,B41))</f>
        <v>2167194.3</v>
      </c>
      <c r="P41" s="11" t="n">
        <f aca="false">N41-O41</f>
        <v>-761010</v>
      </c>
    </row>
    <row r="42" customFormat="false" ht="15" hidden="false" customHeight="false" outlineLevel="0" collapsed="false">
      <c r="A42" s="8" t="s">
        <v>26</v>
      </c>
      <c r="B42" s="8" t="s">
        <v>27</v>
      </c>
      <c r="C42" s="8" t="s">
        <v>54</v>
      </c>
      <c r="D42" s="21" t="n">
        <v>46031.875</v>
      </c>
      <c r="E42" s="21" t="n">
        <v>46044.4166666667</v>
      </c>
      <c r="F42" s="22" t="n">
        <f aca="false">DATE(YEAR(E42),MONTH(E42),1)</f>
        <v>46023</v>
      </c>
      <c r="G42" s="23" t="n">
        <v>282934</v>
      </c>
      <c r="H42" s="8" t="s">
        <v>55</v>
      </c>
      <c r="I42" s="24" t="n">
        <v>51086.97</v>
      </c>
      <c r="J42" s="25" t="n">
        <f aca="false">Summary!$B$4</f>
        <v>1</v>
      </c>
      <c r="K42" s="11" t="n">
        <f aca="false">I42*J42*IF(A42="SILVER",Summary!$B$5,Summary!$B$6)</f>
        <v>1532609.1</v>
      </c>
      <c r="L42" s="26" t="n">
        <v>2.62</v>
      </c>
      <c r="M42" s="27" t="n">
        <f aca="false">IF(K42&gt;0,1,0)</f>
        <v>1</v>
      </c>
      <c r="N42" s="11" t="n">
        <f aca="false">SUMIFS(K$2:K42,A$2:A42,A42,B$2:B42,B42)</f>
        <v>2938793.4</v>
      </c>
      <c r="O42" s="11" t="n">
        <f aca="false">MAX(0,_xlfn.MAXIFS(N$2:N42,A$2:A42,A42,B$2:B42,B42))</f>
        <v>2938793.4</v>
      </c>
      <c r="P42" s="11" t="n">
        <f aca="false">N42-O42</f>
        <v>0</v>
      </c>
    </row>
    <row r="43" customFormat="false" ht="15" hidden="false" customHeight="false" outlineLevel="0" collapsed="false">
      <c r="A43" s="8" t="s">
        <v>26</v>
      </c>
      <c r="B43" s="8" t="s">
        <v>27</v>
      </c>
      <c r="C43" s="8" t="s">
        <v>56</v>
      </c>
      <c r="D43" s="21" t="n">
        <v>46044.4166666667</v>
      </c>
      <c r="E43" s="21" t="n">
        <v>46049.4166666667</v>
      </c>
      <c r="F43" s="22" t="n">
        <f aca="false">DATE(YEAR(E43),MONTH(E43),1)</f>
        <v>46023</v>
      </c>
      <c r="G43" s="23" t="n">
        <v>334087</v>
      </c>
      <c r="H43" s="8" t="s">
        <v>55</v>
      </c>
      <c r="I43" s="24" t="n">
        <v>-51173.27</v>
      </c>
      <c r="J43" s="25" t="n">
        <f aca="false">Summary!$B$4</f>
        <v>1</v>
      </c>
      <c r="K43" s="11" t="n">
        <f aca="false">I43*J43*IF(A43="SILVER",Summary!$B$5,Summary!$B$6)</f>
        <v>-1535198.1</v>
      </c>
      <c r="L43" s="26" t="n">
        <v>-1.317</v>
      </c>
      <c r="M43" s="27" t="n">
        <f aca="false">IF(K43&gt;0,1,0)</f>
        <v>0</v>
      </c>
      <c r="N43" s="11" t="n">
        <f aca="false">SUMIFS(K$2:K43,A$2:A43,A43,B$2:B43,B43)</f>
        <v>1403595.3</v>
      </c>
      <c r="O43" s="11" t="n">
        <f aca="false">MAX(0,_xlfn.MAXIFS(N$2:N43,A$2:A43,A43,B$2:B43,B43))</f>
        <v>2938793.4</v>
      </c>
      <c r="P43" s="11" t="n">
        <f aca="false">N43-O43</f>
        <v>-1535198.1</v>
      </c>
    </row>
    <row r="44" customFormat="false" ht="15" hidden="false" customHeight="false" outlineLevel="0" collapsed="false">
      <c r="A44" s="8" t="s">
        <v>26</v>
      </c>
      <c r="B44" s="8" t="s">
        <v>27</v>
      </c>
      <c r="C44" s="8" t="s">
        <v>54</v>
      </c>
      <c r="D44" s="21" t="n">
        <v>46049.4166666667</v>
      </c>
      <c r="E44" s="21" t="n">
        <v>46051.875</v>
      </c>
      <c r="F44" s="22" t="n">
        <f aca="false">DATE(YEAR(E44),MONTH(E44),1)</f>
        <v>46023</v>
      </c>
      <c r="G44" s="23" t="n">
        <v>385184</v>
      </c>
      <c r="H44" s="8" t="s">
        <v>55</v>
      </c>
      <c r="I44" s="24" t="n">
        <v>7620.89</v>
      </c>
      <c r="J44" s="25" t="n">
        <f aca="false">Summary!$B$4</f>
        <v>1</v>
      </c>
      <c r="K44" s="11" t="n">
        <f aca="false">I44*J44*IF(A44="SILVER",Summary!$B$5,Summary!$B$6)</f>
        <v>228626.7</v>
      </c>
      <c r="L44" s="26" t="n">
        <v>0.188</v>
      </c>
      <c r="M44" s="27" t="n">
        <f aca="false">IF(K44&gt;0,1,0)</f>
        <v>1</v>
      </c>
      <c r="N44" s="11" t="n">
        <f aca="false">SUMIFS(K$2:K44,A$2:A44,A44,B$2:B44,B44)</f>
        <v>1632222</v>
      </c>
      <c r="O44" s="11" t="n">
        <f aca="false">MAX(0,_xlfn.MAXIFS(N$2:N44,A$2:A44,A44,B$2:B44,B44))</f>
        <v>2938793.4</v>
      </c>
      <c r="P44" s="11" t="n">
        <f aca="false">N44-O44</f>
        <v>-1306571.4</v>
      </c>
    </row>
    <row r="45" customFormat="false" ht="15" hidden="false" customHeight="false" outlineLevel="0" collapsed="false">
      <c r="A45" s="8" t="s">
        <v>26</v>
      </c>
      <c r="B45" s="8" t="s">
        <v>27</v>
      </c>
      <c r="C45" s="8" t="s">
        <v>56</v>
      </c>
      <c r="D45" s="21" t="n">
        <v>46051.875</v>
      </c>
      <c r="E45" s="21" t="n">
        <v>46073.625</v>
      </c>
      <c r="F45" s="22" t="n">
        <f aca="false">DATE(YEAR(E45),MONTH(E45),1)</f>
        <v>46054</v>
      </c>
      <c r="G45" s="23" t="n">
        <v>392887</v>
      </c>
      <c r="H45" s="8" t="s">
        <v>55</v>
      </c>
      <c r="I45" s="24" t="n">
        <v>114404.57</v>
      </c>
      <c r="J45" s="25" t="n">
        <f aca="false">Summary!$B$4</f>
        <v>1</v>
      </c>
      <c r="K45" s="11" t="n">
        <f aca="false">I45*J45*IF(A45="SILVER",Summary!$B$5,Summary!$B$6)</f>
        <v>3432137.1</v>
      </c>
      <c r="L45" s="26" t="n">
        <v>1.549</v>
      </c>
      <c r="M45" s="27" t="n">
        <f aca="false">IF(K45&gt;0,1,0)</f>
        <v>1</v>
      </c>
      <c r="N45" s="11" t="n">
        <f aca="false">SUMIFS(K$2:K45,A$2:A45,A45,B$2:B45,B45)</f>
        <v>5064359.1</v>
      </c>
      <c r="O45" s="11" t="n">
        <f aca="false">MAX(0,_xlfn.MAXIFS(N$2:N45,A$2:A45,A45,B$2:B45,B45))</f>
        <v>5064359.1</v>
      </c>
      <c r="P45" s="11" t="n">
        <f aca="false">N45-O45</f>
        <v>0</v>
      </c>
    </row>
    <row r="46" customFormat="false" ht="15" hidden="false" customHeight="false" outlineLevel="0" collapsed="false">
      <c r="A46" s="8" t="s">
        <v>26</v>
      </c>
      <c r="B46" s="8" t="s">
        <v>27</v>
      </c>
      <c r="C46" s="8" t="s">
        <v>54</v>
      </c>
      <c r="D46" s="21" t="n">
        <v>46073.625</v>
      </c>
      <c r="E46" s="21" t="n">
        <v>46083.9201388889</v>
      </c>
      <c r="F46" s="22" t="n">
        <f aca="false">DATE(YEAR(E46),MONTH(E46),1)</f>
        <v>46082</v>
      </c>
      <c r="G46" s="23" t="n">
        <v>278411</v>
      </c>
      <c r="H46" s="8" t="s">
        <v>55</v>
      </c>
      <c r="I46" s="24" t="n">
        <v>18960.97</v>
      </c>
      <c r="J46" s="25" t="n">
        <f aca="false">Summary!$B$4</f>
        <v>1</v>
      </c>
      <c r="K46" s="11" t="n">
        <f aca="false">I46*J46*IF(A46="SILVER",Summary!$B$5,Summary!$B$6)</f>
        <v>568829.1</v>
      </c>
      <c r="L46" s="26" t="n">
        <v>1.054</v>
      </c>
      <c r="M46" s="27" t="n">
        <f aca="false">IF(K46&gt;0,1,0)</f>
        <v>1</v>
      </c>
      <c r="N46" s="11" t="n">
        <f aca="false">SUMIFS(K$2:K46,A$2:A46,A46,B$2:B46,B46)</f>
        <v>5633188.2</v>
      </c>
      <c r="O46" s="11" t="n">
        <f aca="false">MAX(0,_xlfn.MAXIFS(N$2:N46,A$2:A46,A46,B$2:B46,B46))</f>
        <v>5633188.2</v>
      </c>
      <c r="P46" s="11" t="n">
        <f aca="false">N46-O46</f>
        <v>0</v>
      </c>
    </row>
    <row r="47" customFormat="false" ht="15" hidden="false" customHeight="false" outlineLevel="0" collapsed="false">
      <c r="A47" s="8" t="s">
        <v>26</v>
      </c>
      <c r="B47" s="8" t="s">
        <v>27</v>
      </c>
      <c r="C47" s="8" t="s">
        <v>56</v>
      </c>
      <c r="D47" s="21" t="n">
        <v>46083.9201388889</v>
      </c>
      <c r="E47" s="21" t="n">
        <v>46091.7916666667</v>
      </c>
      <c r="F47" s="22" t="n">
        <f aca="false">DATE(YEAR(E47),MONTH(E47),1)</f>
        <v>46082</v>
      </c>
      <c r="G47" s="23" t="n">
        <v>297434</v>
      </c>
      <c r="H47" s="8" t="s">
        <v>55</v>
      </c>
      <c r="I47" s="24" t="n">
        <v>1419.37</v>
      </c>
      <c r="J47" s="25" t="n">
        <f aca="false">Summary!$B$4</f>
        <v>1</v>
      </c>
      <c r="K47" s="11" t="n">
        <f aca="false">I47*J47*IF(A47="SILVER",Summary!$B$5,Summary!$B$6)</f>
        <v>42581.1</v>
      </c>
      <c r="L47" s="26" t="n">
        <v>0.065</v>
      </c>
      <c r="M47" s="27" t="n">
        <f aca="false">IF(K47&gt;0,1,0)</f>
        <v>1</v>
      </c>
      <c r="N47" s="11" t="n">
        <f aca="false">SUMIFS(K$2:K47,A$2:A47,A47,B$2:B47,B47)</f>
        <v>5675769.3</v>
      </c>
      <c r="O47" s="11" t="n">
        <f aca="false">MAX(0,_xlfn.MAXIFS(N$2:N47,A$2:A47,A47,B$2:B47,B47))</f>
        <v>5675769.3</v>
      </c>
      <c r="P47" s="11" t="n">
        <f aca="false">N47-O47</f>
        <v>0</v>
      </c>
    </row>
    <row r="48" customFormat="false" ht="15" hidden="false" customHeight="false" outlineLevel="0" collapsed="false">
      <c r="A48" s="8" t="s">
        <v>26</v>
      </c>
      <c r="B48" s="8" t="s">
        <v>27</v>
      </c>
      <c r="C48" s="8" t="s">
        <v>54</v>
      </c>
      <c r="D48" s="21" t="n">
        <v>46091.7916666667</v>
      </c>
      <c r="E48" s="21" t="n">
        <v>46094.5</v>
      </c>
      <c r="F48" s="22" t="n">
        <f aca="false">DATE(YEAR(E48),MONTH(E48),1)</f>
        <v>46082</v>
      </c>
      <c r="G48" s="23" t="n">
        <v>295884</v>
      </c>
      <c r="H48" s="8" t="s">
        <v>55</v>
      </c>
      <c r="I48" s="24" t="n">
        <v>-14775.21</v>
      </c>
      <c r="J48" s="25" t="n">
        <f aca="false">Summary!$B$4</f>
        <v>1</v>
      </c>
      <c r="K48" s="11" t="n">
        <f aca="false">I48*J48*IF(A48="SILVER",Summary!$B$5,Summary!$B$6)</f>
        <v>-443256.3</v>
      </c>
      <c r="L48" s="26" t="n">
        <v>-0.879</v>
      </c>
      <c r="M48" s="27" t="n">
        <f aca="false">IF(K48&gt;0,1,0)</f>
        <v>0</v>
      </c>
      <c r="N48" s="11" t="n">
        <f aca="false">SUMIFS(K$2:K48,A$2:A48,A48,B$2:B48,B48)</f>
        <v>5232513</v>
      </c>
      <c r="O48" s="11" t="n">
        <f aca="false">MAX(0,_xlfn.MAXIFS(N$2:N48,A$2:A48,A48,B$2:B48,B48))</f>
        <v>5675769.3</v>
      </c>
      <c r="P48" s="11" t="n">
        <f aca="false">N48-O48</f>
        <v>-443256.3</v>
      </c>
    </row>
    <row r="49" customFormat="false" ht="15" hidden="false" customHeight="false" outlineLevel="0" collapsed="false">
      <c r="A49" s="8" t="s">
        <v>26</v>
      </c>
      <c r="B49" s="8" t="s">
        <v>27</v>
      </c>
      <c r="C49" s="8" t="s">
        <v>56</v>
      </c>
      <c r="D49" s="21" t="n">
        <v>46094.5</v>
      </c>
      <c r="E49" s="21" t="n">
        <v>46106.4166666667</v>
      </c>
      <c r="F49" s="22" t="n">
        <f aca="false">DATE(YEAR(E49),MONTH(E49),1)</f>
        <v>46082</v>
      </c>
      <c r="G49" s="23" t="n">
        <v>281173</v>
      </c>
      <c r="H49" s="8" t="s">
        <v>55</v>
      </c>
      <c r="I49" s="24" t="n">
        <v>27164.01</v>
      </c>
      <c r="J49" s="25" t="n">
        <f aca="false">Summary!$B$4</f>
        <v>1</v>
      </c>
      <c r="K49" s="11" t="n">
        <f aca="false">I49*J49*IF(A49="SILVER",Summary!$B$5,Summary!$B$6)</f>
        <v>814920.3</v>
      </c>
      <c r="L49" s="26" t="n">
        <v>1.721</v>
      </c>
      <c r="M49" s="27" t="n">
        <f aca="false">IF(K49&gt;0,1,0)</f>
        <v>1</v>
      </c>
      <c r="N49" s="11" t="n">
        <f aca="false">SUMIFS(K$2:K49,A$2:A49,A49,B$2:B49,B49)</f>
        <v>6047433.3</v>
      </c>
      <c r="O49" s="11" t="n">
        <f aca="false">MAX(0,_xlfn.MAXIFS(N$2:N49,A$2:A49,A49,B$2:B49,B49))</f>
        <v>6047433.3</v>
      </c>
      <c r="P49" s="11" t="n">
        <f aca="false">N49-O49</f>
        <v>0</v>
      </c>
    </row>
    <row r="50" customFormat="false" ht="15" hidden="false" customHeight="false" outlineLevel="0" collapsed="false">
      <c r="A50" s="8" t="s">
        <v>26</v>
      </c>
      <c r="B50" s="8" t="s">
        <v>27</v>
      </c>
      <c r="C50" s="8" t="s">
        <v>54</v>
      </c>
      <c r="D50" s="21" t="n">
        <v>46106.4166666667</v>
      </c>
      <c r="E50" s="21" t="n">
        <v>46114.5</v>
      </c>
      <c r="F50" s="22" t="n">
        <f aca="false">DATE(YEAR(E50),MONTH(E50),1)</f>
        <v>46113</v>
      </c>
      <c r="G50" s="23" t="n">
        <v>253949</v>
      </c>
      <c r="H50" s="8" t="s">
        <v>55</v>
      </c>
      <c r="I50" s="24" t="n">
        <v>-10336.29</v>
      </c>
      <c r="J50" s="25" t="n">
        <f aca="false">Summary!$B$4</f>
        <v>1</v>
      </c>
      <c r="K50" s="11" t="n">
        <f aca="false">I50*J50*IF(A50="SILVER",Summary!$B$5,Summary!$B$6)</f>
        <v>-310088.7</v>
      </c>
      <c r="L50" s="26" t="n">
        <v>-0.316</v>
      </c>
      <c r="M50" s="27" t="n">
        <f aca="false">IF(K50&gt;0,1,0)</f>
        <v>0</v>
      </c>
      <c r="N50" s="11" t="n">
        <f aca="false">SUMIFS(K$2:K50,A$2:A50,A50,B$2:B50,B50)</f>
        <v>5737344.6</v>
      </c>
      <c r="O50" s="11" t="n">
        <f aca="false">MAX(0,_xlfn.MAXIFS(N$2:N50,A$2:A50,A50,B$2:B50,B50))</f>
        <v>6047433.3</v>
      </c>
      <c r="P50" s="11" t="n">
        <f aca="false">N50-O50</f>
        <v>-310088.7</v>
      </c>
    </row>
    <row r="51" customFormat="false" ht="15" hidden="false" customHeight="false" outlineLevel="0" collapsed="false">
      <c r="A51" s="8" t="s">
        <v>26</v>
      </c>
      <c r="B51" s="8" t="s">
        <v>27</v>
      </c>
      <c r="C51" s="8" t="s">
        <v>56</v>
      </c>
      <c r="D51" s="21" t="n">
        <v>46114.5</v>
      </c>
      <c r="E51" s="21" t="n">
        <v>46120.4166666667</v>
      </c>
      <c r="F51" s="22" t="n">
        <f aca="false">DATE(YEAR(E51),MONTH(E51),1)</f>
        <v>46113</v>
      </c>
      <c r="G51" s="23" t="n">
        <v>243669</v>
      </c>
      <c r="H51" s="8" t="s">
        <v>55</v>
      </c>
      <c r="I51" s="24" t="n">
        <v>-17620.03</v>
      </c>
      <c r="J51" s="25" t="n">
        <f aca="false">Summary!$B$4</f>
        <v>1</v>
      </c>
      <c r="K51" s="11" t="n">
        <f aca="false">I51*J51*IF(A51="SILVER",Summary!$B$5,Summary!$B$6)</f>
        <v>-528600.9</v>
      </c>
      <c r="L51" s="26" t="n">
        <v>-0.852</v>
      </c>
      <c r="M51" s="27" t="n">
        <f aca="false">IF(K51&gt;0,1,0)</f>
        <v>0</v>
      </c>
      <c r="N51" s="11" t="n">
        <f aca="false">SUMIFS(K$2:K51,A$2:A51,A51,B$2:B51,B51)</f>
        <v>5208743.7</v>
      </c>
      <c r="O51" s="11" t="n">
        <f aca="false">MAX(0,_xlfn.MAXIFS(N$2:N51,A$2:A51,A51,B$2:B51,B51))</f>
        <v>6047433.3</v>
      </c>
      <c r="P51" s="11" t="n">
        <f aca="false">N51-O51</f>
        <v>-838689.600000001</v>
      </c>
    </row>
    <row r="52" customFormat="false" ht="15" hidden="false" customHeight="false" outlineLevel="0" collapsed="false">
      <c r="A52" s="8" t="s">
        <v>26</v>
      </c>
      <c r="B52" s="8" t="s">
        <v>27</v>
      </c>
      <c r="C52" s="8" t="s">
        <v>54</v>
      </c>
      <c r="D52" s="21" t="n">
        <v>46120.4166666667</v>
      </c>
      <c r="E52" s="21" t="n">
        <v>46133.875</v>
      </c>
      <c r="F52" s="22" t="n">
        <f aca="false">DATE(YEAR(E52),MONTH(E52),1)</f>
        <v>46113</v>
      </c>
      <c r="G52" s="23" t="n">
        <v>261232</v>
      </c>
      <c r="H52" s="8" t="s">
        <v>55</v>
      </c>
      <c r="I52" s="24" t="n">
        <v>1442.08</v>
      </c>
      <c r="J52" s="25" t="n">
        <f aca="false">Summary!$B$4</f>
        <v>1</v>
      </c>
      <c r="K52" s="11" t="n">
        <f aca="false">I52*J52*IF(A52="SILVER",Summary!$B$5,Summary!$B$6)</f>
        <v>43262.4</v>
      </c>
      <c r="L52" s="26" t="n">
        <v>0.076</v>
      </c>
      <c r="M52" s="27" t="n">
        <f aca="false">IF(K52&gt;0,1,0)</f>
        <v>1</v>
      </c>
      <c r="N52" s="11" t="n">
        <f aca="false">SUMIFS(K$2:K52,A$2:A52,A52,B$2:B52,B52)</f>
        <v>5252006.1</v>
      </c>
      <c r="O52" s="11" t="n">
        <f aca="false">MAX(0,_xlfn.MAXIFS(N$2:N52,A$2:A52,A52,B$2:B52,B52))</f>
        <v>6047433.3</v>
      </c>
      <c r="P52" s="11" t="n">
        <f aca="false">N52-O52</f>
        <v>-795427.2</v>
      </c>
    </row>
    <row r="53" customFormat="false" ht="15" hidden="false" customHeight="false" outlineLevel="0" collapsed="false">
      <c r="A53" s="8" t="s">
        <v>26</v>
      </c>
      <c r="B53" s="8" t="s">
        <v>27</v>
      </c>
      <c r="C53" s="8" t="s">
        <v>56</v>
      </c>
      <c r="D53" s="21" t="n">
        <v>46133.875</v>
      </c>
      <c r="E53" s="21" t="n">
        <v>46143.8340277778</v>
      </c>
      <c r="F53" s="22" t="n">
        <f aca="false">DATE(YEAR(E53),MONTH(E53),1)</f>
        <v>46143</v>
      </c>
      <c r="G53" s="23" t="n">
        <v>262733</v>
      </c>
      <c r="H53" s="8" t="s">
        <v>55</v>
      </c>
      <c r="I53" s="24" t="n">
        <v>-2211.31</v>
      </c>
      <c r="J53" s="25" t="n">
        <f aca="false">Summary!$B$4</f>
        <v>1</v>
      </c>
      <c r="K53" s="11" t="n">
        <f aca="false">I53*J53*IF(A53="SILVER",Summary!$B$5,Summary!$B$6)</f>
        <v>-66339.3</v>
      </c>
      <c r="L53" s="26" t="n">
        <v>-0.178</v>
      </c>
      <c r="M53" s="27" t="n">
        <f aca="false">IF(K53&gt;0,1,0)</f>
        <v>0</v>
      </c>
      <c r="N53" s="11" t="n">
        <f aca="false">SUMIFS(K$2:K53,A$2:A53,A53,B$2:B53,B53)</f>
        <v>5185666.8</v>
      </c>
      <c r="O53" s="11" t="n">
        <f aca="false">MAX(0,_xlfn.MAXIFS(N$2:N53,A$2:A53,A53,B$2:B53,B53))</f>
        <v>6047433.3</v>
      </c>
      <c r="P53" s="11" t="n">
        <f aca="false">N53-O53</f>
        <v>-861766.5</v>
      </c>
    </row>
    <row r="54" customFormat="false" ht="15" hidden="false" customHeight="false" outlineLevel="0" collapsed="false">
      <c r="A54" s="8" t="s">
        <v>26</v>
      </c>
      <c r="B54" s="8" t="s">
        <v>27</v>
      </c>
      <c r="C54" s="8" t="s">
        <v>54</v>
      </c>
      <c r="D54" s="21" t="n">
        <v>46143.8340277778</v>
      </c>
      <c r="E54" s="21" t="n">
        <v>46147.5819444444</v>
      </c>
      <c r="F54" s="22" t="n">
        <f aca="false">DATE(YEAR(E54),MONTH(E54),1)</f>
        <v>46143</v>
      </c>
      <c r="G54" s="23" t="n">
        <v>264885</v>
      </c>
      <c r="H54" s="8" t="s">
        <v>55</v>
      </c>
      <c r="I54" s="24" t="n">
        <v>-7558.37</v>
      </c>
      <c r="J54" s="25" t="n">
        <f aca="false">Summary!$B$4</f>
        <v>1</v>
      </c>
      <c r="K54" s="11" t="n">
        <f aca="false">I54*J54*IF(A54="SILVER",Summary!$B$5,Summary!$B$6)</f>
        <v>-226751.1</v>
      </c>
      <c r="L54" s="26" t="n">
        <v>-0.591</v>
      </c>
      <c r="M54" s="27" t="n">
        <f aca="false">IF(K54&gt;0,1,0)</f>
        <v>0</v>
      </c>
      <c r="N54" s="11" t="n">
        <f aca="false">SUMIFS(K$2:K54,A$2:A54,A54,B$2:B54,B54)</f>
        <v>4958915.7</v>
      </c>
      <c r="O54" s="11" t="n">
        <f aca="false">MAX(0,_xlfn.MAXIFS(N$2:N54,A$2:A54,A54,B$2:B54,B54))</f>
        <v>6047433.3</v>
      </c>
      <c r="P54" s="11" t="n">
        <f aca="false">N54-O54</f>
        <v>-1088517.6</v>
      </c>
    </row>
    <row r="55" customFormat="false" ht="15" hidden="false" customHeight="false" outlineLevel="0" collapsed="false">
      <c r="A55" s="8" t="s">
        <v>26</v>
      </c>
      <c r="B55" s="8" t="s">
        <v>27</v>
      </c>
      <c r="C55" s="8" t="s">
        <v>56</v>
      </c>
      <c r="D55" s="21" t="n">
        <v>46147.5819444444</v>
      </c>
      <c r="E55" s="21" t="n">
        <v>46149.6666666667</v>
      </c>
      <c r="F55" s="22" t="n">
        <f aca="false">DATE(YEAR(E55),MONTH(E55),1)</f>
        <v>46143</v>
      </c>
      <c r="G55" s="23" t="n">
        <v>257385</v>
      </c>
      <c r="H55" s="8" t="s">
        <v>55</v>
      </c>
      <c r="I55" s="24" t="n">
        <v>-10335.79</v>
      </c>
      <c r="J55" s="25" t="n">
        <f aca="false">Summary!$B$4</f>
        <v>1</v>
      </c>
      <c r="K55" s="11" t="n">
        <f aca="false">I55*J55*IF(A55="SILVER",Summary!$B$5,Summary!$B$6)</f>
        <v>-310073.7</v>
      </c>
      <c r="L55" s="26" t="n">
        <v>-1.065</v>
      </c>
      <c r="M55" s="27" t="n">
        <f aca="false">IF(K55&gt;0,1,0)</f>
        <v>0</v>
      </c>
      <c r="N55" s="11" t="n">
        <f aca="false">SUMIFS(K$2:K55,A$2:A55,A55,B$2:B55,B55)</f>
        <v>4648842</v>
      </c>
      <c r="O55" s="11" t="n">
        <f aca="false">MAX(0,_xlfn.MAXIFS(N$2:N55,A$2:A55,A55,B$2:B55,B55))</f>
        <v>6047433.3</v>
      </c>
      <c r="P55" s="11" t="n">
        <f aca="false">N55-O55</f>
        <v>-1398591.3</v>
      </c>
    </row>
    <row r="56" customFormat="false" ht="15" hidden="false" customHeight="false" outlineLevel="0" collapsed="false">
      <c r="A56" s="8" t="s">
        <v>26</v>
      </c>
      <c r="B56" s="8" t="s">
        <v>27</v>
      </c>
      <c r="C56" s="8" t="s">
        <v>54</v>
      </c>
      <c r="D56" s="21" t="n">
        <v>46149.6666666667</v>
      </c>
      <c r="E56" s="21" t="n">
        <v>46157.4166666667</v>
      </c>
      <c r="F56" s="22" t="n">
        <f aca="false">DATE(YEAR(E56),MONTH(E56),1)</f>
        <v>46143</v>
      </c>
      <c r="G56" s="23" t="n">
        <v>267599</v>
      </c>
      <c r="H56" s="8" t="s">
        <v>55</v>
      </c>
      <c r="I56" s="24" t="n">
        <v>21905.67</v>
      </c>
      <c r="J56" s="25" t="n">
        <f aca="false">Summary!$B$4</f>
        <v>1</v>
      </c>
      <c r="K56" s="11" t="n">
        <f aca="false">I56*J56*IF(A56="SILVER",Summary!$B$5,Summary!$B$6)</f>
        <v>657170.1</v>
      </c>
      <c r="L56" s="26" t="n">
        <v>1.911</v>
      </c>
      <c r="M56" s="27" t="n">
        <f aca="false">IF(K56&gt;0,1,0)</f>
        <v>1</v>
      </c>
      <c r="N56" s="11" t="n">
        <f aca="false">SUMIFS(K$2:K56,A$2:A56,A56,B$2:B56,B56)</f>
        <v>5306012.1</v>
      </c>
      <c r="O56" s="11" t="n">
        <f aca="false">MAX(0,_xlfn.MAXIFS(N$2:N56,A$2:A56,A56,B$2:B56,B56))</f>
        <v>6047433.3</v>
      </c>
      <c r="P56" s="11" t="n">
        <f aca="false">N56-O56</f>
        <v>-741421.2</v>
      </c>
    </row>
    <row r="57" customFormat="false" ht="15" hidden="false" customHeight="false" outlineLevel="0" collapsed="false">
      <c r="A57" s="8" t="s">
        <v>26</v>
      </c>
      <c r="B57" s="8" t="s">
        <v>27</v>
      </c>
      <c r="C57" s="8" t="s">
        <v>56</v>
      </c>
      <c r="D57" s="21" t="n">
        <v>46157.4166666667</v>
      </c>
      <c r="E57" s="21" t="n">
        <v>46188.375</v>
      </c>
      <c r="F57" s="22" t="n">
        <f aca="false">DATE(YEAR(E57),MONTH(E57),1)</f>
        <v>46174</v>
      </c>
      <c r="G57" s="23" t="n">
        <v>289569</v>
      </c>
      <c r="H57" s="8" t="s">
        <v>55</v>
      </c>
      <c r="I57" s="24" t="n">
        <v>30974.07</v>
      </c>
      <c r="J57" s="25" t="n">
        <f aca="false">Summary!$B$4</f>
        <v>1</v>
      </c>
      <c r="K57" s="11" t="n">
        <f aca="false">I57*J57*IF(A57="SILVER",Summary!$B$5,Summary!$B$6)</f>
        <v>929222.1</v>
      </c>
      <c r="L57" s="26" t="n">
        <v>1.771</v>
      </c>
      <c r="M57" s="27" t="n">
        <f aca="false">IF(K57&gt;0,1,0)</f>
        <v>1</v>
      </c>
      <c r="N57" s="11" t="n">
        <f aca="false">SUMIFS(K$2:K57,A$2:A57,A57,B$2:B57,B57)</f>
        <v>6235234.2</v>
      </c>
      <c r="O57" s="11" t="n">
        <f aca="false">MAX(0,_xlfn.MAXIFS(N$2:N57,A$2:A57,A57,B$2:B57,B57))</f>
        <v>6235234.2</v>
      </c>
      <c r="P57" s="11" t="n">
        <f aca="false">N57-O57</f>
        <v>0</v>
      </c>
    </row>
    <row r="58" customFormat="false" ht="15" hidden="false" customHeight="false" outlineLevel="0" collapsed="false">
      <c r="A58" s="8" t="s">
        <v>26</v>
      </c>
      <c r="B58" s="8" t="s">
        <v>27</v>
      </c>
      <c r="C58" s="8" t="s">
        <v>54</v>
      </c>
      <c r="D58" s="21" t="n">
        <v>46188.375</v>
      </c>
      <c r="E58" s="21" t="n">
        <v>46191.7083333333</v>
      </c>
      <c r="F58" s="22" t="n">
        <f aca="false">DATE(YEAR(E58),MONTH(E58),1)</f>
        <v>46174</v>
      </c>
      <c r="G58" s="23" t="n">
        <v>258532</v>
      </c>
      <c r="H58" s="8" t="s">
        <v>55</v>
      </c>
      <c r="I58" s="24" t="n">
        <v>-10326.78</v>
      </c>
      <c r="J58" s="25" t="n">
        <f aca="false">Summary!$B$4</f>
        <v>1</v>
      </c>
      <c r="K58" s="11" t="n">
        <f aca="false">I58*J58*IF(A58="SILVER",Summary!$B$5,Summary!$B$6)</f>
        <v>-309803.4</v>
      </c>
      <c r="L58" s="26" t="n">
        <v>-0.535</v>
      </c>
      <c r="M58" s="27" t="n">
        <f aca="false">IF(K58&gt;0,1,0)</f>
        <v>0</v>
      </c>
      <c r="N58" s="11" t="n">
        <f aca="false">SUMIFS(K$2:K58,A$2:A58,A58,B$2:B58,B58)</f>
        <v>5925430.8</v>
      </c>
      <c r="O58" s="11" t="n">
        <f aca="false">MAX(0,_xlfn.MAXIFS(N$2:N58,A$2:A58,A58,B$2:B58,B58))</f>
        <v>6235234.2</v>
      </c>
      <c r="P58" s="11" t="n">
        <f aca="false">N58-O58</f>
        <v>-309803.399999999</v>
      </c>
    </row>
    <row r="59" customFormat="false" ht="15" hidden="false" customHeight="false" outlineLevel="0" collapsed="false">
      <c r="A59" s="8" t="s">
        <v>26</v>
      </c>
      <c r="B59" s="8" t="s">
        <v>27</v>
      </c>
      <c r="C59" s="8" t="s">
        <v>56</v>
      </c>
      <c r="D59" s="21" t="n">
        <v>46191.7083333333</v>
      </c>
      <c r="E59" s="21" t="n">
        <v>46203.7958333333</v>
      </c>
      <c r="F59" s="22" t="n">
        <f aca="false">DATE(YEAR(E59),MONTH(E59),1)</f>
        <v>46174</v>
      </c>
      <c r="G59" s="23" t="n">
        <v>248264</v>
      </c>
      <c r="H59" s="8" t="s">
        <v>55</v>
      </c>
      <c r="I59" s="24" t="n">
        <v>16488.27</v>
      </c>
      <c r="J59" s="25" t="n">
        <f aca="false">Summary!$B$4</f>
        <v>1</v>
      </c>
      <c r="K59" s="11" t="n">
        <f aca="false">I59*J59*IF(A59="SILVER",Summary!$B$5,Summary!$B$6)</f>
        <v>494648.1</v>
      </c>
      <c r="L59" s="26" t="n">
        <v>1.458</v>
      </c>
      <c r="M59" s="27" t="n">
        <f aca="false">IF(K59&gt;0,1,0)</f>
        <v>1</v>
      </c>
      <c r="N59" s="11" t="n">
        <f aca="false">SUMIFS(K$2:K59,A$2:A59,A59,B$2:B59,B59)</f>
        <v>6420078.9</v>
      </c>
      <c r="O59" s="11" t="n">
        <f aca="false">MAX(0,_xlfn.MAXIFS(N$2:N59,A$2:A59,A59,B$2:B59,B59))</f>
        <v>6420078.9</v>
      </c>
      <c r="P59" s="11" t="n">
        <f aca="false">N59-O59</f>
        <v>0</v>
      </c>
    </row>
    <row r="60" customFormat="false" ht="15" hidden="false" customHeight="false" outlineLevel="0" collapsed="false">
      <c r="A60" s="8" t="s">
        <v>26</v>
      </c>
      <c r="B60" s="8" t="s">
        <v>27</v>
      </c>
      <c r="C60" s="8" t="s">
        <v>54</v>
      </c>
      <c r="D60" s="21" t="n">
        <v>46203.7958333333</v>
      </c>
      <c r="E60" s="21" t="n">
        <v>46211.4166666667</v>
      </c>
      <c r="F60" s="22" t="n">
        <f aca="false">DATE(YEAR(E60),MONTH(E60),1)</f>
        <v>46204</v>
      </c>
      <c r="G60" s="23" t="n">
        <v>231719</v>
      </c>
      <c r="H60" s="8" t="s">
        <v>55</v>
      </c>
      <c r="I60" s="24" t="n">
        <v>2216.57</v>
      </c>
      <c r="J60" s="25" t="n">
        <f aca="false">Summary!$B$4</f>
        <v>1</v>
      </c>
      <c r="K60" s="11" t="n">
        <f aca="false">I60*J60*IF(A60="SILVER",Summary!$B$5,Summary!$B$6)</f>
        <v>66497.1</v>
      </c>
      <c r="L60" s="26" t="n">
        <v>0.201</v>
      </c>
      <c r="M60" s="27" t="n">
        <f aca="false">IF(K60&gt;0,1,0)</f>
        <v>1</v>
      </c>
      <c r="N60" s="11" t="n">
        <f aca="false">SUMIFS(K$2:K60,A$2:A60,A60,B$2:B60,B60)</f>
        <v>6486576</v>
      </c>
      <c r="O60" s="11" t="n">
        <f aca="false">MAX(0,_xlfn.MAXIFS(N$2:N60,A$2:A60,A60,B$2:B60,B60))</f>
        <v>6486576</v>
      </c>
      <c r="P60" s="11" t="n">
        <f aca="false">N60-O60</f>
        <v>0</v>
      </c>
    </row>
    <row r="61" customFormat="false" ht="15" hidden="false" customHeight="false" outlineLevel="0" collapsed="false">
      <c r="A61" s="8" t="s">
        <v>26</v>
      </c>
      <c r="B61" s="8" t="s">
        <v>27</v>
      </c>
      <c r="C61" s="8" t="s">
        <v>56</v>
      </c>
      <c r="D61" s="21" t="n">
        <v>46211.4166666667</v>
      </c>
      <c r="E61" s="21" t="n">
        <v>46224.5</v>
      </c>
      <c r="F61" s="22" t="n">
        <f aca="false">DATE(YEAR(E61),MONTH(E61),1)</f>
        <v>46204</v>
      </c>
      <c r="G61" s="23" t="n">
        <v>234047</v>
      </c>
      <c r="H61" s="8" t="s">
        <v>55</v>
      </c>
      <c r="I61" s="24" t="n">
        <v>6933.82</v>
      </c>
      <c r="J61" s="25" t="n">
        <f aca="false">Summary!$B$4</f>
        <v>1</v>
      </c>
      <c r="K61" s="11" t="n">
        <f aca="false">I61*J61*IF(A61="SILVER",Summary!$B$5,Summary!$B$6)</f>
        <v>208014.6</v>
      </c>
      <c r="L61" s="26" t="n">
        <v>0.802</v>
      </c>
      <c r="M61" s="27" t="n">
        <f aca="false">IF(K61&gt;0,1,0)</f>
        <v>1</v>
      </c>
      <c r="N61" s="11" t="n">
        <f aca="false">SUMIFS(K$2:K61,A$2:A61,A61,B$2:B61,B61)</f>
        <v>6694590.6</v>
      </c>
      <c r="O61" s="11" t="n">
        <f aca="false">MAX(0,_xlfn.MAXIFS(N$2:N61,A$2:A61,A61,B$2:B61,B61))</f>
        <v>6694590.6</v>
      </c>
      <c r="P61" s="11" t="n">
        <f aca="false">N61-O61</f>
        <v>0</v>
      </c>
    </row>
    <row r="62" customFormat="false" ht="15" hidden="false" customHeight="false" outlineLevel="0" collapsed="false">
      <c r="A62" s="8" t="s">
        <v>26</v>
      </c>
      <c r="B62" s="8" t="s">
        <v>27</v>
      </c>
      <c r="C62" s="8" t="s">
        <v>54</v>
      </c>
      <c r="D62" s="21" t="n">
        <v>46224.5</v>
      </c>
      <c r="E62" s="21" t="n">
        <v>46226.7916666667</v>
      </c>
      <c r="F62" s="22" t="n">
        <f aca="false">DATE(YEAR(E62),MONTH(E62),1)</f>
        <v>46204</v>
      </c>
      <c r="G62" s="23" t="n">
        <v>227058</v>
      </c>
      <c r="H62" s="8" t="s">
        <v>55</v>
      </c>
      <c r="I62" s="24" t="n">
        <v>-2305.24</v>
      </c>
      <c r="J62" s="25" t="n">
        <f aca="false">Summary!$B$4</f>
        <v>1</v>
      </c>
      <c r="K62" s="11" t="n">
        <f aca="false">I62*J62*IF(A62="SILVER",Summary!$B$5,Summary!$B$6)</f>
        <v>-69157.2</v>
      </c>
      <c r="L62" s="26" t="n">
        <v>-0.303</v>
      </c>
      <c r="M62" s="27" t="n">
        <f aca="false">IF(K62&gt;0,1,0)</f>
        <v>0</v>
      </c>
      <c r="N62" s="11" t="n">
        <f aca="false">SUMIFS(K$2:K62,A$2:A62,A62,B$2:B62,B62)</f>
        <v>6625433.4</v>
      </c>
      <c r="O62" s="11" t="n">
        <f aca="false">MAX(0,_xlfn.MAXIFS(N$2:N62,A$2:A62,A62,B$2:B62,B62))</f>
        <v>6694590.6</v>
      </c>
      <c r="P62" s="11" t="n">
        <f aca="false">N62-O62</f>
        <v>-69157.2000000002</v>
      </c>
    </row>
    <row r="63" customFormat="false" ht="15" hidden="false" customHeight="false" outlineLevel="0" collapsed="false">
      <c r="A63" s="8" t="s">
        <v>26</v>
      </c>
      <c r="B63" s="8" t="s">
        <v>27</v>
      </c>
      <c r="C63" s="8" t="s">
        <v>56</v>
      </c>
      <c r="D63" s="21" t="n">
        <v>46226.7916666667</v>
      </c>
      <c r="E63" s="21" t="n">
        <v>46239.4166666667</v>
      </c>
      <c r="F63" s="22" t="n">
        <f aca="false">DATE(YEAR(E63),MONTH(E63),1)</f>
        <v>46235</v>
      </c>
      <c r="G63" s="23" t="n">
        <v>224807</v>
      </c>
      <c r="H63" s="8" t="s">
        <v>55</v>
      </c>
      <c r="I63" s="24" t="n">
        <v>-4032.41</v>
      </c>
      <c r="J63" s="25" t="n">
        <f aca="false">Summary!$B$4</f>
        <v>1</v>
      </c>
      <c r="K63" s="11" t="n">
        <f aca="false">I63*J63*IF(A63="SILVER",Summary!$B$5,Summary!$B$6)</f>
        <v>-120972.3</v>
      </c>
      <c r="L63" s="26" t="n">
        <v>-0.54</v>
      </c>
      <c r="M63" s="27" t="n">
        <f aca="false">IF(K63&gt;0,1,0)</f>
        <v>0</v>
      </c>
      <c r="N63" s="11" t="n">
        <f aca="false">SUMIFS(K$2:K63,A$2:A63,A63,B$2:B63,B63)</f>
        <v>6504461.1</v>
      </c>
      <c r="O63" s="11" t="n">
        <f aca="false">MAX(0,_xlfn.MAXIFS(N$2:N63,A$2:A63,A63,B$2:B63,B63))</f>
        <v>6694590.6</v>
      </c>
      <c r="P63" s="11" t="n">
        <f aca="false">N63-O63</f>
        <v>-190129.5</v>
      </c>
    </row>
    <row r="64" customFormat="false" ht="15" hidden="false" customHeight="false" outlineLevel="0" collapsed="false">
      <c r="A64" s="8" t="s">
        <v>26</v>
      </c>
      <c r="B64" s="8" t="s">
        <v>27</v>
      </c>
      <c r="C64" s="8" t="s">
        <v>54</v>
      </c>
      <c r="D64" s="21" t="n">
        <v>46239.4166666667</v>
      </c>
      <c r="E64" s="21" t="n">
        <v>46253.4166666667</v>
      </c>
      <c r="F64" s="22" t="n">
        <f aca="false">DATE(YEAR(E64),MONTH(E64),1)</f>
        <v>46235</v>
      </c>
      <c r="G64" s="23" t="n">
        <v>228785</v>
      </c>
      <c r="H64" s="8" t="s">
        <v>55</v>
      </c>
      <c r="I64" s="24" t="n">
        <v>4516.72</v>
      </c>
      <c r="J64" s="25" t="n">
        <f aca="false">Summary!$B$4</f>
        <v>1</v>
      </c>
      <c r="K64" s="11" t="n">
        <f aca="false">I64*J64*IF(A64="SILVER",Summary!$B$5,Summary!$B$6)</f>
        <v>135501.6</v>
      </c>
      <c r="L64" s="26" t="n">
        <v>0.635</v>
      </c>
      <c r="M64" s="27" t="n">
        <f aca="false">IF(K64&gt;0,1,0)</f>
        <v>1</v>
      </c>
      <c r="N64" s="11" t="n">
        <f aca="false">SUMIFS(K$2:K64,A$2:A64,A64,B$2:B64,B64)</f>
        <v>6639962.7</v>
      </c>
      <c r="O64" s="11" t="n">
        <f aca="false">MAX(0,_xlfn.MAXIFS(N$2:N64,A$2:A64,A64,B$2:B64,B64))</f>
        <v>6694590.6</v>
      </c>
      <c r="P64" s="11" t="n">
        <f aca="false">N64-O64</f>
        <v>-54627.9000000004</v>
      </c>
    </row>
    <row r="65" customFormat="false" ht="15" hidden="false" customHeight="false" outlineLevel="0" collapsed="false">
      <c r="A65" s="8" t="s">
        <v>26</v>
      </c>
      <c r="B65" s="8" t="s">
        <v>27</v>
      </c>
      <c r="C65" s="8" t="s">
        <v>56</v>
      </c>
      <c r="D65" s="21" t="n">
        <v>46253.4166666667</v>
      </c>
      <c r="E65" s="21" t="n">
        <v>46253.8333333333</v>
      </c>
      <c r="F65" s="22" t="n">
        <f aca="false">DATE(YEAR(E65),MONTH(E65),1)</f>
        <v>46235</v>
      </c>
      <c r="G65" s="23" t="n">
        <v>233357</v>
      </c>
      <c r="H65" s="8" t="s">
        <v>55</v>
      </c>
      <c r="I65" s="24" t="n">
        <v>-7502.47</v>
      </c>
      <c r="J65" s="25" t="n">
        <f aca="false">Summary!$B$4</f>
        <v>1</v>
      </c>
      <c r="K65" s="11" t="n">
        <f aca="false">I65*J65*IF(A65="SILVER",Summary!$B$5,Summary!$B$6)</f>
        <v>-225074.1</v>
      </c>
      <c r="L65" s="26" t="n">
        <v>-0.893</v>
      </c>
      <c r="M65" s="27" t="n">
        <f aca="false">IF(K65&gt;0,1,0)</f>
        <v>0</v>
      </c>
      <c r="N65" s="11" t="n">
        <f aca="false">SUMIFS(K$2:K65,A$2:A65,A65,B$2:B65,B65)</f>
        <v>6414888.6</v>
      </c>
      <c r="O65" s="11" t="n">
        <f aca="false">MAX(0,_xlfn.MAXIFS(N$2:N65,A$2:A65,A65,B$2:B65,B65))</f>
        <v>6694590.6</v>
      </c>
      <c r="P65" s="11" t="n">
        <f aca="false">N65-O65</f>
        <v>-279702</v>
      </c>
    </row>
    <row r="66" customFormat="false" ht="15" hidden="false" customHeight="false" outlineLevel="0" collapsed="false">
      <c r="A66" s="8" t="s">
        <v>26</v>
      </c>
      <c r="B66" s="8" t="s">
        <v>27</v>
      </c>
      <c r="C66" s="8" t="s">
        <v>54</v>
      </c>
      <c r="D66" s="21" t="n">
        <v>46253.8333333333</v>
      </c>
      <c r="E66" s="21" t="n">
        <v>46261.375</v>
      </c>
      <c r="F66" s="22" t="n">
        <f aca="false">DATE(YEAR(E66),MONTH(E66),1)</f>
        <v>46235</v>
      </c>
      <c r="G66" s="23" t="n">
        <v>240803</v>
      </c>
      <c r="H66" s="8" t="s">
        <v>55</v>
      </c>
      <c r="I66" s="24" t="n">
        <v>6795.5</v>
      </c>
      <c r="J66" s="25" t="n">
        <f aca="false">Summary!$B$4</f>
        <v>1</v>
      </c>
      <c r="K66" s="11" t="n">
        <f aca="false">I66*J66*IF(A66="SILVER",Summary!$B$5,Summary!$B$6)</f>
        <v>203865</v>
      </c>
      <c r="L66" s="26" t="n">
        <v>0.777</v>
      </c>
      <c r="M66" s="27" t="n">
        <f aca="false">IF(K66&gt;0,1,0)</f>
        <v>1</v>
      </c>
      <c r="N66" s="11" t="n">
        <f aca="false">SUMIFS(K$2:K66,A$2:A66,A66,B$2:B66,B66)</f>
        <v>6618753.6</v>
      </c>
      <c r="O66" s="11" t="n">
        <f aca="false">MAX(0,_xlfn.MAXIFS(N$2:N66,A$2:A66,A66,B$2:B66,B66))</f>
        <v>6694590.6</v>
      </c>
      <c r="P66" s="11" t="n">
        <f aca="false">N66-O66</f>
        <v>-75837</v>
      </c>
    </row>
    <row r="67" customFormat="false" ht="15" hidden="false" customHeight="false" outlineLevel="0" collapsed="false">
      <c r="A67" s="8" t="s">
        <v>26</v>
      </c>
      <c r="B67" s="8" t="s">
        <v>27</v>
      </c>
      <c r="C67" s="8" t="s">
        <v>56</v>
      </c>
      <c r="D67" s="21" t="n">
        <v>46261.375</v>
      </c>
      <c r="E67" s="21" t="n">
        <v>46268.9166666667</v>
      </c>
      <c r="F67" s="22" t="n">
        <f aca="false">DATE(YEAR(E67),MONTH(E67),1)</f>
        <v>46266</v>
      </c>
      <c r="G67" s="23" t="n">
        <v>247656</v>
      </c>
      <c r="H67" s="8" t="s">
        <v>55</v>
      </c>
      <c r="I67" s="24" t="n">
        <v>6983.45</v>
      </c>
      <c r="J67" s="25" t="n">
        <f aca="false">Summary!$B$4</f>
        <v>1</v>
      </c>
      <c r="K67" s="11" t="n">
        <f aca="false">I67*J67*IF(A67="SILVER",Summary!$B$5,Summary!$B$6)</f>
        <v>209503.5</v>
      </c>
      <c r="L67" s="26" t="n">
        <v>1.257</v>
      </c>
      <c r="M67" s="27" t="n">
        <f aca="false">IF(K67&gt;0,1,0)</f>
        <v>1</v>
      </c>
      <c r="N67" s="11" t="n">
        <f aca="false">SUMIFS(K$2:K67,A$2:A67,A67,B$2:B67,B67)</f>
        <v>6828257.1</v>
      </c>
      <c r="O67" s="11" t="n">
        <f aca="false">MAX(0,_xlfn.MAXIFS(N$2:N67,A$2:A67,A67,B$2:B67,B67))</f>
        <v>6828257.1</v>
      </c>
      <c r="P67" s="11" t="n">
        <f aca="false">N67-O67</f>
        <v>0</v>
      </c>
    </row>
    <row r="68" customFormat="false" ht="15" hidden="false" customHeight="false" outlineLevel="0" collapsed="false">
      <c r="A68" s="8" t="s">
        <v>26</v>
      </c>
      <c r="B68" s="8" t="s">
        <v>27</v>
      </c>
      <c r="C68" s="8" t="s">
        <v>54</v>
      </c>
      <c r="D68" s="21" t="n">
        <v>46268.9166666667</v>
      </c>
      <c r="E68" s="21" t="n">
        <v>46275.875</v>
      </c>
      <c r="F68" s="22" t="n">
        <f aca="false">DATE(YEAR(E68),MONTH(E68),1)</f>
        <v>46266</v>
      </c>
      <c r="G68" s="23" t="n">
        <v>240615</v>
      </c>
      <c r="H68" s="8" t="s">
        <v>55</v>
      </c>
      <c r="I68" s="24" t="n">
        <v>-5615.16</v>
      </c>
      <c r="J68" s="25" t="n">
        <f aca="false">Summary!$B$4</f>
        <v>1</v>
      </c>
      <c r="K68" s="11" t="n">
        <f aca="false">I68*J68*IF(A68="SILVER",Summary!$B$5,Summary!$B$6)</f>
        <v>-168454.8</v>
      </c>
      <c r="L68" s="26" t="n">
        <v>-0.671</v>
      </c>
      <c r="M68" s="27" t="n">
        <f aca="false">IF(K68&gt;0,1,0)</f>
        <v>0</v>
      </c>
      <c r="N68" s="11" t="n">
        <f aca="false">SUMIFS(K$2:K68,A$2:A68,A68,B$2:B68,B68)</f>
        <v>6659802.3</v>
      </c>
      <c r="O68" s="11" t="n">
        <f aca="false">MAX(0,_xlfn.MAXIFS(N$2:N68,A$2:A68,A68,B$2:B68,B68))</f>
        <v>6828257.1</v>
      </c>
      <c r="P68" s="11" t="n">
        <f aca="false">N68-O68</f>
        <v>-168454.8</v>
      </c>
    </row>
    <row r="69" customFormat="false" ht="15" hidden="false" customHeight="false" outlineLevel="0" collapsed="false">
      <c r="A69" s="8" t="s">
        <v>26</v>
      </c>
      <c r="B69" s="8" t="s">
        <v>27</v>
      </c>
      <c r="C69" s="8" t="s">
        <v>56</v>
      </c>
      <c r="D69" s="21" t="n">
        <v>46275.875</v>
      </c>
      <c r="E69" s="21" t="n">
        <v>46283.4583333333</v>
      </c>
      <c r="F69" s="22" t="n">
        <f aca="false">DATE(YEAR(E69),MONTH(E69),1)</f>
        <v>46266</v>
      </c>
      <c r="G69" s="23" t="n">
        <v>235114</v>
      </c>
      <c r="H69" s="8" t="s">
        <v>55</v>
      </c>
      <c r="I69" s="24" t="n">
        <v>-5172.52</v>
      </c>
      <c r="J69" s="25" t="n">
        <f aca="false">Summary!$B$4</f>
        <v>1</v>
      </c>
      <c r="K69" s="11" t="n">
        <f aca="false">I69*J69*IF(A69="SILVER",Summary!$B$5,Summary!$B$6)</f>
        <v>-155175.6</v>
      </c>
      <c r="L69" s="26" t="n">
        <v>-0.524</v>
      </c>
      <c r="M69" s="27" t="n">
        <f aca="false">IF(K69&gt;0,1,0)</f>
        <v>0</v>
      </c>
      <c r="N69" s="11" t="n">
        <f aca="false">SUMIFS(K$2:K69,A$2:A69,A69,B$2:B69,B69)</f>
        <v>6504626.7</v>
      </c>
      <c r="O69" s="11" t="n">
        <f aca="false">MAX(0,_xlfn.MAXIFS(N$2:N69,A$2:A69,A69,B$2:B69,B69))</f>
        <v>6828257.1</v>
      </c>
      <c r="P69" s="11" t="n">
        <f aca="false">N69-O69</f>
        <v>-323630.4</v>
      </c>
    </row>
    <row r="70" customFormat="false" ht="15" hidden="false" customHeight="false" outlineLevel="0" collapsed="false">
      <c r="A70" s="8" t="s">
        <v>26</v>
      </c>
      <c r="B70" s="8" t="s">
        <v>27</v>
      </c>
      <c r="C70" s="8" t="s">
        <v>54</v>
      </c>
      <c r="D70" s="21" t="n">
        <v>46283.4583333333</v>
      </c>
      <c r="E70" s="21" t="n">
        <v>46288.9784722222</v>
      </c>
      <c r="F70" s="22" t="n">
        <f aca="false">DATE(YEAR(E70),MONTH(E70),1)</f>
        <v>46266</v>
      </c>
      <c r="G70" s="23" t="n">
        <v>240229</v>
      </c>
      <c r="H70" s="8" t="s">
        <v>57</v>
      </c>
      <c r="I70" s="24" t="n">
        <v>-4201.62</v>
      </c>
      <c r="J70" s="25" t="n">
        <f aca="false">Summary!$B$4</f>
        <v>1</v>
      </c>
      <c r="K70" s="11" t="n">
        <f aca="false">I70*J70*IF(A70="SILVER",Summary!$B$5,Summary!$B$6)</f>
        <v>-126048.6</v>
      </c>
      <c r="L70" s="26" t="n">
        <v>-0.482</v>
      </c>
      <c r="M70" s="27" t="n">
        <f aca="false">IF(K70&gt;0,1,0)</f>
        <v>0</v>
      </c>
      <c r="N70" s="11" t="n">
        <f aca="false">SUMIFS(K$2:K70,A$2:A70,A70,B$2:B70,B70)</f>
        <v>6378578.1</v>
      </c>
      <c r="O70" s="11" t="n">
        <f aca="false">MAX(0,_xlfn.MAXIFS(N$2:N70,A$2:A70,A70,B$2:B70,B70))</f>
        <v>6828257.1</v>
      </c>
      <c r="P70" s="11" t="n">
        <f aca="false">N70-O70</f>
        <v>-449679</v>
      </c>
    </row>
    <row r="71" customFormat="false" ht="15" hidden="false" customHeight="false" outlineLevel="0" collapsed="false">
      <c r="A71" s="8" t="s">
        <v>26</v>
      </c>
      <c r="B71" s="8" t="s">
        <v>29</v>
      </c>
      <c r="C71" s="8" t="s">
        <v>56</v>
      </c>
      <c r="D71" s="21" t="n">
        <v>45699.7916666667</v>
      </c>
      <c r="E71" s="21" t="n">
        <v>45702.4166666667</v>
      </c>
      <c r="F71" s="22" t="n">
        <f aca="false">DATE(YEAR(E71),MONTH(E71),1)</f>
        <v>45689</v>
      </c>
      <c r="G71" s="23" t="n">
        <v>132343</v>
      </c>
      <c r="H71" s="8" t="s">
        <v>55</v>
      </c>
      <c r="I71" s="24" t="n">
        <v>-3073.97</v>
      </c>
      <c r="J71" s="25" t="n">
        <f aca="false">Summary!$B$4</f>
        <v>1</v>
      </c>
      <c r="K71" s="11" t="n">
        <f aca="false">I71*J71*IF(A71="SILVER",Summary!$B$5,Summary!$B$6)</f>
        <v>-92219.1</v>
      </c>
      <c r="L71" s="26" t="n">
        <v>-1.128</v>
      </c>
      <c r="M71" s="27" t="n">
        <f aca="false">IF(K71&gt;0,1,0)</f>
        <v>0</v>
      </c>
      <c r="N71" s="11" t="n">
        <f aca="false">SUMIFS(K$2:K71,A$2:A71,A71,B$2:B71,B71)</f>
        <v>-92219.1</v>
      </c>
      <c r="O71" s="11" t="n">
        <f aca="false">MAX(0,_xlfn.MAXIFS(N$2:N71,A$2:A71,A71,B$2:B71,B71))</f>
        <v>0</v>
      </c>
      <c r="P71" s="11" t="n">
        <f aca="false">N71-O71</f>
        <v>-92219.1</v>
      </c>
    </row>
    <row r="72" customFormat="false" ht="15" hidden="false" customHeight="false" outlineLevel="0" collapsed="false">
      <c r="A72" s="8" t="s">
        <v>26</v>
      </c>
      <c r="B72" s="8" t="s">
        <v>29</v>
      </c>
      <c r="C72" s="8" t="s">
        <v>56</v>
      </c>
      <c r="D72" s="21" t="n">
        <v>45702.9166666667</v>
      </c>
      <c r="E72" s="21" t="n">
        <v>45721.4631944444</v>
      </c>
      <c r="F72" s="22" t="n">
        <f aca="false">DATE(YEAR(E72),MONTH(E72),1)</f>
        <v>45717</v>
      </c>
      <c r="G72" s="23" t="n">
        <v>134632</v>
      </c>
      <c r="H72" s="8" t="s">
        <v>55</v>
      </c>
      <c r="I72" s="24" t="n">
        <v>430.92</v>
      </c>
      <c r="J72" s="25" t="n">
        <f aca="false">Summary!$B$4</f>
        <v>1</v>
      </c>
      <c r="K72" s="11" t="n">
        <f aca="false">I72*J72*IF(A72="SILVER",Summary!$B$5,Summary!$B$6)</f>
        <v>12927.6</v>
      </c>
      <c r="L72" s="26" t="n">
        <v>0.136</v>
      </c>
      <c r="M72" s="27" t="n">
        <f aca="false">IF(K72&gt;0,1,0)</f>
        <v>1</v>
      </c>
      <c r="N72" s="11" t="n">
        <f aca="false">SUMIFS(K$2:K72,A$2:A72,A72,B$2:B72,B72)</f>
        <v>-79291.5</v>
      </c>
      <c r="O72" s="11" t="n">
        <f aca="false">MAX(0,_xlfn.MAXIFS(N$2:N72,A$2:A72,A72,B$2:B72,B72))</f>
        <v>0</v>
      </c>
      <c r="P72" s="11" t="n">
        <f aca="false">N72-O72</f>
        <v>-79291.5</v>
      </c>
    </row>
    <row r="73" customFormat="false" ht="15" hidden="false" customHeight="false" outlineLevel="0" collapsed="false">
      <c r="A73" s="8" t="s">
        <v>26</v>
      </c>
      <c r="B73" s="8" t="s">
        <v>29</v>
      </c>
      <c r="C73" s="8" t="s">
        <v>56</v>
      </c>
      <c r="D73" s="21" t="n">
        <v>45736.6666666667</v>
      </c>
      <c r="E73" s="21" t="n">
        <v>45742.5</v>
      </c>
      <c r="F73" s="22" t="n">
        <f aca="false">DATE(YEAR(E73),MONTH(E73),1)</f>
        <v>45717</v>
      </c>
      <c r="G73" s="23" t="n">
        <v>135951</v>
      </c>
      <c r="H73" s="8" t="s">
        <v>55</v>
      </c>
      <c r="I73" s="24" t="n">
        <v>-732.87</v>
      </c>
      <c r="J73" s="25" t="n">
        <f aca="false">Summary!$B$4</f>
        <v>1</v>
      </c>
      <c r="K73" s="11" t="n">
        <f aca="false">I73*J73*IF(A73="SILVER",Summary!$B$5,Summary!$B$6)</f>
        <v>-21986.1</v>
      </c>
      <c r="L73" s="26" t="n">
        <v>-0.237</v>
      </c>
      <c r="M73" s="27" t="n">
        <f aca="false">IF(K73&gt;0,1,0)</f>
        <v>0</v>
      </c>
      <c r="N73" s="11" t="n">
        <f aca="false">SUMIFS(K$2:K73,A$2:A73,A73,B$2:B73,B73)</f>
        <v>-101277.6</v>
      </c>
      <c r="O73" s="11" t="n">
        <f aca="false">MAX(0,_xlfn.MAXIFS(N$2:N73,A$2:A73,A73,B$2:B73,B73))</f>
        <v>0</v>
      </c>
      <c r="P73" s="11" t="n">
        <f aca="false">N73-O73</f>
        <v>-101277.6</v>
      </c>
    </row>
    <row r="74" customFormat="false" ht="15" hidden="false" customHeight="false" outlineLevel="0" collapsed="false">
      <c r="A74" s="8" t="s">
        <v>26</v>
      </c>
      <c r="B74" s="8" t="s">
        <v>29</v>
      </c>
      <c r="C74" s="8" t="s">
        <v>56</v>
      </c>
      <c r="D74" s="21" t="n">
        <v>45748.9166666667</v>
      </c>
      <c r="E74" s="21" t="n">
        <v>45758.5833333333</v>
      </c>
      <c r="F74" s="22" t="n">
        <f aca="false">DATE(YEAR(E74),MONTH(E74),1)</f>
        <v>45748</v>
      </c>
      <c r="G74" s="23" t="n">
        <v>136297</v>
      </c>
      <c r="H74" s="8" t="s">
        <v>55</v>
      </c>
      <c r="I74" s="24" t="n">
        <v>6488.79</v>
      </c>
      <c r="J74" s="25" t="n">
        <f aca="false">Summary!$B$4</f>
        <v>1</v>
      </c>
      <c r="K74" s="11" t="n">
        <f aca="false">I74*J74*IF(A74="SILVER",Summary!$B$5,Summary!$B$6)</f>
        <v>194663.7</v>
      </c>
      <c r="L74" s="26" t="n">
        <v>2.033</v>
      </c>
      <c r="M74" s="27" t="n">
        <f aca="false">IF(K74&gt;0,1,0)</f>
        <v>1</v>
      </c>
      <c r="N74" s="11" t="n">
        <f aca="false">SUMIFS(K$2:K74,A$2:A74,A74,B$2:B74,B74)</f>
        <v>93386.1</v>
      </c>
      <c r="O74" s="11" t="n">
        <f aca="false">MAX(0,_xlfn.MAXIFS(N$2:N74,A$2:A74,A74,B$2:B74,B74))</f>
        <v>93386.1</v>
      </c>
      <c r="P74" s="11" t="n">
        <f aca="false">N74-O74</f>
        <v>0</v>
      </c>
    </row>
    <row r="75" customFormat="false" ht="15" hidden="false" customHeight="false" outlineLevel="0" collapsed="false">
      <c r="A75" s="8" t="s">
        <v>26</v>
      </c>
      <c r="B75" s="8" t="s">
        <v>29</v>
      </c>
      <c r="C75" s="8" t="s">
        <v>56</v>
      </c>
      <c r="D75" s="21" t="n">
        <v>45777.5833333333</v>
      </c>
      <c r="E75" s="21" t="n">
        <v>45790.5833333333</v>
      </c>
      <c r="F75" s="22" t="n">
        <f aca="false">DATE(YEAR(E75),MONTH(E75),1)</f>
        <v>45778</v>
      </c>
      <c r="G75" s="23" t="n">
        <v>131200</v>
      </c>
      <c r="H75" s="8" t="s">
        <v>55</v>
      </c>
      <c r="I75" s="24" t="n">
        <v>-1298.69</v>
      </c>
      <c r="J75" s="25" t="n">
        <f aca="false">Summary!$B$4</f>
        <v>1</v>
      </c>
      <c r="K75" s="11" t="n">
        <f aca="false">I75*J75*IF(A75="SILVER",Summary!$B$5,Summary!$B$6)</f>
        <v>-38960.7</v>
      </c>
      <c r="L75" s="26" t="n">
        <v>-0.351</v>
      </c>
      <c r="M75" s="27" t="n">
        <f aca="false">IF(K75&gt;0,1,0)</f>
        <v>0</v>
      </c>
      <c r="N75" s="11" t="n">
        <f aca="false">SUMIFS(K$2:K75,A$2:A75,A75,B$2:B75,B75)</f>
        <v>54425.4</v>
      </c>
      <c r="O75" s="11" t="n">
        <f aca="false">MAX(0,_xlfn.MAXIFS(N$2:N75,A$2:A75,A75,B$2:B75,B75))</f>
        <v>93386.1</v>
      </c>
      <c r="P75" s="11" t="n">
        <f aca="false">N75-O75</f>
        <v>-38960.7</v>
      </c>
    </row>
    <row r="76" customFormat="false" ht="15" hidden="false" customHeight="false" outlineLevel="0" collapsed="false">
      <c r="A76" s="8" t="s">
        <v>26</v>
      </c>
      <c r="B76" s="8" t="s">
        <v>29</v>
      </c>
      <c r="C76" s="8" t="s">
        <v>56</v>
      </c>
      <c r="D76" s="21" t="n">
        <v>45792.4583333333</v>
      </c>
      <c r="E76" s="21" t="n">
        <v>45797.9166666667</v>
      </c>
      <c r="F76" s="22" t="n">
        <f aca="false">DATE(YEAR(E76),MONTH(E76),1)</f>
        <v>45778</v>
      </c>
      <c r="G76" s="23" t="n">
        <v>129020</v>
      </c>
      <c r="H76" s="8" t="s">
        <v>55</v>
      </c>
      <c r="I76" s="24" t="n">
        <v>-2939.12</v>
      </c>
      <c r="J76" s="25" t="n">
        <f aca="false">Summary!$B$4</f>
        <v>1</v>
      </c>
      <c r="K76" s="11" t="n">
        <f aca="false">I76*J76*IF(A76="SILVER",Summary!$B$5,Summary!$B$6)</f>
        <v>-88173.6</v>
      </c>
      <c r="L76" s="26" t="n">
        <v>-0.983</v>
      </c>
      <c r="M76" s="27" t="n">
        <f aca="false">IF(K76&gt;0,1,0)</f>
        <v>0</v>
      </c>
      <c r="N76" s="11" t="n">
        <f aca="false">SUMIFS(K$2:K76,A$2:A76,A76,B$2:B76,B76)</f>
        <v>-33748.2</v>
      </c>
      <c r="O76" s="11" t="n">
        <f aca="false">MAX(0,_xlfn.MAXIFS(N$2:N76,A$2:A76,A76,B$2:B76,B76))</f>
        <v>93386.1</v>
      </c>
      <c r="P76" s="11" t="n">
        <f aca="false">N76-O76</f>
        <v>-127134.3</v>
      </c>
    </row>
    <row r="77" customFormat="false" ht="15" hidden="false" customHeight="false" outlineLevel="0" collapsed="false">
      <c r="A77" s="8" t="s">
        <v>26</v>
      </c>
      <c r="B77" s="8" t="s">
        <v>29</v>
      </c>
      <c r="C77" s="8" t="s">
        <v>56</v>
      </c>
      <c r="D77" s="21" t="n">
        <v>45799.7083333333</v>
      </c>
      <c r="E77" s="21" t="n">
        <v>45810.7916666667</v>
      </c>
      <c r="F77" s="22" t="n">
        <f aca="false">DATE(YEAR(E77),MONTH(E77),1)</f>
        <v>45809</v>
      </c>
      <c r="G77" s="23" t="n">
        <v>131701</v>
      </c>
      <c r="H77" s="8" t="s">
        <v>55</v>
      </c>
      <c r="I77" s="24" t="n">
        <v>-2677.64</v>
      </c>
      <c r="J77" s="25" t="n">
        <f aca="false">Summary!$B$4</f>
        <v>1</v>
      </c>
      <c r="K77" s="11" t="n">
        <f aca="false">I77*J77*IF(A77="SILVER",Summary!$B$5,Summary!$B$6)</f>
        <v>-80329.2</v>
      </c>
      <c r="L77" s="26" t="n">
        <v>-1.046</v>
      </c>
      <c r="M77" s="27" t="n">
        <f aca="false">IF(K77&gt;0,1,0)</f>
        <v>0</v>
      </c>
      <c r="N77" s="11" t="n">
        <f aca="false">SUMIFS(K$2:K77,A$2:A77,A77,B$2:B77,B77)</f>
        <v>-114077.4</v>
      </c>
      <c r="O77" s="11" t="n">
        <f aca="false">MAX(0,_xlfn.MAXIFS(N$2:N77,A$2:A77,A77,B$2:B77,B77))</f>
        <v>93386.1</v>
      </c>
      <c r="P77" s="11" t="n">
        <f aca="false">N77-O77</f>
        <v>-207463.5</v>
      </c>
    </row>
    <row r="78" customFormat="false" ht="15" hidden="false" customHeight="false" outlineLevel="0" collapsed="false">
      <c r="A78" s="8" t="s">
        <v>26</v>
      </c>
      <c r="B78" s="8" t="s">
        <v>29</v>
      </c>
      <c r="C78" s="8" t="s">
        <v>54</v>
      </c>
      <c r="D78" s="21" t="n">
        <v>45841.53125</v>
      </c>
      <c r="E78" s="21" t="n">
        <v>45853.875</v>
      </c>
      <c r="F78" s="22" t="n">
        <f aca="false">DATE(YEAR(E78),MONTH(E78),1)</f>
        <v>45839</v>
      </c>
      <c r="G78" s="23" t="n">
        <v>142205</v>
      </c>
      <c r="H78" s="8" t="s">
        <v>55</v>
      </c>
      <c r="I78" s="24" t="n">
        <v>3515.84</v>
      </c>
      <c r="J78" s="25" t="n">
        <f aca="false">Summary!$B$4</f>
        <v>1</v>
      </c>
      <c r="K78" s="11" t="n">
        <f aca="false">I78*J78*IF(A78="SILVER",Summary!$B$5,Summary!$B$6)</f>
        <v>105475.2</v>
      </c>
      <c r="L78" s="26" t="n">
        <v>1.461</v>
      </c>
      <c r="M78" s="27" t="n">
        <f aca="false">IF(K78&gt;0,1,0)</f>
        <v>1</v>
      </c>
      <c r="N78" s="11" t="n">
        <f aca="false">SUMIFS(K$2:K78,A$2:A78,A78,B$2:B78,B78)</f>
        <v>-8602.19999999996</v>
      </c>
      <c r="O78" s="11" t="n">
        <f aca="false">MAX(0,_xlfn.MAXIFS(N$2:N78,A$2:A78,A78,B$2:B78,B78))</f>
        <v>93386.1</v>
      </c>
      <c r="P78" s="11" t="n">
        <f aca="false">N78-O78</f>
        <v>-101988.3</v>
      </c>
    </row>
    <row r="79" customFormat="false" ht="15" hidden="false" customHeight="false" outlineLevel="0" collapsed="false">
      <c r="A79" s="8" t="s">
        <v>26</v>
      </c>
      <c r="B79" s="8" t="s">
        <v>29</v>
      </c>
      <c r="C79" s="8" t="s">
        <v>54</v>
      </c>
      <c r="D79" s="21" t="n">
        <v>45859.6666666667</v>
      </c>
      <c r="E79" s="21" t="n">
        <v>45863.875</v>
      </c>
      <c r="F79" s="22" t="n">
        <f aca="false">DATE(YEAR(E79),MONTH(E79),1)</f>
        <v>45839</v>
      </c>
      <c r="G79" s="23" t="n">
        <v>148364</v>
      </c>
      <c r="H79" s="8" t="s">
        <v>55</v>
      </c>
      <c r="I79" s="24" t="n">
        <v>-887.71</v>
      </c>
      <c r="J79" s="25" t="n">
        <f aca="false">Summary!$B$4</f>
        <v>1</v>
      </c>
      <c r="K79" s="11" t="n">
        <f aca="false">I79*J79*IF(A79="SILVER",Summary!$B$5,Summary!$B$6)</f>
        <v>-26631.3</v>
      </c>
      <c r="L79" s="26" t="n">
        <v>-0.376</v>
      </c>
      <c r="M79" s="27" t="n">
        <f aca="false">IF(K79&gt;0,1,0)</f>
        <v>0</v>
      </c>
      <c r="N79" s="11" t="n">
        <f aca="false">SUMIFS(K$2:K79,A$2:A79,A79,B$2:B79,B79)</f>
        <v>-35233.5</v>
      </c>
      <c r="O79" s="11" t="n">
        <f aca="false">MAX(0,_xlfn.MAXIFS(N$2:N79,A$2:A79,A79,B$2:B79,B79))</f>
        <v>93386.1</v>
      </c>
      <c r="P79" s="11" t="n">
        <f aca="false">N79-O79</f>
        <v>-128619.6</v>
      </c>
    </row>
    <row r="80" customFormat="false" ht="15" hidden="false" customHeight="false" outlineLevel="0" collapsed="false">
      <c r="A80" s="8" t="s">
        <v>26</v>
      </c>
      <c r="B80" s="8" t="s">
        <v>29</v>
      </c>
      <c r="C80" s="8" t="s">
        <v>54</v>
      </c>
      <c r="D80" s="21" t="n">
        <v>45873.5833333333</v>
      </c>
      <c r="E80" s="21" t="n">
        <v>45888.5</v>
      </c>
      <c r="F80" s="22" t="n">
        <f aca="false">DATE(YEAR(E80),MONTH(E80),1)</f>
        <v>45870</v>
      </c>
      <c r="G80" s="23" t="n">
        <v>146431</v>
      </c>
      <c r="H80" s="8" t="s">
        <v>55</v>
      </c>
      <c r="I80" s="24" t="n">
        <v>855.5</v>
      </c>
      <c r="J80" s="25" t="n">
        <f aca="false">Summary!$B$4</f>
        <v>1</v>
      </c>
      <c r="K80" s="11" t="n">
        <f aca="false">I80*J80*IF(A80="SILVER",Summary!$B$5,Summary!$B$6)</f>
        <v>25665</v>
      </c>
      <c r="L80" s="26" t="n">
        <v>0.278</v>
      </c>
      <c r="M80" s="27" t="n">
        <f aca="false">IF(K80&gt;0,1,0)</f>
        <v>1</v>
      </c>
      <c r="N80" s="11" t="n">
        <f aca="false">SUMIFS(K$2:K80,A$2:A80,A80,B$2:B80,B80)</f>
        <v>-9568.49999999996</v>
      </c>
      <c r="O80" s="11" t="n">
        <f aca="false">MAX(0,_xlfn.MAXIFS(N$2:N80,A$2:A80,A80,B$2:B80,B80))</f>
        <v>93386.1</v>
      </c>
      <c r="P80" s="11" t="n">
        <f aca="false">N80-O80</f>
        <v>-102954.6</v>
      </c>
    </row>
    <row r="81" customFormat="false" ht="15" hidden="false" customHeight="false" outlineLevel="0" collapsed="false">
      <c r="A81" s="8" t="s">
        <v>26</v>
      </c>
      <c r="B81" s="8" t="s">
        <v>29</v>
      </c>
      <c r="C81" s="8" t="s">
        <v>54</v>
      </c>
      <c r="D81" s="21" t="n">
        <v>45890.4166666667</v>
      </c>
      <c r="E81" s="21" t="n">
        <v>45908.4166666667</v>
      </c>
      <c r="F81" s="22" t="n">
        <f aca="false">DATE(YEAR(E81),MONTH(E81),1)</f>
        <v>45901</v>
      </c>
      <c r="G81" s="23" t="n">
        <v>147134</v>
      </c>
      <c r="H81" s="8" t="s">
        <v>55</v>
      </c>
      <c r="I81" s="24" t="n">
        <v>7960.59</v>
      </c>
      <c r="J81" s="25" t="n">
        <f aca="false">Summary!$B$4</f>
        <v>1</v>
      </c>
      <c r="K81" s="11" t="n">
        <f aca="false">I81*J81*IF(A81="SILVER",Summary!$B$5,Summary!$B$6)</f>
        <v>238817.7</v>
      </c>
      <c r="L81" s="26" t="n">
        <v>3.424</v>
      </c>
      <c r="M81" s="27" t="n">
        <f aca="false">IF(K81&gt;0,1,0)</f>
        <v>1</v>
      </c>
      <c r="N81" s="11" t="n">
        <f aca="false">SUMIFS(K$2:K81,A$2:A81,A81,B$2:B81,B81)</f>
        <v>229249.2</v>
      </c>
      <c r="O81" s="11" t="n">
        <f aca="false">MAX(0,_xlfn.MAXIFS(N$2:N81,A$2:A81,A81,B$2:B81,B81))</f>
        <v>229249.2</v>
      </c>
      <c r="P81" s="11" t="n">
        <f aca="false">N81-O81</f>
        <v>0</v>
      </c>
    </row>
    <row r="82" customFormat="false" ht="15" hidden="false" customHeight="false" outlineLevel="0" collapsed="false">
      <c r="A82" s="8" t="s">
        <v>26</v>
      </c>
      <c r="B82" s="8" t="s">
        <v>29</v>
      </c>
      <c r="C82" s="8" t="s">
        <v>54</v>
      </c>
      <c r="D82" s="21" t="n">
        <v>45912.4166666667</v>
      </c>
      <c r="E82" s="21" t="n">
        <v>45917.4166666667</v>
      </c>
      <c r="F82" s="22" t="n">
        <f aca="false">DATE(YEAR(E82),MONTH(E82),1)</f>
        <v>45901</v>
      </c>
      <c r="G82" s="23" t="n">
        <v>159701</v>
      </c>
      <c r="H82" s="8" t="s">
        <v>55</v>
      </c>
      <c r="I82" s="24" t="n">
        <v>-1053.57</v>
      </c>
      <c r="J82" s="25" t="n">
        <f aca="false">Summary!$B$4</f>
        <v>1</v>
      </c>
      <c r="K82" s="11" t="n">
        <f aca="false">I82*J82*IF(A82="SILVER",Summary!$B$5,Summary!$B$6)</f>
        <v>-31607.1</v>
      </c>
      <c r="L82" s="26" t="n">
        <v>-0.313</v>
      </c>
      <c r="M82" s="27" t="n">
        <f aca="false">IF(K82&gt;0,1,0)</f>
        <v>0</v>
      </c>
      <c r="N82" s="11" t="n">
        <f aca="false">SUMIFS(K$2:K82,A$2:A82,A82,B$2:B82,B82)</f>
        <v>197642.1</v>
      </c>
      <c r="O82" s="11" t="n">
        <f aca="false">MAX(0,_xlfn.MAXIFS(N$2:N82,A$2:A82,A82,B$2:B82,B82))</f>
        <v>229249.2</v>
      </c>
      <c r="P82" s="11" t="n">
        <f aca="false">N82-O82</f>
        <v>-31607.1</v>
      </c>
    </row>
    <row r="83" customFormat="false" ht="15" hidden="false" customHeight="false" outlineLevel="0" collapsed="false">
      <c r="A83" s="8" t="s">
        <v>26</v>
      </c>
      <c r="B83" s="8" t="s">
        <v>29</v>
      </c>
      <c r="C83" s="8" t="s">
        <v>54</v>
      </c>
      <c r="D83" s="21" t="n">
        <v>45919.875</v>
      </c>
      <c r="E83" s="21" t="n">
        <v>45940.4166666667</v>
      </c>
      <c r="F83" s="22" t="n">
        <f aca="false">DATE(YEAR(E83),MONTH(E83),1)</f>
        <v>45931</v>
      </c>
      <c r="G83" s="23" t="n">
        <v>160828</v>
      </c>
      <c r="H83" s="8" t="s">
        <v>55</v>
      </c>
      <c r="I83" s="24" t="n">
        <v>15943.5</v>
      </c>
      <c r="J83" s="25" t="n">
        <f aca="false">Summary!$B$4</f>
        <v>1</v>
      </c>
      <c r="K83" s="11" t="n">
        <f aca="false">I83*J83*IF(A83="SILVER",Summary!$B$5,Summary!$B$6)</f>
        <v>478305</v>
      </c>
      <c r="L83" s="26" t="n">
        <v>4.182</v>
      </c>
      <c r="M83" s="27" t="n">
        <f aca="false">IF(K83&gt;0,1,0)</f>
        <v>1</v>
      </c>
      <c r="N83" s="11" t="n">
        <f aca="false">SUMIFS(K$2:K83,A$2:A83,A83,B$2:B83,B83)</f>
        <v>675947.1</v>
      </c>
      <c r="O83" s="11" t="n">
        <f aca="false">MAX(0,_xlfn.MAXIFS(N$2:N83,A$2:A83,A83,B$2:B83,B83))</f>
        <v>675947.1</v>
      </c>
      <c r="P83" s="11" t="n">
        <f aca="false">N83-O83</f>
        <v>0</v>
      </c>
    </row>
    <row r="84" customFormat="false" ht="15" hidden="false" customHeight="false" outlineLevel="0" collapsed="false">
      <c r="A84" s="8" t="s">
        <v>26</v>
      </c>
      <c r="B84" s="8" t="s">
        <v>29</v>
      </c>
      <c r="C84" s="8" t="s">
        <v>54</v>
      </c>
      <c r="D84" s="21" t="n">
        <v>45943.8333333333</v>
      </c>
      <c r="E84" s="21" t="n">
        <v>45947.8333333333</v>
      </c>
      <c r="F84" s="22" t="n">
        <f aca="false">DATE(YEAR(E84),MONTH(E84),1)</f>
        <v>45931</v>
      </c>
      <c r="G84" s="23" t="n">
        <v>185630</v>
      </c>
      <c r="H84" s="8" t="s">
        <v>55</v>
      </c>
      <c r="I84" s="24" t="n">
        <v>7180.44</v>
      </c>
      <c r="J84" s="25" t="n">
        <f aca="false">Summary!$B$4</f>
        <v>1</v>
      </c>
      <c r="K84" s="11" t="n">
        <f aca="false">I84*J84*IF(A84="SILVER",Summary!$B$5,Summary!$B$6)</f>
        <v>215413.2</v>
      </c>
      <c r="L84" s="26" t="n">
        <v>0.85</v>
      </c>
      <c r="M84" s="27" t="n">
        <f aca="false">IF(K84&gt;0,1,0)</f>
        <v>1</v>
      </c>
      <c r="N84" s="11" t="n">
        <f aca="false">SUMIFS(K$2:K84,A$2:A84,A84,B$2:B84,B84)</f>
        <v>891360.3</v>
      </c>
      <c r="O84" s="11" t="n">
        <f aca="false">MAX(0,_xlfn.MAXIFS(N$2:N84,A$2:A84,A84,B$2:B84,B84))</f>
        <v>891360.3</v>
      </c>
      <c r="P84" s="11" t="n">
        <f aca="false">N84-O84</f>
        <v>0</v>
      </c>
    </row>
    <row r="85" customFormat="false" ht="15" hidden="false" customHeight="false" outlineLevel="0" collapsed="false">
      <c r="A85" s="8" t="s">
        <v>26</v>
      </c>
      <c r="B85" s="8" t="s">
        <v>29</v>
      </c>
      <c r="C85" s="8" t="s">
        <v>54</v>
      </c>
      <c r="D85" s="21" t="n">
        <v>45960.8333333333</v>
      </c>
      <c r="E85" s="21" t="n">
        <v>45975.75</v>
      </c>
      <c r="F85" s="22" t="n">
        <f aca="false">DATE(YEAR(E85),MONTH(E85),1)</f>
        <v>45962</v>
      </c>
      <c r="G85" s="23" t="n">
        <v>179635</v>
      </c>
      <c r="H85" s="8" t="s">
        <v>55</v>
      </c>
      <c r="I85" s="24" t="n">
        <v>9052.43</v>
      </c>
      <c r="J85" s="25" t="n">
        <f aca="false">Summary!$B$4</f>
        <v>1</v>
      </c>
      <c r="K85" s="11" t="n">
        <f aca="false">I85*J85*IF(A85="SILVER",Summary!$B$5,Summary!$B$6)</f>
        <v>271572.9</v>
      </c>
      <c r="L85" s="26" t="n">
        <v>1.197</v>
      </c>
      <c r="M85" s="27" t="n">
        <f aca="false">IF(K85&gt;0,1,0)</f>
        <v>1</v>
      </c>
      <c r="N85" s="11" t="n">
        <f aca="false">SUMIFS(K$2:K85,A$2:A85,A85,B$2:B85,B85)</f>
        <v>1162933.2</v>
      </c>
      <c r="O85" s="11" t="n">
        <f aca="false">MAX(0,_xlfn.MAXIFS(N$2:N85,A$2:A85,A85,B$2:B85,B85))</f>
        <v>1162933.2</v>
      </c>
      <c r="P85" s="11" t="n">
        <f aca="false">N85-O85</f>
        <v>0</v>
      </c>
    </row>
    <row r="86" customFormat="false" ht="15" hidden="false" customHeight="false" outlineLevel="0" collapsed="false">
      <c r="A86" s="8" t="s">
        <v>26</v>
      </c>
      <c r="B86" s="8" t="s">
        <v>29</v>
      </c>
      <c r="C86" s="8" t="s">
        <v>54</v>
      </c>
      <c r="D86" s="21" t="n">
        <v>45987.7083333333</v>
      </c>
      <c r="E86" s="21" t="n">
        <v>46003.9583333333</v>
      </c>
      <c r="F86" s="22" t="n">
        <f aca="false">DATE(YEAR(E86),MONTH(E86),1)</f>
        <v>45992</v>
      </c>
      <c r="G86" s="23" t="n">
        <v>190470</v>
      </c>
      <c r="H86" s="8" t="s">
        <v>55</v>
      </c>
      <c r="I86" s="24" t="n">
        <v>29264.67</v>
      </c>
      <c r="J86" s="25" t="n">
        <f aca="false">Summary!$B$4</f>
        <v>1</v>
      </c>
      <c r="K86" s="11" t="n">
        <f aca="false">I86*J86*IF(A86="SILVER",Summary!$B$5,Summary!$B$6)</f>
        <v>877940.1</v>
      </c>
      <c r="L86" s="26" t="n">
        <v>5.619</v>
      </c>
      <c r="M86" s="27" t="n">
        <f aca="false">IF(K86&gt;0,1,0)</f>
        <v>1</v>
      </c>
      <c r="N86" s="11" t="n">
        <f aca="false">SUMIFS(K$2:K86,A$2:A86,A86,B$2:B86,B86)</f>
        <v>2040873.3</v>
      </c>
      <c r="O86" s="11" t="n">
        <f aca="false">MAX(0,_xlfn.MAXIFS(N$2:N86,A$2:A86,A86,B$2:B86,B86))</f>
        <v>2040873.3</v>
      </c>
      <c r="P86" s="11" t="n">
        <f aca="false">N86-O86</f>
        <v>0</v>
      </c>
    </row>
    <row r="87" customFormat="false" ht="15" hidden="false" customHeight="false" outlineLevel="0" collapsed="false">
      <c r="A87" s="8" t="s">
        <v>26</v>
      </c>
      <c r="B87" s="8" t="s">
        <v>29</v>
      </c>
      <c r="C87" s="8" t="s">
        <v>54</v>
      </c>
      <c r="D87" s="21" t="n">
        <v>46008.4166666667</v>
      </c>
      <c r="E87" s="21" t="n">
        <v>46020.8333333333</v>
      </c>
      <c r="F87" s="22" t="n">
        <f aca="false">DATE(YEAR(E87),MONTH(E87),1)</f>
        <v>45992</v>
      </c>
      <c r="G87" s="23" t="n">
        <v>232886</v>
      </c>
      <c r="H87" s="8" t="s">
        <v>55</v>
      </c>
      <c r="I87" s="24" t="n">
        <v>21894.86</v>
      </c>
      <c r="J87" s="25" t="n">
        <f aca="false">Summary!$B$4</f>
        <v>1</v>
      </c>
      <c r="K87" s="11" t="n">
        <f aca="false">I87*J87*IF(A87="SILVER",Summary!$B$5,Summary!$B$6)</f>
        <v>656845.8</v>
      </c>
      <c r="L87" s="26" t="n">
        <v>1.672</v>
      </c>
      <c r="M87" s="27" t="n">
        <f aca="false">IF(K87&gt;0,1,0)</f>
        <v>1</v>
      </c>
      <c r="N87" s="11" t="n">
        <f aca="false">SUMIFS(K$2:K87,A$2:A87,A87,B$2:B87,B87)</f>
        <v>2697719.1</v>
      </c>
      <c r="O87" s="11" t="n">
        <f aca="false">MAX(0,_xlfn.MAXIFS(N$2:N87,A$2:A87,A87,B$2:B87,B87))</f>
        <v>2697719.1</v>
      </c>
      <c r="P87" s="11" t="n">
        <f aca="false">N87-O87</f>
        <v>0</v>
      </c>
    </row>
    <row r="88" customFormat="false" ht="15" hidden="false" customHeight="false" outlineLevel="0" collapsed="false">
      <c r="A88" s="8" t="s">
        <v>26</v>
      </c>
      <c r="B88" s="8" t="s">
        <v>29</v>
      </c>
      <c r="C88" s="8" t="s">
        <v>54</v>
      </c>
      <c r="D88" s="21" t="n">
        <v>46022.375</v>
      </c>
      <c r="E88" s="21" t="n">
        <v>46030.5</v>
      </c>
      <c r="F88" s="22" t="n">
        <f aca="false">DATE(YEAR(E88),MONTH(E88),1)</f>
        <v>46023</v>
      </c>
      <c r="G88" s="23" t="n">
        <v>269734</v>
      </c>
      <c r="H88" s="8" t="s">
        <v>55</v>
      </c>
      <c r="I88" s="24" t="n">
        <v>1395.57</v>
      </c>
      <c r="J88" s="25" t="n">
        <f aca="false">Summary!$B$4</f>
        <v>1</v>
      </c>
      <c r="K88" s="11" t="n">
        <f aca="false">I88*J88*IF(A88="SILVER",Summary!$B$5,Summary!$B$6)</f>
        <v>41867.1</v>
      </c>
      <c r="L88" s="26" t="n">
        <v>0.101</v>
      </c>
      <c r="M88" s="27" t="n">
        <f aca="false">IF(K88&gt;0,1,0)</f>
        <v>1</v>
      </c>
      <c r="N88" s="11" t="n">
        <f aca="false">SUMIFS(K$2:K88,A$2:A88,A88,B$2:B88,B88)</f>
        <v>2739586.2</v>
      </c>
      <c r="O88" s="11" t="n">
        <f aca="false">MAX(0,_xlfn.MAXIFS(N$2:N88,A$2:A88,A88,B$2:B88,B88))</f>
        <v>2739586.2</v>
      </c>
      <c r="P88" s="11" t="n">
        <f aca="false">N88-O88</f>
        <v>0</v>
      </c>
    </row>
    <row r="89" customFormat="false" ht="15" hidden="false" customHeight="false" outlineLevel="0" collapsed="false">
      <c r="A89" s="8" t="s">
        <v>26</v>
      </c>
      <c r="B89" s="8" t="s">
        <v>29</v>
      </c>
      <c r="C89" s="8" t="s">
        <v>54</v>
      </c>
      <c r="D89" s="21" t="n">
        <v>46031.875</v>
      </c>
      <c r="E89" s="21" t="n">
        <v>46044.4166666667</v>
      </c>
      <c r="F89" s="22" t="n">
        <f aca="false">DATE(YEAR(E89),MONTH(E89),1)</f>
        <v>46023</v>
      </c>
      <c r="G89" s="23" t="n">
        <v>282934</v>
      </c>
      <c r="H89" s="8" t="s">
        <v>55</v>
      </c>
      <c r="I89" s="24" t="n">
        <v>51086.97</v>
      </c>
      <c r="J89" s="25" t="n">
        <f aca="false">Summary!$B$4</f>
        <v>1</v>
      </c>
      <c r="K89" s="11" t="n">
        <f aca="false">I89*J89*IF(A89="SILVER",Summary!$B$5,Summary!$B$6)</f>
        <v>1532609.1</v>
      </c>
      <c r="L89" s="26" t="n">
        <v>2.62</v>
      </c>
      <c r="M89" s="27" t="n">
        <f aca="false">IF(K89&gt;0,1,0)</f>
        <v>1</v>
      </c>
      <c r="N89" s="11" t="n">
        <f aca="false">SUMIFS(K$2:K89,A$2:A89,A89,B$2:B89,B89)</f>
        <v>4272195.3</v>
      </c>
      <c r="O89" s="11" t="n">
        <f aca="false">MAX(0,_xlfn.MAXIFS(N$2:N89,A$2:A89,A89,B$2:B89,B89))</f>
        <v>4272195.3</v>
      </c>
      <c r="P89" s="11" t="n">
        <f aca="false">N89-O89</f>
        <v>0</v>
      </c>
    </row>
    <row r="90" customFormat="false" ht="15" hidden="false" customHeight="false" outlineLevel="0" collapsed="false">
      <c r="A90" s="8" t="s">
        <v>26</v>
      </c>
      <c r="B90" s="8" t="s">
        <v>29</v>
      </c>
      <c r="C90" s="8" t="s">
        <v>54</v>
      </c>
      <c r="D90" s="21" t="n">
        <v>46049.4166666667</v>
      </c>
      <c r="E90" s="21" t="n">
        <v>46051.875</v>
      </c>
      <c r="F90" s="22" t="n">
        <f aca="false">DATE(YEAR(E90),MONTH(E90),1)</f>
        <v>46023</v>
      </c>
      <c r="G90" s="23" t="n">
        <v>385184</v>
      </c>
      <c r="H90" s="8" t="s">
        <v>55</v>
      </c>
      <c r="I90" s="24" t="n">
        <v>7620.89</v>
      </c>
      <c r="J90" s="25" t="n">
        <f aca="false">Summary!$B$4</f>
        <v>1</v>
      </c>
      <c r="K90" s="11" t="n">
        <f aca="false">I90*J90*IF(A90="SILVER",Summary!$B$5,Summary!$B$6)</f>
        <v>228626.7</v>
      </c>
      <c r="L90" s="26" t="n">
        <v>0.188</v>
      </c>
      <c r="M90" s="27" t="n">
        <f aca="false">IF(K90&gt;0,1,0)</f>
        <v>1</v>
      </c>
      <c r="N90" s="11" t="n">
        <f aca="false">SUMIFS(K$2:K90,A$2:A90,A90,B$2:B90,B90)</f>
        <v>4500822</v>
      </c>
      <c r="O90" s="11" t="n">
        <f aca="false">MAX(0,_xlfn.MAXIFS(N$2:N90,A$2:A90,A90,B$2:B90,B90))</f>
        <v>4500822</v>
      </c>
      <c r="P90" s="11" t="n">
        <f aca="false">N90-O90</f>
        <v>0</v>
      </c>
    </row>
    <row r="91" customFormat="false" ht="15" hidden="false" customHeight="false" outlineLevel="0" collapsed="false">
      <c r="A91" s="8" t="s">
        <v>26</v>
      </c>
      <c r="B91" s="8" t="s">
        <v>29</v>
      </c>
      <c r="C91" s="8" t="s">
        <v>56</v>
      </c>
      <c r="D91" s="21" t="n">
        <v>46083.9201388889</v>
      </c>
      <c r="E91" s="21" t="n">
        <v>46091.7916666667</v>
      </c>
      <c r="F91" s="22" t="n">
        <f aca="false">DATE(YEAR(E91),MONTH(E91),1)</f>
        <v>46082</v>
      </c>
      <c r="G91" s="23" t="n">
        <v>297434</v>
      </c>
      <c r="H91" s="8" t="s">
        <v>55</v>
      </c>
      <c r="I91" s="24" t="n">
        <v>1419.37</v>
      </c>
      <c r="J91" s="25" t="n">
        <f aca="false">Summary!$B$4</f>
        <v>1</v>
      </c>
      <c r="K91" s="11" t="n">
        <f aca="false">I91*J91*IF(A91="SILVER",Summary!$B$5,Summary!$B$6)</f>
        <v>42581.1</v>
      </c>
      <c r="L91" s="26" t="n">
        <v>0.065</v>
      </c>
      <c r="M91" s="27" t="n">
        <f aca="false">IF(K91&gt;0,1,0)</f>
        <v>1</v>
      </c>
      <c r="N91" s="11" t="n">
        <f aca="false">SUMIFS(K$2:K91,A$2:A91,A91,B$2:B91,B91)</f>
        <v>4543403.1</v>
      </c>
      <c r="O91" s="11" t="n">
        <f aca="false">MAX(0,_xlfn.MAXIFS(N$2:N91,A$2:A91,A91,B$2:B91,B91))</f>
        <v>4543403.1</v>
      </c>
      <c r="P91" s="11" t="n">
        <f aca="false">N91-O91</f>
        <v>0</v>
      </c>
    </row>
    <row r="92" customFormat="false" ht="15" hidden="false" customHeight="false" outlineLevel="0" collapsed="false">
      <c r="A92" s="8" t="s">
        <v>26</v>
      </c>
      <c r="B92" s="8" t="s">
        <v>29</v>
      </c>
      <c r="C92" s="8" t="s">
        <v>56</v>
      </c>
      <c r="D92" s="21" t="n">
        <v>46094.5</v>
      </c>
      <c r="E92" s="21" t="n">
        <v>46106.4166666667</v>
      </c>
      <c r="F92" s="22" t="n">
        <f aca="false">DATE(YEAR(E92),MONTH(E92),1)</f>
        <v>46082</v>
      </c>
      <c r="G92" s="23" t="n">
        <v>281173</v>
      </c>
      <c r="H92" s="8" t="s">
        <v>55</v>
      </c>
      <c r="I92" s="24" t="n">
        <v>27164.01</v>
      </c>
      <c r="J92" s="25" t="n">
        <f aca="false">Summary!$B$4</f>
        <v>1</v>
      </c>
      <c r="K92" s="11" t="n">
        <f aca="false">I92*J92*IF(A92="SILVER",Summary!$B$5,Summary!$B$6)</f>
        <v>814920.3</v>
      </c>
      <c r="L92" s="26" t="n">
        <v>1.721</v>
      </c>
      <c r="M92" s="27" t="n">
        <f aca="false">IF(K92&gt;0,1,0)</f>
        <v>1</v>
      </c>
      <c r="N92" s="11" t="n">
        <f aca="false">SUMIFS(K$2:K92,A$2:A92,A92,B$2:B92,B92)</f>
        <v>5358323.4</v>
      </c>
      <c r="O92" s="11" t="n">
        <f aca="false">MAX(0,_xlfn.MAXIFS(N$2:N92,A$2:A92,A92,B$2:B92,B92))</f>
        <v>5358323.4</v>
      </c>
      <c r="P92" s="11" t="n">
        <f aca="false">N92-O92</f>
        <v>0</v>
      </c>
    </row>
    <row r="93" customFormat="false" ht="15" hidden="false" customHeight="false" outlineLevel="0" collapsed="false">
      <c r="A93" s="8" t="s">
        <v>26</v>
      </c>
      <c r="B93" s="8" t="s">
        <v>29</v>
      </c>
      <c r="C93" s="8" t="s">
        <v>56</v>
      </c>
      <c r="D93" s="21" t="n">
        <v>46114.5</v>
      </c>
      <c r="E93" s="21" t="n">
        <v>46120.4166666667</v>
      </c>
      <c r="F93" s="22" t="n">
        <f aca="false">DATE(YEAR(E93),MONTH(E93),1)</f>
        <v>46113</v>
      </c>
      <c r="G93" s="23" t="n">
        <v>243669</v>
      </c>
      <c r="H93" s="8" t="s">
        <v>55</v>
      </c>
      <c r="I93" s="24" t="n">
        <v>-17620.03</v>
      </c>
      <c r="J93" s="25" t="n">
        <f aca="false">Summary!$B$4</f>
        <v>1</v>
      </c>
      <c r="K93" s="11" t="n">
        <f aca="false">I93*J93*IF(A93="SILVER",Summary!$B$5,Summary!$B$6)</f>
        <v>-528600.9</v>
      </c>
      <c r="L93" s="26" t="n">
        <v>-0.852</v>
      </c>
      <c r="M93" s="27" t="n">
        <f aca="false">IF(K93&gt;0,1,0)</f>
        <v>0</v>
      </c>
      <c r="N93" s="11" t="n">
        <f aca="false">SUMIFS(K$2:K93,A$2:A93,A93,B$2:B93,B93)</f>
        <v>4829722.5</v>
      </c>
      <c r="O93" s="11" t="n">
        <f aca="false">MAX(0,_xlfn.MAXIFS(N$2:N93,A$2:A93,A93,B$2:B93,B93))</f>
        <v>5358323.4</v>
      </c>
      <c r="P93" s="11" t="n">
        <f aca="false">N93-O93</f>
        <v>-528600.9</v>
      </c>
    </row>
    <row r="94" customFormat="false" ht="15" hidden="false" customHeight="false" outlineLevel="0" collapsed="false">
      <c r="A94" s="8" t="s">
        <v>26</v>
      </c>
      <c r="B94" s="8" t="s">
        <v>29</v>
      </c>
      <c r="C94" s="8" t="s">
        <v>56</v>
      </c>
      <c r="D94" s="21" t="n">
        <v>46133.875</v>
      </c>
      <c r="E94" s="21" t="n">
        <v>46143.8340277778</v>
      </c>
      <c r="F94" s="22" t="n">
        <f aca="false">DATE(YEAR(E94),MONTH(E94),1)</f>
        <v>46143</v>
      </c>
      <c r="G94" s="23" t="n">
        <v>262733</v>
      </c>
      <c r="H94" s="8" t="s">
        <v>55</v>
      </c>
      <c r="I94" s="24" t="n">
        <v>-2211.31</v>
      </c>
      <c r="J94" s="25" t="n">
        <f aca="false">Summary!$B$4</f>
        <v>1</v>
      </c>
      <c r="K94" s="11" t="n">
        <f aca="false">I94*J94*IF(A94="SILVER",Summary!$B$5,Summary!$B$6)</f>
        <v>-66339.3</v>
      </c>
      <c r="L94" s="26" t="n">
        <v>-0.178</v>
      </c>
      <c r="M94" s="27" t="n">
        <f aca="false">IF(K94&gt;0,1,0)</f>
        <v>0</v>
      </c>
      <c r="N94" s="11" t="n">
        <f aca="false">SUMIFS(K$2:K94,A$2:A94,A94,B$2:B94,B94)</f>
        <v>4763383.2</v>
      </c>
      <c r="O94" s="11" t="n">
        <f aca="false">MAX(0,_xlfn.MAXIFS(N$2:N94,A$2:A94,A94,B$2:B94,B94))</f>
        <v>5358323.4</v>
      </c>
      <c r="P94" s="11" t="n">
        <f aca="false">N94-O94</f>
        <v>-594940.2</v>
      </c>
    </row>
    <row r="95" customFormat="false" ht="15" hidden="false" customHeight="false" outlineLevel="0" collapsed="false">
      <c r="A95" s="8" t="s">
        <v>26</v>
      </c>
      <c r="B95" s="8" t="s">
        <v>29</v>
      </c>
      <c r="C95" s="8" t="s">
        <v>56</v>
      </c>
      <c r="D95" s="21" t="n">
        <v>46147.5819444444</v>
      </c>
      <c r="E95" s="21" t="n">
        <v>46149.6666666667</v>
      </c>
      <c r="F95" s="22" t="n">
        <f aca="false">DATE(YEAR(E95),MONTH(E95),1)</f>
        <v>46143</v>
      </c>
      <c r="G95" s="23" t="n">
        <v>257385</v>
      </c>
      <c r="H95" s="8" t="s">
        <v>55</v>
      </c>
      <c r="I95" s="24" t="n">
        <v>-10335.79</v>
      </c>
      <c r="J95" s="25" t="n">
        <f aca="false">Summary!$B$4</f>
        <v>1</v>
      </c>
      <c r="K95" s="11" t="n">
        <f aca="false">I95*J95*IF(A95="SILVER",Summary!$B$5,Summary!$B$6)</f>
        <v>-310073.7</v>
      </c>
      <c r="L95" s="26" t="n">
        <v>-1.065</v>
      </c>
      <c r="M95" s="27" t="n">
        <f aca="false">IF(K95&gt;0,1,0)</f>
        <v>0</v>
      </c>
      <c r="N95" s="11" t="n">
        <f aca="false">SUMIFS(K$2:K95,A$2:A95,A95,B$2:B95,B95)</f>
        <v>4453309.5</v>
      </c>
      <c r="O95" s="11" t="n">
        <f aca="false">MAX(0,_xlfn.MAXIFS(N$2:N95,A$2:A95,A95,B$2:B95,B95))</f>
        <v>5358323.4</v>
      </c>
      <c r="P95" s="11" t="n">
        <f aca="false">N95-O95</f>
        <v>-905013.9</v>
      </c>
    </row>
    <row r="96" customFormat="false" ht="15" hidden="false" customHeight="false" outlineLevel="0" collapsed="false">
      <c r="A96" s="8" t="s">
        <v>26</v>
      </c>
      <c r="B96" s="8" t="s">
        <v>29</v>
      </c>
      <c r="C96" s="8" t="s">
        <v>56</v>
      </c>
      <c r="D96" s="21" t="n">
        <v>46157.4166666667</v>
      </c>
      <c r="E96" s="21" t="n">
        <v>46188.375</v>
      </c>
      <c r="F96" s="22" t="n">
        <f aca="false">DATE(YEAR(E96),MONTH(E96),1)</f>
        <v>46174</v>
      </c>
      <c r="G96" s="23" t="n">
        <v>289569</v>
      </c>
      <c r="H96" s="8" t="s">
        <v>55</v>
      </c>
      <c r="I96" s="24" t="n">
        <v>30974.07</v>
      </c>
      <c r="J96" s="25" t="n">
        <f aca="false">Summary!$B$4</f>
        <v>1</v>
      </c>
      <c r="K96" s="11" t="n">
        <f aca="false">I96*J96*IF(A96="SILVER",Summary!$B$5,Summary!$B$6)</f>
        <v>929222.1</v>
      </c>
      <c r="L96" s="26" t="n">
        <v>1.771</v>
      </c>
      <c r="M96" s="27" t="n">
        <f aca="false">IF(K96&gt;0,1,0)</f>
        <v>1</v>
      </c>
      <c r="N96" s="11" t="n">
        <f aca="false">SUMIFS(K$2:K96,A$2:A96,A96,B$2:B96,B96)</f>
        <v>5382531.6</v>
      </c>
      <c r="O96" s="11" t="n">
        <f aca="false">MAX(0,_xlfn.MAXIFS(N$2:N96,A$2:A96,A96,B$2:B96,B96))</f>
        <v>5382531.6</v>
      </c>
      <c r="P96" s="11" t="n">
        <f aca="false">N96-O96</f>
        <v>0</v>
      </c>
    </row>
    <row r="97" customFormat="false" ht="15" hidden="false" customHeight="false" outlineLevel="0" collapsed="false">
      <c r="A97" s="8" t="s">
        <v>26</v>
      </c>
      <c r="B97" s="8" t="s">
        <v>29</v>
      </c>
      <c r="C97" s="8" t="s">
        <v>56</v>
      </c>
      <c r="D97" s="21" t="n">
        <v>46191.7083333333</v>
      </c>
      <c r="E97" s="21" t="n">
        <v>46203.7958333333</v>
      </c>
      <c r="F97" s="22" t="n">
        <f aca="false">DATE(YEAR(E97),MONTH(E97),1)</f>
        <v>46174</v>
      </c>
      <c r="G97" s="23" t="n">
        <v>248264</v>
      </c>
      <c r="H97" s="8" t="s">
        <v>55</v>
      </c>
      <c r="I97" s="24" t="n">
        <v>16488.27</v>
      </c>
      <c r="J97" s="25" t="n">
        <f aca="false">Summary!$B$4</f>
        <v>1</v>
      </c>
      <c r="K97" s="11" t="n">
        <f aca="false">I97*J97*IF(A97="SILVER",Summary!$B$5,Summary!$B$6)</f>
        <v>494648.1</v>
      </c>
      <c r="L97" s="26" t="n">
        <v>1.458</v>
      </c>
      <c r="M97" s="27" t="n">
        <f aca="false">IF(K97&gt;0,1,0)</f>
        <v>1</v>
      </c>
      <c r="N97" s="11" t="n">
        <f aca="false">SUMIFS(K$2:K97,A$2:A97,A97,B$2:B97,B97)</f>
        <v>5877179.7</v>
      </c>
      <c r="O97" s="11" t="n">
        <f aca="false">MAX(0,_xlfn.MAXIFS(N$2:N97,A$2:A97,A97,B$2:B97,B97))</f>
        <v>5877179.7</v>
      </c>
      <c r="P97" s="11" t="n">
        <f aca="false">N97-O97</f>
        <v>0</v>
      </c>
    </row>
    <row r="98" customFormat="false" ht="15" hidden="false" customHeight="false" outlineLevel="0" collapsed="false">
      <c r="A98" s="8" t="s">
        <v>26</v>
      </c>
      <c r="B98" s="8" t="s">
        <v>29</v>
      </c>
      <c r="C98" s="8" t="s">
        <v>56</v>
      </c>
      <c r="D98" s="21" t="n">
        <v>46211.4166666667</v>
      </c>
      <c r="E98" s="21" t="n">
        <v>46224.5</v>
      </c>
      <c r="F98" s="22" t="n">
        <f aca="false">DATE(YEAR(E98),MONTH(E98),1)</f>
        <v>46204</v>
      </c>
      <c r="G98" s="23" t="n">
        <v>234047</v>
      </c>
      <c r="H98" s="8" t="s">
        <v>55</v>
      </c>
      <c r="I98" s="24" t="n">
        <v>6933.82</v>
      </c>
      <c r="J98" s="25" t="n">
        <f aca="false">Summary!$B$4</f>
        <v>1</v>
      </c>
      <c r="K98" s="11" t="n">
        <f aca="false">I98*J98*IF(A98="SILVER",Summary!$B$5,Summary!$B$6)</f>
        <v>208014.6</v>
      </c>
      <c r="L98" s="26" t="n">
        <v>0.802</v>
      </c>
      <c r="M98" s="27" t="n">
        <f aca="false">IF(K98&gt;0,1,0)</f>
        <v>1</v>
      </c>
      <c r="N98" s="11" t="n">
        <f aca="false">SUMIFS(K$2:K98,A$2:A98,A98,B$2:B98,B98)</f>
        <v>6085194.3</v>
      </c>
      <c r="O98" s="11" t="n">
        <f aca="false">MAX(0,_xlfn.MAXIFS(N$2:N98,A$2:A98,A98,B$2:B98,B98))</f>
        <v>6085194.3</v>
      </c>
      <c r="P98" s="11" t="n">
        <f aca="false">N98-O98</f>
        <v>0</v>
      </c>
    </row>
    <row r="99" customFormat="false" ht="15" hidden="false" customHeight="false" outlineLevel="0" collapsed="false">
      <c r="A99" s="8" t="s">
        <v>26</v>
      </c>
      <c r="B99" s="8" t="s">
        <v>29</v>
      </c>
      <c r="C99" s="8" t="s">
        <v>56</v>
      </c>
      <c r="D99" s="21" t="n">
        <v>46226.7916666667</v>
      </c>
      <c r="E99" s="21" t="n">
        <v>46239.4166666667</v>
      </c>
      <c r="F99" s="22" t="n">
        <f aca="false">DATE(YEAR(E99),MONTH(E99),1)</f>
        <v>46235</v>
      </c>
      <c r="G99" s="23" t="n">
        <v>224807</v>
      </c>
      <c r="H99" s="8" t="s">
        <v>55</v>
      </c>
      <c r="I99" s="24" t="n">
        <v>-4032.41</v>
      </c>
      <c r="J99" s="25" t="n">
        <f aca="false">Summary!$B$4</f>
        <v>1</v>
      </c>
      <c r="K99" s="11" t="n">
        <f aca="false">I99*J99*IF(A99="SILVER",Summary!$B$5,Summary!$B$6)</f>
        <v>-120972.3</v>
      </c>
      <c r="L99" s="26" t="n">
        <v>-0.54</v>
      </c>
      <c r="M99" s="27" t="n">
        <f aca="false">IF(K99&gt;0,1,0)</f>
        <v>0</v>
      </c>
      <c r="N99" s="11" t="n">
        <f aca="false">SUMIFS(K$2:K99,A$2:A99,A99,B$2:B99,B99)</f>
        <v>5964222</v>
      </c>
      <c r="O99" s="11" t="n">
        <f aca="false">MAX(0,_xlfn.MAXIFS(N$2:N99,A$2:A99,A99,B$2:B99,B99))</f>
        <v>6085194.3</v>
      </c>
      <c r="P99" s="11" t="n">
        <f aca="false">N99-O99</f>
        <v>-120972.3</v>
      </c>
    </row>
    <row r="100" customFormat="false" ht="15" hidden="false" customHeight="false" outlineLevel="0" collapsed="false">
      <c r="A100" s="8" t="s">
        <v>26</v>
      </c>
      <c r="B100" s="8" t="s">
        <v>29</v>
      </c>
      <c r="C100" s="8" t="s">
        <v>56</v>
      </c>
      <c r="D100" s="21" t="n">
        <v>46253.4166666667</v>
      </c>
      <c r="E100" s="21" t="n">
        <v>46253.8333333333</v>
      </c>
      <c r="F100" s="22" t="n">
        <f aca="false">DATE(YEAR(E100),MONTH(E100),1)</f>
        <v>46235</v>
      </c>
      <c r="G100" s="23" t="n">
        <v>233357</v>
      </c>
      <c r="H100" s="8" t="s">
        <v>55</v>
      </c>
      <c r="I100" s="24" t="n">
        <v>-7502.47</v>
      </c>
      <c r="J100" s="25" t="n">
        <f aca="false">Summary!$B$4</f>
        <v>1</v>
      </c>
      <c r="K100" s="11" t="n">
        <f aca="false">I100*J100*IF(A100="SILVER",Summary!$B$5,Summary!$B$6)</f>
        <v>-225074.1</v>
      </c>
      <c r="L100" s="26" t="n">
        <v>-0.893</v>
      </c>
      <c r="M100" s="27" t="n">
        <f aca="false">IF(K100&gt;0,1,0)</f>
        <v>0</v>
      </c>
      <c r="N100" s="11" t="n">
        <f aca="false">SUMIFS(K$2:K100,A$2:A100,A100,B$2:B100,B100)</f>
        <v>5739147.9</v>
      </c>
      <c r="O100" s="11" t="n">
        <f aca="false">MAX(0,_xlfn.MAXIFS(N$2:N100,A$2:A100,A100,B$2:B100,B100))</f>
        <v>6085194.3</v>
      </c>
      <c r="P100" s="11" t="n">
        <f aca="false">N100-O100</f>
        <v>-346046.399999999</v>
      </c>
    </row>
    <row r="101" customFormat="false" ht="15" hidden="false" customHeight="false" outlineLevel="0" collapsed="false">
      <c r="A101" s="8" t="s">
        <v>26</v>
      </c>
      <c r="B101" s="8" t="s">
        <v>29</v>
      </c>
      <c r="C101" s="8" t="s">
        <v>56</v>
      </c>
      <c r="D101" s="21" t="n">
        <v>46261.375</v>
      </c>
      <c r="E101" s="21" t="n">
        <v>46268.9166666667</v>
      </c>
      <c r="F101" s="22" t="n">
        <f aca="false">DATE(YEAR(E101),MONTH(E101),1)</f>
        <v>46266</v>
      </c>
      <c r="G101" s="23" t="n">
        <v>247656</v>
      </c>
      <c r="H101" s="8" t="s">
        <v>55</v>
      </c>
      <c r="I101" s="24" t="n">
        <v>6983.45</v>
      </c>
      <c r="J101" s="25" t="n">
        <f aca="false">Summary!$B$4</f>
        <v>1</v>
      </c>
      <c r="K101" s="11" t="n">
        <f aca="false">I101*J101*IF(A101="SILVER",Summary!$B$5,Summary!$B$6)</f>
        <v>209503.5</v>
      </c>
      <c r="L101" s="26" t="n">
        <v>1.257</v>
      </c>
      <c r="M101" s="27" t="n">
        <f aca="false">IF(K101&gt;0,1,0)</f>
        <v>1</v>
      </c>
      <c r="N101" s="11" t="n">
        <f aca="false">SUMIFS(K$2:K101,A$2:A101,A101,B$2:B101,B101)</f>
        <v>5948651.4</v>
      </c>
      <c r="O101" s="11" t="n">
        <f aca="false">MAX(0,_xlfn.MAXIFS(N$2:N101,A$2:A101,A101,B$2:B101,B101))</f>
        <v>6085194.3</v>
      </c>
      <c r="P101" s="11" t="n">
        <f aca="false">N101-O101</f>
        <v>-136542.899999999</v>
      </c>
    </row>
    <row r="102" customFormat="false" ht="15" hidden="false" customHeight="false" outlineLevel="0" collapsed="false">
      <c r="A102" s="8" t="s">
        <v>26</v>
      </c>
      <c r="B102" s="8" t="s">
        <v>29</v>
      </c>
      <c r="C102" s="8" t="s">
        <v>56</v>
      </c>
      <c r="D102" s="21" t="n">
        <v>46275.875</v>
      </c>
      <c r="E102" s="21" t="n">
        <v>46283.4583333333</v>
      </c>
      <c r="F102" s="22" t="n">
        <f aca="false">DATE(YEAR(E102),MONTH(E102),1)</f>
        <v>46266</v>
      </c>
      <c r="G102" s="23" t="n">
        <v>235114</v>
      </c>
      <c r="H102" s="8" t="s">
        <v>55</v>
      </c>
      <c r="I102" s="24" t="n">
        <v>-5172.52</v>
      </c>
      <c r="J102" s="25" t="n">
        <f aca="false">Summary!$B$4</f>
        <v>1</v>
      </c>
      <c r="K102" s="11" t="n">
        <f aca="false">I102*J102*IF(A102="SILVER",Summary!$B$5,Summary!$B$6)</f>
        <v>-155175.6</v>
      </c>
      <c r="L102" s="26" t="n">
        <v>-0.524</v>
      </c>
      <c r="M102" s="27" t="n">
        <f aca="false">IF(K102&gt;0,1,0)</f>
        <v>0</v>
      </c>
      <c r="N102" s="11" t="n">
        <f aca="false">SUMIFS(K$2:K102,A$2:A102,A102,B$2:B102,B102)</f>
        <v>5793475.8</v>
      </c>
      <c r="O102" s="11" t="n">
        <f aca="false">MAX(0,_xlfn.MAXIFS(N$2:N102,A$2:A102,A102,B$2:B102,B102))</f>
        <v>6085194.3</v>
      </c>
      <c r="P102" s="11" t="n">
        <f aca="false">N102-O102</f>
        <v>-291718.5</v>
      </c>
    </row>
    <row r="103" customFormat="false" ht="15" hidden="false" customHeight="false" outlineLevel="0" collapsed="false">
      <c r="A103" s="8" t="s">
        <v>26</v>
      </c>
      <c r="B103" s="8" t="s">
        <v>31</v>
      </c>
      <c r="C103" s="8" t="s">
        <v>56</v>
      </c>
      <c r="D103" s="21" t="n">
        <v>45699.7916666667</v>
      </c>
      <c r="E103" s="21" t="n">
        <v>45702.4166666667</v>
      </c>
      <c r="F103" s="22" t="n">
        <f aca="false">DATE(YEAR(E103),MONTH(E103),1)</f>
        <v>45689</v>
      </c>
      <c r="G103" s="23" t="n">
        <v>132343</v>
      </c>
      <c r="H103" s="8" t="s">
        <v>55</v>
      </c>
      <c r="I103" s="24" t="n">
        <v>-3073.97</v>
      </c>
      <c r="J103" s="25" t="n">
        <f aca="false">Summary!$B$4</f>
        <v>1</v>
      </c>
      <c r="K103" s="11" t="n">
        <f aca="false">I103*J103*IF(A103="SILVER",Summary!$B$5,Summary!$B$6)</f>
        <v>-92219.1</v>
      </c>
      <c r="L103" s="26" t="n">
        <v>-1.128</v>
      </c>
      <c r="M103" s="27" t="n">
        <f aca="false">IF(K103&gt;0,1,0)</f>
        <v>0</v>
      </c>
      <c r="N103" s="11" t="n">
        <f aca="false">SUMIFS(K$2:K103,A$2:A103,A103,B$2:B103,B103)</f>
        <v>-92219.1</v>
      </c>
      <c r="O103" s="11" t="n">
        <f aca="false">MAX(0,_xlfn.MAXIFS(N$2:N103,A$2:A103,A103,B$2:B103,B103))</f>
        <v>0</v>
      </c>
      <c r="P103" s="11" t="n">
        <f aca="false">N103-O103</f>
        <v>-92219.1</v>
      </c>
    </row>
    <row r="104" customFormat="false" ht="15" hidden="false" customHeight="false" outlineLevel="0" collapsed="false">
      <c r="A104" s="8" t="s">
        <v>26</v>
      </c>
      <c r="B104" s="8" t="s">
        <v>31</v>
      </c>
      <c r="C104" s="8" t="s">
        <v>56</v>
      </c>
      <c r="D104" s="21" t="n">
        <v>45702.9166666667</v>
      </c>
      <c r="E104" s="21" t="n">
        <v>45721.4631944444</v>
      </c>
      <c r="F104" s="22" t="n">
        <f aca="false">DATE(YEAR(E104),MONTH(E104),1)</f>
        <v>45717</v>
      </c>
      <c r="G104" s="23" t="n">
        <v>134632</v>
      </c>
      <c r="H104" s="8" t="s">
        <v>55</v>
      </c>
      <c r="I104" s="24" t="n">
        <v>430.92</v>
      </c>
      <c r="J104" s="25" t="n">
        <f aca="false">Summary!$B$4</f>
        <v>1</v>
      </c>
      <c r="K104" s="11" t="n">
        <f aca="false">I104*J104*IF(A104="SILVER",Summary!$B$5,Summary!$B$6)</f>
        <v>12927.6</v>
      </c>
      <c r="L104" s="26" t="n">
        <v>0.136</v>
      </c>
      <c r="M104" s="27" t="n">
        <f aca="false">IF(K104&gt;0,1,0)</f>
        <v>1</v>
      </c>
      <c r="N104" s="11" t="n">
        <f aca="false">SUMIFS(K$2:K104,A$2:A104,A104,B$2:B104,B104)</f>
        <v>-79291.5</v>
      </c>
      <c r="O104" s="11" t="n">
        <f aca="false">MAX(0,_xlfn.MAXIFS(N$2:N104,A$2:A104,A104,B$2:B104,B104))</f>
        <v>0</v>
      </c>
      <c r="P104" s="11" t="n">
        <f aca="false">N104-O104</f>
        <v>-79291.5</v>
      </c>
    </row>
    <row r="105" customFormat="false" ht="15" hidden="false" customHeight="false" outlineLevel="0" collapsed="false">
      <c r="A105" s="8" t="s">
        <v>26</v>
      </c>
      <c r="B105" s="8" t="s">
        <v>31</v>
      </c>
      <c r="C105" s="8" t="s">
        <v>56</v>
      </c>
      <c r="D105" s="21" t="n">
        <v>45736.6666666667</v>
      </c>
      <c r="E105" s="21" t="n">
        <v>45741.6909722222</v>
      </c>
      <c r="F105" s="22" t="n">
        <f aca="false">DATE(YEAR(E105),MONTH(E105),1)</f>
        <v>45717</v>
      </c>
      <c r="G105" s="23" t="n">
        <v>135951</v>
      </c>
      <c r="H105" s="8" t="s">
        <v>58</v>
      </c>
      <c r="I105" s="24" t="n">
        <v>279.79</v>
      </c>
      <c r="J105" s="25" t="n">
        <f aca="false">Summary!$B$4</f>
        <v>1</v>
      </c>
      <c r="K105" s="11" t="n">
        <f aca="false">I105*J105*IF(A105="SILVER",Summary!$B$5,Summary!$B$6)</f>
        <v>8393.7</v>
      </c>
      <c r="L105" s="26" t="n">
        <v>0.09</v>
      </c>
      <c r="M105" s="27" t="n">
        <f aca="false">IF(K105&gt;0,1,0)</f>
        <v>1</v>
      </c>
      <c r="N105" s="11" t="n">
        <f aca="false">SUMIFS(K$2:K105,A$2:A105,A105,B$2:B105,B105)</f>
        <v>-70897.8</v>
      </c>
      <c r="O105" s="11" t="n">
        <f aca="false">MAX(0,_xlfn.MAXIFS(N$2:N105,A$2:A105,A105,B$2:B105,B105))</f>
        <v>0</v>
      </c>
      <c r="P105" s="11" t="n">
        <f aca="false">N105-O105</f>
        <v>-70897.8</v>
      </c>
    </row>
    <row r="106" customFormat="false" ht="15" hidden="false" customHeight="false" outlineLevel="0" collapsed="false">
      <c r="A106" s="8" t="s">
        <v>26</v>
      </c>
      <c r="B106" s="8" t="s">
        <v>31</v>
      </c>
      <c r="C106" s="8" t="s">
        <v>56</v>
      </c>
      <c r="D106" s="21" t="n">
        <v>45748.9166666667</v>
      </c>
      <c r="E106" s="21" t="n">
        <v>45758.5833333333</v>
      </c>
      <c r="F106" s="22" t="n">
        <f aca="false">DATE(YEAR(E106),MONTH(E106),1)</f>
        <v>45748</v>
      </c>
      <c r="G106" s="23" t="n">
        <v>136297</v>
      </c>
      <c r="H106" s="8" t="s">
        <v>55</v>
      </c>
      <c r="I106" s="24" t="n">
        <v>6488.79</v>
      </c>
      <c r="J106" s="25" t="n">
        <f aca="false">Summary!$B$4</f>
        <v>1</v>
      </c>
      <c r="K106" s="11" t="n">
        <f aca="false">I106*J106*IF(A106="SILVER",Summary!$B$5,Summary!$B$6)</f>
        <v>194663.7</v>
      </c>
      <c r="L106" s="26" t="n">
        <v>2.033</v>
      </c>
      <c r="M106" s="27" t="n">
        <f aca="false">IF(K106&gt;0,1,0)</f>
        <v>1</v>
      </c>
      <c r="N106" s="11" t="n">
        <f aca="false">SUMIFS(K$2:K106,A$2:A106,A106,B$2:B106,B106)</f>
        <v>123765.9</v>
      </c>
      <c r="O106" s="11" t="n">
        <f aca="false">MAX(0,_xlfn.MAXIFS(N$2:N106,A$2:A106,A106,B$2:B106,B106))</f>
        <v>123765.9</v>
      </c>
      <c r="P106" s="11" t="n">
        <f aca="false">N106-O106</f>
        <v>0</v>
      </c>
    </row>
    <row r="107" customFormat="false" ht="15" hidden="false" customHeight="false" outlineLevel="0" collapsed="false">
      <c r="A107" s="8" t="s">
        <v>26</v>
      </c>
      <c r="B107" s="8" t="s">
        <v>31</v>
      </c>
      <c r="C107" s="8" t="s">
        <v>56</v>
      </c>
      <c r="D107" s="21" t="n">
        <v>45777.5833333333</v>
      </c>
      <c r="E107" s="21" t="n">
        <v>45778.7666666667</v>
      </c>
      <c r="F107" s="22" t="n">
        <f aca="false">DATE(YEAR(E107),MONTH(E107),1)</f>
        <v>45778</v>
      </c>
      <c r="G107" s="23" t="n">
        <v>131200</v>
      </c>
      <c r="H107" s="8" t="s">
        <v>58</v>
      </c>
      <c r="I107" s="24" t="n">
        <v>274.19</v>
      </c>
      <c r="J107" s="25" t="n">
        <f aca="false">Summary!$B$4</f>
        <v>1</v>
      </c>
      <c r="K107" s="11" t="n">
        <f aca="false">I107*J107*IF(A107="SILVER",Summary!$B$5,Summary!$B$6)</f>
        <v>8225.7</v>
      </c>
      <c r="L107" s="26" t="n">
        <v>0.074</v>
      </c>
      <c r="M107" s="27" t="n">
        <f aca="false">IF(K107&gt;0,1,0)</f>
        <v>1</v>
      </c>
      <c r="N107" s="11" t="n">
        <f aca="false">SUMIFS(K$2:K107,A$2:A107,A107,B$2:B107,B107)</f>
        <v>131991.6</v>
      </c>
      <c r="O107" s="11" t="n">
        <f aca="false">MAX(0,_xlfn.MAXIFS(N$2:N107,A$2:A107,A107,B$2:B107,B107))</f>
        <v>131991.6</v>
      </c>
      <c r="P107" s="11" t="n">
        <f aca="false">N107-O107</f>
        <v>0</v>
      </c>
    </row>
    <row r="108" customFormat="false" ht="15" hidden="false" customHeight="false" outlineLevel="0" collapsed="false">
      <c r="A108" s="8" t="s">
        <v>26</v>
      </c>
      <c r="B108" s="8" t="s">
        <v>31</v>
      </c>
      <c r="C108" s="8" t="s">
        <v>56</v>
      </c>
      <c r="D108" s="21" t="n">
        <v>45792.4583333333</v>
      </c>
      <c r="E108" s="21" t="n">
        <v>45797.9166666667</v>
      </c>
      <c r="F108" s="22" t="n">
        <f aca="false">DATE(YEAR(E108),MONTH(E108),1)</f>
        <v>45778</v>
      </c>
      <c r="G108" s="23" t="n">
        <v>129020</v>
      </c>
      <c r="H108" s="8" t="s">
        <v>55</v>
      </c>
      <c r="I108" s="24" t="n">
        <v>-2939.12</v>
      </c>
      <c r="J108" s="25" t="n">
        <f aca="false">Summary!$B$4</f>
        <v>1</v>
      </c>
      <c r="K108" s="11" t="n">
        <f aca="false">I108*J108*IF(A108="SILVER",Summary!$B$5,Summary!$B$6)</f>
        <v>-88173.6</v>
      </c>
      <c r="L108" s="26" t="n">
        <v>-0.983</v>
      </c>
      <c r="M108" s="27" t="n">
        <f aca="false">IF(K108&gt;0,1,0)</f>
        <v>0</v>
      </c>
      <c r="N108" s="11" t="n">
        <f aca="false">SUMIFS(K$2:K108,A$2:A108,A108,B$2:B108,B108)</f>
        <v>43818</v>
      </c>
      <c r="O108" s="11" t="n">
        <f aca="false">MAX(0,_xlfn.MAXIFS(N$2:N108,A$2:A108,A108,B$2:B108,B108))</f>
        <v>131991.6</v>
      </c>
      <c r="P108" s="11" t="n">
        <f aca="false">N108-O108</f>
        <v>-88173.6</v>
      </c>
    </row>
    <row r="109" customFormat="false" ht="15" hidden="false" customHeight="false" outlineLevel="0" collapsed="false">
      <c r="A109" s="8" t="s">
        <v>26</v>
      </c>
      <c r="B109" s="8" t="s">
        <v>31</v>
      </c>
      <c r="C109" s="8" t="s">
        <v>56</v>
      </c>
      <c r="D109" s="21" t="n">
        <v>45799.7083333333</v>
      </c>
      <c r="E109" s="21" t="n">
        <v>45810.7916666667</v>
      </c>
      <c r="F109" s="22" t="n">
        <f aca="false">DATE(YEAR(E109),MONTH(E109),1)</f>
        <v>45809</v>
      </c>
      <c r="G109" s="23" t="n">
        <v>131701</v>
      </c>
      <c r="H109" s="8" t="s">
        <v>55</v>
      </c>
      <c r="I109" s="24" t="n">
        <v>-2677.64</v>
      </c>
      <c r="J109" s="25" t="n">
        <f aca="false">Summary!$B$4</f>
        <v>1</v>
      </c>
      <c r="K109" s="11" t="n">
        <f aca="false">I109*J109*IF(A109="SILVER",Summary!$B$5,Summary!$B$6)</f>
        <v>-80329.2</v>
      </c>
      <c r="L109" s="26" t="n">
        <v>-1.046</v>
      </c>
      <c r="M109" s="27" t="n">
        <f aca="false">IF(K109&gt;0,1,0)</f>
        <v>0</v>
      </c>
      <c r="N109" s="11" t="n">
        <f aca="false">SUMIFS(K$2:K109,A$2:A109,A109,B$2:B109,B109)</f>
        <v>-36511.2</v>
      </c>
      <c r="O109" s="11" t="n">
        <f aca="false">MAX(0,_xlfn.MAXIFS(N$2:N109,A$2:A109,A109,B$2:B109,B109))</f>
        <v>131991.6</v>
      </c>
      <c r="P109" s="11" t="n">
        <f aca="false">N109-O109</f>
        <v>-168502.8</v>
      </c>
    </row>
    <row r="110" customFormat="false" ht="15" hidden="false" customHeight="false" outlineLevel="0" collapsed="false">
      <c r="A110" s="8" t="s">
        <v>26</v>
      </c>
      <c r="B110" s="8" t="s">
        <v>31</v>
      </c>
      <c r="C110" s="8" t="s">
        <v>54</v>
      </c>
      <c r="D110" s="21" t="n">
        <v>45841.53125</v>
      </c>
      <c r="E110" s="21" t="n">
        <v>45853.875</v>
      </c>
      <c r="F110" s="22" t="n">
        <f aca="false">DATE(YEAR(E110),MONTH(E110),1)</f>
        <v>45839</v>
      </c>
      <c r="G110" s="23" t="n">
        <v>142205</v>
      </c>
      <c r="H110" s="8" t="s">
        <v>55</v>
      </c>
      <c r="I110" s="24" t="n">
        <v>3515.84</v>
      </c>
      <c r="J110" s="25" t="n">
        <f aca="false">Summary!$B$4</f>
        <v>1</v>
      </c>
      <c r="K110" s="11" t="n">
        <f aca="false">I110*J110*IF(A110="SILVER",Summary!$B$5,Summary!$B$6)</f>
        <v>105475.2</v>
      </c>
      <c r="L110" s="26" t="n">
        <v>1.461</v>
      </c>
      <c r="M110" s="27" t="n">
        <f aca="false">IF(K110&gt;0,1,0)</f>
        <v>1</v>
      </c>
      <c r="N110" s="11" t="n">
        <f aca="false">SUMIFS(K$2:K110,A$2:A110,A110,B$2:B110,B110)</f>
        <v>68964</v>
      </c>
      <c r="O110" s="11" t="n">
        <f aca="false">MAX(0,_xlfn.MAXIFS(N$2:N110,A$2:A110,A110,B$2:B110,B110))</f>
        <v>131991.6</v>
      </c>
      <c r="P110" s="11" t="n">
        <f aca="false">N110-O110</f>
        <v>-63027.6</v>
      </c>
    </row>
    <row r="111" customFormat="false" ht="15" hidden="false" customHeight="false" outlineLevel="0" collapsed="false">
      <c r="A111" s="8" t="s">
        <v>26</v>
      </c>
      <c r="B111" s="8" t="s">
        <v>31</v>
      </c>
      <c r="C111" s="8" t="s">
        <v>54</v>
      </c>
      <c r="D111" s="21" t="n">
        <v>45859.6666666667</v>
      </c>
      <c r="E111" s="21" t="n">
        <v>45863.8243055556</v>
      </c>
      <c r="F111" s="22" t="n">
        <f aca="false">DATE(YEAR(E111),MONTH(E111),1)</f>
        <v>45839</v>
      </c>
      <c r="G111" s="23" t="n">
        <v>148364</v>
      </c>
      <c r="H111" s="8" t="s">
        <v>58</v>
      </c>
      <c r="I111" s="24" t="n">
        <v>203.56</v>
      </c>
      <c r="J111" s="25" t="n">
        <f aca="false">Summary!$B$4</f>
        <v>1</v>
      </c>
      <c r="K111" s="11" t="n">
        <f aca="false">I111*J111*IF(A111="SILVER",Summary!$B$5,Summary!$B$6)</f>
        <v>6106.8</v>
      </c>
      <c r="L111" s="26" t="n">
        <v>0.086</v>
      </c>
      <c r="M111" s="27" t="n">
        <f aca="false">IF(K111&gt;0,1,0)</f>
        <v>1</v>
      </c>
      <c r="N111" s="11" t="n">
        <f aca="false">SUMIFS(K$2:K111,A$2:A111,A111,B$2:B111,B111)</f>
        <v>75070.8000000001</v>
      </c>
      <c r="O111" s="11" t="n">
        <f aca="false">MAX(0,_xlfn.MAXIFS(N$2:N111,A$2:A111,A111,B$2:B111,B111))</f>
        <v>131991.6</v>
      </c>
      <c r="P111" s="11" t="n">
        <f aca="false">N111-O111</f>
        <v>-56920.8</v>
      </c>
    </row>
    <row r="112" customFormat="false" ht="15" hidden="false" customHeight="false" outlineLevel="0" collapsed="false">
      <c r="A112" s="8" t="s">
        <v>26</v>
      </c>
      <c r="B112" s="8" t="s">
        <v>31</v>
      </c>
      <c r="C112" s="8" t="s">
        <v>54</v>
      </c>
      <c r="D112" s="21" t="n">
        <v>45873.5833333333</v>
      </c>
      <c r="E112" s="21" t="n">
        <v>45888.5</v>
      </c>
      <c r="F112" s="22" t="n">
        <f aca="false">DATE(YEAR(E112),MONTH(E112),1)</f>
        <v>45870</v>
      </c>
      <c r="G112" s="23" t="n">
        <v>146431</v>
      </c>
      <c r="H112" s="8" t="s">
        <v>55</v>
      </c>
      <c r="I112" s="24" t="n">
        <v>855.5</v>
      </c>
      <c r="J112" s="25" t="n">
        <f aca="false">Summary!$B$4</f>
        <v>1</v>
      </c>
      <c r="K112" s="11" t="n">
        <f aca="false">I112*J112*IF(A112="SILVER",Summary!$B$5,Summary!$B$6)</f>
        <v>25665</v>
      </c>
      <c r="L112" s="26" t="n">
        <v>0.278</v>
      </c>
      <c r="M112" s="27" t="n">
        <f aca="false">IF(K112&gt;0,1,0)</f>
        <v>1</v>
      </c>
      <c r="N112" s="11" t="n">
        <f aca="false">SUMIFS(K$2:K112,A$2:A112,A112,B$2:B112,B112)</f>
        <v>100735.8</v>
      </c>
      <c r="O112" s="11" t="n">
        <f aca="false">MAX(0,_xlfn.MAXIFS(N$2:N112,A$2:A112,A112,B$2:B112,B112))</f>
        <v>131991.6</v>
      </c>
      <c r="P112" s="11" t="n">
        <f aca="false">N112-O112</f>
        <v>-31255.8</v>
      </c>
    </row>
    <row r="113" customFormat="false" ht="15" hidden="false" customHeight="false" outlineLevel="0" collapsed="false">
      <c r="A113" s="8" t="s">
        <v>26</v>
      </c>
      <c r="B113" s="8" t="s">
        <v>31</v>
      </c>
      <c r="C113" s="8" t="s">
        <v>54</v>
      </c>
      <c r="D113" s="21" t="n">
        <v>45890.4166666667</v>
      </c>
      <c r="E113" s="21" t="n">
        <v>45908.4166666667</v>
      </c>
      <c r="F113" s="22" t="n">
        <f aca="false">DATE(YEAR(E113),MONTH(E113),1)</f>
        <v>45901</v>
      </c>
      <c r="G113" s="23" t="n">
        <v>147134</v>
      </c>
      <c r="H113" s="8" t="s">
        <v>55</v>
      </c>
      <c r="I113" s="24" t="n">
        <v>7960.59</v>
      </c>
      <c r="J113" s="25" t="n">
        <f aca="false">Summary!$B$4</f>
        <v>1</v>
      </c>
      <c r="K113" s="11" t="n">
        <f aca="false">I113*J113*IF(A113="SILVER",Summary!$B$5,Summary!$B$6)</f>
        <v>238817.7</v>
      </c>
      <c r="L113" s="26" t="n">
        <v>3.424</v>
      </c>
      <c r="M113" s="27" t="n">
        <f aca="false">IF(K113&gt;0,1,0)</f>
        <v>1</v>
      </c>
      <c r="N113" s="11" t="n">
        <f aca="false">SUMIFS(K$2:K113,A$2:A113,A113,B$2:B113,B113)</f>
        <v>339553.5</v>
      </c>
      <c r="O113" s="11" t="n">
        <f aca="false">MAX(0,_xlfn.MAXIFS(N$2:N113,A$2:A113,A113,B$2:B113,B113))</f>
        <v>339553.5</v>
      </c>
      <c r="P113" s="11" t="n">
        <f aca="false">N113-O113</f>
        <v>0</v>
      </c>
    </row>
    <row r="114" customFormat="false" ht="15" hidden="false" customHeight="false" outlineLevel="0" collapsed="false">
      <c r="A114" s="8" t="s">
        <v>26</v>
      </c>
      <c r="B114" s="8" t="s">
        <v>31</v>
      </c>
      <c r="C114" s="8" t="s">
        <v>54</v>
      </c>
      <c r="D114" s="21" t="n">
        <v>45912.4166666667</v>
      </c>
      <c r="E114" s="21" t="n">
        <v>45916.8756944445</v>
      </c>
      <c r="F114" s="22" t="n">
        <f aca="false">DATE(YEAR(E114),MONTH(E114),1)</f>
        <v>45901</v>
      </c>
      <c r="G114" s="23" t="n">
        <v>159701</v>
      </c>
      <c r="H114" s="8" t="s">
        <v>58</v>
      </c>
      <c r="I114" s="24" t="n">
        <v>300.43</v>
      </c>
      <c r="J114" s="25" t="n">
        <f aca="false">Summary!$B$4</f>
        <v>1</v>
      </c>
      <c r="K114" s="11" t="n">
        <f aca="false">I114*J114*IF(A114="SILVER",Summary!$B$5,Summary!$B$6)</f>
        <v>9012.9</v>
      </c>
      <c r="L114" s="26" t="n">
        <v>0.089</v>
      </c>
      <c r="M114" s="27" t="n">
        <f aca="false">IF(K114&gt;0,1,0)</f>
        <v>1</v>
      </c>
      <c r="N114" s="11" t="n">
        <f aca="false">SUMIFS(K$2:K114,A$2:A114,A114,B$2:B114,B114)</f>
        <v>348566.4</v>
      </c>
      <c r="O114" s="11" t="n">
        <f aca="false">MAX(0,_xlfn.MAXIFS(N$2:N114,A$2:A114,A114,B$2:B114,B114))</f>
        <v>348566.4</v>
      </c>
      <c r="P114" s="11" t="n">
        <f aca="false">N114-O114</f>
        <v>0</v>
      </c>
    </row>
    <row r="115" customFormat="false" ht="15" hidden="false" customHeight="false" outlineLevel="0" collapsed="false">
      <c r="A115" s="8" t="s">
        <v>26</v>
      </c>
      <c r="B115" s="8" t="s">
        <v>31</v>
      </c>
      <c r="C115" s="8" t="s">
        <v>54</v>
      </c>
      <c r="D115" s="21" t="n">
        <v>45919.875</v>
      </c>
      <c r="E115" s="21" t="n">
        <v>45940.4166666667</v>
      </c>
      <c r="F115" s="22" t="n">
        <f aca="false">DATE(YEAR(E115),MONTH(E115),1)</f>
        <v>45931</v>
      </c>
      <c r="G115" s="23" t="n">
        <v>160828</v>
      </c>
      <c r="H115" s="8" t="s">
        <v>55</v>
      </c>
      <c r="I115" s="24" t="n">
        <v>15943.5</v>
      </c>
      <c r="J115" s="25" t="n">
        <f aca="false">Summary!$B$4</f>
        <v>1</v>
      </c>
      <c r="K115" s="11" t="n">
        <f aca="false">I115*J115*IF(A115="SILVER",Summary!$B$5,Summary!$B$6)</f>
        <v>478305</v>
      </c>
      <c r="L115" s="26" t="n">
        <v>4.182</v>
      </c>
      <c r="M115" s="27" t="n">
        <f aca="false">IF(K115&gt;0,1,0)</f>
        <v>1</v>
      </c>
      <c r="N115" s="11" t="n">
        <f aca="false">SUMIFS(K$2:K115,A$2:A115,A115,B$2:B115,B115)</f>
        <v>826871.4</v>
      </c>
      <c r="O115" s="11" t="n">
        <f aca="false">MAX(0,_xlfn.MAXIFS(N$2:N115,A$2:A115,A115,B$2:B115,B115))</f>
        <v>826871.4</v>
      </c>
      <c r="P115" s="11" t="n">
        <f aca="false">N115-O115</f>
        <v>0</v>
      </c>
    </row>
    <row r="116" customFormat="false" ht="15" hidden="false" customHeight="false" outlineLevel="0" collapsed="false">
      <c r="A116" s="8" t="s">
        <v>26</v>
      </c>
      <c r="B116" s="8" t="s">
        <v>31</v>
      </c>
      <c r="C116" s="8" t="s">
        <v>54</v>
      </c>
      <c r="D116" s="21" t="n">
        <v>45943.8333333333</v>
      </c>
      <c r="E116" s="21" t="n">
        <v>45944.4951388889</v>
      </c>
      <c r="F116" s="22" t="n">
        <f aca="false">DATE(YEAR(E116),MONTH(E116),1)</f>
        <v>45931</v>
      </c>
      <c r="G116" s="23" t="n">
        <v>185630</v>
      </c>
      <c r="H116" s="8" t="s">
        <v>58</v>
      </c>
      <c r="I116" s="24" t="n">
        <v>803.57</v>
      </c>
      <c r="J116" s="25" t="n">
        <f aca="false">Summary!$B$4</f>
        <v>1</v>
      </c>
      <c r="K116" s="11" t="n">
        <f aca="false">I116*J116*IF(A116="SILVER",Summary!$B$5,Summary!$B$6)</f>
        <v>24107.1</v>
      </c>
      <c r="L116" s="26" t="n">
        <v>0.095</v>
      </c>
      <c r="M116" s="27" t="n">
        <f aca="false">IF(K116&gt;0,1,0)</f>
        <v>1</v>
      </c>
      <c r="N116" s="11" t="n">
        <f aca="false">SUMIFS(K$2:K116,A$2:A116,A116,B$2:B116,B116)</f>
        <v>850978.5</v>
      </c>
      <c r="O116" s="11" t="n">
        <f aca="false">MAX(0,_xlfn.MAXIFS(N$2:N116,A$2:A116,A116,B$2:B116,B116))</f>
        <v>850978.5</v>
      </c>
      <c r="P116" s="11" t="n">
        <f aca="false">N116-O116</f>
        <v>0</v>
      </c>
    </row>
    <row r="117" customFormat="false" ht="15" hidden="false" customHeight="false" outlineLevel="0" collapsed="false">
      <c r="A117" s="8" t="s">
        <v>26</v>
      </c>
      <c r="B117" s="8" t="s">
        <v>31</v>
      </c>
      <c r="C117" s="8" t="s">
        <v>54</v>
      </c>
      <c r="D117" s="21" t="n">
        <v>45960.8333333333</v>
      </c>
      <c r="E117" s="21" t="n">
        <v>45975.75</v>
      </c>
      <c r="F117" s="22" t="n">
        <f aca="false">DATE(YEAR(E117),MONTH(E117),1)</f>
        <v>45962</v>
      </c>
      <c r="G117" s="23" t="n">
        <v>179635</v>
      </c>
      <c r="H117" s="8" t="s">
        <v>55</v>
      </c>
      <c r="I117" s="24" t="n">
        <v>9052.43</v>
      </c>
      <c r="J117" s="25" t="n">
        <f aca="false">Summary!$B$4</f>
        <v>1</v>
      </c>
      <c r="K117" s="11" t="n">
        <f aca="false">I117*J117*IF(A117="SILVER",Summary!$B$5,Summary!$B$6)</f>
        <v>271572.9</v>
      </c>
      <c r="L117" s="26" t="n">
        <v>1.197</v>
      </c>
      <c r="M117" s="27" t="n">
        <f aca="false">IF(K117&gt;0,1,0)</f>
        <v>1</v>
      </c>
      <c r="N117" s="11" t="n">
        <f aca="false">SUMIFS(K$2:K117,A$2:A117,A117,B$2:B117,B117)</f>
        <v>1122551.4</v>
      </c>
      <c r="O117" s="11" t="n">
        <f aca="false">MAX(0,_xlfn.MAXIFS(N$2:N117,A$2:A117,A117,B$2:B117,B117))</f>
        <v>1122551.4</v>
      </c>
      <c r="P117" s="11" t="n">
        <f aca="false">N117-O117</f>
        <v>0</v>
      </c>
    </row>
    <row r="118" customFormat="false" ht="15" hidden="false" customHeight="false" outlineLevel="0" collapsed="false">
      <c r="A118" s="8" t="s">
        <v>26</v>
      </c>
      <c r="B118" s="8" t="s">
        <v>31</v>
      </c>
      <c r="C118" s="8" t="s">
        <v>54</v>
      </c>
      <c r="D118" s="21" t="n">
        <v>45987.7083333333</v>
      </c>
      <c r="E118" s="21" t="n">
        <v>46003.9583333333</v>
      </c>
      <c r="F118" s="22" t="n">
        <f aca="false">DATE(YEAR(E118),MONTH(E118),1)</f>
        <v>45992</v>
      </c>
      <c r="G118" s="23" t="n">
        <v>190470</v>
      </c>
      <c r="H118" s="8" t="s">
        <v>55</v>
      </c>
      <c r="I118" s="24" t="n">
        <v>29264.67</v>
      </c>
      <c r="J118" s="25" t="n">
        <f aca="false">Summary!$B$4</f>
        <v>1</v>
      </c>
      <c r="K118" s="11" t="n">
        <f aca="false">I118*J118*IF(A118="SILVER",Summary!$B$5,Summary!$B$6)</f>
        <v>877940.1</v>
      </c>
      <c r="L118" s="26" t="n">
        <v>5.619</v>
      </c>
      <c r="M118" s="27" t="n">
        <f aca="false">IF(K118&gt;0,1,0)</f>
        <v>1</v>
      </c>
      <c r="N118" s="11" t="n">
        <f aca="false">SUMIFS(K$2:K118,A$2:A118,A118,B$2:B118,B118)</f>
        <v>2000491.5</v>
      </c>
      <c r="O118" s="11" t="n">
        <f aca="false">MAX(0,_xlfn.MAXIFS(N$2:N118,A$2:A118,A118,B$2:B118,B118))</f>
        <v>2000491.5</v>
      </c>
      <c r="P118" s="11" t="n">
        <f aca="false">N118-O118</f>
        <v>0</v>
      </c>
    </row>
    <row r="119" customFormat="false" ht="15" hidden="false" customHeight="false" outlineLevel="0" collapsed="false">
      <c r="A119" s="8" t="s">
        <v>26</v>
      </c>
      <c r="B119" s="8" t="s">
        <v>31</v>
      </c>
      <c r="C119" s="8" t="s">
        <v>54</v>
      </c>
      <c r="D119" s="21" t="n">
        <v>46008.4166666667</v>
      </c>
      <c r="E119" s="21" t="n">
        <v>46020.8333333333</v>
      </c>
      <c r="F119" s="22" t="n">
        <f aca="false">DATE(YEAR(E119),MONTH(E119),1)</f>
        <v>45992</v>
      </c>
      <c r="G119" s="23" t="n">
        <v>232886</v>
      </c>
      <c r="H119" s="8" t="s">
        <v>55</v>
      </c>
      <c r="I119" s="24" t="n">
        <v>21894.86</v>
      </c>
      <c r="J119" s="25" t="n">
        <f aca="false">Summary!$B$4</f>
        <v>1</v>
      </c>
      <c r="K119" s="11" t="n">
        <f aca="false">I119*J119*IF(A119="SILVER",Summary!$B$5,Summary!$B$6)</f>
        <v>656845.8</v>
      </c>
      <c r="L119" s="26" t="n">
        <v>1.672</v>
      </c>
      <c r="M119" s="27" t="n">
        <f aca="false">IF(K119&gt;0,1,0)</f>
        <v>1</v>
      </c>
      <c r="N119" s="11" t="n">
        <f aca="false">SUMIFS(K$2:K119,A$2:A119,A119,B$2:B119,B119)</f>
        <v>2657337.3</v>
      </c>
      <c r="O119" s="11" t="n">
        <f aca="false">MAX(0,_xlfn.MAXIFS(N$2:N119,A$2:A119,A119,B$2:B119,B119))</f>
        <v>2657337.3</v>
      </c>
      <c r="P119" s="11" t="n">
        <f aca="false">N119-O119</f>
        <v>0</v>
      </c>
    </row>
    <row r="120" customFormat="false" ht="15" hidden="false" customHeight="false" outlineLevel="0" collapsed="false">
      <c r="A120" s="8" t="s">
        <v>26</v>
      </c>
      <c r="B120" s="8" t="s">
        <v>31</v>
      </c>
      <c r="C120" s="8" t="s">
        <v>54</v>
      </c>
      <c r="D120" s="21" t="n">
        <v>46022.375</v>
      </c>
      <c r="E120" s="21" t="n">
        <v>46027.3770833333</v>
      </c>
      <c r="F120" s="22" t="n">
        <f aca="false">DATE(YEAR(E120),MONTH(E120),1)</f>
        <v>46023</v>
      </c>
      <c r="G120" s="23" t="n">
        <v>269734</v>
      </c>
      <c r="H120" s="8" t="s">
        <v>58</v>
      </c>
      <c r="I120" s="24" t="n">
        <v>1315.87</v>
      </c>
      <c r="J120" s="25" t="n">
        <f aca="false">Summary!$B$4</f>
        <v>1</v>
      </c>
      <c r="K120" s="11" t="n">
        <f aca="false">I120*J120*IF(A120="SILVER",Summary!$B$5,Summary!$B$6)</f>
        <v>39476.1</v>
      </c>
      <c r="L120" s="26" t="n">
        <v>0.096</v>
      </c>
      <c r="M120" s="27" t="n">
        <f aca="false">IF(K120&gt;0,1,0)</f>
        <v>1</v>
      </c>
      <c r="N120" s="11" t="n">
        <f aca="false">SUMIFS(K$2:K120,A$2:A120,A120,B$2:B120,B120)</f>
        <v>2696813.4</v>
      </c>
      <c r="O120" s="11" t="n">
        <f aca="false">MAX(0,_xlfn.MAXIFS(N$2:N120,A$2:A120,A120,B$2:B120,B120))</f>
        <v>2696813.4</v>
      </c>
      <c r="P120" s="11" t="n">
        <f aca="false">N120-O120</f>
        <v>0</v>
      </c>
    </row>
    <row r="121" customFormat="false" ht="15" hidden="false" customHeight="false" outlineLevel="0" collapsed="false">
      <c r="A121" s="8" t="s">
        <v>26</v>
      </c>
      <c r="B121" s="8" t="s">
        <v>31</v>
      </c>
      <c r="C121" s="8" t="s">
        <v>54</v>
      </c>
      <c r="D121" s="21" t="n">
        <v>46031.875</v>
      </c>
      <c r="E121" s="21" t="n">
        <v>46044.4166666667</v>
      </c>
      <c r="F121" s="22" t="n">
        <f aca="false">DATE(YEAR(E121),MONTH(E121),1)</f>
        <v>46023</v>
      </c>
      <c r="G121" s="23" t="n">
        <v>282934</v>
      </c>
      <c r="H121" s="8" t="s">
        <v>55</v>
      </c>
      <c r="I121" s="24" t="n">
        <v>51086.97</v>
      </c>
      <c r="J121" s="25" t="n">
        <f aca="false">Summary!$B$4</f>
        <v>1</v>
      </c>
      <c r="K121" s="11" t="n">
        <f aca="false">I121*J121*IF(A121="SILVER",Summary!$B$5,Summary!$B$6)</f>
        <v>1532609.1</v>
      </c>
      <c r="L121" s="26" t="n">
        <v>2.62</v>
      </c>
      <c r="M121" s="27" t="n">
        <f aca="false">IF(K121&gt;0,1,0)</f>
        <v>1</v>
      </c>
      <c r="N121" s="11" t="n">
        <f aca="false">SUMIFS(K$2:K121,A$2:A121,A121,B$2:B121,B121)</f>
        <v>4229422.5</v>
      </c>
      <c r="O121" s="11" t="n">
        <f aca="false">MAX(0,_xlfn.MAXIFS(N$2:N121,A$2:A121,A121,B$2:B121,B121))</f>
        <v>4229422.5</v>
      </c>
      <c r="P121" s="11" t="n">
        <f aca="false">N121-O121</f>
        <v>0</v>
      </c>
    </row>
    <row r="122" customFormat="false" ht="15" hidden="false" customHeight="false" outlineLevel="0" collapsed="false">
      <c r="A122" s="8" t="s">
        <v>26</v>
      </c>
      <c r="B122" s="8" t="s">
        <v>31</v>
      </c>
      <c r="C122" s="8" t="s">
        <v>54</v>
      </c>
      <c r="D122" s="21" t="n">
        <v>46049.4166666667</v>
      </c>
      <c r="E122" s="21" t="n">
        <v>46051.8659722222</v>
      </c>
      <c r="F122" s="22" t="n">
        <f aca="false">DATE(YEAR(E122),MONTH(E122),1)</f>
        <v>46023</v>
      </c>
      <c r="G122" s="23" t="n">
        <v>385184</v>
      </c>
      <c r="H122" s="8" t="s">
        <v>58</v>
      </c>
      <c r="I122" s="24" t="n">
        <v>3975.44</v>
      </c>
      <c r="J122" s="25" t="n">
        <f aca="false">Summary!$B$4</f>
        <v>1</v>
      </c>
      <c r="K122" s="11" t="n">
        <f aca="false">I122*J122*IF(A122="SILVER",Summary!$B$5,Summary!$B$6)</f>
        <v>119263.2</v>
      </c>
      <c r="L122" s="26" t="n">
        <v>0.098</v>
      </c>
      <c r="M122" s="27" t="n">
        <f aca="false">IF(K122&gt;0,1,0)</f>
        <v>1</v>
      </c>
      <c r="N122" s="11" t="n">
        <f aca="false">SUMIFS(K$2:K122,A$2:A122,A122,B$2:B122,B122)</f>
        <v>4348685.7</v>
      </c>
      <c r="O122" s="11" t="n">
        <f aca="false">MAX(0,_xlfn.MAXIFS(N$2:N122,A$2:A122,A122,B$2:B122,B122))</f>
        <v>4348685.7</v>
      </c>
      <c r="P122" s="11" t="n">
        <f aca="false">N122-O122</f>
        <v>0</v>
      </c>
    </row>
    <row r="123" customFormat="false" ht="15" hidden="false" customHeight="false" outlineLevel="0" collapsed="false">
      <c r="A123" s="8" t="s">
        <v>26</v>
      </c>
      <c r="B123" s="8" t="s">
        <v>31</v>
      </c>
      <c r="C123" s="8" t="s">
        <v>56</v>
      </c>
      <c r="D123" s="21" t="n">
        <v>46083.9201388889</v>
      </c>
      <c r="E123" s="21" t="n">
        <v>46085.3993055556</v>
      </c>
      <c r="F123" s="22" t="n">
        <f aca="false">DATE(YEAR(E123),MONTH(E123),1)</f>
        <v>46082</v>
      </c>
      <c r="G123" s="23" t="n">
        <v>297434</v>
      </c>
      <c r="H123" s="8" t="s">
        <v>58</v>
      </c>
      <c r="I123" s="24" t="n">
        <v>2036.15</v>
      </c>
      <c r="J123" s="25" t="n">
        <f aca="false">Summary!$B$4</f>
        <v>1</v>
      </c>
      <c r="K123" s="11" t="n">
        <f aca="false">I123*J123*IF(A123="SILVER",Summary!$B$5,Summary!$B$6)</f>
        <v>61084.5</v>
      </c>
      <c r="L123" s="26" t="n">
        <v>0.093</v>
      </c>
      <c r="M123" s="27" t="n">
        <f aca="false">IF(K123&gt;0,1,0)</f>
        <v>1</v>
      </c>
      <c r="N123" s="11" t="n">
        <f aca="false">SUMIFS(K$2:K123,A$2:A123,A123,B$2:B123,B123)</f>
        <v>4409770.2</v>
      </c>
      <c r="O123" s="11" t="n">
        <f aca="false">MAX(0,_xlfn.MAXIFS(N$2:N123,A$2:A123,A123,B$2:B123,B123))</f>
        <v>4409770.2</v>
      </c>
      <c r="P123" s="11" t="n">
        <f aca="false">N123-O123</f>
        <v>0</v>
      </c>
    </row>
    <row r="124" customFormat="false" ht="15" hidden="false" customHeight="false" outlineLevel="0" collapsed="false">
      <c r="A124" s="8" t="s">
        <v>26</v>
      </c>
      <c r="B124" s="8" t="s">
        <v>31</v>
      </c>
      <c r="C124" s="8" t="s">
        <v>56</v>
      </c>
      <c r="D124" s="21" t="n">
        <v>46094.5</v>
      </c>
      <c r="E124" s="21" t="n">
        <v>46098.4166666667</v>
      </c>
      <c r="F124" s="22" t="n">
        <f aca="false">DATE(YEAR(E124),MONTH(E124),1)</f>
        <v>46082</v>
      </c>
      <c r="G124" s="23" t="n">
        <v>281173</v>
      </c>
      <c r="H124" s="8" t="s">
        <v>58</v>
      </c>
      <c r="I124" s="24" t="n">
        <v>1515.94</v>
      </c>
      <c r="J124" s="25" t="n">
        <f aca="false">Summary!$B$4</f>
        <v>1</v>
      </c>
      <c r="K124" s="11" t="n">
        <f aca="false">I124*J124*IF(A124="SILVER",Summary!$B$5,Summary!$B$6)</f>
        <v>45478.2</v>
      </c>
      <c r="L124" s="26" t="n">
        <v>0.096</v>
      </c>
      <c r="M124" s="27" t="n">
        <f aca="false">IF(K124&gt;0,1,0)</f>
        <v>1</v>
      </c>
      <c r="N124" s="11" t="n">
        <f aca="false">SUMIFS(K$2:K124,A$2:A124,A124,B$2:B124,B124)</f>
        <v>4455248.4</v>
      </c>
      <c r="O124" s="11" t="n">
        <f aca="false">MAX(0,_xlfn.MAXIFS(N$2:N124,A$2:A124,A124,B$2:B124,B124))</f>
        <v>4455248.4</v>
      </c>
      <c r="P124" s="11" t="n">
        <f aca="false">N124-O124</f>
        <v>0</v>
      </c>
    </row>
    <row r="125" customFormat="false" ht="15" hidden="false" customHeight="false" outlineLevel="0" collapsed="false">
      <c r="A125" s="8" t="s">
        <v>26</v>
      </c>
      <c r="B125" s="8" t="s">
        <v>31</v>
      </c>
      <c r="C125" s="8" t="s">
        <v>56</v>
      </c>
      <c r="D125" s="21" t="n">
        <v>46114.5</v>
      </c>
      <c r="E125" s="21" t="n">
        <v>46120.4166666667</v>
      </c>
      <c r="F125" s="22" t="n">
        <f aca="false">DATE(YEAR(E125),MONTH(E125),1)</f>
        <v>46113</v>
      </c>
      <c r="G125" s="23" t="n">
        <v>243669</v>
      </c>
      <c r="H125" s="8" t="s">
        <v>55</v>
      </c>
      <c r="I125" s="24" t="n">
        <v>-17620.03</v>
      </c>
      <c r="J125" s="25" t="n">
        <f aca="false">Summary!$B$4</f>
        <v>1</v>
      </c>
      <c r="K125" s="11" t="n">
        <f aca="false">I125*J125*IF(A125="SILVER",Summary!$B$5,Summary!$B$6)</f>
        <v>-528600.9</v>
      </c>
      <c r="L125" s="26" t="n">
        <v>-0.852</v>
      </c>
      <c r="M125" s="27" t="n">
        <f aca="false">IF(K125&gt;0,1,0)</f>
        <v>0</v>
      </c>
      <c r="N125" s="11" t="n">
        <f aca="false">SUMIFS(K$2:K125,A$2:A125,A125,B$2:B125,B125)</f>
        <v>3926647.5</v>
      </c>
      <c r="O125" s="11" t="n">
        <f aca="false">MAX(0,_xlfn.MAXIFS(N$2:N125,A$2:A125,A125,B$2:B125,B125))</f>
        <v>4455248.4</v>
      </c>
      <c r="P125" s="11" t="n">
        <f aca="false">N125-O125</f>
        <v>-528600.9</v>
      </c>
    </row>
    <row r="126" customFormat="false" ht="15" hidden="false" customHeight="false" outlineLevel="0" collapsed="false">
      <c r="A126" s="8" t="s">
        <v>26</v>
      </c>
      <c r="B126" s="8" t="s">
        <v>31</v>
      </c>
      <c r="C126" s="8" t="s">
        <v>56</v>
      </c>
      <c r="D126" s="21" t="n">
        <v>46133.875</v>
      </c>
      <c r="E126" s="21" t="n">
        <v>46136.70625</v>
      </c>
      <c r="F126" s="22" t="n">
        <f aca="false">DATE(YEAR(E126),MONTH(E126),1)</f>
        <v>46113</v>
      </c>
      <c r="G126" s="23" t="n">
        <v>262733</v>
      </c>
      <c r="H126" s="8" t="s">
        <v>58</v>
      </c>
      <c r="I126" s="24" t="n">
        <v>1181.78</v>
      </c>
      <c r="J126" s="25" t="n">
        <f aca="false">Summary!$B$4</f>
        <v>1</v>
      </c>
      <c r="K126" s="11" t="n">
        <f aca="false">I126*J126*IF(A126="SILVER",Summary!$B$5,Summary!$B$6)</f>
        <v>35453.4</v>
      </c>
      <c r="L126" s="26" t="n">
        <v>0.095</v>
      </c>
      <c r="M126" s="27" t="n">
        <f aca="false">IF(K126&gt;0,1,0)</f>
        <v>1</v>
      </c>
      <c r="N126" s="11" t="n">
        <f aca="false">SUMIFS(K$2:K126,A$2:A126,A126,B$2:B126,B126)</f>
        <v>3962100.9</v>
      </c>
      <c r="O126" s="11" t="n">
        <f aca="false">MAX(0,_xlfn.MAXIFS(N$2:N126,A$2:A126,A126,B$2:B126,B126))</f>
        <v>4455248.4</v>
      </c>
      <c r="P126" s="11" t="n">
        <f aca="false">N126-O126</f>
        <v>-493147.5</v>
      </c>
    </row>
    <row r="127" customFormat="false" ht="15" hidden="false" customHeight="false" outlineLevel="0" collapsed="false">
      <c r="A127" s="8" t="s">
        <v>26</v>
      </c>
      <c r="B127" s="8" t="s">
        <v>31</v>
      </c>
      <c r="C127" s="8" t="s">
        <v>56</v>
      </c>
      <c r="D127" s="21" t="n">
        <v>46147.5819444444</v>
      </c>
      <c r="E127" s="21" t="n">
        <v>46149.6666666667</v>
      </c>
      <c r="F127" s="22" t="n">
        <f aca="false">DATE(YEAR(E127),MONTH(E127),1)</f>
        <v>46143</v>
      </c>
      <c r="G127" s="23" t="n">
        <v>257385</v>
      </c>
      <c r="H127" s="8" t="s">
        <v>55</v>
      </c>
      <c r="I127" s="24" t="n">
        <v>-10335.79</v>
      </c>
      <c r="J127" s="25" t="n">
        <f aca="false">Summary!$B$4</f>
        <v>1</v>
      </c>
      <c r="K127" s="11" t="n">
        <f aca="false">I127*J127*IF(A127="SILVER",Summary!$B$5,Summary!$B$6)</f>
        <v>-310073.7</v>
      </c>
      <c r="L127" s="26" t="n">
        <v>-1.065</v>
      </c>
      <c r="M127" s="27" t="n">
        <f aca="false">IF(K127&gt;0,1,0)</f>
        <v>0</v>
      </c>
      <c r="N127" s="11" t="n">
        <f aca="false">SUMIFS(K$2:K127,A$2:A127,A127,B$2:B127,B127)</f>
        <v>3652027.2</v>
      </c>
      <c r="O127" s="11" t="n">
        <f aca="false">MAX(0,_xlfn.MAXIFS(N$2:N127,A$2:A127,A127,B$2:B127,B127))</f>
        <v>4455248.4</v>
      </c>
      <c r="P127" s="11" t="n">
        <f aca="false">N127-O127</f>
        <v>-803221.2</v>
      </c>
    </row>
    <row r="128" customFormat="false" ht="15" hidden="false" customHeight="false" outlineLevel="0" collapsed="false">
      <c r="A128" s="8" t="s">
        <v>26</v>
      </c>
      <c r="B128" s="8" t="s">
        <v>31</v>
      </c>
      <c r="C128" s="8" t="s">
        <v>56</v>
      </c>
      <c r="D128" s="21" t="n">
        <v>46157.4166666667</v>
      </c>
      <c r="E128" s="21" t="n">
        <v>46188.375</v>
      </c>
      <c r="F128" s="22" t="n">
        <f aca="false">DATE(YEAR(E128),MONTH(E128),1)</f>
        <v>46174</v>
      </c>
      <c r="G128" s="23" t="n">
        <v>289569</v>
      </c>
      <c r="H128" s="8" t="s">
        <v>55</v>
      </c>
      <c r="I128" s="24" t="n">
        <v>30974.07</v>
      </c>
      <c r="J128" s="25" t="n">
        <f aca="false">Summary!$B$4</f>
        <v>1</v>
      </c>
      <c r="K128" s="11" t="n">
        <f aca="false">I128*J128*IF(A128="SILVER",Summary!$B$5,Summary!$B$6)</f>
        <v>929222.1</v>
      </c>
      <c r="L128" s="26" t="n">
        <v>1.771</v>
      </c>
      <c r="M128" s="27" t="n">
        <f aca="false">IF(K128&gt;0,1,0)</f>
        <v>1</v>
      </c>
      <c r="N128" s="11" t="n">
        <f aca="false">SUMIFS(K$2:K128,A$2:A128,A128,B$2:B128,B128)</f>
        <v>4581249.3</v>
      </c>
      <c r="O128" s="11" t="n">
        <f aca="false">MAX(0,_xlfn.MAXIFS(N$2:N128,A$2:A128,A128,B$2:B128,B128))</f>
        <v>4581249.3</v>
      </c>
      <c r="P128" s="11" t="n">
        <f aca="false">N128-O128</f>
        <v>0</v>
      </c>
    </row>
    <row r="129" customFormat="false" ht="15" hidden="false" customHeight="false" outlineLevel="0" collapsed="false">
      <c r="A129" s="8" t="s">
        <v>26</v>
      </c>
      <c r="B129" s="8" t="s">
        <v>31</v>
      </c>
      <c r="C129" s="8" t="s">
        <v>56</v>
      </c>
      <c r="D129" s="21" t="n">
        <v>46191.7083333333</v>
      </c>
      <c r="E129" s="21" t="n">
        <v>46203.7958333333</v>
      </c>
      <c r="F129" s="22" t="n">
        <f aca="false">DATE(YEAR(E129),MONTH(E129),1)</f>
        <v>46174</v>
      </c>
      <c r="G129" s="23" t="n">
        <v>248264</v>
      </c>
      <c r="H129" s="8" t="s">
        <v>55</v>
      </c>
      <c r="I129" s="24" t="n">
        <v>16488.27</v>
      </c>
      <c r="J129" s="25" t="n">
        <f aca="false">Summary!$B$4</f>
        <v>1</v>
      </c>
      <c r="K129" s="11" t="n">
        <f aca="false">I129*J129*IF(A129="SILVER",Summary!$B$5,Summary!$B$6)</f>
        <v>494648.1</v>
      </c>
      <c r="L129" s="26" t="n">
        <v>1.458</v>
      </c>
      <c r="M129" s="27" t="n">
        <f aca="false">IF(K129&gt;0,1,0)</f>
        <v>1</v>
      </c>
      <c r="N129" s="11" t="n">
        <f aca="false">SUMIFS(K$2:K129,A$2:A129,A129,B$2:B129,B129)</f>
        <v>5075897.4</v>
      </c>
      <c r="O129" s="11" t="n">
        <f aca="false">MAX(0,_xlfn.MAXIFS(N$2:N129,A$2:A129,A129,B$2:B129,B129))</f>
        <v>5075897.4</v>
      </c>
      <c r="P129" s="11" t="n">
        <f aca="false">N129-O129</f>
        <v>0</v>
      </c>
    </row>
    <row r="130" customFormat="false" ht="15" hidden="false" customHeight="false" outlineLevel="0" collapsed="false">
      <c r="A130" s="8" t="s">
        <v>26</v>
      </c>
      <c r="B130" s="8" t="s">
        <v>31</v>
      </c>
      <c r="C130" s="8" t="s">
        <v>56</v>
      </c>
      <c r="D130" s="21" t="n">
        <v>46211.4166666667</v>
      </c>
      <c r="E130" s="21" t="n">
        <v>46224.5</v>
      </c>
      <c r="F130" s="22" t="n">
        <f aca="false">DATE(YEAR(E130),MONTH(E130),1)</f>
        <v>46204</v>
      </c>
      <c r="G130" s="23" t="n">
        <v>234047</v>
      </c>
      <c r="H130" s="8" t="s">
        <v>55</v>
      </c>
      <c r="I130" s="24" t="n">
        <v>6933.82</v>
      </c>
      <c r="J130" s="25" t="n">
        <f aca="false">Summary!$B$4</f>
        <v>1</v>
      </c>
      <c r="K130" s="11" t="n">
        <f aca="false">I130*J130*IF(A130="SILVER",Summary!$B$5,Summary!$B$6)</f>
        <v>208014.6</v>
      </c>
      <c r="L130" s="26" t="n">
        <v>0.802</v>
      </c>
      <c r="M130" s="27" t="n">
        <f aca="false">IF(K130&gt;0,1,0)</f>
        <v>1</v>
      </c>
      <c r="N130" s="11" t="n">
        <f aca="false">SUMIFS(K$2:K130,A$2:A130,A130,B$2:B130,B130)</f>
        <v>5283912</v>
      </c>
      <c r="O130" s="11" t="n">
        <f aca="false">MAX(0,_xlfn.MAXIFS(N$2:N130,A$2:A130,A130,B$2:B130,B130))</f>
        <v>5283912</v>
      </c>
      <c r="P130" s="11" t="n">
        <f aca="false">N130-O130</f>
        <v>0</v>
      </c>
    </row>
    <row r="131" customFormat="false" ht="15" hidden="false" customHeight="false" outlineLevel="0" collapsed="false">
      <c r="A131" s="8" t="s">
        <v>26</v>
      </c>
      <c r="B131" s="8" t="s">
        <v>31</v>
      </c>
      <c r="C131" s="8" t="s">
        <v>56</v>
      </c>
      <c r="D131" s="21" t="n">
        <v>46226.7916666667</v>
      </c>
      <c r="E131" s="21" t="n">
        <v>46233.7326388889</v>
      </c>
      <c r="F131" s="22" t="n">
        <f aca="false">DATE(YEAR(E131),MONTH(E131),1)</f>
        <v>46204</v>
      </c>
      <c r="G131" s="23" t="n">
        <v>224807</v>
      </c>
      <c r="H131" s="8" t="s">
        <v>58</v>
      </c>
      <c r="I131" s="24" t="n">
        <v>693.5</v>
      </c>
      <c r="J131" s="25" t="n">
        <f aca="false">Summary!$B$4</f>
        <v>1</v>
      </c>
      <c r="K131" s="11" t="n">
        <f aca="false">I131*J131*IF(A131="SILVER",Summary!$B$5,Summary!$B$6)</f>
        <v>20805</v>
      </c>
      <c r="L131" s="26" t="n">
        <v>0.093</v>
      </c>
      <c r="M131" s="27" t="n">
        <f aca="false">IF(K131&gt;0,1,0)</f>
        <v>1</v>
      </c>
      <c r="N131" s="11" t="n">
        <f aca="false">SUMIFS(K$2:K131,A$2:A131,A131,B$2:B131,B131)</f>
        <v>5304717</v>
      </c>
      <c r="O131" s="11" t="n">
        <f aca="false">MAX(0,_xlfn.MAXIFS(N$2:N131,A$2:A131,A131,B$2:B131,B131))</f>
        <v>5304717</v>
      </c>
      <c r="P131" s="11" t="n">
        <f aca="false">N131-O131</f>
        <v>0</v>
      </c>
    </row>
    <row r="132" customFormat="false" ht="15" hidden="false" customHeight="false" outlineLevel="0" collapsed="false">
      <c r="A132" s="8" t="s">
        <v>26</v>
      </c>
      <c r="B132" s="8" t="s">
        <v>31</v>
      </c>
      <c r="C132" s="8" t="s">
        <v>56</v>
      </c>
      <c r="D132" s="21" t="n">
        <v>46253.4166666667</v>
      </c>
      <c r="E132" s="21" t="n">
        <v>46253.8333333333</v>
      </c>
      <c r="F132" s="22" t="n">
        <f aca="false">DATE(YEAR(E132),MONTH(E132),1)</f>
        <v>46235</v>
      </c>
      <c r="G132" s="23" t="n">
        <v>233357</v>
      </c>
      <c r="H132" s="8" t="s">
        <v>55</v>
      </c>
      <c r="I132" s="24" t="n">
        <v>-7502.47</v>
      </c>
      <c r="J132" s="25" t="n">
        <f aca="false">Summary!$B$4</f>
        <v>1</v>
      </c>
      <c r="K132" s="11" t="n">
        <f aca="false">I132*J132*IF(A132="SILVER",Summary!$B$5,Summary!$B$6)</f>
        <v>-225074.1</v>
      </c>
      <c r="L132" s="26" t="n">
        <v>-0.893</v>
      </c>
      <c r="M132" s="27" t="n">
        <f aca="false">IF(K132&gt;0,1,0)</f>
        <v>0</v>
      </c>
      <c r="N132" s="11" t="n">
        <f aca="false">SUMIFS(K$2:K132,A$2:A132,A132,B$2:B132,B132)</f>
        <v>5079642.9</v>
      </c>
      <c r="O132" s="11" t="n">
        <f aca="false">MAX(0,_xlfn.MAXIFS(N$2:N132,A$2:A132,A132,B$2:B132,B132))</f>
        <v>5304717</v>
      </c>
      <c r="P132" s="11" t="n">
        <f aca="false">N132-O132</f>
        <v>-225074.1</v>
      </c>
    </row>
    <row r="133" customFormat="false" ht="15" hidden="false" customHeight="false" outlineLevel="0" collapsed="false">
      <c r="A133" s="8" t="s">
        <v>26</v>
      </c>
      <c r="B133" s="8" t="s">
        <v>31</v>
      </c>
      <c r="C133" s="8" t="s">
        <v>56</v>
      </c>
      <c r="D133" s="21" t="n">
        <v>46261.375</v>
      </c>
      <c r="E133" s="21" t="n">
        <v>46262.5173611111</v>
      </c>
      <c r="F133" s="22" t="n">
        <f aca="false">DATE(YEAR(E133),MONTH(E133),1)</f>
        <v>46235</v>
      </c>
      <c r="G133" s="23" t="n">
        <v>247656</v>
      </c>
      <c r="H133" s="8" t="s">
        <v>58</v>
      </c>
      <c r="I133" s="24" t="n">
        <v>497.09</v>
      </c>
      <c r="J133" s="25" t="n">
        <f aca="false">Summary!$B$4</f>
        <v>1</v>
      </c>
      <c r="K133" s="11" t="n">
        <f aca="false">I133*J133*IF(A133="SILVER",Summary!$B$5,Summary!$B$6)</f>
        <v>14912.7</v>
      </c>
      <c r="L133" s="26" t="n">
        <v>0.09</v>
      </c>
      <c r="M133" s="27" t="n">
        <f aca="false">IF(K133&gt;0,1,0)</f>
        <v>1</v>
      </c>
      <c r="N133" s="11" t="n">
        <f aca="false">SUMIFS(K$2:K133,A$2:A133,A133,B$2:B133,B133)</f>
        <v>5094555.6</v>
      </c>
      <c r="O133" s="11" t="n">
        <f aca="false">MAX(0,_xlfn.MAXIFS(N$2:N133,A$2:A133,A133,B$2:B133,B133))</f>
        <v>5304717</v>
      </c>
      <c r="P133" s="11" t="n">
        <f aca="false">N133-O133</f>
        <v>-210161.399999999</v>
      </c>
    </row>
    <row r="134" customFormat="false" ht="15" hidden="false" customHeight="false" outlineLevel="0" collapsed="false">
      <c r="A134" s="8" t="s">
        <v>26</v>
      </c>
      <c r="B134" s="8" t="s">
        <v>31</v>
      </c>
      <c r="C134" s="8" t="s">
        <v>56</v>
      </c>
      <c r="D134" s="21" t="n">
        <v>46275.875</v>
      </c>
      <c r="E134" s="21" t="n">
        <v>46281.375</v>
      </c>
      <c r="F134" s="22" t="n">
        <f aca="false">DATE(YEAR(E134),MONTH(E134),1)</f>
        <v>46266</v>
      </c>
      <c r="G134" s="23" t="n">
        <v>235114</v>
      </c>
      <c r="H134" s="8" t="s">
        <v>58</v>
      </c>
      <c r="I134" s="24" t="n">
        <v>-728.01</v>
      </c>
      <c r="J134" s="25" t="n">
        <f aca="false">Summary!$B$4</f>
        <v>1</v>
      </c>
      <c r="K134" s="11" t="n">
        <f aca="false">I134*J134*IF(A134="SILVER",Summary!$B$5,Summary!$B$6)</f>
        <v>-21840.3</v>
      </c>
      <c r="L134" s="26" t="n">
        <v>-0.074</v>
      </c>
      <c r="M134" s="27" t="n">
        <f aca="false">IF(K134&gt;0,1,0)</f>
        <v>0</v>
      </c>
      <c r="N134" s="11" t="n">
        <f aca="false">SUMIFS(K$2:K134,A$2:A134,A134,B$2:B134,B134)</f>
        <v>5072715.3</v>
      </c>
      <c r="O134" s="11" t="n">
        <f aca="false">MAX(0,_xlfn.MAXIFS(N$2:N134,A$2:A134,A134,B$2:B134,B134))</f>
        <v>5304717</v>
      </c>
      <c r="P134" s="11" t="n">
        <f aca="false">N134-O134</f>
        <v>-232001.7</v>
      </c>
    </row>
    <row r="135" customFormat="false" ht="15" hidden="false" customHeight="false" outlineLevel="0" collapsed="false">
      <c r="A135" s="8" t="s">
        <v>26</v>
      </c>
      <c r="B135" s="8" t="s">
        <v>33</v>
      </c>
      <c r="C135" s="8" t="s">
        <v>56</v>
      </c>
      <c r="D135" s="21" t="n">
        <v>45702.9583333333</v>
      </c>
      <c r="E135" s="21" t="n">
        <v>45721.4493055556</v>
      </c>
      <c r="F135" s="22" t="n">
        <f aca="false">DATE(YEAR(E135),MONTH(E135),1)</f>
        <v>45717</v>
      </c>
      <c r="G135" s="23" t="n">
        <v>134531</v>
      </c>
      <c r="H135" s="8" t="s">
        <v>58</v>
      </c>
      <c r="I135" s="24" t="n">
        <v>278.93</v>
      </c>
      <c r="J135" s="25" t="n">
        <f aca="false">Summary!$B$4</f>
        <v>1</v>
      </c>
      <c r="K135" s="11" t="n">
        <f aca="false">I135*J135*IF(A135="SILVER",Summary!$B$5,Summary!$B$6)</f>
        <v>8367.9</v>
      </c>
      <c r="L135" s="26" t="n">
        <v>0.085</v>
      </c>
      <c r="M135" s="27" t="n">
        <f aca="false">IF(K135&gt;0,1,0)</f>
        <v>1</v>
      </c>
      <c r="N135" s="11" t="n">
        <f aca="false">SUMIFS(K$2:K135,A$2:A135,A135,B$2:B135,B135)</f>
        <v>8367.9</v>
      </c>
      <c r="O135" s="11" t="n">
        <f aca="false">MAX(0,_xlfn.MAXIFS(N$2:N135,A$2:A135,A135,B$2:B135,B135))</f>
        <v>8367.9</v>
      </c>
      <c r="P135" s="11" t="n">
        <f aca="false">N135-O135</f>
        <v>0</v>
      </c>
    </row>
    <row r="136" customFormat="false" ht="15" hidden="false" customHeight="false" outlineLevel="0" collapsed="false">
      <c r="A136" s="8" t="s">
        <v>26</v>
      </c>
      <c r="B136" s="8" t="s">
        <v>33</v>
      </c>
      <c r="C136" s="8" t="s">
        <v>56</v>
      </c>
      <c r="D136" s="21" t="n">
        <v>45736.7083333333</v>
      </c>
      <c r="E136" s="21" t="n">
        <v>45741.7</v>
      </c>
      <c r="F136" s="22" t="n">
        <f aca="false">DATE(YEAR(E136),MONTH(E136),1)</f>
        <v>45717</v>
      </c>
      <c r="G136" s="23" t="n">
        <v>135923</v>
      </c>
      <c r="H136" s="8" t="s">
        <v>58</v>
      </c>
      <c r="I136" s="24" t="n">
        <v>223.15</v>
      </c>
      <c r="J136" s="25" t="n">
        <f aca="false">Summary!$B$4</f>
        <v>1</v>
      </c>
      <c r="K136" s="11" t="n">
        <f aca="false">I136*J136*IF(A136="SILVER",Summary!$B$5,Summary!$B$6)</f>
        <v>6694.5</v>
      </c>
      <c r="L136" s="26" t="n">
        <v>0.088</v>
      </c>
      <c r="M136" s="27" t="n">
        <f aca="false">IF(K136&gt;0,1,0)</f>
        <v>1</v>
      </c>
      <c r="N136" s="11" t="n">
        <f aca="false">SUMIFS(K$2:K136,A$2:A136,A136,B$2:B136,B136)</f>
        <v>15062.4</v>
      </c>
      <c r="O136" s="11" t="n">
        <f aca="false">MAX(0,_xlfn.MAXIFS(N$2:N136,A$2:A136,A136,B$2:B136,B136))</f>
        <v>15062.4</v>
      </c>
      <c r="P136" s="11" t="n">
        <f aca="false">N136-O136</f>
        <v>0</v>
      </c>
    </row>
    <row r="137" customFormat="false" ht="15" hidden="false" customHeight="false" outlineLevel="0" collapsed="false">
      <c r="A137" s="8" t="s">
        <v>26</v>
      </c>
      <c r="B137" s="8" t="s">
        <v>33</v>
      </c>
      <c r="C137" s="8" t="s">
        <v>56</v>
      </c>
      <c r="D137" s="21" t="n">
        <v>45777.6263888889</v>
      </c>
      <c r="E137" s="21" t="n">
        <v>45778.7666666667</v>
      </c>
      <c r="F137" s="22" t="n">
        <f aca="false">DATE(YEAR(E137),MONTH(E137),1)</f>
        <v>45778</v>
      </c>
      <c r="G137" s="23" t="n">
        <v>131167</v>
      </c>
      <c r="H137" s="8" t="s">
        <v>58</v>
      </c>
      <c r="I137" s="24" t="n">
        <v>241.2</v>
      </c>
      <c r="J137" s="25" t="n">
        <f aca="false">Summary!$B$4</f>
        <v>1</v>
      </c>
      <c r="K137" s="11" t="n">
        <f aca="false">I137*J137*IF(A137="SILVER",Summary!$B$5,Summary!$B$6)</f>
        <v>7236</v>
      </c>
      <c r="L137" s="26" t="n">
        <v>0.082</v>
      </c>
      <c r="M137" s="27" t="n">
        <f aca="false">IF(K137&gt;0,1,0)</f>
        <v>1</v>
      </c>
      <c r="N137" s="11" t="n">
        <f aca="false">SUMIFS(K$2:K137,A$2:A137,A137,B$2:B137,B137)</f>
        <v>22298.4</v>
      </c>
      <c r="O137" s="11" t="n">
        <f aca="false">MAX(0,_xlfn.MAXIFS(N$2:N137,A$2:A137,A137,B$2:B137,B137))</f>
        <v>22298.4</v>
      </c>
      <c r="P137" s="11" t="n">
        <f aca="false">N137-O137</f>
        <v>0</v>
      </c>
    </row>
    <row r="138" customFormat="false" ht="15" hidden="false" customHeight="false" outlineLevel="0" collapsed="false">
      <c r="A138" s="8" t="s">
        <v>26</v>
      </c>
      <c r="B138" s="8" t="s">
        <v>33</v>
      </c>
      <c r="C138" s="8" t="s">
        <v>54</v>
      </c>
      <c r="D138" s="21" t="n">
        <v>45841.5423611111</v>
      </c>
      <c r="E138" s="21" t="n">
        <v>45848.8048611111</v>
      </c>
      <c r="F138" s="22" t="n">
        <f aca="false">DATE(YEAR(E138),MONTH(E138),1)</f>
        <v>45839</v>
      </c>
      <c r="G138" s="23" t="n">
        <v>142559</v>
      </c>
      <c r="H138" s="8" t="s">
        <v>58</v>
      </c>
      <c r="I138" s="24" t="n">
        <v>185.2</v>
      </c>
      <c r="J138" s="25" t="n">
        <f aca="false">Summary!$B$4</f>
        <v>1</v>
      </c>
      <c r="K138" s="11" t="n">
        <f aca="false">I138*J138*IF(A138="SILVER",Summary!$B$5,Summary!$B$6)</f>
        <v>5556</v>
      </c>
      <c r="L138" s="26" t="n">
        <v>0.075</v>
      </c>
      <c r="M138" s="27" t="n">
        <f aca="false">IF(K138&gt;0,1,0)</f>
        <v>1</v>
      </c>
      <c r="N138" s="11" t="n">
        <f aca="false">SUMIFS(K$2:K138,A$2:A138,A138,B$2:B138,B138)</f>
        <v>27854.4</v>
      </c>
      <c r="O138" s="11" t="n">
        <f aca="false">MAX(0,_xlfn.MAXIFS(N$2:N138,A$2:A138,A138,B$2:B138,B138))</f>
        <v>27854.4</v>
      </c>
      <c r="P138" s="11" t="n">
        <f aca="false">N138-O138</f>
        <v>0</v>
      </c>
    </row>
    <row r="139" customFormat="false" ht="15" hidden="false" customHeight="false" outlineLevel="0" collapsed="false">
      <c r="A139" s="8" t="s">
        <v>26</v>
      </c>
      <c r="B139" s="8" t="s">
        <v>33</v>
      </c>
      <c r="C139" s="8" t="s">
        <v>54</v>
      </c>
      <c r="D139" s="21" t="n">
        <v>45890.4583333333</v>
      </c>
      <c r="E139" s="21" t="n">
        <v>45908.4166666667</v>
      </c>
      <c r="F139" s="22" t="n">
        <f aca="false">DATE(YEAR(E139),MONTH(E139),1)</f>
        <v>45901</v>
      </c>
      <c r="G139" s="23" t="n">
        <v>147184</v>
      </c>
      <c r="H139" s="8" t="s">
        <v>55</v>
      </c>
      <c r="I139" s="24" t="n">
        <v>7910.58</v>
      </c>
      <c r="J139" s="25" t="n">
        <f aca="false">Summary!$B$4</f>
        <v>1</v>
      </c>
      <c r="K139" s="11" t="n">
        <f aca="false">I139*J139*IF(A139="SILVER",Summary!$B$5,Summary!$B$6)</f>
        <v>237317.4</v>
      </c>
      <c r="L139" s="26" t="n">
        <v>3.536</v>
      </c>
      <c r="M139" s="27" t="n">
        <f aca="false">IF(K139&gt;0,1,0)</f>
        <v>1</v>
      </c>
      <c r="N139" s="11" t="n">
        <f aca="false">SUMIFS(K$2:K139,A$2:A139,A139,B$2:B139,B139)</f>
        <v>265171.8</v>
      </c>
      <c r="O139" s="11" t="n">
        <f aca="false">MAX(0,_xlfn.MAXIFS(N$2:N139,A$2:A139,A139,B$2:B139,B139))</f>
        <v>265171.8</v>
      </c>
      <c r="P139" s="11" t="n">
        <f aca="false">N139-O139</f>
        <v>0</v>
      </c>
    </row>
    <row r="140" customFormat="false" ht="15" hidden="false" customHeight="false" outlineLevel="0" collapsed="false">
      <c r="A140" s="8" t="s">
        <v>26</v>
      </c>
      <c r="B140" s="8" t="s">
        <v>33</v>
      </c>
      <c r="C140" s="8" t="s">
        <v>54</v>
      </c>
      <c r="D140" s="21" t="n">
        <v>45912.4583333333</v>
      </c>
      <c r="E140" s="21" t="n">
        <v>45916.8756944445</v>
      </c>
      <c r="F140" s="22" t="n">
        <f aca="false">DATE(YEAR(E140),MONTH(E140),1)</f>
        <v>45901</v>
      </c>
      <c r="G140" s="23" t="n">
        <v>159736</v>
      </c>
      <c r="H140" s="8" t="s">
        <v>58</v>
      </c>
      <c r="I140" s="24" t="n">
        <v>261.88</v>
      </c>
      <c r="J140" s="25" t="n">
        <f aca="false">Summary!$B$4</f>
        <v>1</v>
      </c>
      <c r="K140" s="11" t="n">
        <f aca="false">I140*J140*IF(A140="SILVER",Summary!$B$5,Summary!$B$6)</f>
        <v>7856.4</v>
      </c>
      <c r="L140" s="26" t="n">
        <v>0.088</v>
      </c>
      <c r="M140" s="27" t="n">
        <f aca="false">IF(K140&gt;0,1,0)</f>
        <v>1</v>
      </c>
      <c r="N140" s="11" t="n">
        <f aca="false">SUMIFS(K$2:K140,A$2:A140,A140,B$2:B140,B140)</f>
        <v>273028.2</v>
      </c>
      <c r="O140" s="11" t="n">
        <f aca="false">MAX(0,_xlfn.MAXIFS(N$2:N140,A$2:A140,A140,B$2:B140,B140))</f>
        <v>273028.2</v>
      </c>
      <c r="P140" s="11" t="n">
        <f aca="false">N140-O140</f>
        <v>0</v>
      </c>
    </row>
    <row r="141" customFormat="false" ht="15" hidden="false" customHeight="false" outlineLevel="0" collapsed="false">
      <c r="A141" s="8" t="s">
        <v>26</v>
      </c>
      <c r="B141" s="8" t="s">
        <v>33</v>
      </c>
      <c r="C141" s="8" t="s">
        <v>54</v>
      </c>
      <c r="D141" s="21" t="n">
        <v>45960.875</v>
      </c>
      <c r="E141" s="21" t="n">
        <v>45975.75</v>
      </c>
      <c r="F141" s="22" t="n">
        <f aca="false">DATE(YEAR(E141),MONTH(E141),1)</f>
        <v>45962</v>
      </c>
      <c r="G141" s="23" t="n">
        <v>180058</v>
      </c>
      <c r="H141" s="8" t="s">
        <v>55</v>
      </c>
      <c r="I141" s="24" t="n">
        <v>8629.39</v>
      </c>
      <c r="J141" s="25" t="n">
        <f aca="false">Summary!$B$4</f>
        <v>1</v>
      </c>
      <c r="K141" s="11" t="n">
        <f aca="false">I141*J141*IF(A141="SILVER",Summary!$B$5,Summary!$B$6)</f>
        <v>258881.7</v>
      </c>
      <c r="L141" s="26" t="n">
        <v>1.2</v>
      </c>
      <c r="M141" s="27" t="n">
        <f aca="false">IF(K141&gt;0,1,0)</f>
        <v>1</v>
      </c>
      <c r="N141" s="11" t="n">
        <f aca="false">SUMIFS(K$2:K141,A$2:A141,A141,B$2:B141,B141)</f>
        <v>531909.9</v>
      </c>
      <c r="O141" s="11" t="n">
        <f aca="false">MAX(0,_xlfn.MAXIFS(N$2:N141,A$2:A141,A141,B$2:B141,B141))</f>
        <v>531909.9</v>
      </c>
      <c r="P141" s="11" t="n">
        <f aca="false">N141-O141</f>
        <v>0</v>
      </c>
    </row>
    <row r="142" customFormat="false" ht="15" hidden="false" customHeight="false" outlineLevel="0" collapsed="false">
      <c r="A142" s="8" t="s">
        <v>26</v>
      </c>
      <c r="B142" s="8" t="s">
        <v>33</v>
      </c>
      <c r="C142" s="8" t="s">
        <v>54</v>
      </c>
      <c r="D142" s="21" t="n">
        <v>46008.4583333333</v>
      </c>
      <c r="E142" s="21" t="n">
        <v>46020.8333333333</v>
      </c>
      <c r="F142" s="22" t="n">
        <f aca="false">DATE(YEAR(E142),MONTH(E142),1)</f>
        <v>45992</v>
      </c>
      <c r="G142" s="23" t="n">
        <v>233232</v>
      </c>
      <c r="H142" s="8" t="s">
        <v>55</v>
      </c>
      <c r="I142" s="24" t="n">
        <v>21548.83</v>
      </c>
      <c r="J142" s="25" t="n">
        <f aca="false">Summary!$B$4</f>
        <v>1</v>
      </c>
      <c r="K142" s="11" t="n">
        <f aca="false">I142*J142*IF(A142="SILVER",Summary!$B$5,Summary!$B$6)</f>
        <v>646464.9</v>
      </c>
      <c r="L142" s="26" t="n">
        <v>1.975</v>
      </c>
      <c r="M142" s="27" t="n">
        <f aca="false">IF(K142&gt;0,1,0)</f>
        <v>1</v>
      </c>
      <c r="N142" s="11" t="n">
        <f aca="false">SUMIFS(K$2:K142,A$2:A142,A142,B$2:B142,B142)</f>
        <v>1178374.8</v>
      </c>
      <c r="O142" s="11" t="n">
        <f aca="false">MAX(0,_xlfn.MAXIFS(N$2:N142,A$2:A142,A142,B$2:B142,B142))</f>
        <v>1178374.8</v>
      </c>
      <c r="P142" s="11" t="n">
        <f aca="false">N142-O142</f>
        <v>0</v>
      </c>
    </row>
    <row r="143" customFormat="false" ht="15" hidden="false" customHeight="false" outlineLevel="0" collapsed="false">
      <c r="A143" s="8" t="s">
        <v>26</v>
      </c>
      <c r="B143" s="8" t="s">
        <v>33</v>
      </c>
      <c r="C143" s="8" t="s">
        <v>54</v>
      </c>
      <c r="D143" s="21" t="n">
        <v>46031.9166666667</v>
      </c>
      <c r="E143" s="21" t="n">
        <v>46044.4166666667</v>
      </c>
      <c r="F143" s="22" t="n">
        <f aca="false">DATE(YEAR(E143),MONTH(E143),1)</f>
        <v>46023</v>
      </c>
      <c r="G143" s="23" t="n">
        <v>283054</v>
      </c>
      <c r="H143" s="8" t="s">
        <v>55</v>
      </c>
      <c r="I143" s="24" t="n">
        <v>50966.94</v>
      </c>
      <c r="J143" s="25" t="n">
        <f aca="false">Summary!$B$4</f>
        <v>1</v>
      </c>
      <c r="K143" s="11" t="n">
        <f aca="false">I143*J143*IF(A143="SILVER",Summary!$B$5,Summary!$B$6)</f>
        <v>1529008.2</v>
      </c>
      <c r="L143" s="26" t="n">
        <v>2.974</v>
      </c>
      <c r="M143" s="27" t="n">
        <f aca="false">IF(K143&gt;0,1,0)</f>
        <v>1</v>
      </c>
      <c r="N143" s="11" t="n">
        <f aca="false">SUMIFS(K$2:K143,A$2:A143,A143,B$2:B143,B143)</f>
        <v>2707383</v>
      </c>
      <c r="O143" s="11" t="n">
        <f aca="false">MAX(0,_xlfn.MAXIFS(N$2:N143,A$2:A143,A143,B$2:B143,B143))</f>
        <v>2707383</v>
      </c>
      <c r="P143" s="11" t="n">
        <f aca="false">N143-O143</f>
        <v>0</v>
      </c>
    </row>
    <row r="144" customFormat="false" ht="15" hidden="false" customHeight="false" outlineLevel="0" collapsed="false">
      <c r="A144" s="8" t="s">
        <v>26</v>
      </c>
      <c r="B144" s="8" t="s">
        <v>33</v>
      </c>
      <c r="C144" s="8" t="s">
        <v>56</v>
      </c>
      <c r="D144" s="21" t="n">
        <v>46094.5416666667</v>
      </c>
      <c r="E144" s="21" t="n">
        <v>46098.375</v>
      </c>
      <c r="F144" s="22" t="n">
        <f aca="false">DATE(YEAR(E144),MONTH(E144),1)</f>
        <v>46082</v>
      </c>
      <c r="G144" s="23" t="n">
        <v>279385</v>
      </c>
      <c r="H144" s="8" t="s">
        <v>58</v>
      </c>
      <c r="I144" s="24" t="n">
        <v>480.61</v>
      </c>
      <c r="J144" s="25" t="n">
        <f aca="false">Summary!$B$4</f>
        <v>1</v>
      </c>
      <c r="K144" s="11" t="n">
        <f aca="false">I144*J144*IF(A144="SILVER",Summary!$B$5,Summary!$B$6)</f>
        <v>14418.3</v>
      </c>
      <c r="L144" s="26" t="n">
        <v>0.032</v>
      </c>
      <c r="M144" s="27" t="n">
        <f aca="false">IF(K144&gt;0,1,0)</f>
        <v>1</v>
      </c>
      <c r="N144" s="11" t="n">
        <f aca="false">SUMIFS(K$2:K144,A$2:A144,A144,B$2:B144,B144)</f>
        <v>2721801.3</v>
      </c>
      <c r="O144" s="11" t="n">
        <f aca="false">MAX(0,_xlfn.MAXIFS(N$2:N144,A$2:A144,A144,B$2:B144,B144))</f>
        <v>2721801.3</v>
      </c>
      <c r="P144" s="11" t="n">
        <f aca="false">N144-O144</f>
        <v>0</v>
      </c>
    </row>
    <row r="145" customFormat="false" ht="15" hidden="false" customHeight="false" outlineLevel="0" collapsed="false">
      <c r="A145" s="8" t="s">
        <v>26</v>
      </c>
      <c r="B145" s="8" t="s">
        <v>33</v>
      </c>
      <c r="C145" s="8" t="s">
        <v>56</v>
      </c>
      <c r="D145" s="21" t="n">
        <v>46133.9166666667</v>
      </c>
      <c r="E145" s="21" t="n">
        <v>46136.6923611111</v>
      </c>
      <c r="F145" s="22" t="n">
        <f aca="false">DATE(YEAR(E145),MONTH(E145),1)</f>
        <v>46113</v>
      </c>
      <c r="G145" s="23" t="n">
        <v>261514</v>
      </c>
      <c r="H145" s="8" t="s">
        <v>58</v>
      </c>
      <c r="I145" s="24" t="n">
        <v>1079.4</v>
      </c>
      <c r="J145" s="25" t="n">
        <f aca="false">Summary!$B$4</f>
        <v>1</v>
      </c>
      <c r="K145" s="11" t="n">
        <f aca="false">I145*J145*IF(A145="SILVER",Summary!$B$5,Summary!$B$6)</f>
        <v>32382</v>
      </c>
      <c r="L145" s="26" t="n">
        <v>0.095</v>
      </c>
      <c r="M145" s="27" t="n">
        <f aca="false">IF(K145&gt;0,1,0)</f>
        <v>1</v>
      </c>
      <c r="N145" s="11" t="n">
        <f aca="false">SUMIFS(K$2:K145,A$2:A145,A145,B$2:B145,B145)</f>
        <v>2754183.3</v>
      </c>
      <c r="O145" s="11" t="n">
        <f aca="false">MAX(0,_xlfn.MAXIFS(N$2:N145,A$2:A145,A145,B$2:B145,B145))</f>
        <v>2754183.3</v>
      </c>
      <c r="P145" s="11" t="n">
        <f aca="false">N145-O145</f>
        <v>0</v>
      </c>
    </row>
    <row r="146" customFormat="false" ht="15" hidden="false" customHeight="false" outlineLevel="0" collapsed="false">
      <c r="A146" s="8" t="s">
        <v>26</v>
      </c>
      <c r="B146" s="8" t="s">
        <v>33</v>
      </c>
      <c r="C146" s="8" t="s">
        <v>56</v>
      </c>
      <c r="D146" s="21" t="n">
        <v>46157.4583333333</v>
      </c>
      <c r="E146" s="21" t="n">
        <v>46160.7180555556</v>
      </c>
      <c r="F146" s="22" t="n">
        <f aca="false">DATE(YEAR(E146),MONTH(E146),1)</f>
        <v>46143</v>
      </c>
      <c r="G146" s="23" t="n">
        <v>285797</v>
      </c>
      <c r="H146" s="8" t="s">
        <v>58</v>
      </c>
      <c r="I146" s="24" t="n">
        <v>2003.76</v>
      </c>
      <c r="J146" s="25" t="n">
        <f aca="false">Summary!$B$4</f>
        <v>1</v>
      </c>
      <c r="K146" s="11" t="n">
        <f aca="false">I146*J146*IF(A146="SILVER",Summary!$B$5,Summary!$B$6)</f>
        <v>60112.8</v>
      </c>
      <c r="L146" s="26" t="n">
        <v>0.097</v>
      </c>
      <c r="M146" s="27" t="n">
        <f aca="false">IF(K146&gt;0,1,0)</f>
        <v>1</v>
      </c>
      <c r="N146" s="11" t="n">
        <f aca="false">SUMIFS(K$2:K146,A$2:A146,A146,B$2:B146,B146)</f>
        <v>2814296.1</v>
      </c>
      <c r="O146" s="11" t="n">
        <f aca="false">MAX(0,_xlfn.MAXIFS(N$2:N146,A$2:A146,A146,B$2:B146,B146))</f>
        <v>2814296.1</v>
      </c>
      <c r="P146" s="11" t="n">
        <f aca="false">N146-O146</f>
        <v>0</v>
      </c>
    </row>
    <row r="147" customFormat="false" ht="15" hidden="false" customHeight="false" outlineLevel="0" collapsed="false">
      <c r="A147" s="8" t="s">
        <v>26</v>
      </c>
      <c r="B147" s="8" t="s">
        <v>33</v>
      </c>
      <c r="C147" s="8" t="s">
        <v>56</v>
      </c>
      <c r="D147" s="21" t="n">
        <v>46191.75</v>
      </c>
      <c r="E147" s="21" t="n">
        <v>46203.7958333333</v>
      </c>
      <c r="F147" s="22" t="n">
        <f aca="false">DATE(YEAR(E147),MONTH(E147),1)</f>
        <v>46174</v>
      </c>
      <c r="G147" s="23" t="n">
        <v>246858</v>
      </c>
      <c r="H147" s="8" t="s">
        <v>55</v>
      </c>
      <c r="I147" s="24" t="n">
        <v>15082.41</v>
      </c>
      <c r="J147" s="25" t="n">
        <f aca="false">Summary!$B$4</f>
        <v>1</v>
      </c>
      <c r="K147" s="11" t="n">
        <f aca="false">I147*J147*IF(A147="SILVER",Summary!$B$5,Summary!$B$6)</f>
        <v>452472.3</v>
      </c>
      <c r="L147" s="26" t="n">
        <v>1.394</v>
      </c>
      <c r="M147" s="27" t="n">
        <f aca="false">IF(K147&gt;0,1,0)</f>
        <v>1</v>
      </c>
      <c r="N147" s="11" t="n">
        <f aca="false">SUMIFS(K$2:K147,A$2:A147,A147,B$2:B147,B147)</f>
        <v>3266768.4</v>
      </c>
      <c r="O147" s="11" t="n">
        <f aca="false">MAX(0,_xlfn.MAXIFS(N$2:N147,A$2:A147,A147,B$2:B147,B147))</f>
        <v>3266768.4</v>
      </c>
      <c r="P147" s="11" t="n">
        <f aca="false">N147-O147</f>
        <v>0</v>
      </c>
    </row>
    <row r="148" customFormat="false" ht="15" hidden="false" customHeight="false" outlineLevel="0" collapsed="false">
      <c r="A148" s="8" t="s">
        <v>26</v>
      </c>
      <c r="B148" s="8" t="s">
        <v>33</v>
      </c>
      <c r="C148" s="8" t="s">
        <v>56</v>
      </c>
      <c r="D148" s="21" t="n">
        <v>46211.4583333333</v>
      </c>
      <c r="E148" s="21" t="n">
        <v>46224.5</v>
      </c>
      <c r="F148" s="22" t="n">
        <f aca="false">DATE(YEAR(E148),MONTH(E148),1)</f>
        <v>46204</v>
      </c>
      <c r="G148" s="23" t="n">
        <v>233719</v>
      </c>
      <c r="H148" s="8" t="s">
        <v>55</v>
      </c>
      <c r="I148" s="24" t="n">
        <v>6605.85</v>
      </c>
      <c r="J148" s="25" t="n">
        <f aca="false">Summary!$B$4</f>
        <v>1</v>
      </c>
      <c r="K148" s="11" t="n">
        <f aca="false">I148*J148*IF(A148="SILVER",Summary!$B$5,Summary!$B$6)</f>
        <v>198175.5</v>
      </c>
      <c r="L148" s="26" t="n">
        <v>0.767</v>
      </c>
      <c r="M148" s="27" t="n">
        <f aca="false">IF(K148&gt;0,1,0)</f>
        <v>1</v>
      </c>
      <c r="N148" s="11" t="n">
        <f aca="false">SUMIFS(K$2:K148,A$2:A148,A148,B$2:B148,B148)</f>
        <v>3464943.9</v>
      </c>
      <c r="O148" s="11" t="n">
        <f aca="false">MAX(0,_xlfn.MAXIFS(N$2:N148,A$2:A148,A148,B$2:B148,B148))</f>
        <v>3464943.9</v>
      </c>
      <c r="P148" s="11" t="n">
        <f aca="false">N148-O148</f>
        <v>0</v>
      </c>
    </row>
    <row r="149" customFormat="false" ht="15" hidden="false" customHeight="false" outlineLevel="0" collapsed="false">
      <c r="A149" s="8" t="s">
        <v>26</v>
      </c>
      <c r="B149" s="8" t="s">
        <v>33</v>
      </c>
      <c r="C149" s="8" t="s">
        <v>56</v>
      </c>
      <c r="D149" s="21" t="n">
        <v>46261.4166666667</v>
      </c>
      <c r="E149" s="21" t="n">
        <v>46268.8743055556</v>
      </c>
      <c r="F149" s="22" t="n">
        <f aca="false">DATE(YEAR(E149),MONTH(E149),1)</f>
        <v>46266</v>
      </c>
      <c r="G149" s="23" t="n">
        <v>242161</v>
      </c>
      <c r="H149" s="8" t="s">
        <v>58</v>
      </c>
      <c r="I149" s="24" t="n">
        <v>976.61</v>
      </c>
      <c r="J149" s="25" t="n">
        <f aca="false">Summary!$B$4</f>
        <v>1</v>
      </c>
      <c r="K149" s="11" t="n">
        <f aca="false">I149*J149*IF(A149="SILVER",Summary!$B$5,Summary!$B$6)</f>
        <v>29298.3</v>
      </c>
      <c r="L149" s="26" t="n">
        <v>0.088</v>
      </c>
      <c r="M149" s="27" t="n">
        <f aca="false">IF(K149&gt;0,1,0)</f>
        <v>1</v>
      </c>
      <c r="N149" s="11" t="n">
        <f aca="false">SUMIFS(K$2:K149,A$2:A149,A149,B$2:B149,B149)</f>
        <v>3494242.2</v>
      </c>
      <c r="O149" s="11" t="n">
        <f aca="false">MAX(0,_xlfn.MAXIFS(N$2:N149,A$2:A149,A149,B$2:B149,B149))</f>
        <v>3494242.2</v>
      </c>
      <c r="P149" s="11" t="n">
        <f aca="false">N149-O149</f>
        <v>0</v>
      </c>
    </row>
    <row r="150" customFormat="false" ht="15" hidden="false" customHeight="false" outlineLevel="0" collapsed="false">
      <c r="A150" s="8" t="s">
        <v>26</v>
      </c>
      <c r="B150" s="8" t="s">
        <v>33</v>
      </c>
      <c r="C150" s="8" t="s">
        <v>56</v>
      </c>
      <c r="D150" s="21" t="n">
        <v>46275.9166666667</v>
      </c>
      <c r="E150" s="21" t="n">
        <v>46283.4583333333</v>
      </c>
      <c r="F150" s="22" t="n">
        <f aca="false">DATE(YEAR(E150),MONTH(E150),1)</f>
        <v>46266</v>
      </c>
      <c r="G150" s="23" t="n">
        <v>234352</v>
      </c>
      <c r="H150" s="8" t="s">
        <v>55</v>
      </c>
      <c r="I150" s="24" t="n">
        <v>-5934.46</v>
      </c>
      <c r="J150" s="25" t="n">
        <f aca="false">Summary!$B$4</f>
        <v>1</v>
      </c>
      <c r="K150" s="11" t="n">
        <f aca="false">I150*J150*IF(A150="SILVER",Summary!$B$5,Summary!$B$6)</f>
        <v>-178033.8</v>
      </c>
      <c r="L150" s="26" t="n">
        <v>-0.601</v>
      </c>
      <c r="M150" s="27" t="n">
        <f aca="false">IF(K150&gt;0,1,0)</f>
        <v>0</v>
      </c>
      <c r="N150" s="11" t="n">
        <f aca="false">SUMIFS(K$2:K150,A$2:A150,A150,B$2:B150,B150)</f>
        <v>3316208.4</v>
      </c>
      <c r="O150" s="11" t="n">
        <f aca="false">MAX(0,_xlfn.MAXIFS(N$2:N150,A$2:A150,A150,B$2:B150,B150))</f>
        <v>3494242.2</v>
      </c>
      <c r="P150" s="11" t="n">
        <f aca="false">N150-O150</f>
        <v>-178033.8</v>
      </c>
    </row>
    <row r="151" customFormat="false" ht="15" hidden="false" customHeight="false" outlineLevel="0" collapsed="false">
      <c r="A151" s="8" t="s">
        <v>26</v>
      </c>
      <c r="B151" s="8" t="s">
        <v>35</v>
      </c>
      <c r="C151" s="8" t="s">
        <v>56</v>
      </c>
      <c r="D151" s="21" t="n">
        <v>45699.4166666667</v>
      </c>
      <c r="E151" s="21" t="n">
        <v>45699.8423611111</v>
      </c>
      <c r="F151" s="22" t="n">
        <f aca="false">DATE(YEAR(E151),MONTH(E151),1)</f>
        <v>45689</v>
      </c>
      <c r="G151" s="23" t="n">
        <v>133508</v>
      </c>
      <c r="H151" s="8" t="s">
        <v>58</v>
      </c>
      <c r="I151" s="24" t="n">
        <v>167.07</v>
      </c>
      <c r="J151" s="25" t="n">
        <f aca="false">Summary!$B$4</f>
        <v>1</v>
      </c>
      <c r="K151" s="11" t="n">
        <f aca="false">I151*J151*IF(A151="SILVER",Summary!$B$5,Summary!$B$6)</f>
        <v>5012.1</v>
      </c>
      <c r="L151" s="26" t="n">
        <v>0.085</v>
      </c>
      <c r="M151" s="27" t="n">
        <f aca="false">IF(K151&gt;0,1,0)</f>
        <v>1</v>
      </c>
      <c r="N151" s="11" t="n">
        <f aca="false">SUMIFS(K$2:K151,A$2:A151,A151,B$2:B151,B151)</f>
        <v>5012.1</v>
      </c>
      <c r="O151" s="11" t="n">
        <f aca="false">MAX(0,_xlfn.MAXIFS(N$2:N151,A$2:A151,A151,B$2:B151,B151))</f>
        <v>5012.1</v>
      </c>
      <c r="P151" s="11" t="n">
        <f aca="false">N151-O151</f>
        <v>0</v>
      </c>
    </row>
    <row r="152" customFormat="false" ht="15" hidden="false" customHeight="false" outlineLevel="0" collapsed="false">
      <c r="A152" s="8" t="s">
        <v>26</v>
      </c>
      <c r="B152" s="8" t="s">
        <v>35</v>
      </c>
      <c r="C152" s="8" t="s">
        <v>56</v>
      </c>
      <c r="D152" s="21" t="n">
        <v>45702.875</v>
      </c>
      <c r="E152" s="21" t="n">
        <v>45706.4597222222</v>
      </c>
      <c r="F152" s="22" t="n">
        <f aca="false">DATE(YEAR(E152),MONTH(E152),1)</f>
        <v>45689</v>
      </c>
      <c r="G152" s="23" t="n">
        <v>135364</v>
      </c>
      <c r="H152" s="8" t="s">
        <v>58</v>
      </c>
      <c r="I152" s="24" t="n">
        <v>220.24</v>
      </c>
      <c r="J152" s="25" t="n">
        <f aca="false">Summary!$B$4</f>
        <v>1</v>
      </c>
      <c r="K152" s="11" t="n">
        <f aca="false">I152*J152*IF(A152="SILVER",Summary!$B$5,Summary!$B$6)</f>
        <v>6607.2</v>
      </c>
      <c r="L152" s="26" t="n">
        <v>0.088</v>
      </c>
      <c r="M152" s="27" t="n">
        <f aca="false">IF(K152&gt;0,1,0)</f>
        <v>1</v>
      </c>
      <c r="N152" s="11" t="n">
        <f aca="false">SUMIFS(K$2:K152,A$2:A152,A152,B$2:B152,B152)</f>
        <v>11619.3</v>
      </c>
      <c r="O152" s="11" t="n">
        <f aca="false">MAX(0,_xlfn.MAXIFS(N$2:N152,A$2:A152,A152,B$2:B152,B152))</f>
        <v>11619.3</v>
      </c>
      <c r="P152" s="11" t="n">
        <f aca="false">N152-O152</f>
        <v>0</v>
      </c>
    </row>
    <row r="153" customFormat="false" ht="15" hidden="false" customHeight="false" outlineLevel="0" collapsed="false">
      <c r="A153" s="8" t="s">
        <v>26</v>
      </c>
      <c r="B153" s="8" t="s">
        <v>35</v>
      </c>
      <c r="C153" s="8" t="s">
        <v>54</v>
      </c>
      <c r="D153" s="21" t="n">
        <v>45707.5833333333</v>
      </c>
      <c r="E153" s="21" t="n">
        <v>45709.875</v>
      </c>
      <c r="F153" s="22" t="n">
        <f aca="false">DATE(YEAR(E153),MONTH(E153),1)</f>
        <v>45689</v>
      </c>
      <c r="G153" s="23" t="n">
        <v>136433</v>
      </c>
      <c r="H153" s="8" t="s">
        <v>55</v>
      </c>
      <c r="I153" s="24" t="n">
        <v>-1344.35</v>
      </c>
      <c r="J153" s="25" t="n">
        <f aca="false">Summary!$B$4</f>
        <v>1</v>
      </c>
      <c r="K153" s="11" t="n">
        <f aca="false">I153*J153*IF(A153="SILVER",Summary!$B$5,Summary!$B$6)</f>
        <v>-40330.5</v>
      </c>
      <c r="L153" s="26" t="n">
        <v>-0.789</v>
      </c>
      <c r="M153" s="27" t="n">
        <f aca="false">IF(K153&gt;0,1,0)</f>
        <v>0</v>
      </c>
      <c r="N153" s="11" t="n">
        <f aca="false">SUMIFS(K$2:K153,A$2:A153,A153,B$2:B153,B153)</f>
        <v>-28711.2</v>
      </c>
      <c r="O153" s="11" t="n">
        <f aca="false">MAX(0,_xlfn.MAXIFS(N$2:N153,A$2:A153,A153,B$2:B153,B153))</f>
        <v>11619.3</v>
      </c>
      <c r="P153" s="11" t="n">
        <f aca="false">N153-O153</f>
        <v>-40330.5</v>
      </c>
    </row>
    <row r="154" customFormat="false" ht="15" hidden="false" customHeight="false" outlineLevel="0" collapsed="false">
      <c r="A154" s="8" t="s">
        <v>26</v>
      </c>
      <c r="B154" s="8" t="s">
        <v>35</v>
      </c>
      <c r="C154" s="8" t="s">
        <v>54</v>
      </c>
      <c r="D154" s="21" t="n">
        <v>45719.8402777778</v>
      </c>
      <c r="E154" s="21" t="n">
        <v>45721.8048611111</v>
      </c>
      <c r="F154" s="22" t="n">
        <f aca="false">DATE(YEAR(E154),MONTH(E154),1)</f>
        <v>45717</v>
      </c>
      <c r="G154" s="23" t="n">
        <v>133879</v>
      </c>
      <c r="H154" s="8" t="s">
        <v>58</v>
      </c>
      <c r="I154" s="24" t="n">
        <v>134.05</v>
      </c>
      <c r="J154" s="25" t="n">
        <f aca="false">Summary!$B$4</f>
        <v>1</v>
      </c>
      <c r="K154" s="11" t="n">
        <f aca="false">I154*J154*IF(A154="SILVER",Summary!$B$5,Summary!$B$6)</f>
        <v>4021.5</v>
      </c>
      <c r="L154" s="26" t="n">
        <v>0.08</v>
      </c>
      <c r="M154" s="27" t="n">
        <f aca="false">IF(K154&gt;0,1,0)</f>
        <v>1</v>
      </c>
      <c r="N154" s="11" t="n">
        <f aca="false">SUMIFS(K$2:K154,A$2:A154,A154,B$2:B154,B154)</f>
        <v>-24689.7</v>
      </c>
      <c r="O154" s="11" t="n">
        <f aca="false">MAX(0,_xlfn.MAXIFS(N$2:N154,A$2:A154,A154,B$2:B154,B154))</f>
        <v>11619.3</v>
      </c>
      <c r="P154" s="11" t="n">
        <f aca="false">N154-O154</f>
        <v>-36309</v>
      </c>
    </row>
    <row r="155" customFormat="false" ht="15" hidden="false" customHeight="false" outlineLevel="0" collapsed="false">
      <c r="A155" s="8" t="s">
        <v>26</v>
      </c>
      <c r="B155" s="8" t="s">
        <v>35</v>
      </c>
      <c r="C155" s="8" t="s">
        <v>54</v>
      </c>
      <c r="D155" s="21" t="n">
        <v>45727.9166666667</v>
      </c>
      <c r="E155" s="21" t="n">
        <v>45735.8333333333</v>
      </c>
      <c r="F155" s="22" t="n">
        <f aca="false">DATE(YEAR(E155),MONTH(E155),1)</f>
        <v>45717</v>
      </c>
      <c r="G155" s="23" t="n">
        <v>135255</v>
      </c>
      <c r="H155" s="8" t="s">
        <v>55</v>
      </c>
      <c r="I155" s="24" t="n">
        <v>1674.19</v>
      </c>
      <c r="J155" s="25" t="n">
        <f aca="false">Summary!$B$4</f>
        <v>1</v>
      </c>
      <c r="K155" s="11" t="n">
        <f aca="false">I155*J155*IF(A155="SILVER",Summary!$B$5,Summary!$B$6)</f>
        <v>50225.7</v>
      </c>
      <c r="L155" s="26" t="n">
        <v>0.999</v>
      </c>
      <c r="M155" s="27" t="n">
        <f aca="false">IF(K155&gt;0,1,0)</f>
        <v>1</v>
      </c>
      <c r="N155" s="11" t="n">
        <f aca="false">SUMIFS(K$2:K155,A$2:A155,A155,B$2:B155,B155)</f>
        <v>25536</v>
      </c>
      <c r="O155" s="11" t="n">
        <f aca="false">MAX(0,_xlfn.MAXIFS(N$2:N155,A$2:A155,A155,B$2:B155,B155))</f>
        <v>25536</v>
      </c>
      <c r="P155" s="11" t="n">
        <f aca="false">N155-O155</f>
        <v>0</v>
      </c>
    </row>
    <row r="156" customFormat="false" ht="15" hidden="false" customHeight="false" outlineLevel="0" collapsed="false">
      <c r="A156" s="8" t="s">
        <v>26</v>
      </c>
      <c r="B156" s="8" t="s">
        <v>35</v>
      </c>
      <c r="C156" s="8" t="s">
        <v>54</v>
      </c>
      <c r="D156" s="21" t="n">
        <v>45741.7916666667</v>
      </c>
      <c r="E156" s="21" t="n">
        <v>45742.8097222222</v>
      </c>
      <c r="F156" s="22" t="n">
        <f aca="false">DATE(YEAR(E156),MONTH(E156),1)</f>
        <v>45717</v>
      </c>
      <c r="G156" s="23" t="n">
        <v>136189</v>
      </c>
      <c r="H156" s="8" t="s">
        <v>58</v>
      </c>
      <c r="I156" s="24" t="n">
        <v>121.5</v>
      </c>
      <c r="J156" s="25" t="n">
        <f aca="false">Summary!$B$4</f>
        <v>1</v>
      </c>
      <c r="K156" s="11" t="n">
        <f aca="false">I156*J156*IF(A156="SILVER",Summary!$B$5,Summary!$B$6)</f>
        <v>3645</v>
      </c>
      <c r="L156" s="26" t="n">
        <v>0.08</v>
      </c>
      <c r="M156" s="27" t="n">
        <f aca="false">IF(K156&gt;0,1,0)</f>
        <v>1</v>
      </c>
      <c r="N156" s="11" t="n">
        <f aca="false">SUMIFS(K$2:K156,A$2:A156,A156,B$2:B156,B156)</f>
        <v>29181</v>
      </c>
      <c r="O156" s="11" t="n">
        <f aca="false">MAX(0,_xlfn.MAXIFS(N$2:N156,A$2:A156,A156,B$2:B156,B156))</f>
        <v>29181</v>
      </c>
      <c r="P156" s="11" t="n">
        <f aca="false">N156-O156</f>
        <v>0</v>
      </c>
    </row>
    <row r="157" customFormat="false" ht="15" hidden="false" customHeight="false" outlineLevel="0" collapsed="false">
      <c r="A157" s="8" t="s">
        <v>26</v>
      </c>
      <c r="B157" s="8" t="s">
        <v>35</v>
      </c>
      <c r="C157" s="8" t="s">
        <v>56</v>
      </c>
      <c r="D157" s="21" t="n">
        <v>45764.875</v>
      </c>
      <c r="E157" s="21" t="n">
        <v>45770.625</v>
      </c>
      <c r="F157" s="22" t="n">
        <f aca="false">DATE(YEAR(E157),MONTH(E157),1)</f>
        <v>45748</v>
      </c>
      <c r="G157" s="23" t="n">
        <v>131416</v>
      </c>
      <c r="H157" s="8" t="s">
        <v>55</v>
      </c>
      <c r="I157" s="24" t="n">
        <v>-2072.08</v>
      </c>
      <c r="J157" s="25" t="n">
        <f aca="false">Summary!$B$4</f>
        <v>1</v>
      </c>
      <c r="K157" s="11" t="n">
        <f aca="false">I157*J157*IF(A157="SILVER",Summary!$B$5,Summary!$B$6)</f>
        <v>-62162.4</v>
      </c>
      <c r="L157" s="26" t="n">
        <v>-1.05</v>
      </c>
      <c r="M157" s="27" t="n">
        <f aca="false">IF(K157&gt;0,1,0)</f>
        <v>0</v>
      </c>
      <c r="N157" s="11" t="n">
        <f aca="false">SUMIFS(K$2:K157,A$2:A157,A157,B$2:B157,B157)</f>
        <v>-32981.4</v>
      </c>
      <c r="O157" s="11" t="n">
        <f aca="false">MAX(0,_xlfn.MAXIFS(N$2:N157,A$2:A157,A157,B$2:B157,B157))</f>
        <v>29181</v>
      </c>
      <c r="P157" s="11" t="n">
        <f aca="false">N157-O157</f>
        <v>-62162.4</v>
      </c>
    </row>
    <row r="158" customFormat="false" ht="15" hidden="false" customHeight="false" outlineLevel="0" collapsed="false">
      <c r="A158" s="8" t="s">
        <v>26</v>
      </c>
      <c r="B158" s="8" t="s">
        <v>35</v>
      </c>
      <c r="C158" s="8" t="s">
        <v>56</v>
      </c>
      <c r="D158" s="21" t="n">
        <v>45775.5</v>
      </c>
      <c r="E158" s="21" t="n">
        <v>45776.7916666667</v>
      </c>
      <c r="F158" s="22" t="n">
        <f aca="false">DATE(YEAR(E158),MONTH(E158),1)</f>
        <v>45748</v>
      </c>
      <c r="G158" s="23" t="n">
        <v>132629</v>
      </c>
      <c r="H158" s="8" t="s">
        <v>55</v>
      </c>
      <c r="I158" s="24" t="n">
        <v>-1898.32</v>
      </c>
      <c r="J158" s="25" t="n">
        <f aca="false">Summary!$B$4</f>
        <v>1</v>
      </c>
      <c r="K158" s="11" t="n">
        <f aca="false">I158*J158*IF(A158="SILVER",Summary!$B$5,Summary!$B$6)</f>
        <v>-56949.6</v>
      </c>
      <c r="L158" s="26" t="n">
        <v>-0.954</v>
      </c>
      <c r="M158" s="27" t="n">
        <f aca="false">IF(K158&gt;0,1,0)</f>
        <v>0</v>
      </c>
      <c r="N158" s="11" t="n">
        <f aca="false">SUMIFS(K$2:K158,A$2:A158,A158,B$2:B158,B158)</f>
        <v>-89931</v>
      </c>
      <c r="O158" s="11" t="n">
        <f aca="false">MAX(0,_xlfn.MAXIFS(N$2:N158,A$2:A158,A158,B$2:B158,B158))</f>
        <v>29181</v>
      </c>
      <c r="P158" s="11" t="n">
        <f aca="false">N158-O158</f>
        <v>-119112</v>
      </c>
    </row>
    <row r="159" customFormat="false" ht="15" hidden="false" customHeight="false" outlineLevel="0" collapsed="false">
      <c r="A159" s="8" t="s">
        <v>26</v>
      </c>
      <c r="B159" s="8" t="s">
        <v>35</v>
      </c>
      <c r="C159" s="8" t="s">
        <v>56</v>
      </c>
      <c r="D159" s="21" t="n">
        <v>45777.4166666667</v>
      </c>
      <c r="E159" s="21" t="n">
        <v>45790.4166666667</v>
      </c>
      <c r="F159" s="22" t="n">
        <f aca="false">DATE(YEAR(E159),MONTH(E159),1)</f>
        <v>45778</v>
      </c>
      <c r="G159" s="23" t="n">
        <v>132610</v>
      </c>
      <c r="H159" s="8" t="s">
        <v>55</v>
      </c>
      <c r="I159" s="24" t="n">
        <v>873.42</v>
      </c>
      <c r="J159" s="25" t="n">
        <f aca="false">Summary!$B$4</f>
        <v>1</v>
      </c>
      <c r="K159" s="11" t="n">
        <f aca="false">I159*J159*IF(A159="SILVER",Summary!$B$5,Summary!$B$6)</f>
        <v>26202.6</v>
      </c>
      <c r="L159" s="26" t="n">
        <v>0.412</v>
      </c>
      <c r="M159" s="27" t="n">
        <f aca="false">IF(K159&gt;0,1,0)</f>
        <v>1</v>
      </c>
      <c r="N159" s="11" t="n">
        <f aca="false">SUMIFS(K$2:K159,A$2:A159,A159,B$2:B159,B159)</f>
        <v>-63728.4</v>
      </c>
      <c r="O159" s="11" t="n">
        <f aca="false">MAX(0,_xlfn.MAXIFS(N$2:N159,A$2:A159,A159,B$2:B159,B159))</f>
        <v>29181</v>
      </c>
      <c r="P159" s="11" t="n">
        <f aca="false">N159-O159</f>
        <v>-92909.4</v>
      </c>
    </row>
    <row r="160" customFormat="false" ht="15" hidden="false" customHeight="false" outlineLevel="0" collapsed="false">
      <c r="A160" s="8" t="s">
        <v>26</v>
      </c>
      <c r="B160" s="8" t="s">
        <v>35</v>
      </c>
      <c r="C160" s="8" t="s">
        <v>56</v>
      </c>
      <c r="D160" s="21" t="n">
        <v>45791.8763888889</v>
      </c>
      <c r="E160" s="21" t="n">
        <v>45792.7194444445</v>
      </c>
      <c r="F160" s="22" t="n">
        <f aca="false">DATE(YEAR(E160),MONTH(E160),1)</f>
        <v>45778</v>
      </c>
      <c r="G160" s="23" t="n">
        <v>130195</v>
      </c>
      <c r="H160" s="8" t="s">
        <v>58</v>
      </c>
      <c r="I160" s="24" t="n">
        <v>165.44</v>
      </c>
      <c r="J160" s="25" t="n">
        <f aca="false">Summary!$B$4</f>
        <v>1</v>
      </c>
      <c r="K160" s="11" t="n">
        <f aca="false">I160*J160*IF(A160="SILVER",Summary!$B$5,Summary!$B$6)</f>
        <v>4963.2</v>
      </c>
      <c r="L160" s="26" t="n">
        <v>0.085</v>
      </c>
      <c r="M160" s="27" t="n">
        <f aca="false">IF(K160&gt;0,1,0)</f>
        <v>1</v>
      </c>
      <c r="N160" s="11" t="n">
        <f aca="false">SUMIFS(K$2:K160,A$2:A160,A160,B$2:B160,B160)</f>
        <v>-58765.2</v>
      </c>
      <c r="O160" s="11" t="n">
        <f aca="false">MAX(0,_xlfn.MAXIFS(N$2:N160,A$2:A160,A160,B$2:B160,B160))</f>
        <v>29181</v>
      </c>
      <c r="P160" s="11" t="n">
        <f aca="false">N160-O160</f>
        <v>-87946.2</v>
      </c>
    </row>
    <row r="161" customFormat="false" ht="15" hidden="false" customHeight="false" outlineLevel="0" collapsed="false">
      <c r="A161" s="8" t="s">
        <v>26</v>
      </c>
      <c r="B161" s="8" t="s">
        <v>35</v>
      </c>
      <c r="C161" s="8" t="s">
        <v>56</v>
      </c>
      <c r="D161" s="21" t="n">
        <v>45799.7083333333</v>
      </c>
      <c r="E161" s="21" t="n">
        <v>45810.7916666667</v>
      </c>
      <c r="F161" s="22" t="n">
        <f aca="false">DATE(YEAR(E161),MONTH(E161),1)</f>
        <v>45809</v>
      </c>
      <c r="G161" s="23" t="n">
        <v>131701</v>
      </c>
      <c r="H161" s="8" t="s">
        <v>55</v>
      </c>
      <c r="I161" s="24" t="n">
        <v>-2677.64</v>
      </c>
      <c r="J161" s="25" t="n">
        <f aca="false">Summary!$B$4</f>
        <v>1</v>
      </c>
      <c r="K161" s="11" t="n">
        <f aca="false">I161*J161*IF(A161="SILVER",Summary!$B$5,Summary!$B$6)</f>
        <v>-80329.2</v>
      </c>
      <c r="L161" s="26" t="n">
        <v>-1.152</v>
      </c>
      <c r="M161" s="27" t="n">
        <f aca="false">IF(K161&gt;0,1,0)</f>
        <v>0</v>
      </c>
      <c r="N161" s="11" t="n">
        <f aca="false">SUMIFS(K$2:K161,A$2:A161,A161,B$2:B161,B161)</f>
        <v>-139094.4</v>
      </c>
      <c r="O161" s="11" t="n">
        <f aca="false">MAX(0,_xlfn.MAXIFS(N$2:N161,A$2:A161,A161,B$2:B161,B161))</f>
        <v>29181</v>
      </c>
      <c r="P161" s="11" t="n">
        <f aca="false">N161-O161</f>
        <v>-168275.4</v>
      </c>
    </row>
    <row r="162" customFormat="false" ht="15" hidden="false" customHeight="false" outlineLevel="0" collapsed="false">
      <c r="A162" s="8" t="s">
        <v>26</v>
      </c>
      <c r="B162" s="8" t="s">
        <v>35</v>
      </c>
      <c r="C162" s="8" t="s">
        <v>54</v>
      </c>
      <c r="D162" s="21" t="n">
        <v>45824.5416666667</v>
      </c>
      <c r="E162" s="21" t="n">
        <v>45827.4965277778</v>
      </c>
      <c r="F162" s="22" t="n">
        <f aca="false">DATE(YEAR(E162),MONTH(E162),1)</f>
        <v>45809</v>
      </c>
      <c r="G162" s="23" t="n">
        <v>141840</v>
      </c>
      <c r="H162" s="8" t="s">
        <v>58</v>
      </c>
      <c r="I162" s="24" t="n">
        <v>158.41</v>
      </c>
      <c r="J162" s="25" t="n">
        <f aca="false">Summary!$B$4</f>
        <v>1</v>
      </c>
      <c r="K162" s="11" t="n">
        <f aca="false">I162*J162*IF(A162="SILVER",Summary!$B$5,Summary!$B$6)</f>
        <v>4752.3</v>
      </c>
      <c r="L162" s="26" t="n">
        <v>0.083</v>
      </c>
      <c r="M162" s="27" t="n">
        <f aca="false">IF(K162&gt;0,1,0)</f>
        <v>1</v>
      </c>
      <c r="N162" s="11" t="n">
        <f aca="false">SUMIFS(K$2:K162,A$2:A162,A162,B$2:B162,B162)</f>
        <v>-134342.1</v>
      </c>
      <c r="O162" s="11" t="n">
        <f aca="false">MAX(0,_xlfn.MAXIFS(N$2:N162,A$2:A162,A162,B$2:B162,B162))</f>
        <v>29181</v>
      </c>
      <c r="P162" s="11" t="n">
        <f aca="false">N162-O162</f>
        <v>-163523.1</v>
      </c>
    </row>
    <row r="163" customFormat="false" ht="15" hidden="false" customHeight="false" outlineLevel="0" collapsed="false">
      <c r="A163" s="8" t="s">
        <v>26</v>
      </c>
      <c r="B163" s="8" t="s">
        <v>35</v>
      </c>
      <c r="C163" s="8" t="s">
        <v>54</v>
      </c>
      <c r="D163" s="21" t="n">
        <v>45834.4166666667</v>
      </c>
      <c r="E163" s="21" t="n">
        <v>45834.6708333333</v>
      </c>
      <c r="F163" s="22" t="n">
        <f aca="false">DATE(YEAR(E163),MONTH(E163),1)</f>
        <v>45809</v>
      </c>
      <c r="G163" s="23" t="n">
        <v>141424</v>
      </c>
      <c r="H163" s="8" t="s">
        <v>58</v>
      </c>
      <c r="I163" s="24" t="n">
        <v>132.38</v>
      </c>
      <c r="J163" s="25" t="n">
        <f aca="false">Summary!$B$4</f>
        <v>1</v>
      </c>
      <c r="K163" s="11" t="n">
        <f aca="false">I163*J163*IF(A163="SILVER",Summary!$B$5,Summary!$B$6)</f>
        <v>3971.4</v>
      </c>
      <c r="L163" s="26" t="n">
        <v>0.081</v>
      </c>
      <c r="M163" s="27" t="n">
        <f aca="false">IF(K163&gt;0,1,0)</f>
        <v>1</v>
      </c>
      <c r="N163" s="11" t="n">
        <f aca="false">SUMIFS(K$2:K163,A$2:A163,A163,B$2:B163,B163)</f>
        <v>-130370.7</v>
      </c>
      <c r="O163" s="11" t="n">
        <f aca="false">MAX(0,_xlfn.MAXIFS(N$2:N163,A$2:A163,A163,B$2:B163,B163))</f>
        <v>29181</v>
      </c>
      <c r="P163" s="11" t="n">
        <f aca="false">N163-O163</f>
        <v>-159551.7</v>
      </c>
    </row>
    <row r="164" customFormat="false" ht="15" hidden="false" customHeight="false" outlineLevel="0" collapsed="false">
      <c r="A164" s="8" t="s">
        <v>26</v>
      </c>
      <c r="B164" s="8" t="s">
        <v>35</v>
      </c>
      <c r="C164" s="8" t="s">
        <v>54</v>
      </c>
      <c r="D164" s="21" t="n">
        <v>45839.5444444444</v>
      </c>
      <c r="E164" s="21" t="n">
        <v>45845.675</v>
      </c>
      <c r="F164" s="22" t="n">
        <f aca="false">DATE(YEAR(E164),MONTH(E164),1)</f>
        <v>45839</v>
      </c>
      <c r="G164" s="23" t="n">
        <v>141200</v>
      </c>
      <c r="H164" s="8" t="s">
        <v>58</v>
      </c>
      <c r="I164" s="24" t="n">
        <v>76.19</v>
      </c>
      <c r="J164" s="25" t="n">
        <f aca="false">Summary!$B$4</f>
        <v>1</v>
      </c>
      <c r="K164" s="11" t="n">
        <f aca="false">I164*J164*IF(A164="SILVER",Summary!$B$5,Summary!$B$6)</f>
        <v>2285.7</v>
      </c>
      <c r="L164" s="26" t="n">
        <v>0.048</v>
      </c>
      <c r="M164" s="27" t="n">
        <f aca="false">IF(K164&gt;0,1,0)</f>
        <v>1</v>
      </c>
      <c r="N164" s="11" t="n">
        <f aca="false">SUMIFS(K$2:K164,A$2:A164,A164,B$2:B164,B164)</f>
        <v>-128085</v>
      </c>
      <c r="O164" s="11" t="n">
        <f aca="false">MAX(0,_xlfn.MAXIFS(N$2:N164,A$2:A164,A164,B$2:B164,B164))</f>
        <v>29181</v>
      </c>
      <c r="P164" s="11" t="n">
        <f aca="false">N164-O164</f>
        <v>-157266</v>
      </c>
    </row>
    <row r="165" customFormat="false" ht="15" hidden="false" customHeight="false" outlineLevel="0" collapsed="false">
      <c r="A165" s="8" t="s">
        <v>26</v>
      </c>
      <c r="B165" s="8" t="s">
        <v>35</v>
      </c>
      <c r="C165" s="8" t="s">
        <v>54</v>
      </c>
      <c r="D165" s="21" t="n">
        <v>45856.5416666667</v>
      </c>
      <c r="E165" s="21" t="n">
        <v>45862.5</v>
      </c>
      <c r="F165" s="22" t="n">
        <f aca="false">DATE(YEAR(E165),MONTH(E165),1)</f>
        <v>45839</v>
      </c>
      <c r="G165" s="23" t="n">
        <v>147619</v>
      </c>
      <c r="H165" s="8" t="s">
        <v>55</v>
      </c>
      <c r="I165" s="24" t="n">
        <v>1509.2</v>
      </c>
      <c r="J165" s="25" t="n">
        <f aca="false">Summary!$B$4</f>
        <v>1</v>
      </c>
      <c r="K165" s="11" t="n">
        <f aca="false">I165*J165*IF(A165="SILVER",Summary!$B$5,Summary!$B$6)</f>
        <v>45276</v>
      </c>
      <c r="L165" s="26" t="n">
        <v>0.896</v>
      </c>
      <c r="M165" s="27" t="n">
        <f aca="false">IF(K165&gt;0,1,0)</f>
        <v>1</v>
      </c>
      <c r="N165" s="11" t="n">
        <f aca="false">SUMIFS(K$2:K165,A$2:A165,A165,B$2:B165,B165)</f>
        <v>-82809</v>
      </c>
      <c r="O165" s="11" t="n">
        <f aca="false">MAX(0,_xlfn.MAXIFS(N$2:N165,A$2:A165,A165,B$2:B165,B165))</f>
        <v>29181</v>
      </c>
      <c r="P165" s="11" t="n">
        <f aca="false">N165-O165</f>
        <v>-111990</v>
      </c>
    </row>
    <row r="166" customFormat="false" ht="15" hidden="false" customHeight="false" outlineLevel="0" collapsed="false">
      <c r="A166" s="8" t="s">
        <v>26</v>
      </c>
      <c r="B166" s="8" t="s">
        <v>35</v>
      </c>
      <c r="C166" s="8" t="s">
        <v>54</v>
      </c>
      <c r="D166" s="21" t="n">
        <v>45873.4583333333</v>
      </c>
      <c r="E166" s="21" t="n">
        <v>45880.5833333333</v>
      </c>
      <c r="F166" s="22" t="n">
        <f aca="false">DATE(YEAR(E166),MONTH(E166),1)</f>
        <v>45870</v>
      </c>
      <c r="G166" s="23" t="n">
        <v>145594</v>
      </c>
      <c r="H166" s="8" t="s">
        <v>55</v>
      </c>
      <c r="I166" s="24" t="n">
        <v>2368.52</v>
      </c>
      <c r="J166" s="25" t="n">
        <f aca="false">Summary!$B$4</f>
        <v>1</v>
      </c>
      <c r="K166" s="11" t="n">
        <f aca="false">I166*J166*IF(A166="SILVER",Summary!$B$5,Summary!$B$6)</f>
        <v>71055.6</v>
      </c>
      <c r="L166" s="26" t="n">
        <v>1.223</v>
      </c>
      <c r="M166" s="27" t="n">
        <f aca="false">IF(K166&gt;0,1,0)</f>
        <v>1</v>
      </c>
      <c r="N166" s="11" t="n">
        <f aca="false">SUMIFS(K$2:K166,A$2:A166,A166,B$2:B166,B166)</f>
        <v>-11753.4</v>
      </c>
      <c r="O166" s="11" t="n">
        <f aca="false">MAX(0,_xlfn.MAXIFS(N$2:N166,A$2:A166,A166,B$2:B166,B166))</f>
        <v>29181</v>
      </c>
      <c r="P166" s="11" t="n">
        <f aca="false">N166-O166</f>
        <v>-40934.4</v>
      </c>
    </row>
    <row r="167" customFormat="false" ht="15" hidden="false" customHeight="false" outlineLevel="0" collapsed="false">
      <c r="A167" s="8" t="s">
        <v>26</v>
      </c>
      <c r="B167" s="8" t="s">
        <v>35</v>
      </c>
      <c r="C167" s="8" t="s">
        <v>54</v>
      </c>
      <c r="D167" s="21" t="n">
        <v>45882.5</v>
      </c>
      <c r="E167" s="21" t="n">
        <v>45883.9166666667</v>
      </c>
      <c r="F167" s="22" t="n">
        <f aca="false">DATE(YEAR(E167),MONTH(E167),1)</f>
        <v>45870</v>
      </c>
      <c r="G167" s="23" t="n">
        <v>149328</v>
      </c>
      <c r="H167" s="8" t="s">
        <v>55</v>
      </c>
      <c r="I167" s="24" t="n">
        <v>-1226.87</v>
      </c>
      <c r="J167" s="25" t="n">
        <f aca="false">Summary!$B$4</f>
        <v>1</v>
      </c>
      <c r="K167" s="11" t="n">
        <f aca="false">I167*J167*IF(A167="SILVER",Summary!$B$5,Summary!$B$6)</f>
        <v>-36806.1</v>
      </c>
      <c r="L167" s="26" t="n">
        <v>-0.624</v>
      </c>
      <c r="M167" s="27" t="n">
        <f aca="false">IF(K167&gt;0,1,0)</f>
        <v>0</v>
      </c>
      <c r="N167" s="11" t="n">
        <f aca="false">SUMIFS(K$2:K167,A$2:A167,A167,B$2:B167,B167)</f>
        <v>-48559.5</v>
      </c>
      <c r="O167" s="11" t="n">
        <f aca="false">MAX(0,_xlfn.MAXIFS(N$2:N167,A$2:A167,A167,B$2:B167,B167))</f>
        <v>29181</v>
      </c>
      <c r="P167" s="11" t="n">
        <f aca="false">N167-O167</f>
        <v>-77740.5</v>
      </c>
    </row>
    <row r="168" customFormat="false" ht="15" hidden="false" customHeight="false" outlineLevel="0" collapsed="false">
      <c r="A168" s="8" t="s">
        <v>26</v>
      </c>
      <c r="B168" s="8" t="s">
        <v>35</v>
      </c>
      <c r="C168" s="8" t="s">
        <v>54</v>
      </c>
      <c r="D168" s="21" t="n">
        <v>45889.7916666667</v>
      </c>
      <c r="E168" s="21" t="n">
        <v>45904.4340277778</v>
      </c>
      <c r="F168" s="22" t="n">
        <f aca="false">DATE(YEAR(E168),MONTH(E168),1)</f>
        <v>45901</v>
      </c>
      <c r="G168" s="23" t="n">
        <v>146609</v>
      </c>
      <c r="H168" s="8" t="s">
        <v>55</v>
      </c>
      <c r="I168" s="24" t="n">
        <v>10261.53</v>
      </c>
      <c r="J168" s="25" t="n">
        <f aca="false">Summary!$B$4</f>
        <v>1</v>
      </c>
      <c r="K168" s="11" t="n">
        <f aca="false">I168*J168*IF(A168="SILVER",Summary!$B$5,Summary!$B$6)</f>
        <v>307845.9</v>
      </c>
      <c r="L168" s="26" t="n">
        <v>5.337</v>
      </c>
      <c r="M168" s="27" t="n">
        <f aca="false">IF(K168&gt;0,1,0)</f>
        <v>1</v>
      </c>
      <c r="N168" s="11" t="n">
        <f aca="false">SUMIFS(K$2:K168,A$2:A168,A168,B$2:B168,B168)</f>
        <v>259286.4</v>
      </c>
      <c r="O168" s="11" t="n">
        <f aca="false">MAX(0,_xlfn.MAXIFS(N$2:N168,A$2:A168,A168,B$2:B168,B168))</f>
        <v>259286.4</v>
      </c>
      <c r="P168" s="11" t="n">
        <f aca="false">N168-O168</f>
        <v>0</v>
      </c>
    </row>
    <row r="169" customFormat="false" ht="15" hidden="false" customHeight="false" outlineLevel="0" collapsed="false">
      <c r="A169" s="8" t="s">
        <v>26</v>
      </c>
      <c r="B169" s="8" t="s">
        <v>35</v>
      </c>
      <c r="C169" s="8" t="s">
        <v>54</v>
      </c>
      <c r="D169" s="21" t="n">
        <v>45905.8229166667</v>
      </c>
      <c r="E169" s="21" t="n">
        <v>45908.4166666667</v>
      </c>
      <c r="F169" s="22" t="n">
        <f aca="false">DATE(YEAR(E169),MONTH(E169),1)</f>
        <v>45901</v>
      </c>
      <c r="G169" s="23" t="n">
        <v>158734</v>
      </c>
      <c r="H169" s="8" t="s">
        <v>55</v>
      </c>
      <c r="I169" s="24" t="n">
        <v>-3640.57</v>
      </c>
      <c r="J169" s="25" t="n">
        <f aca="false">Summary!$B$4</f>
        <v>1</v>
      </c>
      <c r="K169" s="11" t="n">
        <f aca="false">I169*J169*IF(A169="SILVER",Summary!$B$5,Summary!$B$6)</f>
        <v>-109217.1</v>
      </c>
      <c r="L169" s="26" t="n">
        <v>-1.632</v>
      </c>
      <c r="M169" s="27" t="n">
        <f aca="false">IF(K169&gt;0,1,0)</f>
        <v>0</v>
      </c>
      <c r="N169" s="11" t="n">
        <f aca="false">SUMIFS(K$2:K169,A$2:A169,A169,B$2:B169,B169)</f>
        <v>150069.3</v>
      </c>
      <c r="O169" s="11" t="n">
        <f aca="false">MAX(0,_xlfn.MAXIFS(N$2:N169,A$2:A169,A169,B$2:B169,B169))</f>
        <v>259286.4</v>
      </c>
      <c r="P169" s="11" t="n">
        <f aca="false">N169-O169</f>
        <v>-109217.1</v>
      </c>
    </row>
    <row r="170" customFormat="false" ht="15" hidden="false" customHeight="false" outlineLevel="0" collapsed="false">
      <c r="A170" s="8" t="s">
        <v>26</v>
      </c>
      <c r="B170" s="8" t="s">
        <v>35</v>
      </c>
      <c r="C170" s="8" t="s">
        <v>54</v>
      </c>
      <c r="D170" s="21" t="n">
        <v>45909.4583333333</v>
      </c>
      <c r="E170" s="21" t="n">
        <v>45917.4166666667</v>
      </c>
      <c r="F170" s="22" t="n">
        <f aca="false">DATE(YEAR(E170),MONTH(E170),1)</f>
        <v>45901</v>
      </c>
      <c r="G170" s="23" t="n">
        <v>157493</v>
      </c>
      <c r="H170" s="8" t="s">
        <v>55</v>
      </c>
      <c r="I170" s="24" t="n">
        <v>1154.65</v>
      </c>
      <c r="J170" s="25" t="n">
        <f aca="false">Summary!$B$4</f>
        <v>1</v>
      </c>
      <c r="K170" s="11" t="n">
        <f aca="false">I170*J170*IF(A170="SILVER",Summary!$B$5,Summary!$B$6)</f>
        <v>34639.5</v>
      </c>
      <c r="L170" s="26" t="n">
        <v>0.504</v>
      </c>
      <c r="M170" s="27" t="n">
        <f aca="false">IF(K170&gt;0,1,0)</f>
        <v>1</v>
      </c>
      <c r="N170" s="11" t="n">
        <f aca="false">SUMIFS(K$2:K170,A$2:A170,A170,B$2:B170,B170)</f>
        <v>184708.8</v>
      </c>
      <c r="O170" s="11" t="n">
        <f aca="false">MAX(0,_xlfn.MAXIFS(N$2:N170,A$2:A170,A170,B$2:B170,B170))</f>
        <v>259286.4</v>
      </c>
      <c r="P170" s="11" t="n">
        <f aca="false">N170-O170</f>
        <v>-74577.6</v>
      </c>
    </row>
    <row r="171" customFormat="false" ht="15" hidden="false" customHeight="false" outlineLevel="0" collapsed="false">
      <c r="A171" s="8" t="s">
        <v>26</v>
      </c>
      <c r="B171" s="8" t="s">
        <v>35</v>
      </c>
      <c r="C171" s="8" t="s">
        <v>54</v>
      </c>
      <c r="D171" s="21" t="n">
        <v>45919.4166666667</v>
      </c>
      <c r="E171" s="21" t="n">
        <v>45930.625</v>
      </c>
      <c r="F171" s="22" t="n">
        <f aca="false">DATE(YEAR(E171),MONTH(E171),1)</f>
        <v>45901</v>
      </c>
      <c r="G171" s="23" t="n">
        <v>160033</v>
      </c>
      <c r="H171" s="8" t="s">
        <v>55</v>
      </c>
      <c r="I171" s="24" t="n">
        <v>12021.06</v>
      </c>
      <c r="J171" s="25" t="n">
        <f aca="false">Summary!$B$4</f>
        <v>1</v>
      </c>
      <c r="K171" s="11" t="n">
        <f aca="false">I171*J171*IF(A171="SILVER",Summary!$B$5,Summary!$B$6)</f>
        <v>360631.8</v>
      </c>
      <c r="L171" s="26" t="n">
        <v>4.188</v>
      </c>
      <c r="M171" s="27" t="n">
        <f aca="false">IF(K171&gt;0,1,0)</f>
        <v>1</v>
      </c>
      <c r="N171" s="11" t="n">
        <f aca="false">SUMIFS(K$2:K171,A$2:A171,A171,B$2:B171,B171)</f>
        <v>545340.6</v>
      </c>
      <c r="O171" s="11" t="n">
        <f aca="false">MAX(0,_xlfn.MAXIFS(N$2:N171,A$2:A171,A171,B$2:B171,B171))</f>
        <v>545340.6</v>
      </c>
      <c r="P171" s="11" t="n">
        <f aca="false">N171-O171</f>
        <v>0</v>
      </c>
    </row>
    <row r="172" customFormat="false" ht="15" hidden="false" customHeight="false" outlineLevel="0" collapsed="false">
      <c r="A172" s="8" t="s">
        <v>26</v>
      </c>
      <c r="B172" s="8" t="s">
        <v>35</v>
      </c>
      <c r="C172" s="8" t="s">
        <v>54</v>
      </c>
      <c r="D172" s="21" t="n">
        <v>45931.5833333333</v>
      </c>
      <c r="E172" s="21" t="n">
        <v>45937.8881944444</v>
      </c>
      <c r="F172" s="22" t="n">
        <f aca="false">DATE(YEAR(E172),MONTH(E172),1)</f>
        <v>45931</v>
      </c>
      <c r="G172" s="23" t="n">
        <v>175988</v>
      </c>
      <c r="H172" s="8" t="s">
        <v>58</v>
      </c>
      <c r="I172" s="24" t="n">
        <v>374.25</v>
      </c>
      <c r="J172" s="25" t="n">
        <f aca="false">Summary!$B$4</f>
        <v>1</v>
      </c>
      <c r="K172" s="11" t="n">
        <f aca="false">I172*J172*IF(A172="SILVER",Summary!$B$5,Summary!$B$6)</f>
        <v>11227.5</v>
      </c>
      <c r="L172" s="26" t="n">
        <v>0.091</v>
      </c>
      <c r="M172" s="27" t="n">
        <f aca="false">IF(K172&gt;0,1,0)</f>
        <v>1</v>
      </c>
      <c r="N172" s="11" t="n">
        <f aca="false">SUMIFS(K$2:K172,A$2:A172,A172,B$2:B172,B172)</f>
        <v>556568.1</v>
      </c>
      <c r="O172" s="11" t="n">
        <f aca="false">MAX(0,_xlfn.MAXIFS(N$2:N172,A$2:A172,A172,B$2:B172,B172))</f>
        <v>556568.1</v>
      </c>
      <c r="P172" s="11" t="n">
        <f aca="false">N172-O172</f>
        <v>0</v>
      </c>
    </row>
    <row r="173" customFormat="false" ht="15" hidden="false" customHeight="false" outlineLevel="0" collapsed="false">
      <c r="A173" s="8" t="s">
        <v>26</v>
      </c>
      <c r="B173" s="8" t="s">
        <v>35</v>
      </c>
      <c r="C173" s="8" t="s">
        <v>54</v>
      </c>
      <c r="D173" s="21" t="n">
        <v>45943.4166666667</v>
      </c>
      <c r="E173" s="21" t="n">
        <v>45947.8333333333</v>
      </c>
      <c r="F173" s="22" t="n">
        <f aca="false">DATE(YEAR(E173),MONTH(E173),1)</f>
        <v>45931</v>
      </c>
      <c r="G173" s="23" t="n">
        <v>183002</v>
      </c>
      <c r="H173" s="8" t="s">
        <v>55</v>
      </c>
      <c r="I173" s="24" t="n">
        <v>9808.7</v>
      </c>
      <c r="J173" s="25" t="n">
        <f aca="false">Summary!$B$4</f>
        <v>1</v>
      </c>
      <c r="K173" s="11" t="n">
        <f aca="false">I173*J173*IF(A173="SILVER",Summary!$B$5,Summary!$B$6)</f>
        <v>294261</v>
      </c>
      <c r="L173" s="26" t="n">
        <v>1.227</v>
      </c>
      <c r="M173" s="27" t="n">
        <f aca="false">IF(K173&gt;0,1,0)</f>
        <v>1</v>
      </c>
      <c r="N173" s="11" t="n">
        <f aca="false">SUMIFS(K$2:K173,A$2:A173,A173,B$2:B173,B173)</f>
        <v>850829.1</v>
      </c>
      <c r="O173" s="11" t="n">
        <f aca="false">MAX(0,_xlfn.MAXIFS(N$2:N173,A$2:A173,A173,B$2:B173,B173))</f>
        <v>850829.1</v>
      </c>
      <c r="P173" s="11" t="n">
        <f aca="false">N173-O173</f>
        <v>0</v>
      </c>
    </row>
    <row r="174" customFormat="false" ht="15" hidden="false" customHeight="false" outlineLevel="0" collapsed="false">
      <c r="A174" s="8" t="s">
        <v>26</v>
      </c>
      <c r="B174" s="8" t="s">
        <v>35</v>
      </c>
      <c r="C174" s="8" t="s">
        <v>56</v>
      </c>
      <c r="D174" s="21" t="n">
        <v>45965.5</v>
      </c>
      <c r="E174" s="21" t="n">
        <v>45967.5416666667</v>
      </c>
      <c r="F174" s="22" t="n">
        <f aca="false">DATE(YEAR(E174),MONTH(E174),1)</f>
        <v>45962</v>
      </c>
      <c r="G174" s="23" t="n">
        <v>176653</v>
      </c>
      <c r="H174" s="8" t="s">
        <v>55</v>
      </c>
      <c r="I174" s="24" t="n">
        <v>-2894.35</v>
      </c>
      <c r="J174" s="25" t="n">
        <f aca="false">Summary!$B$4</f>
        <v>1</v>
      </c>
      <c r="K174" s="11" t="n">
        <f aca="false">I174*J174*IF(A174="SILVER",Summary!$B$5,Summary!$B$6)</f>
        <v>-86830.5</v>
      </c>
      <c r="L174" s="26" t="n">
        <v>-0.725</v>
      </c>
      <c r="M174" s="27" t="n">
        <f aca="false">IF(K174&gt;0,1,0)</f>
        <v>0</v>
      </c>
      <c r="N174" s="11" t="n">
        <f aca="false">SUMIFS(K$2:K174,A$2:A174,A174,B$2:B174,B174)</f>
        <v>763998.6</v>
      </c>
      <c r="O174" s="11" t="n">
        <f aca="false">MAX(0,_xlfn.MAXIFS(N$2:N174,A$2:A174,A174,B$2:B174,B174))</f>
        <v>850829.1</v>
      </c>
      <c r="P174" s="11" t="n">
        <f aca="false">N174-O174</f>
        <v>-86830.5</v>
      </c>
    </row>
    <row r="175" customFormat="false" ht="15" hidden="false" customHeight="false" outlineLevel="0" collapsed="false">
      <c r="A175" s="8" t="s">
        <v>26</v>
      </c>
      <c r="B175" s="8" t="s">
        <v>35</v>
      </c>
      <c r="C175" s="8" t="s">
        <v>54</v>
      </c>
      <c r="D175" s="21" t="n">
        <v>45980.6666666667</v>
      </c>
      <c r="E175" s="21" t="n">
        <v>45981.9583333333</v>
      </c>
      <c r="F175" s="22" t="n">
        <f aca="false">DATE(YEAR(E175),MONTH(E175),1)</f>
        <v>45962</v>
      </c>
      <c r="G175" s="23" t="n">
        <v>189936</v>
      </c>
      <c r="H175" s="8" t="s">
        <v>55</v>
      </c>
      <c r="I175" s="24" t="n">
        <v>-4825.23</v>
      </c>
      <c r="J175" s="25" t="n">
        <f aca="false">Summary!$B$4</f>
        <v>1</v>
      </c>
      <c r="K175" s="11" t="n">
        <f aca="false">I175*J175*IF(A175="SILVER",Summary!$B$5,Summary!$B$6)</f>
        <v>-144756.9</v>
      </c>
      <c r="L175" s="26" t="n">
        <v>-0.868</v>
      </c>
      <c r="M175" s="27" t="n">
        <f aca="false">IF(K175&gt;0,1,0)</f>
        <v>0</v>
      </c>
      <c r="N175" s="11" t="n">
        <f aca="false">SUMIFS(K$2:K175,A$2:A175,A175,B$2:B175,B175)</f>
        <v>619241.7</v>
      </c>
      <c r="O175" s="11" t="n">
        <f aca="false">MAX(0,_xlfn.MAXIFS(N$2:N175,A$2:A175,A175,B$2:B175,B175))</f>
        <v>850829.1</v>
      </c>
      <c r="P175" s="11" t="n">
        <f aca="false">N175-O175</f>
        <v>-231587.4</v>
      </c>
    </row>
    <row r="176" customFormat="false" ht="15" hidden="false" customHeight="false" outlineLevel="0" collapsed="false">
      <c r="A176" s="8" t="s">
        <v>26</v>
      </c>
      <c r="B176" s="8" t="s">
        <v>35</v>
      </c>
      <c r="C176" s="8" t="s">
        <v>54</v>
      </c>
      <c r="D176" s="21" t="n">
        <v>45986.4166666667</v>
      </c>
      <c r="E176" s="21" t="n">
        <v>46003.9166666667</v>
      </c>
      <c r="F176" s="22" t="n">
        <f aca="false">DATE(YEAR(E176),MONTH(E176),1)</f>
        <v>45992</v>
      </c>
      <c r="G176" s="23" t="n">
        <v>188250</v>
      </c>
      <c r="H176" s="8" t="s">
        <v>55</v>
      </c>
      <c r="I176" s="24" t="n">
        <v>33143.31</v>
      </c>
      <c r="J176" s="25" t="n">
        <f aca="false">Summary!$B$4</f>
        <v>1</v>
      </c>
      <c r="K176" s="11" t="n">
        <f aca="false">I176*J176*IF(A176="SILVER",Summary!$B$5,Summary!$B$6)</f>
        <v>994299.3</v>
      </c>
      <c r="L176" s="26" t="n">
        <v>7.926</v>
      </c>
      <c r="M176" s="27" t="n">
        <f aca="false">IF(K176&gt;0,1,0)</f>
        <v>1</v>
      </c>
      <c r="N176" s="11" t="n">
        <f aca="false">SUMIFS(K$2:K176,A$2:A176,A176,B$2:B176,B176)</f>
        <v>1613541</v>
      </c>
      <c r="O176" s="11" t="n">
        <f aca="false">MAX(0,_xlfn.MAXIFS(N$2:N176,A$2:A176,A176,B$2:B176,B176))</f>
        <v>1613541</v>
      </c>
      <c r="P176" s="11" t="n">
        <f aca="false">N176-O176</f>
        <v>0</v>
      </c>
    </row>
    <row r="177" customFormat="false" ht="15" hidden="false" customHeight="false" outlineLevel="0" collapsed="false">
      <c r="A177" s="8" t="s">
        <v>26</v>
      </c>
      <c r="B177" s="8" t="s">
        <v>35</v>
      </c>
      <c r="C177" s="8" t="s">
        <v>54</v>
      </c>
      <c r="D177" s="21" t="n">
        <v>46006.7916666667</v>
      </c>
      <c r="E177" s="21" t="n">
        <v>46020.5416666667</v>
      </c>
      <c r="F177" s="22" t="n">
        <f aca="false">DATE(YEAR(E177),MONTH(E177),1)</f>
        <v>45992</v>
      </c>
      <c r="G177" s="23" t="n">
        <v>227330</v>
      </c>
      <c r="H177" s="8" t="s">
        <v>55</v>
      </c>
      <c r="I177" s="24" t="n">
        <v>38446.36</v>
      </c>
      <c r="J177" s="25" t="n">
        <f aca="false">Summary!$B$4</f>
        <v>1</v>
      </c>
      <c r="K177" s="11" t="n">
        <f aca="false">I177*J177*IF(A177="SILVER",Summary!$B$5,Summary!$B$6)</f>
        <v>1153390.8</v>
      </c>
      <c r="L177" s="26" t="n">
        <v>5.88</v>
      </c>
      <c r="M177" s="27" t="n">
        <f aca="false">IF(K177&gt;0,1,0)</f>
        <v>1</v>
      </c>
      <c r="N177" s="11" t="n">
        <f aca="false">SUMIFS(K$2:K177,A$2:A177,A177,B$2:B177,B177)</f>
        <v>2766931.8</v>
      </c>
      <c r="O177" s="11" t="n">
        <f aca="false">MAX(0,_xlfn.MAXIFS(N$2:N177,A$2:A177,A177,B$2:B177,B177))</f>
        <v>2766931.8</v>
      </c>
      <c r="P177" s="11" t="n">
        <f aca="false">N177-O177</f>
        <v>0</v>
      </c>
    </row>
    <row r="178" customFormat="false" ht="15" hidden="false" customHeight="false" outlineLevel="0" collapsed="false">
      <c r="A178" s="8" t="s">
        <v>26</v>
      </c>
      <c r="B178" s="8" t="s">
        <v>35</v>
      </c>
      <c r="C178" s="8" t="s">
        <v>54</v>
      </c>
      <c r="D178" s="21" t="n">
        <v>46021.7916666667</v>
      </c>
      <c r="E178" s="21" t="n">
        <v>46022.375</v>
      </c>
      <c r="F178" s="22" t="n">
        <f aca="false">DATE(YEAR(E178),MONTH(E178),1)</f>
        <v>45992</v>
      </c>
      <c r="G178" s="23" t="n">
        <v>270940</v>
      </c>
      <c r="H178" s="8" t="s">
        <v>58</v>
      </c>
      <c r="I178" s="24" t="n">
        <v>-1264.27</v>
      </c>
      <c r="J178" s="25" t="n">
        <f aca="false">Summary!$B$4</f>
        <v>1</v>
      </c>
      <c r="K178" s="11" t="n">
        <f aca="false">I178*J178*IF(A178="SILVER",Summary!$B$5,Summary!$B$6)</f>
        <v>-37928.1</v>
      </c>
      <c r="L178" s="26" t="n">
        <v>-0.076</v>
      </c>
      <c r="M178" s="27" t="n">
        <f aca="false">IF(K178&gt;0,1,0)</f>
        <v>0</v>
      </c>
      <c r="N178" s="11" t="n">
        <f aca="false">SUMIFS(K$2:K178,A$2:A178,A178,B$2:B178,B178)</f>
        <v>2729003.7</v>
      </c>
      <c r="O178" s="11" t="n">
        <f aca="false">MAX(0,_xlfn.MAXIFS(N$2:N178,A$2:A178,A178,B$2:B178,B178))</f>
        <v>2766931.8</v>
      </c>
      <c r="P178" s="11" t="n">
        <f aca="false">N178-O178</f>
        <v>-37928.0999999996</v>
      </c>
    </row>
    <row r="179" customFormat="false" ht="15" hidden="false" customHeight="false" outlineLevel="0" collapsed="false">
      <c r="A179" s="8" t="s">
        <v>26</v>
      </c>
      <c r="B179" s="8" t="s">
        <v>35</v>
      </c>
      <c r="C179" s="8" t="s">
        <v>54</v>
      </c>
      <c r="D179" s="21" t="n">
        <v>46028.4166666667</v>
      </c>
      <c r="E179" s="21" t="n">
        <v>46029.775</v>
      </c>
      <c r="F179" s="22" t="n">
        <f aca="false">DATE(YEAR(E179),MONTH(E179),1)</f>
        <v>46023</v>
      </c>
      <c r="G179" s="23" t="n">
        <v>278427</v>
      </c>
      <c r="H179" s="8" t="s">
        <v>58</v>
      </c>
      <c r="I179" s="24" t="n">
        <v>1031.8</v>
      </c>
      <c r="J179" s="25" t="n">
        <f aca="false">Summary!$B$4</f>
        <v>1</v>
      </c>
      <c r="K179" s="11" t="n">
        <f aca="false">I179*J179*IF(A179="SILVER",Summary!$B$5,Summary!$B$6)</f>
        <v>30954</v>
      </c>
      <c r="L179" s="26" t="n">
        <v>0.094</v>
      </c>
      <c r="M179" s="27" t="n">
        <f aca="false">IF(K179&gt;0,1,0)</f>
        <v>1</v>
      </c>
      <c r="N179" s="11" t="n">
        <f aca="false">SUMIFS(K$2:K179,A$2:A179,A179,B$2:B179,B179)</f>
        <v>2759957.7</v>
      </c>
      <c r="O179" s="11" t="n">
        <f aca="false">MAX(0,_xlfn.MAXIFS(N$2:N179,A$2:A179,A179,B$2:B179,B179))</f>
        <v>2766931.8</v>
      </c>
      <c r="P179" s="11" t="n">
        <f aca="false">N179-O179</f>
        <v>-6974.09999999963</v>
      </c>
    </row>
    <row r="180" customFormat="false" ht="15" hidden="false" customHeight="false" outlineLevel="0" collapsed="false">
      <c r="A180" s="8" t="s">
        <v>26</v>
      </c>
      <c r="B180" s="8" t="s">
        <v>35</v>
      </c>
      <c r="C180" s="8" t="s">
        <v>54</v>
      </c>
      <c r="D180" s="21" t="n">
        <v>46031.625</v>
      </c>
      <c r="E180" s="21" t="n">
        <v>46043.875</v>
      </c>
      <c r="F180" s="22" t="n">
        <f aca="false">DATE(YEAR(E180),MONTH(E180),1)</f>
        <v>46023</v>
      </c>
      <c r="G180" s="23" t="n">
        <v>278251</v>
      </c>
      <c r="H180" s="8" t="s">
        <v>55</v>
      </c>
      <c r="I180" s="24" t="n">
        <v>69464.17</v>
      </c>
      <c r="J180" s="25" t="n">
        <f aca="false">Summary!$B$4</f>
        <v>1</v>
      </c>
      <c r="K180" s="11" t="n">
        <f aca="false">I180*J180*IF(A180="SILVER",Summary!$B$5,Summary!$B$6)</f>
        <v>2083925.1</v>
      </c>
      <c r="L180" s="26" t="n">
        <v>5.888</v>
      </c>
      <c r="M180" s="27" t="n">
        <f aca="false">IF(K180&gt;0,1,0)</f>
        <v>1</v>
      </c>
      <c r="N180" s="11" t="n">
        <f aca="false">SUMIFS(K$2:K180,A$2:A180,A180,B$2:B180,B180)</f>
        <v>4843882.8</v>
      </c>
      <c r="O180" s="11" t="n">
        <f aca="false">MAX(0,_xlfn.MAXIFS(N$2:N180,A$2:A180,A180,B$2:B180,B180))</f>
        <v>4843882.8</v>
      </c>
      <c r="P180" s="11" t="n">
        <f aca="false">N180-O180</f>
        <v>0</v>
      </c>
    </row>
    <row r="181" customFormat="false" ht="15" hidden="false" customHeight="false" outlineLevel="0" collapsed="false">
      <c r="A181" s="8" t="s">
        <v>26</v>
      </c>
      <c r="B181" s="8" t="s">
        <v>35</v>
      </c>
      <c r="C181" s="8" t="s">
        <v>54</v>
      </c>
      <c r="D181" s="21" t="n">
        <v>46045.4166666667</v>
      </c>
      <c r="E181" s="21" t="n">
        <v>46051.875</v>
      </c>
      <c r="F181" s="22" t="n">
        <f aca="false">DATE(YEAR(E181),MONTH(E181),1)</f>
        <v>46023</v>
      </c>
      <c r="G181" s="23" t="n">
        <v>360834</v>
      </c>
      <c r="H181" s="8" t="s">
        <v>55</v>
      </c>
      <c r="I181" s="24" t="n">
        <v>31973.33</v>
      </c>
      <c r="J181" s="25" t="n">
        <f aca="false">Summary!$B$4</f>
        <v>1</v>
      </c>
      <c r="K181" s="11" t="n">
        <f aca="false">I181*J181*IF(A181="SILVER",Summary!$B$5,Summary!$B$6)</f>
        <v>959199.9</v>
      </c>
      <c r="L181" s="26" t="n">
        <v>1.405</v>
      </c>
      <c r="M181" s="27" t="n">
        <f aca="false">IF(K181&gt;0,1,0)</f>
        <v>1</v>
      </c>
      <c r="N181" s="11" t="n">
        <f aca="false">SUMIFS(K$2:K181,A$2:A181,A181,B$2:B181,B181)</f>
        <v>5803082.7</v>
      </c>
      <c r="O181" s="11" t="n">
        <f aca="false">MAX(0,_xlfn.MAXIFS(N$2:N181,A$2:A181,A181,B$2:B181,B181))</f>
        <v>5803082.7</v>
      </c>
      <c r="P181" s="11" t="n">
        <f aca="false">N181-O181</f>
        <v>0</v>
      </c>
    </row>
    <row r="182" customFormat="false" ht="15" hidden="false" customHeight="false" outlineLevel="0" collapsed="false">
      <c r="A182" s="8" t="s">
        <v>26</v>
      </c>
      <c r="B182" s="8" t="s">
        <v>35</v>
      </c>
      <c r="C182" s="8" t="s">
        <v>56</v>
      </c>
      <c r="D182" s="21" t="n">
        <v>46058.4166666667</v>
      </c>
      <c r="E182" s="21" t="n">
        <v>46059.7736111111</v>
      </c>
      <c r="F182" s="22" t="n">
        <f aca="false">DATE(YEAR(E182),MONTH(E182),1)</f>
        <v>46054</v>
      </c>
      <c r="G182" s="23" t="n">
        <v>276937</v>
      </c>
      <c r="H182" s="8" t="s">
        <v>58</v>
      </c>
      <c r="I182" s="24" t="n">
        <v>3718.37</v>
      </c>
      <c r="J182" s="25" t="n">
        <f aca="false">Summary!$B$4</f>
        <v>1</v>
      </c>
      <c r="K182" s="11" t="n">
        <f aca="false">I182*J182*IF(A182="SILVER",Summary!$B$5,Summary!$B$6)</f>
        <v>111551.1</v>
      </c>
      <c r="L182" s="26" t="n">
        <v>0.098</v>
      </c>
      <c r="M182" s="27" t="n">
        <f aca="false">IF(K182&gt;0,1,0)</f>
        <v>1</v>
      </c>
      <c r="N182" s="11" t="n">
        <f aca="false">SUMIFS(K$2:K182,A$2:A182,A182,B$2:B182,B182)</f>
        <v>5914633.8</v>
      </c>
      <c r="O182" s="11" t="n">
        <f aca="false">MAX(0,_xlfn.MAXIFS(N$2:N182,A$2:A182,A182,B$2:B182,B182))</f>
        <v>5914633.8</v>
      </c>
      <c r="P182" s="11" t="n">
        <f aca="false">N182-O182</f>
        <v>0</v>
      </c>
    </row>
    <row r="183" customFormat="false" ht="15" hidden="false" customHeight="false" outlineLevel="0" collapsed="false">
      <c r="A183" s="8" t="s">
        <v>26</v>
      </c>
      <c r="B183" s="8" t="s">
        <v>35</v>
      </c>
      <c r="C183" s="8" t="s">
        <v>56</v>
      </c>
      <c r="D183" s="21" t="n">
        <v>46079.5833333333</v>
      </c>
      <c r="E183" s="21" t="n">
        <v>46080.7930555556</v>
      </c>
      <c r="F183" s="22" t="n">
        <f aca="false">DATE(YEAR(E183),MONTH(E183),1)</f>
        <v>46054</v>
      </c>
      <c r="G183" s="23" t="n">
        <v>285484</v>
      </c>
      <c r="H183" s="8" t="s">
        <v>55</v>
      </c>
      <c r="I183" s="24" t="n">
        <v>-12510.66</v>
      </c>
      <c r="J183" s="25" t="n">
        <f aca="false">Summary!$B$4</f>
        <v>1</v>
      </c>
      <c r="K183" s="11" t="n">
        <f aca="false">I183*J183*IF(A183="SILVER",Summary!$B$5,Summary!$B$6)</f>
        <v>-375319.8</v>
      </c>
      <c r="L183" s="26" t="n">
        <v>-0.976</v>
      </c>
      <c r="M183" s="27" t="n">
        <f aca="false">IF(K183&gt;0,1,0)</f>
        <v>0</v>
      </c>
      <c r="N183" s="11" t="n">
        <f aca="false">SUMIFS(K$2:K183,A$2:A183,A183,B$2:B183,B183)</f>
        <v>5539314</v>
      </c>
      <c r="O183" s="11" t="n">
        <f aca="false">MAX(0,_xlfn.MAXIFS(N$2:N183,A$2:A183,A183,B$2:B183,B183))</f>
        <v>5914633.8</v>
      </c>
      <c r="P183" s="11" t="n">
        <f aca="false">N183-O183</f>
        <v>-375319.8</v>
      </c>
    </row>
    <row r="184" customFormat="false" ht="15" hidden="false" customHeight="false" outlineLevel="0" collapsed="false">
      <c r="A184" s="8" t="s">
        <v>26</v>
      </c>
      <c r="B184" s="8" t="s">
        <v>35</v>
      </c>
      <c r="C184" s="8" t="s">
        <v>56</v>
      </c>
      <c r="D184" s="21" t="n">
        <v>46083.9201388889</v>
      </c>
      <c r="E184" s="21" t="n">
        <v>46085.4118055556</v>
      </c>
      <c r="F184" s="22" t="n">
        <f aca="false">DATE(YEAR(E184),MONTH(E184),1)</f>
        <v>46082</v>
      </c>
      <c r="G184" s="23" t="n">
        <v>297434</v>
      </c>
      <c r="H184" s="8" t="s">
        <v>58</v>
      </c>
      <c r="I184" s="24" t="n">
        <v>762.15</v>
      </c>
      <c r="J184" s="25" t="n">
        <f aca="false">Summary!$B$4</f>
        <v>1</v>
      </c>
      <c r="K184" s="11" t="n">
        <f aca="false">I184*J184*IF(A184="SILVER",Summary!$B$5,Summary!$B$6)</f>
        <v>22864.5</v>
      </c>
      <c r="L184" s="26" t="n">
        <v>0.041</v>
      </c>
      <c r="M184" s="27" t="n">
        <f aca="false">IF(K184&gt;0,1,0)</f>
        <v>1</v>
      </c>
      <c r="N184" s="11" t="n">
        <f aca="false">SUMIFS(K$2:K184,A$2:A184,A184,B$2:B184,B184)</f>
        <v>5562178.5</v>
      </c>
      <c r="O184" s="11" t="n">
        <f aca="false">MAX(0,_xlfn.MAXIFS(N$2:N184,A$2:A184,A184,B$2:B184,B184))</f>
        <v>5914633.8</v>
      </c>
      <c r="P184" s="11" t="n">
        <f aca="false">N184-O184</f>
        <v>-352455.3</v>
      </c>
    </row>
    <row r="185" customFormat="false" ht="15" hidden="false" customHeight="false" outlineLevel="0" collapsed="false">
      <c r="A185" s="8" t="s">
        <v>26</v>
      </c>
      <c r="B185" s="8" t="s">
        <v>35</v>
      </c>
      <c r="C185" s="8" t="s">
        <v>56</v>
      </c>
      <c r="D185" s="21" t="n">
        <v>46092.875</v>
      </c>
      <c r="E185" s="21" t="n">
        <v>46094.7305555556</v>
      </c>
      <c r="F185" s="22" t="n">
        <f aca="false">DATE(YEAR(E185),MONTH(E185),1)</f>
        <v>46082</v>
      </c>
      <c r="G185" s="23" t="n">
        <v>284885</v>
      </c>
      <c r="H185" s="8" t="s">
        <v>58</v>
      </c>
      <c r="I185" s="24" t="n">
        <v>887.62</v>
      </c>
      <c r="J185" s="25" t="n">
        <f aca="false">Summary!$B$4</f>
        <v>1</v>
      </c>
      <c r="K185" s="11" t="n">
        <f aca="false">I185*J185*IF(A185="SILVER",Summary!$B$5,Summary!$B$6)</f>
        <v>26628.6</v>
      </c>
      <c r="L185" s="26" t="n">
        <v>0.093</v>
      </c>
      <c r="M185" s="27" t="n">
        <f aca="false">IF(K185&gt;0,1,0)</f>
        <v>1</v>
      </c>
      <c r="N185" s="11" t="n">
        <f aca="false">SUMIFS(K$2:K185,A$2:A185,A185,B$2:B185,B185)</f>
        <v>5588807.1</v>
      </c>
      <c r="O185" s="11" t="n">
        <f aca="false">MAX(0,_xlfn.MAXIFS(N$2:N185,A$2:A185,A185,B$2:B185,B185))</f>
        <v>5914633.8</v>
      </c>
      <c r="P185" s="11" t="n">
        <f aca="false">N185-O185</f>
        <v>-325826.7</v>
      </c>
    </row>
    <row r="186" customFormat="false" ht="15" hidden="false" customHeight="false" outlineLevel="0" collapsed="false">
      <c r="A186" s="8" t="s">
        <v>26</v>
      </c>
      <c r="B186" s="8" t="s">
        <v>35</v>
      </c>
      <c r="C186" s="8" t="s">
        <v>56</v>
      </c>
      <c r="D186" s="21" t="n">
        <v>46099.7916666667</v>
      </c>
      <c r="E186" s="21" t="n">
        <v>46101.4173611111</v>
      </c>
      <c r="F186" s="22" t="n">
        <f aca="false">DATE(YEAR(E186),MONTH(E186),1)</f>
        <v>46082</v>
      </c>
      <c r="G186" s="23" t="n">
        <v>263182</v>
      </c>
      <c r="H186" s="8" t="s">
        <v>55</v>
      </c>
      <c r="I186" s="24" t="n">
        <v>7288.6</v>
      </c>
      <c r="J186" s="25" t="n">
        <f aca="false">Summary!$B$4</f>
        <v>1</v>
      </c>
      <c r="K186" s="11" t="n">
        <f aca="false">I186*J186*IF(A186="SILVER",Summary!$B$5,Summary!$B$6)</f>
        <v>218658</v>
      </c>
      <c r="L186" s="26" t="n">
        <v>0.578</v>
      </c>
      <c r="M186" s="27" t="n">
        <f aca="false">IF(K186&gt;0,1,0)</f>
        <v>1</v>
      </c>
      <c r="N186" s="11" t="n">
        <f aca="false">SUMIFS(K$2:K186,A$2:A186,A186,B$2:B186,B186)</f>
        <v>5807465.1</v>
      </c>
      <c r="O186" s="11" t="n">
        <f aca="false">MAX(0,_xlfn.MAXIFS(N$2:N186,A$2:A186,A186,B$2:B186,B186))</f>
        <v>5914633.8</v>
      </c>
      <c r="P186" s="11" t="n">
        <f aca="false">N186-O186</f>
        <v>-107168.7</v>
      </c>
    </row>
    <row r="187" customFormat="false" ht="15" hidden="false" customHeight="false" outlineLevel="0" collapsed="false">
      <c r="A187" s="8" t="s">
        <v>26</v>
      </c>
      <c r="B187" s="8" t="s">
        <v>35</v>
      </c>
      <c r="C187" s="8" t="s">
        <v>56</v>
      </c>
      <c r="D187" s="21" t="n">
        <v>46104.4166666667</v>
      </c>
      <c r="E187" s="21" t="n">
        <v>46104.6916666667</v>
      </c>
      <c r="F187" s="22" t="n">
        <f aca="false">DATE(YEAR(E187),MONTH(E187),1)</f>
        <v>46082</v>
      </c>
      <c r="G187" s="23" t="n">
        <v>231463</v>
      </c>
      <c r="H187" s="8" t="s">
        <v>58</v>
      </c>
      <c r="I187" s="24" t="n">
        <v>1899.59</v>
      </c>
      <c r="J187" s="25" t="n">
        <f aca="false">Summary!$B$4</f>
        <v>1</v>
      </c>
      <c r="K187" s="11" t="n">
        <f aca="false">I187*J187*IF(A187="SILVER",Summary!$B$5,Summary!$B$6)</f>
        <v>56987.7</v>
      </c>
      <c r="L187" s="26" t="n">
        <v>0.097</v>
      </c>
      <c r="M187" s="27" t="n">
        <f aca="false">IF(K187&gt;0,1,0)</f>
        <v>1</v>
      </c>
      <c r="N187" s="11" t="n">
        <f aca="false">SUMIFS(K$2:K187,A$2:A187,A187,B$2:B187,B187)</f>
        <v>5864452.8</v>
      </c>
      <c r="O187" s="11" t="n">
        <f aca="false">MAX(0,_xlfn.MAXIFS(N$2:N187,A$2:A187,A187,B$2:B187,B187))</f>
        <v>5914633.8</v>
      </c>
      <c r="P187" s="11" t="n">
        <f aca="false">N187-O187</f>
        <v>-50181</v>
      </c>
    </row>
    <row r="188" customFormat="false" ht="15" hidden="false" customHeight="false" outlineLevel="0" collapsed="false">
      <c r="A188" s="8" t="s">
        <v>26</v>
      </c>
      <c r="B188" s="8" t="s">
        <v>35</v>
      </c>
      <c r="C188" s="8" t="s">
        <v>56</v>
      </c>
      <c r="D188" s="21" t="n">
        <v>46108.375</v>
      </c>
      <c r="E188" s="21" t="n">
        <v>46112.75</v>
      </c>
      <c r="F188" s="22" t="n">
        <f aca="false">DATE(YEAR(E188),MONTH(E188),1)</f>
        <v>46082</v>
      </c>
      <c r="G188" s="23" t="n">
        <v>241632</v>
      </c>
      <c r="H188" s="8" t="s">
        <v>55</v>
      </c>
      <c r="I188" s="24" t="n">
        <v>-12011.56</v>
      </c>
      <c r="J188" s="25" t="n">
        <f aca="false">Summary!$B$4</f>
        <v>1</v>
      </c>
      <c r="K188" s="11" t="n">
        <f aca="false">I188*J188*IF(A188="SILVER",Summary!$B$5,Summary!$B$6)</f>
        <v>-360346.8</v>
      </c>
      <c r="L188" s="26" t="n">
        <v>-1.139</v>
      </c>
      <c r="M188" s="27" t="n">
        <f aca="false">IF(K188&gt;0,1,0)</f>
        <v>0</v>
      </c>
      <c r="N188" s="11" t="n">
        <f aca="false">SUMIFS(K$2:K188,A$2:A188,A188,B$2:B188,B188)</f>
        <v>5504106</v>
      </c>
      <c r="O188" s="11" t="n">
        <f aca="false">MAX(0,_xlfn.MAXIFS(N$2:N188,A$2:A188,A188,B$2:B188,B188))</f>
        <v>5914633.8</v>
      </c>
      <c r="P188" s="11" t="n">
        <f aca="false">N188-O188</f>
        <v>-410527.8</v>
      </c>
    </row>
    <row r="189" customFormat="false" ht="15" hidden="false" customHeight="false" outlineLevel="0" collapsed="false">
      <c r="A189" s="8" t="s">
        <v>26</v>
      </c>
      <c r="B189" s="8" t="s">
        <v>35</v>
      </c>
      <c r="C189" s="8" t="s">
        <v>56</v>
      </c>
      <c r="D189" s="21" t="n">
        <v>46114.4166666667</v>
      </c>
      <c r="E189" s="21" t="n">
        <v>46120.4166666667</v>
      </c>
      <c r="F189" s="22" t="n">
        <f aca="false">DATE(YEAR(E189),MONTH(E189),1)</f>
        <v>46113</v>
      </c>
      <c r="G189" s="23" t="n">
        <v>248447</v>
      </c>
      <c r="H189" s="8" t="s">
        <v>55</v>
      </c>
      <c r="I189" s="24" t="n">
        <v>-12842.47</v>
      </c>
      <c r="J189" s="25" t="n">
        <f aca="false">Summary!$B$4</f>
        <v>1</v>
      </c>
      <c r="K189" s="11" t="n">
        <f aca="false">I189*J189*IF(A189="SILVER",Summary!$B$5,Summary!$B$6)</f>
        <v>-385274.1</v>
      </c>
      <c r="L189" s="26" t="n">
        <v>-0.77</v>
      </c>
      <c r="M189" s="27" t="n">
        <f aca="false">IF(K189&gt;0,1,0)</f>
        <v>0</v>
      </c>
      <c r="N189" s="11" t="n">
        <f aca="false">SUMIFS(K$2:K189,A$2:A189,A189,B$2:B189,B189)</f>
        <v>5118831.9</v>
      </c>
      <c r="O189" s="11" t="n">
        <f aca="false">MAX(0,_xlfn.MAXIFS(N$2:N189,A$2:A189,A189,B$2:B189,B189))</f>
        <v>5914633.8</v>
      </c>
      <c r="P189" s="11" t="n">
        <f aca="false">N189-O189</f>
        <v>-795801.899999999</v>
      </c>
    </row>
    <row r="190" customFormat="false" ht="15" hidden="false" customHeight="false" outlineLevel="0" collapsed="false">
      <c r="A190" s="8" t="s">
        <v>26</v>
      </c>
      <c r="B190" s="8" t="s">
        <v>35</v>
      </c>
      <c r="C190" s="8" t="s">
        <v>56</v>
      </c>
      <c r="D190" s="21" t="n">
        <v>46121.5416666667</v>
      </c>
      <c r="E190" s="21" t="n">
        <v>46126.75</v>
      </c>
      <c r="F190" s="22" t="n">
        <f aca="false">DATE(YEAR(E190),MONTH(E190),1)</f>
        <v>46113</v>
      </c>
      <c r="G190" s="23" t="n">
        <v>253479</v>
      </c>
      <c r="H190" s="8" t="s">
        <v>55</v>
      </c>
      <c r="I190" s="24" t="n">
        <v>-11264.29</v>
      </c>
      <c r="J190" s="25" t="n">
        <f aca="false">Summary!$B$4</f>
        <v>1</v>
      </c>
      <c r="K190" s="11" t="n">
        <f aca="false">I190*J190*IF(A190="SILVER",Summary!$B$5,Summary!$B$6)</f>
        <v>-337928.7</v>
      </c>
      <c r="L190" s="26" t="n">
        <v>-1.154</v>
      </c>
      <c r="M190" s="27" t="n">
        <f aca="false">IF(K190&gt;0,1,0)</f>
        <v>0</v>
      </c>
      <c r="N190" s="11" t="n">
        <f aca="false">SUMIFS(K$2:K190,A$2:A190,A190,B$2:B190,B190)</f>
        <v>4780903.2</v>
      </c>
      <c r="O190" s="11" t="n">
        <f aca="false">MAX(0,_xlfn.MAXIFS(N$2:N190,A$2:A190,A190,B$2:B190,B190))</f>
        <v>5914633.8</v>
      </c>
      <c r="P190" s="11" t="n">
        <f aca="false">N190-O190</f>
        <v>-1133730.6</v>
      </c>
    </row>
    <row r="191" customFormat="false" ht="15" hidden="false" customHeight="false" outlineLevel="0" collapsed="false">
      <c r="A191" s="8" t="s">
        <v>26</v>
      </c>
      <c r="B191" s="8" t="s">
        <v>35</v>
      </c>
      <c r="C191" s="8" t="s">
        <v>56</v>
      </c>
      <c r="D191" s="21" t="n">
        <v>46132.4583333333</v>
      </c>
      <c r="E191" s="21" t="n">
        <v>46142.5861111111</v>
      </c>
      <c r="F191" s="22" t="n">
        <f aca="false">DATE(YEAR(E191),MONTH(E191),1)</f>
        <v>46113</v>
      </c>
      <c r="G191" s="23" t="n">
        <v>269295</v>
      </c>
      <c r="H191" s="8" t="s">
        <v>55</v>
      </c>
      <c r="I191" s="24" t="n">
        <v>11550.81</v>
      </c>
      <c r="J191" s="25" t="n">
        <f aca="false">Summary!$B$4</f>
        <v>1</v>
      </c>
      <c r="K191" s="11" t="n">
        <f aca="false">I191*J191*IF(A191="SILVER",Summary!$B$5,Summary!$B$6)</f>
        <v>346524.3</v>
      </c>
      <c r="L191" s="26" t="n">
        <v>1.36</v>
      </c>
      <c r="M191" s="27" t="n">
        <f aca="false">IF(K191&gt;0,1,0)</f>
        <v>1</v>
      </c>
      <c r="N191" s="11" t="n">
        <f aca="false">SUMIFS(K$2:K191,A$2:A191,A191,B$2:B191,B191)</f>
        <v>5127427.5</v>
      </c>
      <c r="O191" s="11" t="n">
        <f aca="false">MAX(0,_xlfn.MAXIFS(N$2:N191,A$2:A191,A191,B$2:B191,B191))</f>
        <v>5914633.8</v>
      </c>
      <c r="P191" s="11" t="n">
        <f aca="false">N191-O191</f>
        <v>-787206.3</v>
      </c>
    </row>
    <row r="192" customFormat="false" ht="15" hidden="false" customHeight="false" outlineLevel="0" collapsed="false">
      <c r="A192" s="8" t="s">
        <v>26</v>
      </c>
      <c r="B192" s="8" t="s">
        <v>35</v>
      </c>
      <c r="C192" s="8" t="s">
        <v>56</v>
      </c>
      <c r="D192" s="21" t="n">
        <v>46146.7402777778</v>
      </c>
      <c r="E192" s="21" t="n">
        <v>46147.5819444444</v>
      </c>
      <c r="F192" s="22" t="n">
        <f aca="false">DATE(YEAR(E192),MONTH(E192),1)</f>
        <v>46143</v>
      </c>
      <c r="G192" s="23" t="n">
        <v>257385</v>
      </c>
      <c r="H192" s="8" t="s">
        <v>58</v>
      </c>
      <c r="I192" s="24" t="n">
        <v>-57.75</v>
      </c>
      <c r="J192" s="25" t="n">
        <f aca="false">Summary!$B$4</f>
        <v>1</v>
      </c>
      <c r="K192" s="11" t="n">
        <f aca="false">I192*J192*IF(A192="SILVER",Summary!$B$5,Summary!$B$6)</f>
        <v>-1732.5</v>
      </c>
      <c r="L192" s="26" t="n">
        <v>-0.007</v>
      </c>
      <c r="M192" s="27" t="n">
        <f aca="false">IF(K192&gt;0,1,0)</f>
        <v>0</v>
      </c>
      <c r="N192" s="11" t="n">
        <f aca="false">SUMIFS(K$2:K192,A$2:A192,A192,B$2:B192,B192)</f>
        <v>5125695</v>
      </c>
      <c r="O192" s="11" t="n">
        <f aca="false">MAX(0,_xlfn.MAXIFS(N$2:N192,A$2:A192,A192,B$2:B192,B192))</f>
        <v>5914633.8</v>
      </c>
      <c r="P192" s="11" t="n">
        <f aca="false">N192-O192</f>
        <v>-788938.8</v>
      </c>
    </row>
    <row r="193" customFormat="false" ht="15" hidden="false" customHeight="false" outlineLevel="0" collapsed="false">
      <c r="A193" s="8" t="s">
        <v>26</v>
      </c>
      <c r="B193" s="8" t="s">
        <v>35</v>
      </c>
      <c r="C193" s="8" t="s">
        <v>54</v>
      </c>
      <c r="D193" s="21" t="n">
        <v>46171.375</v>
      </c>
      <c r="E193" s="21" t="n">
        <v>46176.8347222222</v>
      </c>
      <c r="F193" s="22" t="n">
        <f aca="false">DATE(YEAR(E193),MONTH(E193),1)</f>
        <v>46174</v>
      </c>
      <c r="G193" s="23" t="n">
        <v>275337</v>
      </c>
      <c r="H193" s="8" t="s">
        <v>55</v>
      </c>
      <c r="I193" s="24" t="n">
        <v>-4996.32</v>
      </c>
      <c r="J193" s="25" t="n">
        <f aca="false">Summary!$B$4</f>
        <v>1</v>
      </c>
      <c r="K193" s="11" t="n">
        <f aca="false">I193*J193*IF(A193="SILVER",Summary!$B$5,Summary!$B$6)</f>
        <v>-149889.6</v>
      </c>
      <c r="L193" s="26" t="n">
        <v>-0.698</v>
      </c>
      <c r="M193" s="27" t="n">
        <f aca="false">IF(K193&gt;0,1,0)</f>
        <v>0</v>
      </c>
      <c r="N193" s="11" t="n">
        <f aca="false">SUMIFS(K$2:K193,A$2:A193,A193,B$2:B193,B193)</f>
        <v>4975805.4</v>
      </c>
      <c r="O193" s="11" t="n">
        <f aca="false">MAX(0,_xlfn.MAXIFS(N$2:N193,A$2:A193,A193,B$2:B193,B193))</f>
        <v>5914633.8</v>
      </c>
      <c r="P193" s="11" t="n">
        <f aca="false">N193-O193</f>
        <v>-938828.399999999</v>
      </c>
    </row>
    <row r="194" customFormat="false" ht="15" hidden="false" customHeight="false" outlineLevel="0" collapsed="false">
      <c r="A194" s="8" t="s">
        <v>26</v>
      </c>
      <c r="B194" s="8" t="s">
        <v>35</v>
      </c>
      <c r="C194" s="8" t="s">
        <v>56</v>
      </c>
      <c r="D194" s="21" t="n">
        <v>46191.5</v>
      </c>
      <c r="E194" s="21" t="n">
        <v>46195.5</v>
      </c>
      <c r="F194" s="22" t="n">
        <f aca="false">DATE(YEAR(E194),MONTH(E194),1)</f>
        <v>46174</v>
      </c>
      <c r="G194" s="23" t="n">
        <v>251712</v>
      </c>
      <c r="H194" s="8" t="s">
        <v>55</v>
      </c>
      <c r="I194" s="24" t="n">
        <v>6684.71</v>
      </c>
      <c r="J194" s="25" t="n">
        <f aca="false">Summary!$B$4</f>
        <v>1</v>
      </c>
      <c r="K194" s="11" t="n">
        <f aca="false">I194*J194*IF(A194="SILVER",Summary!$B$5,Summary!$B$6)</f>
        <v>200541.3</v>
      </c>
      <c r="L194" s="26" t="n">
        <v>0.897</v>
      </c>
      <c r="M194" s="27" t="n">
        <f aca="false">IF(K194&gt;0,1,0)</f>
        <v>1</v>
      </c>
      <c r="N194" s="11" t="n">
        <f aca="false">SUMIFS(K$2:K194,A$2:A194,A194,B$2:B194,B194)</f>
        <v>5176346.7</v>
      </c>
      <c r="O194" s="11" t="n">
        <f aca="false">MAX(0,_xlfn.MAXIFS(N$2:N194,A$2:A194,A194,B$2:B194,B194))</f>
        <v>5914633.8</v>
      </c>
      <c r="P194" s="11" t="n">
        <f aca="false">N194-O194</f>
        <v>-738287.1</v>
      </c>
    </row>
    <row r="195" customFormat="false" ht="15" hidden="false" customHeight="false" outlineLevel="0" collapsed="false">
      <c r="A195" s="8" t="s">
        <v>26</v>
      </c>
      <c r="B195" s="8" t="s">
        <v>35</v>
      </c>
      <c r="C195" s="8" t="s">
        <v>56</v>
      </c>
      <c r="D195" s="21" t="n">
        <v>46196.4166666667</v>
      </c>
      <c r="E195" s="21" t="n">
        <v>46198.8333333333</v>
      </c>
      <c r="F195" s="22" t="n">
        <f aca="false">DATE(YEAR(E195),MONTH(E195),1)</f>
        <v>46174</v>
      </c>
      <c r="G195" s="23" t="n">
        <v>235307</v>
      </c>
      <c r="H195" s="8" t="s">
        <v>55</v>
      </c>
      <c r="I195" s="24" t="n">
        <v>6711.01</v>
      </c>
      <c r="J195" s="25" t="n">
        <f aca="false">Summary!$B$4</f>
        <v>1</v>
      </c>
      <c r="K195" s="11" t="n">
        <f aca="false">I195*J195*IF(A195="SILVER",Summary!$B$5,Summary!$B$6)</f>
        <v>201330.3</v>
      </c>
      <c r="L195" s="26" t="n">
        <v>0.89</v>
      </c>
      <c r="M195" s="27" t="n">
        <f aca="false">IF(K195&gt;0,1,0)</f>
        <v>1</v>
      </c>
      <c r="N195" s="11" t="n">
        <f aca="false">SUMIFS(K$2:K195,A$2:A195,A195,B$2:B195,B195)</f>
        <v>5377677</v>
      </c>
      <c r="O195" s="11" t="n">
        <f aca="false">MAX(0,_xlfn.MAXIFS(N$2:N195,A$2:A195,A195,B$2:B195,B195))</f>
        <v>5914633.8</v>
      </c>
      <c r="P195" s="11" t="n">
        <f aca="false">N195-O195</f>
        <v>-536956.8</v>
      </c>
    </row>
    <row r="196" customFormat="false" ht="15" hidden="false" customHeight="false" outlineLevel="0" collapsed="false">
      <c r="A196" s="8" t="s">
        <v>26</v>
      </c>
      <c r="B196" s="8" t="s">
        <v>35</v>
      </c>
      <c r="C196" s="8" t="s">
        <v>56</v>
      </c>
      <c r="D196" s="21" t="n">
        <v>46210.4583333333</v>
      </c>
      <c r="E196" s="21" t="n">
        <v>46217.7916666667</v>
      </c>
      <c r="F196" s="22" t="n">
        <f aca="false">DATE(YEAR(E196),MONTH(E196),1)</f>
        <v>46204</v>
      </c>
      <c r="G196" s="23" t="n">
        <v>236470</v>
      </c>
      <c r="H196" s="8" t="s">
        <v>55</v>
      </c>
      <c r="I196" s="24" t="n">
        <v>7160.36</v>
      </c>
      <c r="J196" s="25" t="n">
        <f aca="false">Summary!$B$4</f>
        <v>1</v>
      </c>
      <c r="K196" s="11" t="n">
        <f aca="false">I196*J196*IF(A196="SILVER",Summary!$B$5,Summary!$B$6)</f>
        <v>214810.8</v>
      </c>
      <c r="L196" s="26" t="n">
        <v>1.23</v>
      </c>
      <c r="M196" s="27" t="n">
        <f aca="false">IF(K196&gt;0,1,0)</f>
        <v>1</v>
      </c>
      <c r="N196" s="11" t="n">
        <f aca="false">SUMIFS(K$2:K196,A$2:A196,A196,B$2:B196,B196)</f>
        <v>5592487.8</v>
      </c>
      <c r="O196" s="11" t="n">
        <f aca="false">MAX(0,_xlfn.MAXIFS(N$2:N196,A$2:A196,A196,B$2:B196,B196))</f>
        <v>5914633.8</v>
      </c>
      <c r="P196" s="11" t="n">
        <f aca="false">N196-O196</f>
        <v>-322146</v>
      </c>
    </row>
    <row r="197" customFormat="false" ht="15" hidden="false" customHeight="false" outlineLevel="0" collapsed="false">
      <c r="A197" s="8" t="s">
        <v>26</v>
      </c>
      <c r="B197" s="8" t="s">
        <v>35</v>
      </c>
      <c r="C197" s="8" t="s">
        <v>56</v>
      </c>
      <c r="D197" s="21" t="n">
        <v>46218.9166666667</v>
      </c>
      <c r="E197" s="21" t="n">
        <v>46223.375</v>
      </c>
      <c r="F197" s="22" t="n">
        <f aca="false">DATE(YEAR(E197),MONTH(E197),1)</f>
        <v>46204</v>
      </c>
      <c r="G197" s="23" t="n">
        <v>223617</v>
      </c>
      <c r="H197" s="8" t="s">
        <v>58</v>
      </c>
      <c r="I197" s="24" t="n">
        <v>-292.8</v>
      </c>
      <c r="J197" s="25" t="n">
        <f aca="false">Summary!$B$4</f>
        <v>1</v>
      </c>
      <c r="K197" s="11" t="n">
        <f aca="false">I197*J197*IF(A197="SILVER",Summary!$B$5,Summary!$B$6)</f>
        <v>-8784</v>
      </c>
      <c r="L197" s="26" t="n">
        <v>-0.046</v>
      </c>
      <c r="M197" s="27" t="n">
        <f aca="false">IF(K197&gt;0,1,0)</f>
        <v>0</v>
      </c>
      <c r="N197" s="11" t="n">
        <f aca="false">SUMIFS(K$2:K197,A$2:A197,A197,B$2:B197,B197)</f>
        <v>5583703.8</v>
      </c>
      <c r="O197" s="11" t="n">
        <f aca="false">MAX(0,_xlfn.MAXIFS(N$2:N197,A$2:A197,A197,B$2:B197,B197))</f>
        <v>5914633.8</v>
      </c>
      <c r="P197" s="11" t="n">
        <f aca="false">N197-O197</f>
        <v>-330930</v>
      </c>
    </row>
    <row r="198" customFormat="false" ht="15" hidden="false" customHeight="false" outlineLevel="0" collapsed="false">
      <c r="A198" s="8" t="s">
        <v>26</v>
      </c>
      <c r="B198" s="8" t="s">
        <v>35</v>
      </c>
      <c r="C198" s="8" t="s">
        <v>56</v>
      </c>
      <c r="D198" s="21" t="n">
        <v>46226.5833333333</v>
      </c>
      <c r="E198" s="21" t="n">
        <v>46227.5444444444</v>
      </c>
      <c r="F198" s="22" t="n">
        <f aca="false">DATE(YEAR(E198),MONTH(E198),1)</f>
        <v>46204</v>
      </c>
      <c r="G198" s="23" t="n">
        <v>227088</v>
      </c>
      <c r="H198" s="8" t="s">
        <v>58</v>
      </c>
      <c r="I198" s="24" t="n">
        <v>465.91</v>
      </c>
      <c r="J198" s="25" t="n">
        <f aca="false">Summary!$B$4</f>
        <v>1</v>
      </c>
      <c r="K198" s="11" t="n">
        <f aca="false">I198*J198*IF(A198="SILVER",Summary!$B$5,Summary!$B$6)</f>
        <v>13977.3</v>
      </c>
      <c r="L198" s="26" t="n">
        <v>0.09</v>
      </c>
      <c r="M198" s="27" t="n">
        <f aca="false">IF(K198&gt;0,1,0)</f>
        <v>1</v>
      </c>
      <c r="N198" s="11" t="n">
        <f aca="false">SUMIFS(K$2:K198,A$2:A198,A198,B$2:B198,B198)</f>
        <v>5597681.1</v>
      </c>
      <c r="O198" s="11" t="n">
        <f aca="false">MAX(0,_xlfn.MAXIFS(N$2:N198,A$2:A198,A198,B$2:B198,B198))</f>
        <v>5914633.8</v>
      </c>
      <c r="P198" s="11" t="n">
        <f aca="false">N198-O198</f>
        <v>-316952.7</v>
      </c>
    </row>
    <row r="199" customFormat="false" ht="15" hidden="false" customHeight="false" outlineLevel="0" collapsed="false">
      <c r="A199" s="8" t="s">
        <v>26</v>
      </c>
      <c r="B199" s="8" t="s">
        <v>35</v>
      </c>
      <c r="C199" s="8" t="s">
        <v>56</v>
      </c>
      <c r="D199" s="21" t="n">
        <v>46231.4166666667</v>
      </c>
      <c r="E199" s="21" t="n">
        <v>46233.9166666667</v>
      </c>
      <c r="F199" s="22" t="n">
        <f aca="false">DATE(YEAR(E199),MONTH(E199),1)</f>
        <v>46204</v>
      </c>
      <c r="G199" s="23" t="n">
        <v>221890</v>
      </c>
      <c r="H199" s="8" t="s">
        <v>55</v>
      </c>
      <c r="I199" s="24" t="n">
        <v>-2835.74</v>
      </c>
      <c r="J199" s="25" t="n">
        <f aca="false">Summary!$B$4</f>
        <v>1</v>
      </c>
      <c r="K199" s="11" t="n">
        <f aca="false">I199*J199*IF(A199="SILVER",Summary!$B$5,Summary!$B$6)</f>
        <v>-85072.2</v>
      </c>
      <c r="L199" s="26" t="n">
        <v>-0.427</v>
      </c>
      <c r="M199" s="27" t="n">
        <f aca="false">IF(K199&gt;0,1,0)</f>
        <v>0</v>
      </c>
      <c r="N199" s="11" t="n">
        <f aca="false">SUMIFS(K$2:K199,A$2:A199,A199,B$2:B199,B199)</f>
        <v>5512608.9</v>
      </c>
      <c r="O199" s="11" t="n">
        <f aca="false">MAX(0,_xlfn.MAXIFS(N$2:N199,A$2:A199,A199,B$2:B199,B199))</f>
        <v>5914633.8</v>
      </c>
      <c r="P199" s="11" t="n">
        <f aca="false">N199-O199</f>
        <v>-402024.899999999</v>
      </c>
    </row>
    <row r="200" customFormat="false" ht="15" hidden="false" customHeight="false" outlineLevel="0" collapsed="false">
      <c r="A200" s="8" t="s">
        <v>26</v>
      </c>
      <c r="B200" s="8" t="s">
        <v>35</v>
      </c>
      <c r="C200" s="8" t="s">
        <v>56</v>
      </c>
      <c r="D200" s="21" t="n">
        <v>46237.7916666667</v>
      </c>
      <c r="E200" s="21" t="n">
        <v>46238.5416666667</v>
      </c>
      <c r="F200" s="22" t="n">
        <f aca="false">DATE(YEAR(E200),MONTH(E200),1)</f>
        <v>46235</v>
      </c>
      <c r="G200" s="23" t="n">
        <v>218771</v>
      </c>
      <c r="H200" s="8" t="s">
        <v>55</v>
      </c>
      <c r="I200" s="24" t="n">
        <v>-5650.39</v>
      </c>
      <c r="J200" s="25" t="n">
        <f aca="false">Summary!$B$4</f>
        <v>1</v>
      </c>
      <c r="K200" s="11" t="n">
        <f aca="false">I200*J200*IF(A200="SILVER",Summary!$B$5,Summary!$B$6)</f>
        <v>-169511.7</v>
      </c>
      <c r="L200" s="26" t="n">
        <v>-0.946</v>
      </c>
      <c r="M200" s="27" t="n">
        <f aca="false">IF(K200&gt;0,1,0)</f>
        <v>0</v>
      </c>
      <c r="N200" s="11" t="n">
        <f aca="false">SUMIFS(K$2:K200,A$2:A200,A200,B$2:B200,B200)</f>
        <v>5343097.2</v>
      </c>
      <c r="O200" s="11" t="n">
        <f aca="false">MAX(0,_xlfn.MAXIFS(N$2:N200,A$2:A200,A200,B$2:B200,B200))</f>
        <v>5914633.8</v>
      </c>
      <c r="P200" s="11" t="n">
        <f aca="false">N200-O200</f>
        <v>-571536.6</v>
      </c>
    </row>
    <row r="201" customFormat="false" ht="15" hidden="false" customHeight="false" outlineLevel="0" collapsed="false">
      <c r="A201" s="8" t="s">
        <v>26</v>
      </c>
      <c r="B201" s="8" t="s">
        <v>35</v>
      </c>
      <c r="C201" s="8" t="s">
        <v>56</v>
      </c>
      <c r="D201" s="21" t="n">
        <v>46248.4166666667</v>
      </c>
      <c r="E201" s="21" t="n">
        <v>46251.5</v>
      </c>
      <c r="F201" s="22" t="n">
        <f aca="false">DATE(YEAR(E201),MONTH(E201),1)</f>
        <v>46235</v>
      </c>
      <c r="G201" s="23" t="n">
        <v>237506</v>
      </c>
      <c r="H201" s="8" t="s">
        <v>55</v>
      </c>
      <c r="I201" s="24" t="n">
        <v>-5496.12</v>
      </c>
      <c r="J201" s="25" t="n">
        <f aca="false">Summary!$B$4</f>
        <v>1</v>
      </c>
      <c r="K201" s="11" t="n">
        <f aca="false">I201*J201*IF(A201="SILVER",Summary!$B$5,Summary!$B$6)</f>
        <v>-164883.6</v>
      </c>
      <c r="L201" s="26" t="n">
        <v>-0.908</v>
      </c>
      <c r="M201" s="27" t="n">
        <f aca="false">IF(K201&gt;0,1,0)</f>
        <v>0</v>
      </c>
      <c r="N201" s="11" t="n">
        <f aca="false">SUMIFS(K$2:K201,A$2:A201,A201,B$2:B201,B201)</f>
        <v>5178213.6</v>
      </c>
      <c r="O201" s="11" t="n">
        <f aca="false">MAX(0,_xlfn.MAXIFS(N$2:N201,A$2:A201,A201,B$2:B201,B201))</f>
        <v>5914633.8</v>
      </c>
      <c r="P201" s="11" t="n">
        <f aca="false">N201-O201</f>
        <v>-736420.2</v>
      </c>
    </row>
    <row r="202" customFormat="false" ht="15" hidden="false" customHeight="false" outlineLevel="0" collapsed="false">
      <c r="A202" s="8" t="s">
        <v>26</v>
      </c>
      <c r="B202" s="8" t="s">
        <v>35</v>
      </c>
      <c r="C202" s="8" t="s">
        <v>56</v>
      </c>
      <c r="D202" s="21" t="n">
        <v>46252.875</v>
      </c>
      <c r="E202" s="21" t="n">
        <v>46253.74375</v>
      </c>
      <c r="F202" s="22" t="n">
        <f aca="false">DATE(YEAR(E202),MONTH(E202),1)</f>
        <v>46235</v>
      </c>
      <c r="G202" s="23" t="n">
        <v>236460</v>
      </c>
      <c r="H202" s="8" t="s">
        <v>58</v>
      </c>
      <c r="I202" s="24" t="n">
        <v>537.75</v>
      </c>
      <c r="J202" s="25" t="n">
        <f aca="false">Summary!$B$4</f>
        <v>1</v>
      </c>
      <c r="K202" s="11" t="n">
        <f aca="false">I202*J202*IF(A202="SILVER",Summary!$B$5,Summary!$B$6)</f>
        <v>16132.5</v>
      </c>
      <c r="L202" s="26" t="n">
        <v>0.091</v>
      </c>
      <c r="M202" s="27" t="n">
        <f aca="false">IF(K202&gt;0,1,0)</f>
        <v>1</v>
      </c>
      <c r="N202" s="11" t="n">
        <f aca="false">SUMIFS(K$2:K202,A$2:A202,A202,B$2:B202,B202)</f>
        <v>5194346.1</v>
      </c>
      <c r="O202" s="11" t="n">
        <f aca="false">MAX(0,_xlfn.MAXIFS(N$2:N202,A$2:A202,A202,B$2:B202,B202))</f>
        <v>5914633.8</v>
      </c>
      <c r="P202" s="11" t="n">
        <f aca="false">N202-O202</f>
        <v>-720287.7</v>
      </c>
    </row>
    <row r="203" customFormat="false" ht="15" hidden="false" customHeight="false" outlineLevel="0" collapsed="false">
      <c r="A203" s="8" t="s">
        <v>26</v>
      </c>
      <c r="B203" s="8" t="s">
        <v>35</v>
      </c>
      <c r="C203" s="8" t="s">
        <v>54</v>
      </c>
      <c r="D203" s="21" t="n">
        <v>46268.4173611111</v>
      </c>
      <c r="E203" s="21" t="n">
        <v>46269.75</v>
      </c>
      <c r="F203" s="22" t="n">
        <f aca="false">DATE(YEAR(E203),MONTH(E203),1)</f>
        <v>46266</v>
      </c>
      <c r="G203" s="23" t="n">
        <v>237817</v>
      </c>
      <c r="H203" s="8" t="s">
        <v>58</v>
      </c>
      <c r="I203" s="24" t="n">
        <v>569</v>
      </c>
      <c r="J203" s="25" t="n">
        <f aca="false">Summary!$B$4</f>
        <v>1</v>
      </c>
      <c r="K203" s="11" t="n">
        <f aca="false">I203*J203*IF(A203="SILVER",Summary!$B$5,Summary!$B$6)</f>
        <v>17070</v>
      </c>
      <c r="L203" s="26" t="n">
        <v>0.091</v>
      </c>
      <c r="M203" s="27" t="n">
        <f aca="false">IF(K203&gt;0,1,0)</f>
        <v>1</v>
      </c>
      <c r="N203" s="11" t="n">
        <f aca="false">SUMIFS(K$2:K203,A$2:A203,A203,B$2:B203,B203)</f>
        <v>5211416.1</v>
      </c>
      <c r="O203" s="11" t="n">
        <f aca="false">MAX(0,_xlfn.MAXIFS(N$2:N203,A$2:A203,A203,B$2:B203,B203))</f>
        <v>5914633.8</v>
      </c>
      <c r="P203" s="11" t="n">
        <f aca="false">N203-O203</f>
        <v>-703217.7</v>
      </c>
    </row>
    <row r="204" customFormat="false" ht="15" hidden="false" customHeight="false" outlineLevel="0" collapsed="false">
      <c r="A204" s="8" t="s">
        <v>26</v>
      </c>
      <c r="B204" s="8" t="s">
        <v>35</v>
      </c>
      <c r="C204" s="8" t="s">
        <v>54</v>
      </c>
      <c r="D204" s="21" t="n">
        <v>46274.5416666667</v>
      </c>
      <c r="E204" s="21" t="n">
        <v>46274.8583333333</v>
      </c>
      <c r="F204" s="22" t="n">
        <f aca="false">DATE(YEAR(E204),MONTH(E204),1)</f>
        <v>46266</v>
      </c>
      <c r="G204" s="23" t="n">
        <v>241499</v>
      </c>
      <c r="H204" s="8" t="s">
        <v>58</v>
      </c>
      <c r="I204" s="24" t="n">
        <v>466.94</v>
      </c>
      <c r="J204" s="25" t="n">
        <f aca="false">Summary!$B$4</f>
        <v>1</v>
      </c>
      <c r="K204" s="11" t="n">
        <f aca="false">I204*J204*IF(A204="SILVER",Summary!$B$5,Summary!$B$6)</f>
        <v>14008.2</v>
      </c>
      <c r="L204" s="26" t="n">
        <v>0.089</v>
      </c>
      <c r="M204" s="27" t="n">
        <f aca="false">IF(K204&gt;0,1,0)</f>
        <v>1</v>
      </c>
      <c r="N204" s="11" t="n">
        <f aca="false">SUMIFS(K$2:K204,A$2:A204,A204,B$2:B204,B204)</f>
        <v>5225424.3</v>
      </c>
      <c r="O204" s="11" t="n">
        <f aca="false">MAX(0,_xlfn.MAXIFS(N$2:N204,A$2:A204,A204,B$2:B204,B204))</f>
        <v>5914633.8</v>
      </c>
      <c r="P204" s="11" t="n">
        <f aca="false">N204-O204</f>
        <v>-689209.5</v>
      </c>
    </row>
    <row r="205" customFormat="false" ht="15" hidden="false" customHeight="false" outlineLevel="0" collapsed="false">
      <c r="A205" s="8" t="s">
        <v>26</v>
      </c>
      <c r="B205" s="8" t="s">
        <v>35</v>
      </c>
      <c r="C205" s="8" t="s">
        <v>54</v>
      </c>
      <c r="D205" s="21" t="n">
        <v>46282.75</v>
      </c>
      <c r="E205" s="21" t="n">
        <v>46287.4555555556</v>
      </c>
      <c r="F205" s="22" t="n">
        <f aca="false">DATE(YEAR(E205),MONTH(E205),1)</f>
        <v>46266</v>
      </c>
      <c r="G205" s="23" t="n">
        <v>237757</v>
      </c>
      <c r="H205" s="8" t="s">
        <v>58</v>
      </c>
      <c r="I205" s="24" t="n">
        <v>647.93</v>
      </c>
      <c r="J205" s="25" t="n">
        <f aca="false">Summary!$B$4</f>
        <v>1</v>
      </c>
      <c r="K205" s="11" t="n">
        <f aca="false">I205*J205*IF(A205="SILVER",Summary!$B$5,Summary!$B$6)</f>
        <v>19437.9</v>
      </c>
      <c r="L205" s="26" t="n">
        <v>0.092</v>
      </c>
      <c r="M205" s="27" t="n">
        <f aca="false">IF(K205&gt;0,1,0)</f>
        <v>1</v>
      </c>
      <c r="N205" s="11" t="n">
        <f aca="false">SUMIFS(K$2:K205,A$2:A205,A205,B$2:B205,B205)</f>
        <v>5244862.2</v>
      </c>
      <c r="O205" s="11" t="n">
        <f aca="false">MAX(0,_xlfn.MAXIFS(N$2:N205,A$2:A205,A205,B$2:B205,B205))</f>
        <v>5914633.8</v>
      </c>
      <c r="P205" s="11" t="n">
        <f aca="false">N205-O205</f>
        <v>-669771.6</v>
      </c>
    </row>
    <row r="206" customFormat="false" ht="15" hidden="false" customHeight="false" outlineLevel="0" collapsed="false">
      <c r="A206" s="8" t="s">
        <v>26</v>
      </c>
      <c r="B206" s="8" t="s">
        <v>37</v>
      </c>
      <c r="C206" s="8" t="s">
        <v>56</v>
      </c>
      <c r="D206" s="21" t="n">
        <v>45694.8541666667</v>
      </c>
      <c r="E206" s="21" t="n">
        <v>45699.8743055556</v>
      </c>
      <c r="F206" s="22" t="n">
        <f aca="false">DATE(YEAR(E206),MONTH(E206),1)</f>
        <v>45689</v>
      </c>
      <c r="G206" s="23" t="n">
        <v>133721</v>
      </c>
      <c r="H206" s="8" t="s">
        <v>58</v>
      </c>
      <c r="I206" s="24" t="n">
        <v>174.41</v>
      </c>
      <c r="J206" s="25" t="n">
        <f aca="false">Summary!$B$4</f>
        <v>1</v>
      </c>
      <c r="K206" s="11" t="n">
        <f aca="false">I206*J206*IF(A206="SILVER",Summary!$B$5,Summary!$B$6)</f>
        <v>5232.3</v>
      </c>
      <c r="L206" s="26" t="n">
        <v>0.086</v>
      </c>
      <c r="M206" s="27" t="n">
        <f aca="false">IF(K206&gt;0,1,0)</f>
        <v>1</v>
      </c>
      <c r="N206" s="11" t="n">
        <f aca="false">SUMIFS(K$2:K206,A$2:A206,A206,B$2:B206,B206)</f>
        <v>5232.3</v>
      </c>
      <c r="O206" s="11" t="n">
        <f aca="false">MAX(0,_xlfn.MAXIFS(N$2:N206,A$2:A206,A206,B$2:B206,B206))</f>
        <v>5232.3</v>
      </c>
      <c r="P206" s="11" t="n">
        <f aca="false">N206-O206</f>
        <v>0</v>
      </c>
    </row>
    <row r="207" customFormat="false" ht="15" hidden="false" customHeight="false" outlineLevel="0" collapsed="false">
      <c r="A207" s="8" t="s">
        <v>26</v>
      </c>
      <c r="B207" s="8" t="s">
        <v>37</v>
      </c>
      <c r="C207" s="8" t="s">
        <v>56</v>
      </c>
      <c r="D207" s="21" t="n">
        <v>45702.875</v>
      </c>
      <c r="E207" s="21" t="n">
        <v>45706.5236111111</v>
      </c>
      <c r="F207" s="22" t="n">
        <f aca="false">DATE(YEAR(E207),MONTH(E207),1)</f>
        <v>45689</v>
      </c>
      <c r="G207" s="23" t="n">
        <v>135364</v>
      </c>
      <c r="H207" s="8" t="s">
        <v>58</v>
      </c>
      <c r="I207" s="24" t="n">
        <v>150.69</v>
      </c>
      <c r="J207" s="25" t="n">
        <f aca="false">Summary!$B$4</f>
        <v>1</v>
      </c>
      <c r="K207" s="11" t="n">
        <f aca="false">I207*J207*IF(A207="SILVER",Summary!$B$5,Summary!$B$6)</f>
        <v>4520.7</v>
      </c>
      <c r="L207" s="26" t="n">
        <v>0.084</v>
      </c>
      <c r="M207" s="27" t="n">
        <f aca="false">IF(K207&gt;0,1,0)</f>
        <v>1</v>
      </c>
      <c r="N207" s="11" t="n">
        <f aca="false">SUMIFS(K$2:K207,A$2:A207,A207,B$2:B207,B207)</f>
        <v>9753</v>
      </c>
      <c r="O207" s="11" t="n">
        <f aca="false">MAX(0,_xlfn.MAXIFS(N$2:N207,A$2:A207,A207,B$2:B207,B207))</f>
        <v>9753</v>
      </c>
      <c r="P207" s="11" t="n">
        <f aca="false">N207-O207</f>
        <v>0</v>
      </c>
    </row>
    <row r="208" customFormat="false" ht="15" hidden="false" customHeight="false" outlineLevel="0" collapsed="false">
      <c r="A208" s="8" t="s">
        <v>26</v>
      </c>
      <c r="B208" s="8" t="s">
        <v>37</v>
      </c>
      <c r="C208" s="8" t="s">
        <v>56</v>
      </c>
      <c r="D208" s="21" t="n">
        <v>45707.8958333333</v>
      </c>
      <c r="E208" s="21" t="n">
        <v>45713.5326388889</v>
      </c>
      <c r="F208" s="22" t="n">
        <f aca="false">DATE(YEAR(E208),MONTH(E208),1)</f>
        <v>45689</v>
      </c>
      <c r="G208" s="23" t="n">
        <v>135017</v>
      </c>
      <c r="H208" s="8" t="s">
        <v>58</v>
      </c>
      <c r="I208" s="24" t="n">
        <v>177.2</v>
      </c>
      <c r="J208" s="25" t="n">
        <f aca="false">Summary!$B$4</f>
        <v>1</v>
      </c>
      <c r="K208" s="11" t="n">
        <f aca="false">I208*J208*IF(A208="SILVER",Summary!$B$5,Summary!$B$6)</f>
        <v>5316</v>
      </c>
      <c r="L208" s="26" t="n">
        <v>0.086</v>
      </c>
      <c r="M208" s="27" t="n">
        <f aca="false">IF(K208&gt;0,1,0)</f>
        <v>1</v>
      </c>
      <c r="N208" s="11" t="n">
        <f aca="false">SUMIFS(K$2:K208,A$2:A208,A208,B$2:B208,B208)</f>
        <v>15069</v>
      </c>
      <c r="O208" s="11" t="n">
        <f aca="false">MAX(0,_xlfn.MAXIFS(N$2:N208,A$2:A208,A208,B$2:B208,B208))</f>
        <v>15069</v>
      </c>
      <c r="P208" s="11" t="n">
        <f aca="false">N208-O208</f>
        <v>0</v>
      </c>
    </row>
    <row r="209" customFormat="false" ht="15" hidden="false" customHeight="false" outlineLevel="0" collapsed="false">
      <c r="A209" s="8" t="s">
        <v>26</v>
      </c>
      <c r="B209" s="8" t="s">
        <v>37</v>
      </c>
      <c r="C209" s="8" t="s">
        <v>56</v>
      </c>
      <c r="D209" s="21" t="n">
        <v>45713.7708333333</v>
      </c>
      <c r="E209" s="21" t="n">
        <v>45714.8673611111</v>
      </c>
      <c r="F209" s="22" t="n">
        <f aca="false">DATE(YEAR(E209),MONTH(E209),1)</f>
        <v>45689</v>
      </c>
      <c r="G209" s="23" t="n">
        <v>133683</v>
      </c>
      <c r="H209" s="8" t="s">
        <v>58</v>
      </c>
      <c r="I209" s="24" t="n">
        <v>132.71</v>
      </c>
      <c r="J209" s="25" t="n">
        <f aca="false">Summary!$B$4</f>
        <v>1</v>
      </c>
      <c r="K209" s="11" t="n">
        <f aca="false">I209*J209*IF(A209="SILVER",Summary!$B$5,Summary!$B$6)</f>
        <v>3981.3</v>
      </c>
      <c r="L209" s="26" t="n">
        <v>0.082</v>
      </c>
      <c r="M209" s="27" t="n">
        <f aca="false">IF(K209&gt;0,1,0)</f>
        <v>1</v>
      </c>
      <c r="N209" s="11" t="n">
        <f aca="false">SUMIFS(K$2:K209,A$2:A209,A209,B$2:B209,B209)</f>
        <v>19050.3</v>
      </c>
      <c r="O209" s="11" t="n">
        <f aca="false">MAX(0,_xlfn.MAXIFS(N$2:N209,A$2:A209,A209,B$2:B209,B209))</f>
        <v>19050.3</v>
      </c>
      <c r="P209" s="11" t="n">
        <f aca="false">N209-O209</f>
        <v>0</v>
      </c>
    </row>
    <row r="210" customFormat="false" ht="15" hidden="false" customHeight="false" outlineLevel="0" collapsed="false">
      <c r="A210" s="8" t="s">
        <v>26</v>
      </c>
      <c r="B210" s="8" t="s">
        <v>37</v>
      </c>
      <c r="C210" s="8" t="s">
        <v>56</v>
      </c>
      <c r="D210" s="21" t="n">
        <v>45715.8541666667</v>
      </c>
      <c r="E210" s="21" t="n">
        <v>45719.3777777778</v>
      </c>
      <c r="F210" s="22" t="n">
        <f aca="false">DATE(YEAR(E210),MONTH(E210),1)</f>
        <v>45717</v>
      </c>
      <c r="G210" s="23" t="n">
        <v>132583</v>
      </c>
      <c r="H210" s="8" t="s">
        <v>58</v>
      </c>
      <c r="I210" s="24" t="n">
        <v>40.29</v>
      </c>
      <c r="J210" s="25" t="n">
        <f aca="false">Summary!$B$4</f>
        <v>1</v>
      </c>
      <c r="K210" s="11" t="n">
        <f aca="false">I210*J210*IF(A210="SILVER",Summary!$B$5,Summary!$B$6)</f>
        <v>1208.7</v>
      </c>
      <c r="L210" s="26" t="n">
        <v>0.019</v>
      </c>
      <c r="M210" s="27" t="n">
        <f aca="false">IF(K210&gt;0,1,0)</f>
        <v>1</v>
      </c>
      <c r="N210" s="11" t="n">
        <f aca="false">SUMIFS(K$2:K210,A$2:A210,A210,B$2:B210,B210)</f>
        <v>20259</v>
      </c>
      <c r="O210" s="11" t="n">
        <f aca="false">MAX(0,_xlfn.MAXIFS(N$2:N210,A$2:A210,A210,B$2:B210,B210))</f>
        <v>20259</v>
      </c>
      <c r="P210" s="11" t="n">
        <f aca="false">N210-O210</f>
        <v>0</v>
      </c>
    </row>
    <row r="211" customFormat="false" ht="15" hidden="false" customHeight="false" outlineLevel="0" collapsed="false">
      <c r="A211" s="8" t="s">
        <v>26</v>
      </c>
      <c r="B211" s="8" t="s">
        <v>37</v>
      </c>
      <c r="C211" s="8" t="s">
        <v>56</v>
      </c>
      <c r="D211" s="21" t="n">
        <v>45720.9</v>
      </c>
      <c r="E211" s="21" t="n">
        <v>45721.5069444445</v>
      </c>
      <c r="F211" s="22" t="n">
        <f aca="false">DATE(YEAR(E211),MONTH(E211),1)</f>
        <v>45717</v>
      </c>
      <c r="G211" s="23" t="n">
        <v>133160</v>
      </c>
      <c r="H211" s="8" t="s">
        <v>55</v>
      </c>
      <c r="I211" s="24" t="n">
        <v>-1310.92</v>
      </c>
      <c r="J211" s="25" t="n">
        <f aca="false">Summary!$B$4</f>
        <v>1</v>
      </c>
      <c r="K211" s="11" t="n">
        <f aca="false">I211*J211*IF(A211="SILVER",Summary!$B$5,Summary!$B$6)</f>
        <v>-39327.6</v>
      </c>
      <c r="L211" s="26" t="n">
        <v>-1.087</v>
      </c>
      <c r="M211" s="27" t="n">
        <f aca="false">IF(K211&gt;0,1,0)</f>
        <v>0</v>
      </c>
      <c r="N211" s="11" t="n">
        <f aca="false">SUMIFS(K$2:K211,A$2:A211,A211,B$2:B211,B211)</f>
        <v>-19068.6</v>
      </c>
      <c r="O211" s="11" t="n">
        <f aca="false">MAX(0,_xlfn.MAXIFS(N$2:N211,A$2:A211,A211,B$2:B211,B211))</f>
        <v>20259</v>
      </c>
      <c r="P211" s="11" t="n">
        <f aca="false">N211-O211</f>
        <v>-39327.6</v>
      </c>
    </row>
    <row r="212" customFormat="false" ht="15" hidden="false" customHeight="false" outlineLevel="0" collapsed="false">
      <c r="A212" s="8" t="s">
        <v>26</v>
      </c>
      <c r="B212" s="8" t="s">
        <v>37</v>
      </c>
      <c r="C212" s="8" t="s">
        <v>56</v>
      </c>
      <c r="D212" s="21" t="n">
        <v>45726.9375</v>
      </c>
      <c r="E212" s="21" t="n">
        <v>45728.3958333333</v>
      </c>
      <c r="F212" s="22" t="n">
        <f aca="false">DATE(YEAR(E212),MONTH(E212),1)</f>
        <v>45717</v>
      </c>
      <c r="G212" s="23" t="n">
        <v>133709</v>
      </c>
      <c r="H212" s="8" t="s">
        <v>55</v>
      </c>
      <c r="I212" s="24" t="n">
        <v>-1719.51</v>
      </c>
      <c r="J212" s="25" t="n">
        <f aca="false">Summary!$B$4</f>
        <v>1</v>
      </c>
      <c r="K212" s="11" t="n">
        <f aca="false">I212*J212*IF(A212="SILVER",Summary!$B$5,Summary!$B$6)</f>
        <v>-51585.3</v>
      </c>
      <c r="L212" s="26" t="n">
        <v>-1.018</v>
      </c>
      <c r="M212" s="27" t="n">
        <f aca="false">IF(K212&gt;0,1,0)</f>
        <v>0</v>
      </c>
      <c r="N212" s="11" t="n">
        <f aca="false">SUMIFS(K$2:K212,A$2:A212,A212,B$2:B212,B212)</f>
        <v>-70653.9</v>
      </c>
      <c r="O212" s="11" t="n">
        <f aca="false">MAX(0,_xlfn.MAXIFS(N$2:N212,A$2:A212,A212,B$2:B212,B212))</f>
        <v>20259</v>
      </c>
      <c r="P212" s="11" t="n">
        <f aca="false">N212-O212</f>
        <v>-90912.9</v>
      </c>
    </row>
    <row r="213" customFormat="false" ht="15" hidden="false" customHeight="false" outlineLevel="0" collapsed="false">
      <c r="A213" s="8" t="s">
        <v>26</v>
      </c>
      <c r="B213" s="8" t="s">
        <v>37</v>
      </c>
      <c r="C213" s="8" t="s">
        <v>56</v>
      </c>
      <c r="D213" s="21" t="n">
        <v>45735.8333333333</v>
      </c>
      <c r="E213" s="21" t="n">
        <v>45741.7708333333</v>
      </c>
      <c r="F213" s="22" t="n">
        <f aca="false">DATE(YEAR(E213),MONTH(E213),1)</f>
        <v>45717</v>
      </c>
      <c r="G213" s="23" t="n">
        <v>136959</v>
      </c>
      <c r="H213" s="8" t="s">
        <v>55</v>
      </c>
      <c r="I213" s="24" t="n">
        <v>973.12</v>
      </c>
      <c r="J213" s="25" t="n">
        <f aca="false">Summary!$B$4</f>
        <v>1</v>
      </c>
      <c r="K213" s="11" t="n">
        <f aca="false">I213*J213*IF(A213="SILVER",Summary!$B$5,Summary!$B$6)</f>
        <v>29193.6</v>
      </c>
      <c r="L213" s="26" t="n">
        <v>0.539</v>
      </c>
      <c r="M213" s="27" t="n">
        <f aca="false">IF(K213&gt;0,1,0)</f>
        <v>1</v>
      </c>
      <c r="N213" s="11" t="n">
        <f aca="false">SUMIFS(K$2:K213,A$2:A213,A213,B$2:B213,B213)</f>
        <v>-41460.3</v>
      </c>
      <c r="O213" s="11" t="n">
        <f aca="false">MAX(0,_xlfn.MAXIFS(N$2:N213,A$2:A213,A213,B$2:B213,B213))</f>
        <v>20259</v>
      </c>
      <c r="P213" s="11" t="n">
        <f aca="false">N213-O213</f>
        <v>-61719.3</v>
      </c>
    </row>
    <row r="214" customFormat="false" ht="15" hidden="false" customHeight="false" outlineLevel="0" collapsed="false">
      <c r="A214" s="8" t="s">
        <v>26</v>
      </c>
      <c r="B214" s="8" t="s">
        <v>37</v>
      </c>
      <c r="C214" s="8" t="s">
        <v>56</v>
      </c>
      <c r="D214" s="21" t="n">
        <v>45747.7916666667</v>
      </c>
      <c r="E214" s="21" t="n">
        <v>45757.7083333333</v>
      </c>
      <c r="F214" s="22" t="n">
        <f aca="false">DATE(YEAR(E214),MONTH(E214),1)</f>
        <v>45748</v>
      </c>
      <c r="G214" s="23" t="n">
        <v>136794</v>
      </c>
      <c r="H214" s="8" t="s">
        <v>55</v>
      </c>
      <c r="I214" s="24" t="n">
        <v>8264.87</v>
      </c>
      <c r="J214" s="25" t="n">
        <f aca="false">Summary!$B$4</f>
        <v>1</v>
      </c>
      <c r="K214" s="11" t="n">
        <f aca="false">I214*J214*IF(A214="SILVER",Summary!$B$5,Summary!$B$6)</f>
        <v>247946.1</v>
      </c>
      <c r="L214" s="26" t="n">
        <v>3.128</v>
      </c>
      <c r="M214" s="27" t="n">
        <f aca="false">IF(K214&gt;0,1,0)</f>
        <v>1</v>
      </c>
      <c r="N214" s="11" t="n">
        <f aca="false">SUMIFS(K$2:K214,A$2:A214,A214,B$2:B214,B214)</f>
        <v>206485.8</v>
      </c>
      <c r="O214" s="11" t="n">
        <f aca="false">MAX(0,_xlfn.MAXIFS(N$2:N214,A$2:A214,A214,B$2:B214,B214))</f>
        <v>206485.8</v>
      </c>
      <c r="P214" s="11" t="n">
        <f aca="false">N214-O214</f>
        <v>0</v>
      </c>
    </row>
    <row r="215" customFormat="false" ht="15" hidden="false" customHeight="false" outlineLevel="0" collapsed="false">
      <c r="A215" s="8" t="s">
        <v>26</v>
      </c>
      <c r="B215" s="8" t="s">
        <v>37</v>
      </c>
      <c r="C215" s="8" t="s">
        <v>56</v>
      </c>
      <c r="D215" s="21" t="n">
        <v>45764.8333333333</v>
      </c>
      <c r="E215" s="21" t="n">
        <v>45770.8333333333</v>
      </c>
      <c r="F215" s="22" t="n">
        <f aca="false">DATE(YEAR(E215),MONTH(E215),1)</f>
        <v>45748</v>
      </c>
      <c r="G215" s="23" t="n">
        <v>131562</v>
      </c>
      <c r="H215" s="8" t="s">
        <v>55</v>
      </c>
      <c r="I215" s="24" t="n">
        <v>-2201.12</v>
      </c>
      <c r="J215" s="25" t="n">
        <f aca="false">Summary!$B$4</f>
        <v>1</v>
      </c>
      <c r="K215" s="11" t="n">
        <f aca="false">I215*J215*IF(A215="SILVER",Summary!$B$5,Summary!$B$6)</f>
        <v>-66033.6</v>
      </c>
      <c r="L215" s="26" t="n">
        <v>-1.054</v>
      </c>
      <c r="M215" s="27" t="n">
        <f aca="false">IF(K215&gt;0,1,0)</f>
        <v>0</v>
      </c>
      <c r="N215" s="11" t="n">
        <f aca="false">SUMIFS(K$2:K215,A$2:A215,A215,B$2:B215,B215)</f>
        <v>140452.2</v>
      </c>
      <c r="O215" s="11" t="n">
        <f aca="false">MAX(0,_xlfn.MAXIFS(N$2:N215,A$2:A215,A215,B$2:B215,B215))</f>
        <v>206485.8</v>
      </c>
      <c r="P215" s="11" t="n">
        <f aca="false">N215-O215</f>
        <v>-66033.6</v>
      </c>
    </row>
    <row r="216" customFormat="false" ht="15" hidden="false" customHeight="false" outlineLevel="0" collapsed="false">
      <c r="A216" s="8" t="s">
        <v>26</v>
      </c>
      <c r="B216" s="8" t="s">
        <v>37</v>
      </c>
      <c r="C216" s="8" t="s">
        <v>56</v>
      </c>
      <c r="D216" s="21" t="n">
        <v>45775.3958333333</v>
      </c>
      <c r="E216" s="21" t="n">
        <v>45776.6472222222</v>
      </c>
      <c r="F216" s="22" t="n">
        <f aca="false">DATE(YEAR(E216),MONTH(E216),1)</f>
        <v>45748</v>
      </c>
      <c r="G216" s="23" t="n">
        <v>132938</v>
      </c>
      <c r="H216" s="8" t="s">
        <v>55</v>
      </c>
      <c r="I216" s="24" t="n">
        <v>-1411.32</v>
      </c>
      <c r="J216" s="25" t="n">
        <f aca="false">Summary!$B$4</f>
        <v>1</v>
      </c>
      <c r="K216" s="11" t="n">
        <f aca="false">I216*J216*IF(A216="SILVER",Summary!$B$5,Summary!$B$6)</f>
        <v>-42339.6</v>
      </c>
      <c r="L216" s="26" t="n">
        <v>-0.78</v>
      </c>
      <c r="M216" s="27" t="n">
        <f aca="false">IF(K216&gt;0,1,0)</f>
        <v>0</v>
      </c>
      <c r="N216" s="11" t="n">
        <f aca="false">SUMIFS(K$2:K216,A$2:A216,A216,B$2:B216,B216)</f>
        <v>98112.6</v>
      </c>
      <c r="O216" s="11" t="n">
        <f aca="false">MAX(0,_xlfn.MAXIFS(N$2:N216,A$2:A216,A216,B$2:B216,B216))</f>
        <v>206485.8</v>
      </c>
      <c r="P216" s="11" t="n">
        <f aca="false">N216-O216</f>
        <v>-108373.2</v>
      </c>
    </row>
    <row r="217" customFormat="false" ht="15" hidden="false" customHeight="false" outlineLevel="0" collapsed="false">
      <c r="A217" s="8" t="s">
        <v>26</v>
      </c>
      <c r="B217" s="8" t="s">
        <v>37</v>
      </c>
      <c r="C217" s="8" t="s">
        <v>56</v>
      </c>
      <c r="D217" s="21" t="n">
        <v>45777.4166666667</v>
      </c>
      <c r="E217" s="21" t="n">
        <v>45786.8958333333</v>
      </c>
      <c r="F217" s="22" t="n">
        <f aca="false">DATE(YEAR(E217),MONTH(E217),1)</f>
        <v>45778</v>
      </c>
      <c r="G217" s="23" t="n">
        <v>132610</v>
      </c>
      <c r="H217" s="8" t="s">
        <v>55</v>
      </c>
      <c r="I217" s="24" t="n">
        <v>798.38</v>
      </c>
      <c r="J217" s="25" t="n">
        <f aca="false">Summary!$B$4</f>
        <v>1</v>
      </c>
      <c r="K217" s="11" t="n">
        <f aca="false">I217*J217*IF(A217="SILVER",Summary!$B$5,Summary!$B$6)</f>
        <v>23951.4</v>
      </c>
      <c r="L217" s="26" t="n">
        <v>0.341</v>
      </c>
      <c r="M217" s="27" t="n">
        <f aca="false">IF(K217&gt;0,1,0)</f>
        <v>1</v>
      </c>
      <c r="N217" s="11" t="n">
        <f aca="false">SUMIFS(K$2:K217,A$2:A217,A217,B$2:B217,B217)</f>
        <v>122064</v>
      </c>
      <c r="O217" s="11" t="n">
        <f aca="false">MAX(0,_xlfn.MAXIFS(N$2:N217,A$2:A217,A217,B$2:B217,B217))</f>
        <v>206485.8</v>
      </c>
      <c r="P217" s="11" t="n">
        <f aca="false">N217-O217</f>
        <v>-84421.8</v>
      </c>
    </row>
    <row r="218" customFormat="false" ht="15" hidden="false" customHeight="false" outlineLevel="0" collapsed="false">
      <c r="A218" s="8" t="s">
        <v>26</v>
      </c>
      <c r="B218" s="8" t="s">
        <v>37</v>
      </c>
      <c r="C218" s="8" t="s">
        <v>56</v>
      </c>
      <c r="D218" s="21" t="n">
        <v>45789.5625</v>
      </c>
      <c r="E218" s="21" t="n">
        <v>45790.4166666667</v>
      </c>
      <c r="F218" s="22" t="n">
        <f aca="false">DATE(YEAR(E218),MONTH(E218),1)</f>
        <v>45778</v>
      </c>
      <c r="G218" s="23" t="n">
        <v>129173</v>
      </c>
      <c r="H218" s="8" t="s">
        <v>55</v>
      </c>
      <c r="I218" s="24" t="n">
        <v>-2534.1</v>
      </c>
      <c r="J218" s="25" t="n">
        <f aca="false">Summary!$B$4</f>
        <v>1</v>
      </c>
      <c r="K218" s="11" t="n">
        <f aca="false">I218*J218*IF(A218="SILVER",Summary!$B$5,Summary!$B$6)</f>
        <v>-76023</v>
      </c>
      <c r="L218" s="26" t="n">
        <v>-0.948</v>
      </c>
      <c r="M218" s="27" t="n">
        <f aca="false">IF(K218&gt;0,1,0)</f>
        <v>0</v>
      </c>
      <c r="N218" s="11" t="n">
        <f aca="false">SUMIFS(K$2:K218,A$2:A218,A218,B$2:B218,B218)</f>
        <v>46041</v>
      </c>
      <c r="O218" s="11" t="n">
        <f aca="false">MAX(0,_xlfn.MAXIFS(N$2:N218,A$2:A218,A218,B$2:B218,B218))</f>
        <v>206485.8</v>
      </c>
      <c r="P218" s="11" t="n">
        <f aca="false">N218-O218</f>
        <v>-160444.8</v>
      </c>
    </row>
    <row r="219" customFormat="false" ht="15" hidden="false" customHeight="false" outlineLevel="0" collapsed="false">
      <c r="A219" s="8" t="s">
        <v>26</v>
      </c>
      <c r="B219" s="8" t="s">
        <v>37</v>
      </c>
      <c r="C219" s="8" t="s">
        <v>56</v>
      </c>
      <c r="D219" s="21" t="n">
        <v>45791.7708333333</v>
      </c>
      <c r="E219" s="21" t="n">
        <v>45792.7194444445</v>
      </c>
      <c r="F219" s="22" t="n">
        <f aca="false">DATE(YEAR(E219),MONTH(E219),1)</f>
        <v>45778</v>
      </c>
      <c r="G219" s="23" t="n">
        <v>130213</v>
      </c>
      <c r="H219" s="8" t="s">
        <v>58</v>
      </c>
      <c r="I219" s="24" t="n">
        <v>193.81</v>
      </c>
      <c r="J219" s="25" t="n">
        <f aca="false">Summary!$B$4</f>
        <v>1</v>
      </c>
      <c r="K219" s="11" t="n">
        <f aca="false">I219*J219*IF(A219="SILVER",Summary!$B$5,Summary!$B$6)</f>
        <v>5814.3</v>
      </c>
      <c r="L219" s="26" t="n">
        <v>0.087</v>
      </c>
      <c r="M219" s="27" t="n">
        <f aca="false">IF(K219&gt;0,1,0)</f>
        <v>1</v>
      </c>
      <c r="N219" s="11" t="n">
        <f aca="false">SUMIFS(K$2:K219,A$2:A219,A219,B$2:B219,B219)</f>
        <v>51855.3</v>
      </c>
      <c r="O219" s="11" t="n">
        <f aca="false">MAX(0,_xlfn.MAXIFS(N$2:N219,A$2:A219,A219,B$2:B219,B219))</f>
        <v>206485.8</v>
      </c>
      <c r="P219" s="11" t="n">
        <f aca="false">N219-O219</f>
        <v>-154630.5</v>
      </c>
    </row>
    <row r="220" customFormat="false" ht="15" hidden="false" customHeight="false" outlineLevel="0" collapsed="false">
      <c r="A220" s="8" t="s">
        <v>26</v>
      </c>
      <c r="B220" s="8" t="s">
        <v>37</v>
      </c>
      <c r="C220" s="8" t="s">
        <v>56</v>
      </c>
      <c r="D220" s="21" t="n">
        <v>45799.6875</v>
      </c>
      <c r="E220" s="21" t="n">
        <v>45810.75</v>
      </c>
      <c r="F220" s="22" t="n">
        <f aca="false">DATE(YEAR(E220),MONTH(E220),1)</f>
        <v>45809</v>
      </c>
      <c r="G220" s="23" t="n">
        <v>131846</v>
      </c>
      <c r="H220" s="8" t="s">
        <v>55</v>
      </c>
      <c r="I220" s="24" t="n">
        <v>-1378.53</v>
      </c>
      <c r="J220" s="25" t="n">
        <f aca="false">Summary!$B$4</f>
        <v>1</v>
      </c>
      <c r="K220" s="11" t="n">
        <f aca="false">I220*J220*IF(A220="SILVER",Summary!$B$5,Summary!$B$6)</f>
        <v>-41355.9</v>
      </c>
      <c r="L220" s="26" t="n">
        <v>-0.572</v>
      </c>
      <c r="M220" s="27" t="n">
        <f aca="false">IF(K220&gt;0,1,0)</f>
        <v>0</v>
      </c>
      <c r="N220" s="11" t="n">
        <f aca="false">SUMIFS(K$2:K220,A$2:A220,A220,B$2:B220,B220)</f>
        <v>10499.4</v>
      </c>
      <c r="O220" s="11" t="n">
        <f aca="false">MAX(0,_xlfn.MAXIFS(N$2:N220,A$2:A220,A220,B$2:B220,B220))</f>
        <v>206485.8</v>
      </c>
      <c r="P220" s="11" t="n">
        <f aca="false">N220-O220</f>
        <v>-195986.4</v>
      </c>
    </row>
    <row r="221" customFormat="false" ht="15" hidden="false" customHeight="false" outlineLevel="0" collapsed="false">
      <c r="A221" s="8" t="s">
        <v>26</v>
      </c>
      <c r="B221" s="8" t="s">
        <v>37</v>
      </c>
      <c r="C221" s="8" t="s">
        <v>54</v>
      </c>
      <c r="D221" s="21" t="n">
        <v>45814.3958333333</v>
      </c>
      <c r="E221" s="21" t="n">
        <v>45819.6083333333</v>
      </c>
      <c r="F221" s="22" t="n">
        <f aca="false">DATE(YEAR(E221),MONTH(E221),1)</f>
        <v>45809</v>
      </c>
      <c r="G221" s="23" t="n">
        <v>140366</v>
      </c>
      <c r="H221" s="8" t="s">
        <v>58</v>
      </c>
      <c r="I221" s="24" t="n">
        <v>262.73</v>
      </c>
      <c r="J221" s="25" t="n">
        <f aca="false">Summary!$B$4</f>
        <v>1</v>
      </c>
      <c r="K221" s="11" t="n">
        <f aca="false">I221*J221*IF(A221="SILVER",Summary!$B$5,Summary!$B$6)</f>
        <v>7881.9</v>
      </c>
      <c r="L221" s="26" t="n">
        <v>0.089</v>
      </c>
      <c r="M221" s="27" t="n">
        <f aca="false">IF(K221&gt;0,1,0)</f>
        <v>1</v>
      </c>
      <c r="N221" s="11" t="n">
        <f aca="false">SUMIFS(K$2:K221,A$2:A221,A221,B$2:B221,B221)</f>
        <v>18381.3</v>
      </c>
      <c r="O221" s="11" t="n">
        <f aca="false">MAX(0,_xlfn.MAXIFS(N$2:N221,A$2:A221,A221,B$2:B221,B221))</f>
        <v>206485.8</v>
      </c>
      <c r="P221" s="11" t="n">
        <f aca="false">N221-O221</f>
        <v>-188104.5</v>
      </c>
    </row>
    <row r="222" customFormat="false" ht="15" hidden="false" customHeight="false" outlineLevel="0" collapsed="false">
      <c r="A222" s="8" t="s">
        <v>26</v>
      </c>
      <c r="B222" s="8" t="s">
        <v>37</v>
      </c>
      <c r="C222" s="8" t="s">
        <v>54</v>
      </c>
      <c r="D222" s="21" t="n">
        <v>45825.6458333333</v>
      </c>
      <c r="E222" s="21" t="n">
        <v>45827.4840277778</v>
      </c>
      <c r="F222" s="22" t="n">
        <f aca="false">DATE(YEAR(E222),MONTH(E222),1)</f>
        <v>45809</v>
      </c>
      <c r="G222" s="23" t="n">
        <v>142391</v>
      </c>
      <c r="H222" s="8" t="s">
        <v>58</v>
      </c>
      <c r="I222" s="24" t="n">
        <v>151.31</v>
      </c>
      <c r="J222" s="25" t="n">
        <f aca="false">Summary!$B$4</f>
        <v>1</v>
      </c>
      <c r="K222" s="11" t="n">
        <f aca="false">I222*J222*IF(A222="SILVER",Summary!$B$5,Summary!$B$6)</f>
        <v>4539.3</v>
      </c>
      <c r="L222" s="26" t="n">
        <v>0.083</v>
      </c>
      <c r="M222" s="27" t="n">
        <f aca="false">IF(K222&gt;0,1,0)</f>
        <v>1</v>
      </c>
      <c r="N222" s="11" t="n">
        <f aca="false">SUMIFS(K$2:K222,A$2:A222,A222,B$2:B222,B222)</f>
        <v>22920.6</v>
      </c>
      <c r="O222" s="11" t="n">
        <f aca="false">MAX(0,_xlfn.MAXIFS(N$2:N222,A$2:A222,A222,B$2:B222,B222))</f>
        <v>206485.8</v>
      </c>
      <c r="P222" s="11" t="n">
        <f aca="false">N222-O222</f>
        <v>-183565.2</v>
      </c>
    </row>
    <row r="223" customFormat="false" ht="15" hidden="false" customHeight="false" outlineLevel="0" collapsed="false">
      <c r="A223" s="8" t="s">
        <v>26</v>
      </c>
      <c r="B223" s="8" t="s">
        <v>37</v>
      </c>
      <c r="C223" s="8" t="s">
        <v>54</v>
      </c>
      <c r="D223" s="21" t="n">
        <v>45834.3958333333</v>
      </c>
      <c r="E223" s="21" t="n">
        <v>45834.7111111111</v>
      </c>
      <c r="F223" s="22" t="n">
        <f aca="false">DATE(YEAR(E223),MONTH(E223),1)</f>
        <v>45809</v>
      </c>
      <c r="G223" s="23" t="n">
        <v>141300</v>
      </c>
      <c r="H223" s="8" t="s">
        <v>58</v>
      </c>
      <c r="I223" s="24" t="n">
        <v>120.66</v>
      </c>
      <c r="J223" s="25" t="n">
        <f aca="false">Summary!$B$4</f>
        <v>1</v>
      </c>
      <c r="K223" s="11" t="n">
        <f aca="false">I223*J223*IF(A223="SILVER",Summary!$B$5,Summary!$B$6)</f>
        <v>3619.8</v>
      </c>
      <c r="L223" s="26" t="n">
        <v>0.077</v>
      </c>
      <c r="M223" s="27" t="n">
        <f aca="false">IF(K223&gt;0,1,0)</f>
        <v>1</v>
      </c>
      <c r="N223" s="11" t="n">
        <f aca="false">SUMIFS(K$2:K223,A$2:A223,A223,B$2:B223,B223)</f>
        <v>26540.4</v>
      </c>
      <c r="O223" s="11" t="n">
        <f aca="false">MAX(0,_xlfn.MAXIFS(N$2:N223,A$2:A223,A223,B$2:B223,B223))</f>
        <v>206485.8</v>
      </c>
      <c r="P223" s="11" t="n">
        <f aca="false">N223-O223</f>
        <v>-179945.4</v>
      </c>
    </row>
    <row r="224" customFormat="false" ht="15" hidden="false" customHeight="false" outlineLevel="0" collapsed="false">
      <c r="A224" s="8" t="s">
        <v>26</v>
      </c>
      <c r="B224" s="8" t="s">
        <v>37</v>
      </c>
      <c r="C224" s="8" t="s">
        <v>54</v>
      </c>
      <c r="D224" s="21" t="n">
        <v>45839.5444444444</v>
      </c>
      <c r="E224" s="21" t="n">
        <v>45845.675</v>
      </c>
      <c r="F224" s="22" t="n">
        <f aca="false">DATE(YEAR(E224),MONTH(E224),1)</f>
        <v>45839</v>
      </c>
      <c r="G224" s="23" t="n">
        <v>141200</v>
      </c>
      <c r="H224" s="8" t="s">
        <v>58</v>
      </c>
      <c r="I224" s="24" t="n">
        <v>74.57</v>
      </c>
      <c r="J224" s="25" t="n">
        <f aca="false">Summary!$B$4</f>
        <v>1</v>
      </c>
      <c r="K224" s="11" t="n">
        <f aca="false">I224*J224*IF(A224="SILVER",Summary!$B$5,Summary!$B$6)</f>
        <v>2237.1</v>
      </c>
      <c r="L224" s="26" t="n">
        <v>0.054</v>
      </c>
      <c r="M224" s="27" t="n">
        <f aca="false">IF(K224&gt;0,1,0)</f>
        <v>1</v>
      </c>
      <c r="N224" s="11" t="n">
        <f aca="false">SUMIFS(K$2:K224,A$2:A224,A224,B$2:B224,B224)</f>
        <v>28777.5</v>
      </c>
      <c r="O224" s="11" t="n">
        <f aca="false">MAX(0,_xlfn.MAXIFS(N$2:N224,A$2:A224,A224,B$2:B224,B224))</f>
        <v>206485.8</v>
      </c>
      <c r="P224" s="11" t="n">
        <f aca="false">N224-O224</f>
        <v>-177708.3</v>
      </c>
    </row>
    <row r="225" customFormat="false" ht="15" hidden="false" customHeight="false" outlineLevel="0" collapsed="false">
      <c r="A225" s="8" t="s">
        <v>26</v>
      </c>
      <c r="B225" s="8" t="s">
        <v>37</v>
      </c>
      <c r="C225" s="8" t="s">
        <v>54</v>
      </c>
      <c r="D225" s="21" t="n">
        <v>45845.9583333333</v>
      </c>
      <c r="E225" s="21" t="n">
        <v>45848.8069444444</v>
      </c>
      <c r="F225" s="22" t="n">
        <f aca="false">DATE(YEAR(E225),MONTH(E225),1)</f>
        <v>45839</v>
      </c>
      <c r="G225" s="23" t="n">
        <v>142636</v>
      </c>
      <c r="H225" s="8" t="s">
        <v>58</v>
      </c>
      <c r="I225" s="24" t="n">
        <v>89.58</v>
      </c>
      <c r="J225" s="25" t="n">
        <f aca="false">Summary!$B$4</f>
        <v>1</v>
      </c>
      <c r="K225" s="11" t="n">
        <f aca="false">I225*J225*IF(A225="SILVER",Summary!$B$5,Summary!$B$6)</f>
        <v>2687.4</v>
      </c>
      <c r="L225" s="26" t="n">
        <v>0.074</v>
      </c>
      <c r="M225" s="27" t="n">
        <f aca="false">IF(K225&gt;0,1,0)</f>
        <v>1</v>
      </c>
      <c r="N225" s="11" t="n">
        <f aca="false">SUMIFS(K$2:K225,A$2:A225,A225,B$2:B225,B225)</f>
        <v>31464.9</v>
      </c>
      <c r="O225" s="11" t="n">
        <f aca="false">MAX(0,_xlfn.MAXIFS(N$2:N225,A$2:A225,A225,B$2:B225,B225))</f>
        <v>206485.8</v>
      </c>
      <c r="P225" s="11" t="n">
        <f aca="false">N225-O225</f>
        <v>-175020.9</v>
      </c>
    </row>
    <row r="226" customFormat="false" ht="15" hidden="false" customHeight="false" outlineLevel="0" collapsed="false">
      <c r="A226" s="8" t="s">
        <v>26</v>
      </c>
      <c r="B226" s="8" t="s">
        <v>37</v>
      </c>
      <c r="C226" s="8" t="s">
        <v>54</v>
      </c>
      <c r="D226" s="21" t="n">
        <v>45849.3958333333</v>
      </c>
      <c r="E226" s="21" t="n">
        <v>45853.3958333333</v>
      </c>
      <c r="F226" s="22" t="n">
        <f aca="false">DATE(YEAR(E226),MONTH(E226),1)</f>
        <v>45839</v>
      </c>
      <c r="G226" s="23" t="n">
        <v>144764</v>
      </c>
      <c r="H226" s="8" t="s">
        <v>55</v>
      </c>
      <c r="I226" s="24" t="n">
        <v>1987.73</v>
      </c>
      <c r="J226" s="25" t="n">
        <f aca="false">Summary!$B$4</f>
        <v>1</v>
      </c>
      <c r="K226" s="11" t="n">
        <f aca="false">I226*J226*IF(A226="SILVER",Summary!$B$5,Summary!$B$6)</f>
        <v>59631.9</v>
      </c>
      <c r="L226" s="26" t="n">
        <v>0.707</v>
      </c>
      <c r="M226" s="27" t="n">
        <f aca="false">IF(K226&gt;0,1,0)</f>
        <v>1</v>
      </c>
      <c r="N226" s="11" t="n">
        <f aca="false">SUMIFS(K$2:K226,A$2:A226,A226,B$2:B226,B226)</f>
        <v>91096.8</v>
      </c>
      <c r="O226" s="11" t="n">
        <f aca="false">MAX(0,_xlfn.MAXIFS(N$2:N226,A$2:A226,A226,B$2:B226,B226))</f>
        <v>206485.8</v>
      </c>
      <c r="P226" s="11" t="n">
        <f aca="false">N226-O226</f>
        <v>-115389</v>
      </c>
    </row>
    <row r="227" customFormat="false" ht="15" hidden="false" customHeight="false" outlineLevel="0" collapsed="false">
      <c r="A227" s="8" t="s">
        <v>26</v>
      </c>
      <c r="B227" s="8" t="s">
        <v>37</v>
      </c>
      <c r="C227" s="8" t="s">
        <v>54</v>
      </c>
      <c r="D227" s="21" t="n">
        <v>45856.5208333333</v>
      </c>
      <c r="E227" s="21" t="n">
        <v>45862.7708333333</v>
      </c>
      <c r="F227" s="22" t="n">
        <f aca="false">DATE(YEAR(E227),MONTH(E227),1)</f>
        <v>45839</v>
      </c>
      <c r="G227" s="23" t="n">
        <v>147785</v>
      </c>
      <c r="H227" s="8" t="s">
        <v>55</v>
      </c>
      <c r="I227" s="24" t="n">
        <v>1044.21</v>
      </c>
      <c r="J227" s="25" t="n">
        <f aca="false">Summary!$B$4</f>
        <v>1</v>
      </c>
      <c r="K227" s="11" t="n">
        <f aca="false">I227*J227*IF(A227="SILVER",Summary!$B$5,Summary!$B$6)</f>
        <v>31326.3</v>
      </c>
      <c r="L227" s="26" t="n">
        <v>0.519</v>
      </c>
      <c r="M227" s="27" t="n">
        <f aca="false">IF(K227&gt;0,1,0)</f>
        <v>1</v>
      </c>
      <c r="N227" s="11" t="n">
        <f aca="false">SUMIFS(K$2:K227,A$2:A227,A227,B$2:B227,B227)</f>
        <v>122423.1</v>
      </c>
      <c r="O227" s="11" t="n">
        <f aca="false">MAX(0,_xlfn.MAXIFS(N$2:N227,A$2:A227,A227,B$2:B227,B227))</f>
        <v>206485.8</v>
      </c>
      <c r="P227" s="11" t="n">
        <f aca="false">N227-O227</f>
        <v>-84062.7</v>
      </c>
    </row>
    <row r="228" customFormat="false" ht="15" hidden="false" customHeight="false" outlineLevel="0" collapsed="false">
      <c r="A228" s="8" t="s">
        <v>26</v>
      </c>
      <c r="B228" s="8" t="s">
        <v>37</v>
      </c>
      <c r="C228" s="8" t="s">
        <v>54</v>
      </c>
      <c r="D228" s="21" t="n">
        <v>45873.4381944445</v>
      </c>
      <c r="E228" s="21" t="n">
        <v>45880.5625</v>
      </c>
      <c r="F228" s="22" t="n">
        <f aca="false">DATE(YEAR(E228),MONTH(E228),1)</f>
        <v>45870</v>
      </c>
      <c r="G228" s="23" t="n">
        <v>145468</v>
      </c>
      <c r="H228" s="8" t="s">
        <v>55</v>
      </c>
      <c r="I228" s="24" t="n">
        <v>1954.58</v>
      </c>
      <c r="J228" s="25" t="n">
        <f aca="false">Summary!$B$4</f>
        <v>1</v>
      </c>
      <c r="K228" s="11" t="n">
        <f aca="false">I228*J228*IF(A228="SILVER",Summary!$B$5,Summary!$B$6)</f>
        <v>58637.4</v>
      </c>
      <c r="L228" s="26" t="n">
        <v>0.967</v>
      </c>
      <c r="M228" s="27" t="n">
        <f aca="false">IF(K228&gt;0,1,0)</f>
        <v>1</v>
      </c>
      <c r="N228" s="11" t="n">
        <f aca="false">SUMIFS(K$2:K228,A$2:A228,A228,B$2:B228,B228)</f>
        <v>181060.5</v>
      </c>
      <c r="O228" s="11" t="n">
        <f aca="false">MAX(0,_xlfn.MAXIFS(N$2:N228,A$2:A228,A228,B$2:B228,B228))</f>
        <v>206485.8</v>
      </c>
      <c r="P228" s="11" t="n">
        <f aca="false">N228-O228</f>
        <v>-25425.3</v>
      </c>
    </row>
    <row r="229" customFormat="false" ht="15" hidden="false" customHeight="false" outlineLevel="0" collapsed="false">
      <c r="A229" s="8" t="s">
        <v>26</v>
      </c>
      <c r="B229" s="8" t="s">
        <v>37</v>
      </c>
      <c r="C229" s="8" t="s">
        <v>54</v>
      </c>
      <c r="D229" s="21" t="n">
        <v>45882.5</v>
      </c>
      <c r="E229" s="21" t="n">
        <v>45883.8541666667</v>
      </c>
      <c r="F229" s="22" t="n">
        <f aca="false">DATE(YEAR(E229),MONTH(E229),1)</f>
        <v>45870</v>
      </c>
      <c r="G229" s="23" t="n">
        <v>149328</v>
      </c>
      <c r="H229" s="8" t="s">
        <v>55</v>
      </c>
      <c r="I229" s="24" t="n">
        <v>-1122.88</v>
      </c>
      <c r="J229" s="25" t="n">
        <f aca="false">Summary!$B$4</f>
        <v>1</v>
      </c>
      <c r="K229" s="11" t="n">
        <f aca="false">I229*J229*IF(A229="SILVER",Summary!$B$5,Summary!$B$6)</f>
        <v>-33686.4</v>
      </c>
      <c r="L229" s="26" t="n">
        <v>-0.562</v>
      </c>
      <c r="M229" s="27" t="n">
        <f aca="false">IF(K229&gt;0,1,0)</f>
        <v>0</v>
      </c>
      <c r="N229" s="11" t="n">
        <f aca="false">SUMIFS(K$2:K229,A$2:A229,A229,B$2:B229,B229)</f>
        <v>147374.1</v>
      </c>
      <c r="O229" s="11" t="n">
        <f aca="false">MAX(0,_xlfn.MAXIFS(N$2:N229,A$2:A229,A229,B$2:B229,B229))</f>
        <v>206485.8</v>
      </c>
      <c r="P229" s="11" t="n">
        <f aca="false">N229-O229</f>
        <v>-59111.7</v>
      </c>
    </row>
    <row r="230" customFormat="false" ht="15" hidden="false" customHeight="false" outlineLevel="0" collapsed="false">
      <c r="A230" s="8" t="s">
        <v>26</v>
      </c>
      <c r="B230" s="8" t="s">
        <v>37</v>
      </c>
      <c r="C230" s="8" t="s">
        <v>54</v>
      </c>
      <c r="D230" s="21" t="n">
        <v>45889.7708333333</v>
      </c>
      <c r="E230" s="21" t="n">
        <v>45904.3979166667</v>
      </c>
      <c r="F230" s="22" t="n">
        <f aca="false">DATE(YEAR(E230),MONTH(E230),1)</f>
        <v>45901</v>
      </c>
      <c r="G230" s="23" t="n">
        <v>146484</v>
      </c>
      <c r="H230" s="8" t="s">
        <v>55</v>
      </c>
      <c r="I230" s="24" t="n">
        <v>10230.55</v>
      </c>
      <c r="J230" s="25" t="n">
        <f aca="false">Summary!$B$4</f>
        <v>1</v>
      </c>
      <c r="K230" s="11" t="n">
        <f aca="false">I230*J230*IF(A230="SILVER",Summary!$B$5,Summary!$B$6)</f>
        <v>306916.5</v>
      </c>
      <c r="L230" s="26" t="n">
        <v>5.25</v>
      </c>
      <c r="M230" s="27" t="n">
        <f aca="false">IF(K230&gt;0,1,0)</f>
        <v>1</v>
      </c>
      <c r="N230" s="11" t="n">
        <f aca="false">SUMIFS(K$2:K230,A$2:A230,A230,B$2:B230,B230)</f>
        <v>454290.6</v>
      </c>
      <c r="O230" s="11" t="n">
        <f aca="false">MAX(0,_xlfn.MAXIFS(N$2:N230,A$2:A230,A230,B$2:B230,B230))</f>
        <v>454290.6</v>
      </c>
      <c r="P230" s="11" t="n">
        <f aca="false">N230-O230</f>
        <v>0</v>
      </c>
    </row>
    <row r="231" customFormat="false" ht="15" hidden="false" customHeight="false" outlineLevel="0" collapsed="false">
      <c r="A231" s="8" t="s">
        <v>26</v>
      </c>
      <c r="B231" s="8" t="s">
        <v>37</v>
      </c>
      <c r="C231" s="8" t="s">
        <v>54</v>
      </c>
      <c r="D231" s="21" t="n">
        <v>45905.7708333333</v>
      </c>
      <c r="E231" s="21" t="n">
        <v>45908.3958333333</v>
      </c>
      <c r="F231" s="22" t="n">
        <f aca="false">DATE(YEAR(E231),MONTH(E231),1)</f>
        <v>45901</v>
      </c>
      <c r="G231" s="23" t="n">
        <v>158634</v>
      </c>
      <c r="H231" s="8" t="s">
        <v>55</v>
      </c>
      <c r="I231" s="24" t="n">
        <v>-3479.59</v>
      </c>
      <c r="J231" s="25" t="n">
        <f aca="false">Summary!$B$4</f>
        <v>1</v>
      </c>
      <c r="K231" s="11" t="n">
        <f aca="false">I231*J231*IF(A231="SILVER",Summary!$B$5,Summary!$B$6)</f>
        <v>-104387.7</v>
      </c>
      <c r="L231" s="26" t="n">
        <v>-1.469</v>
      </c>
      <c r="M231" s="27" t="n">
        <f aca="false">IF(K231&gt;0,1,0)</f>
        <v>0</v>
      </c>
      <c r="N231" s="11" t="n">
        <f aca="false">SUMIFS(K$2:K231,A$2:A231,A231,B$2:B231,B231)</f>
        <v>349902.9</v>
      </c>
      <c r="O231" s="11" t="n">
        <f aca="false">MAX(0,_xlfn.MAXIFS(N$2:N231,A$2:A231,A231,B$2:B231,B231))</f>
        <v>454290.6</v>
      </c>
      <c r="P231" s="11" t="n">
        <f aca="false">N231-O231</f>
        <v>-104387.7</v>
      </c>
    </row>
    <row r="232" customFormat="false" ht="15" hidden="false" customHeight="false" outlineLevel="0" collapsed="false">
      <c r="A232" s="8" t="s">
        <v>26</v>
      </c>
      <c r="B232" s="8" t="s">
        <v>37</v>
      </c>
      <c r="C232" s="8" t="s">
        <v>54</v>
      </c>
      <c r="D232" s="21" t="n">
        <v>45908.8541666667</v>
      </c>
      <c r="E232" s="21" t="n">
        <v>45917.3958333333</v>
      </c>
      <c r="F232" s="22" t="n">
        <f aca="false">DATE(YEAR(E232),MONTH(E232),1)</f>
        <v>45901</v>
      </c>
      <c r="G232" s="23" t="n">
        <v>157793</v>
      </c>
      <c r="H232" s="8" t="s">
        <v>55</v>
      </c>
      <c r="I232" s="24" t="n">
        <v>1063.6</v>
      </c>
      <c r="J232" s="25" t="n">
        <f aca="false">Summary!$B$4</f>
        <v>1</v>
      </c>
      <c r="K232" s="11" t="n">
        <f aca="false">I232*J232*IF(A232="SILVER",Summary!$B$5,Summary!$B$6)</f>
        <v>31908</v>
      </c>
      <c r="L232" s="26" t="n">
        <v>0.36</v>
      </c>
      <c r="M232" s="27" t="n">
        <f aca="false">IF(K232&gt;0,1,0)</f>
        <v>1</v>
      </c>
      <c r="N232" s="11" t="n">
        <f aca="false">SUMIFS(K$2:K232,A$2:A232,A232,B$2:B232,B232)</f>
        <v>381810.9</v>
      </c>
      <c r="O232" s="11" t="n">
        <f aca="false">MAX(0,_xlfn.MAXIFS(N$2:N232,A$2:A232,A232,B$2:B232,B232))</f>
        <v>454290.6</v>
      </c>
      <c r="P232" s="11" t="n">
        <f aca="false">N232-O232</f>
        <v>-72479.7</v>
      </c>
    </row>
    <row r="233" customFormat="false" ht="15" hidden="false" customHeight="false" outlineLevel="0" collapsed="false">
      <c r="A233" s="8" t="s">
        <v>26</v>
      </c>
      <c r="B233" s="8" t="s">
        <v>37</v>
      </c>
      <c r="C233" s="8" t="s">
        <v>54</v>
      </c>
      <c r="D233" s="21" t="n">
        <v>45919.3958333333</v>
      </c>
      <c r="E233" s="21" t="n">
        <v>45930.625</v>
      </c>
      <c r="F233" s="22" t="n">
        <f aca="false">DATE(YEAR(E233),MONTH(E233),1)</f>
        <v>45901</v>
      </c>
      <c r="G233" s="23" t="n">
        <v>159933</v>
      </c>
      <c r="H233" s="8" t="s">
        <v>55</v>
      </c>
      <c r="I233" s="24" t="n">
        <v>12121.07</v>
      </c>
      <c r="J233" s="25" t="n">
        <f aca="false">Summary!$B$4</f>
        <v>1</v>
      </c>
      <c r="K233" s="11" t="n">
        <f aca="false">I233*J233*IF(A233="SILVER",Summary!$B$5,Summary!$B$6)</f>
        <v>363632.1</v>
      </c>
      <c r="L233" s="26" t="n">
        <v>4.017</v>
      </c>
      <c r="M233" s="27" t="n">
        <f aca="false">IF(K233&gt;0,1,0)</f>
        <v>1</v>
      </c>
      <c r="N233" s="11" t="n">
        <f aca="false">SUMIFS(K$2:K233,A$2:A233,A233,B$2:B233,B233)</f>
        <v>745443</v>
      </c>
      <c r="O233" s="11" t="n">
        <f aca="false">MAX(0,_xlfn.MAXIFS(N$2:N233,A$2:A233,A233,B$2:B233,B233))</f>
        <v>745443</v>
      </c>
      <c r="P233" s="11" t="n">
        <f aca="false">N233-O233</f>
        <v>0</v>
      </c>
    </row>
    <row r="234" customFormat="false" ht="15" hidden="false" customHeight="false" outlineLevel="0" collapsed="false">
      <c r="A234" s="8" t="s">
        <v>26</v>
      </c>
      <c r="B234" s="8" t="s">
        <v>37</v>
      </c>
      <c r="C234" s="8" t="s">
        <v>54</v>
      </c>
      <c r="D234" s="21" t="n">
        <v>45931.5833333333</v>
      </c>
      <c r="E234" s="21" t="n">
        <v>45937.8881944444</v>
      </c>
      <c r="F234" s="22" t="n">
        <f aca="false">DATE(YEAR(E234),MONTH(E234),1)</f>
        <v>45931</v>
      </c>
      <c r="G234" s="23" t="n">
        <v>175988</v>
      </c>
      <c r="H234" s="8" t="s">
        <v>58</v>
      </c>
      <c r="I234" s="24" t="n">
        <v>384.2</v>
      </c>
      <c r="J234" s="25" t="n">
        <f aca="false">Summary!$B$4</f>
        <v>1</v>
      </c>
      <c r="K234" s="11" t="n">
        <f aca="false">I234*J234*IF(A234="SILVER",Summary!$B$5,Summary!$B$6)</f>
        <v>11526</v>
      </c>
      <c r="L234" s="26" t="n">
        <v>0.091</v>
      </c>
      <c r="M234" s="27" t="n">
        <f aca="false">IF(K234&gt;0,1,0)</f>
        <v>1</v>
      </c>
      <c r="N234" s="11" t="n">
        <f aca="false">SUMIFS(K$2:K234,A$2:A234,A234,B$2:B234,B234)</f>
        <v>756969</v>
      </c>
      <c r="O234" s="11" t="n">
        <f aca="false">MAX(0,_xlfn.MAXIFS(N$2:N234,A$2:A234,A234,B$2:B234,B234))</f>
        <v>756969</v>
      </c>
      <c r="P234" s="11" t="n">
        <f aca="false">N234-O234</f>
        <v>0</v>
      </c>
    </row>
    <row r="235" customFormat="false" ht="15" hidden="false" customHeight="false" outlineLevel="0" collapsed="false">
      <c r="A235" s="8" t="s">
        <v>26</v>
      </c>
      <c r="B235" s="8" t="s">
        <v>37</v>
      </c>
      <c r="C235" s="8" t="s">
        <v>54</v>
      </c>
      <c r="D235" s="21" t="n">
        <v>45938.4583333333</v>
      </c>
      <c r="E235" s="21" t="n">
        <v>45939.375</v>
      </c>
      <c r="F235" s="22" t="n">
        <f aca="false">DATE(YEAR(E235),MONTH(E235),1)</f>
        <v>45931</v>
      </c>
      <c r="G235" s="23" t="n">
        <v>179523</v>
      </c>
      <c r="H235" s="8" t="s">
        <v>58</v>
      </c>
      <c r="I235" s="24" t="n">
        <v>304.52</v>
      </c>
      <c r="J235" s="25" t="n">
        <f aca="false">Summary!$B$4</f>
        <v>1</v>
      </c>
      <c r="K235" s="11" t="n">
        <f aca="false">I235*J235*IF(A235="SILVER",Summary!$B$5,Summary!$B$6)</f>
        <v>9135.6</v>
      </c>
      <c r="L235" s="26" t="n">
        <v>0.088</v>
      </c>
      <c r="M235" s="27" t="n">
        <f aca="false">IF(K235&gt;0,1,0)</f>
        <v>1</v>
      </c>
      <c r="N235" s="11" t="n">
        <f aca="false">SUMIFS(K$2:K235,A$2:A235,A235,B$2:B235,B235)</f>
        <v>766104.6</v>
      </c>
      <c r="O235" s="11" t="n">
        <f aca="false">MAX(0,_xlfn.MAXIFS(N$2:N235,A$2:A235,A235,B$2:B235,B235))</f>
        <v>766104.6</v>
      </c>
      <c r="P235" s="11" t="n">
        <f aca="false">N235-O235</f>
        <v>0</v>
      </c>
    </row>
    <row r="236" customFormat="false" ht="15" hidden="false" customHeight="false" outlineLevel="0" collapsed="false">
      <c r="A236" s="8" t="s">
        <v>26</v>
      </c>
      <c r="B236" s="8" t="s">
        <v>37</v>
      </c>
      <c r="C236" s="8" t="s">
        <v>54</v>
      </c>
      <c r="D236" s="21" t="n">
        <v>45939.75</v>
      </c>
      <c r="E236" s="21" t="n">
        <v>45939.8</v>
      </c>
      <c r="F236" s="22" t="n">
        <f aca="false">DATE(YEAR(E236),MONTH(E236),1)</f>
        <v>45931</v>
      </c>
      <c r="G236" s="23" t="n">
        <v>181819</v>
      </c>
      <c r="H236" s="8" t="s">
        <v>58</v>
      </c>
      <c r="I236" s="24" t="n">
        <v>337.24</v>
      </c>
      <c r="J236" s="25" t="n">
        <f aca="false">Summary!$B$4</f>
        <v>1</v>
      </c>
      <c r="K236" s="11" t="n">
        <f aca="false">I236*J236*IF(A236="SILVER",Summary!$B$5,Summary!$B$6)</f>
        <v>10117.2</v>
      </c>
      <c r="L236" s="26" t="n">
        <v>0.089</v>
      </c>
      <c r="M236" s="27" t="n">
        <f aca="false">IF(K236&gt;0,1,0)</f>
        <v>1</v>
      </c>
      <c r="N236" s="11" t="n">
        <f aca="false">SUMIFS(K$2:K236,A$2:A236,A236,B$2:B236,B236)</f>
        <v>776221.8</v>
      </c>
      <c r="O236" s="11" t="n">
        <f aca="false">MAX(0,_xlfn.MAXIFS(N$2:N236,A$2:A236,A236,B$2:B236,B236))</f>
        <v>776221.8</v>
      </c>
      <c r="P236" s="11" t="n">
        <f aca="false">N236-O236</f>
        <v>0</v>
      </c>
    </row>
    <row r="237" customFormat="false" ht="15" hidden="false" customHeight="false" outlineLevel="0" collapsed="false">
      <c r="A237" s="8" t="s">
        <v>26</v>
      </c>
      <c r="B237" s="8" t="s">
        <v>37</v>
      </c>
      <c r="C237" s="8" t="s">
        <v>54</v>
      </c>
      <c r="D237" s="21" t="n">
        <v>45943.4583333333</v>
      </c>
      <c r="E237" s="21" t="n">
        <v>45947.8125</v>
      </c>
      <c r="F237" s="22" t="n">
        <f aca="false">DATE(YEAR(E237),MONTH(E237),1)</f>
        <v>45931</v>
      </c>
      <c r="G237" s="23" t="n">
        <v>183299</v>
      </c>
      <c r="H237" s="8" t="s">
        <v>55</v>
      </c>
      <c r="I237" s="24" t="n">
        <v>11067.47</v>
      </c>
      <c r="J237" s="25" t="n">
        <f aca="false">Summary!$B$4</f>
        <v>1</v>
      </c>
      <c r="K237" s="11" t="n">
        <f aca="false">I237*J237*IF(A237="SILVER",Summary!$B$5,Summary!$B$6)</f>
        <v>332024.1</v>
      </c>
      <c r="L237" s="26" t="n">
        <v>1.559</v>
      </c>
      <c r="M237" s="27" t="n">
        <f aca="false">IF(K237&gt;0,1,0)</f>
        <v>1</v>
      </c>
      <c r="N237" s="11" t="n">
        <f aca="false">SUMIFS(K$2:K237,A$2:A237,A237,B$2:B237,B237)</f>
        <v>1108245.9</v>
      </c>
      <c r="O237" s="11" t="n">
        <f aca="false">MAX(0,_xlfn.MAXIFS(N$2:N237,A$2:A237,A237,B$2:B237,B237))</f>
        <v>1108245.9</v>
      </c>
      <c r="P237" s="11" t="n">
        <f aca="false">N237-O237</f>
        <v>0</v>
      </c>
    </row>
    <row r="238" customFormat="false" ht="15" hidden="false" customHeight="false" outlineLevel="0" collapsed="false">
      <c r="A238" s="8" t="s">
        <v>26</v>
      </c>
      <c r="B238" s="8" t="s">
        <v>37</v>
      </c>
      <c r="C238" s="8" t="s">
        <v>54</v>
      </c>
      <c r="D238" s="21" t="n">
        <v>45959.5208333333</v>
      </c>
      <c r="E238" s="21" t="n">
        <v>45965.375</v>
      </c>
      <c r="F238" s="22" t="n">
        <f aca="false">DATE(YEAR(E238),MONTH(E238),1)</f>
        <v>45962</v>
      </c>
      <c r="G238" s="23" t="n">
        <v>177353</v>
      </c>
      <c r="H238" s="8" t="s">
        <v>58</v>
      </c>
      <c r="I238" s="24" t="n">
        <v>415.52</v>
      </c>
      <c r="J238" s="25" t="n">
        <f aca="false">Summary!$B$4</f>
        <v>1</v>
      </c>
      <c r="K238" s="11" t="n">
        <f aca="false">I238*J238*IF(A238="SILVER",Summary!$B$5,Summary!$B$6)</f>
        <v>12465.6</v>
      </c>
      <c r="L238" s="26" t="n">
        <v>0.091</v>
      </c>
      <c r="M238" s="27" t="n">
        <f aca="false">IF(K238&gt;0,1,0)</f>
        <v>1</v>
      </c>
      <c r="N238" s="11" t="n">
        <f aca="false">SUMIFS(K$2:K238,A$2:A238,A238,B$2:B238,B238)</f>
        <v>1120711.5</v>
      </c>
      <c r="O238" s="11" t="n">
        <f aca="false">MAX(0,_xlfn.MAXIFS(N$2:N238,A$2:A238,A238,B$2:B238,B238))</f>
        <v>1120711.5</v>
      </c>
      <c r="P238" s="11" t="n">
        <f aca="false">N238-O238</f>
        <v>0</v>
      </c>
    </row>
    <row r="239" customFormat="false" ht="15" hidden="false" customHeight="false" outlineLevel="0" collapsed="false">
      <c r="A239" s="8" t="s">
        <v>26</v>
      </c>
      <c r="B239" s="8" t="s">
        <v>37</v>
      </c>
      <c r="C239" s="8" t="s">
        <v>54</v>
      </c>
      <c r="D239" s="21" t="n">
        <v>45967.5833333333</v>
      </c>
      <c r="E239" s="21" t="n">
        <v>45975.5416666667</v>
      </c>
      <c r="F239" s="22" t="n">
        <f aca="false">DATE(YEAR(E239),MONTH(E239),1)</f>
        <v>45962</v>
      </c>
      <c r="G239" s="23" t="n">
        <v>180301</v>
      </c>
      <c r="H239" s="8" t="s">
        <v>55</v>
      </c>
      <c r="I239" s="24" t="n">
        <v>11268.08</v>
      </c>
      <c r="J239" s="25" t="n">
        <f aca="false">Summary!$B$4</f>
        <v>1</v>
      </c>
      <c r="K239" s="11" t="n">
        <f aca="false">I239*J239*IF(A239="SILVER",Summary!$B$5,Summary!$B$6)</f>
        <v>338042.4</v>
      </c>
      <c r="L239" s="26" t="n">
        <v>3.265</v>
      </c>
      <c r="M239" s="27" t="n">
        <f aca="false">IF(K239&gt;0,1,0)</f>
        <v>1</v>
      </c>
      <c r="N239" s="11" t="n">
        <f aca="false">SUMIFS(K$2:K239,A$2:A239,A239,B$2:B239,B239)</f>
        <v>1458753.9</v>
      </c>
      <c r="O239" s="11" t="n">
        <f aca="false">MAX(0,_xlfn.MAXIFS(N$2:N239,A$2:A239,A239,B$2:B239,B239))</f>
        <v>1458753.9</v>
      </c>
      <c r="P239" s="11" t="n">
        <f aca="false">N239-O239</f>
        <v>0</v>
      </c>
    </row>
    <row r="240" customFormat="false" ht="15" hidden="false" customHeight="false" outlineLevel="0" collapsed="false">
      <c r="A240" s="8" t="s">
        <v>26</v>
      </c>
      <c r="B240" s="8" t="s">
        <v>37</v>
      </c>
      <c r="C240" s="8" t="s">
        <v>54</v>
      </c>
      <c r="D240" s="21" t="n">
        <v>45980.4791666667</v>
      </c>
      <c r="E240" s="21" t="n">
        <v>45980.8305555556</v>
      </c>
      <c r="F240" s="22" t="n">
        <f aca="false">DATE(YEAR(E240),MONTH(E240),1)</f>
        <v>45962</v>
      </c>
      <c r="G240" s="23" t="n">
        <v>187810</v>
      </c>
      <c r="H240" s="8" t="s">
        <v>58</v>
      </c>
      <c r="I240" s="24" t="n">
        <v>466.66</v>
      </c>
      <c r="J240" s="25" t="n">
        <f aca="false">Summary!$B$4</f>
        <v>1</v>
      </c>
      <c r="K240" s="11" t="n">
        <f aca="false">I240*J240*IF(A240="SILVER",Summary!$B$5,Summary!$B$6)</f>
        <v>13999.8</v>
      </c>
      <c r="L240" s="26" t="n">
        <v>0.092</v>
      </c>
      <c r="M240" s="27" t="n">
        <f aca="false">IF(K240&gt;0,1,0)</f>
        <v>1</v>
      </c>
      <c r="N240" s="11" t="n">
        <f aca="false">SUMIFS(K$2:K240,A$2:A240,A240,B$2:B240,B240)</f>
        <v>1472753.7</v>
      </c>
      <c r="O240" s="11" t="n">
        <f aca="false">MAX(0,_xlfn.MAXIFS(N$2:N240,A$2:A240,A240,B$2:B240,B240))</f>
        <v>1472753.7</v>
      </c>
      <c r="P240" s="11" t="n">
        <f aca="false">N240-O240</f>
        <v>0</v>
      </c>
    </row>
    <row r="241" customFormat="false" ht="15" hidden="false" customHeight="false" outlineLevel="0" collapsed="false">
      <c r="A241" s="8" t="s">
        <v>26</v>
      </c>
      <c r="B241" s="8" t="s">
        <v>37</v>
      </c>
      <c r="C241" s="8" t="s">
        <v>54</v>
      </c>
      <c r="D241" s="21" t="n">
        <v>45986.3958333333</v>
      </c>
      <c r="E241" s="21" t="n">
        <v>46003.8958333333</v>
      </c>
      <c r="F241" s="22" t="n">
        <f aca="false">DATE(YEAR(E241),MONTH(E241),1)</f>
        <v>45992</v>
      </c>
      <c r="G241" s="23" t="n">
        <v>187894</v>
      </c>
      <c r="H241" s="8" t="s">
        <v>55</v>
      </c>
      <c r="I241" s="24" t="n">
        <v>33600.36</v>
      </c>
      <c r="J241" s="25" t="n">
        <f aca="false">Summary!$B$4</f>
        <v>1</v>
      </c>
      <c r="K241" s="11" t="n">
        <f aca="false">I241*J241*IF(A241="SILVER",Summary!$B$5,Summary!$B$6)</f>
        <v>1008010.8</v>
      </c>
      <c r="L241" s="26" t="n">
        <v>9.4</v>
      </c>
      <c r="M241" s="27" t="n">
        <f aca="false">IF(K241&gt;0,1,0)</f>
        <v>1</v>
      </c>
      <c r="N241" s="11" t="n">
        <f aca="false">SUMIFS(K$2:K241,A$2:A241,A241,B$2:B241,B241)</f>
        <v>2480764.5</v>
      </c>
      <c r="O241" s="11" t="n">
        <f aca="false">MAX(0,_xlfn.MAXIFS(N$2:N241,A$2:A241,A241,B$2:B241,B241))</f>
        <v>2480764.5</v>
      </c>
      <c r="P241" s="11" t="n">
        <f aca="false">N241-O241</f>
        <v>0</v>
      </c>
    </row>
    <row r="242" customFormat="false" ht="15" hidden="false" customHeight="false" outlineLevel="0" collapsed="false">
      <c r="A242" s="8" t="s">
        <v>26</v>
      </c>
      <c r="B242" s="8" t="s">
        <v>37</v>
      </c>
      <c r="C242" s="8" t="s">
        <v>54</v>
      </c>
      <c r="D242" s="21" t="n">
        <v>46008.3958333333</v>
      </c>
      <c r="E242" s="21" t="n">
        <v>46020.6041666667</v>
      </c>
      <c r="F242" s="22" t="n">
        <f aca="false">DATE(YEAR(E242),MONTH(E242),1)</f>
        <v>45992</v>
      </c>
      <c r="G242" s="23" t="n">
        <v>232241</v>
      </c>
      <c r="H242" s="8" t="s">
        <v>55</v>
      </c>
      <c r="I242" s="24" t="n">
        <v>29261.3</v>
      </c>
      <c r="J242" s="25" t="n">
        <f aca="false">Summary!$B$4</f>
        <v>1</v>
      </c>
      <c r="K242" s="11" t="n">
        <f aca="false">I242*J242*IF(A242="SILVER",Summary!$B$5,Summary!$B$6)</f>
        <v>877839</v>
      </c>
      <c r="L242" s="26" t="n">
        <v>3.069</v>
      </c>
      <c r="M242" s="27" t="n">
        <f aca="false">IF(K242&gt;0,1,0)</f>
        <v>1</v>
      </c>
      <c r="N242" s="11" t="n">
        <f aca="false">SUMIFS(K$2:K242,A$2:A242,A242,B$2:B242,B242)</f>
        <v>3358603.5</v>
      </c>
      <c r="O242" s="11" t="n">
        <f aca="false">MAX(0,_xlfn.MAXIFS(N$2:N242,A$2:A242,A242,B$2:B242,B242))</f>
        <v>3358603.5</v>
      </c>
      <c r="P242" s="11" t="n">
        <f aca="false">N242-O242</f>
        <v>0</v>
      </c>
    </row>
    <row r="243" customFormat="false" ht="15" hidden="false" customHeight="false" outlineLevel="0" collapsed="false">
      <c r="A243" s="8" t="s">
        <v>26</v>
      </c>
      <c r="B243" s="8" t="s">
        <v>37</v>
      </c>
      <c r="C243" s="8" t="s">
        <v>54</v>
      </c>
      <c r="D243" s="21" t="n">
        <v>46021.9375</v>
      </c>
      <c r="E243" s="21" t="n">
        <v>46022.3958333333</v>
      </c>
      <c r="F243" s="22" t="n">
        <f aca="false">DATE(YEAR(E243),MONTH(E243),1)</f>
        <v>45992</v>
      </c>
      <c r="G243" s="23" t="n">
        <v>272961</v>
      </c>
      <c r="H243" s="8" t="s">
        <v>55</v>
      </c>
      <c r="I243" s="24" t="n">
        <v>-11940.74</v>
      </c>
      <c r="J243" s="25" t="n">
        <f aca="false">Summary!$B$4</f>
        <v>1</v>
      </c>
      <c r="K243" s="11" t="n">
        <f aca="false">I243*J243*IF(A243="SILVER",Summary!$B$5,Summary!$B$6)</f>
        <v>-358222.2</v>
      </c>
      <c r="L243" s="26" t="n">
        <v>-0.799</v>
      </c>
      <c r="M243" s="27" t="n">
        <f aca="false">IF(K243&gt;0,1,0)</f>
        <v>0</v>
      </c>
      <c r="N243" s="11" t="n">
        <f aca="false">SUMIFS(K$2:K243,A$2:A243,A243,B$2:B243,B243)</f>
        <v>3000381.3</v>
      </c>
      <c r="O243" s="11" t="n">
        <f aca="false">MAX(0,_xlfn.MAXIFS(N$2:N243,A$2:A243,A243,B$2:B243,B243))</f>
        <v>3358603.5</v>
      </c>
      <c r="P243" s="11" t="n">
        <f aca="false">N243-O243</f>
        <v>-358222.2</v>
      </c>
    </row>
    <row r="244" customFormat="false" ht="15" hidden="false" customHeight="false" outlineLevel="0" collapsed="false">
      <c r="A244" s="8" t="s">
        <v>26</v>
      </c>
      <c r="B244" s="8" t="s">
        <v>37</v>
      </c>
      <c r="C244" s="8" t="s">
        <v>54</v>
      </c>
      <c r="D244" s="21" t="n">
        <v>46027.8958333333</v>
      </c>
      <c r="E244" s="21" t="n">
        <v>46029.8125</v>
      </c>
      <c r="F244" s="22" t="n">
        <f aca="false">DATE(YEAR(E244),MONTH(E244),1)</f>
        <v>46023</v>
      </c>
      <c r="G244" s="23" t="n">
        <v>274884</v>
      </c>
      <c r="H244" s="8" t="s">
        <v>55</v>
      </c>
      <c r="I244" s="24" t="n">
        <v>2428.43</v>
      </c>
      <c r="J244" s="25" t="n">
        <f aca="false">Summary!$B$4</f>
        <v>1</v>
      </c>
      <c r="K244" s="11" t="n">
        <f aca="false">I244*J244*IF(A244="SILVER",Summary!$B$5,Summary!$B$6)</f>
        <v>72852.9</v>
      </c>
      <c r="L244" s="26" t="n">
        <v>0.232</v>
      </c>
      <c r="M244" s="27" t="n">
        <f aca="false">IF(K244&gt;0,1,0)</f>
        <v>1</v>
      </c>
      <c r="N244" s="11" t="n">
        <f aca="false">SUMIFS(K$2:K244,A$2:A244,A244,B$2:B244,B244)</f>
        <v>3073234.2</v>
      </c>
      <c r="O244" s="11" t="n">
        <f aca="false">MAX(0,_xlfn.MAXIFS(N$2:N244,A$2:A244,A244,B$2:B244,B244))</f>
        <v>3358603.5</v>
      </c>
      <c r="P244" s="11" t="n">
        <f aca="false">N244-O244</f>
        <v>-285369.3</v>
      </c>
    </row>
    <row r="245" customFormat="false" ht="15" hidden="false" customHeight="false" outlineLevel="0" collapsed="false">
      <c r="A245" s="8" t="s">
        <v>26</v>
      </c>
      <c r="B245" s="8" t="s">
        <v>37</v>
      </c>
      <c r="C245" s="8" t="s">
        <v>54</v>
      </c>
      <c r="D245" s="21" t="n">
        <v>46031.5833333333</v>
      </c>
      <c r="E245" s="21" t="n">
        <v>46043.875</v>
      </c>
      <c r="F245" s="22" t="n">
        <f aca="false">DATE(YEAR(E245),MONTH(E245),1)</f>
        <v>46023</v>
      </c>
      <c r="G245" s="23" t="n">
        <v>277184</v>
      </c>
      <c r="H245" s="8" t="s">
        <v>55</v>
      </c>
      <c r="I245" s="24" t="n">
        <v>70531.27</v>
      </c>
      <c r="J245" s="25" t="n">
        <f aca="false">Summary!$B$4</f>
        <v>1</v>
      </c>
      <c r="K245" s="11" t="n">
        <f aca="false">I245*J245*IF(A245="SILVER",Summary!$B$5,Summary!$B$6)</f>
        <v>2115938.1</v>
      </c>
      <c r="L245" s="26" t="n">
        <v>5.66</v>
      </c>
      <c r="M245" s="27" t="n">
        <f aca="false">IF(K245&gt;0,1,0)</f>
        <v>1</v>
      </c>
      <c r="N245" s="11" t="n">
        <f aca="false">SUMIFS(K$2:K245,A$2:A245,A245,B$2:B245,B245)</f>
        <v>5189172.3</v>
      </c>
      <c r="O245" s="11" t="n">
        <f aca="false">MAX(0,_xlfn.MAXIFS(N$2:N245,A$2:A245,A245,B$2:B245,B245))</f>
        <v>5189172.3</v>
      </c>
      <c r="P245" s="11" t="n">
        <f aca="false">N245-O245</f>
        <v>0</v>
      </c>
    </row>
    <row r="246" customFormat="false" ht="15" hidden="false" customHeight="false" outlineLevel="0" collapsed="false">
      <c r="A246" s="8" t="s">
        <v>26</v>
      </c>
      <c r="B246" s="8" t="s">
        <v>37</v>
      </c>
      <c r="C246" s="8" t="s">
        <v>54</v>
      </c>
      <c r="D246" s="21" t="n">
        <v>46045.3958333333</v>
      </c>
      <c r="E246" s="21" t="n">
        <v>46051.875</v>
      </c>
      <c r="F246" s="22" t="n">
        <f aca="false">DATE(YEAR(E246),MONTH(E246),1)</f>
        <v>46023</v>
      </c>
      <c r="G246" s="23" t="n">
        <v>364146</v>
      </c>
      <c r="H246" s="8" t="s">
        <v>55</v>
      </c>
      <c r="I246" s="24" t="n">
        <v>28660.99</v>
      </c>
      <c r="J246" s="25" t="n">
        <f aca="false">Summary!$B$4</f>
        <v>1</v>
      </c>
      <c r="K246" s="11" t="n">
        <f aca="false">I246*J246*IF(A246="SILVER",Summary!$B$5,Summary!$B$6)</f>
        <v>859829.7</v>
      </c>
      <c r="L246" s="26" t="n">
        <v>1.06</v>
      </c>
      <c r="M246" s="27" t="n">
        <f aca="false">IF(K246&gt;0,1,0)</f>
        <v>1</v>
      </c>
      <c r="N246" s="11" t="n">
        <f aca="false">SUMIFS(K$2:K246,A$2:A246,A246,B$2:B246,B246)</f>
        <v>6049002</v>
      </c>
      <c r="O246" s="11" t="n">
        <f aca="false">MAX(0,_xlfn.MAXIFS(N$2:N246,A$2:A246,A246,B$2:B246,B246))</f>
        <v>6049002</v>
      </c>
      <c r="P246" s="11" t="n">
        <f aca="false">N246-O246</f>
        <v>0</v>
      </c>
    </row>
    <row r="247" customFormat="false" ht="15" hidden="false" customHeight="false" outlineLevel="0" collapsed="false">
      <c r="A247" s="8" t="s">
        <v>26</v>
      </c>
      <c r="B247" s="8" t="s">
        <v>37</v>
      </c>
      <c r="C247" s="8" t="s">
        <v>56</v>
      </c>
      <c r="D247" s="21" t="n">
        <v>46055.3979166667</v>
      </c>
      <c r="E247" s="21" t="n">
        <v>46055.6305555556</v>
      </c>
      <c r="F247" s="22" t="n">
        <f aca="false">DATE(YEAR(E247),MONTH(E247),1)</f>
        <v>46054</v>
      </c>
      <c r="G247" s="23" t="n">
        <v>278047</v>
      </c>
      <c r="H247" s="8" t="s">
        <v>58</v>
      </c>
      <c r="I247" s="24" t="n">
        <v>4658.99</v>
      </c>
      <c r="J247" s="25" t="n">
        <f aca="false">Summary!$B$4</f>
        <v>1</v>
      </c>
      <c r="K247" s="11" t="n">
        <f aca="false">I247*J247*IF(A247="SILVER",Summary!$B$5,Summary!$B$6)</f>
        <v>139769.7</v>
      </c>
      <c r="L247" s="26" t="n">
        <v>0.099</v>
      </c>
      <c r="M247" s="27" t="n">
        <f aca="false">IF(K247&gt;0,1,0)</f>
        <v>1</v>
      </c>
      <c r="N247" s="11" t="n">
        <f aca="false">SUMIFS(K$2:K247,A$2:A247,A247,B$2:B247,B247)</f>
        <v>6188771.7</v>
      </c>
      <c r="O247" s="11" t="n">
        <f aca="false">MAX(0,_xlfn.MAXIFS(N$2:N247,A$2:A247,A247,B$2:B247,B247))</f>
        <v>6188771.7</v>
      </c>
      <c r="P247" s="11" t="n">
        <f aca="false">N247-O247</f>
        <v>0</v>
      </c>
    </row>
    <row r="248" customFormat="false" ht="15" hidden="false" customHeight="false" outlineLevel="0" collapsed="false">
      <c r="A248" s="8" t="s">
        <v>26</v>
      </c>
      <c r="B248" s="8" t="s">
        <v>37</v>
      </c>
      <c r="C248" s="8" t="s">
        <v>56</v>
      </c>
      <c r="D248" s="21" t="n">
        <v>46058.3958333333</v>
      </c>
      <c r="E248" s="21" t="n">
        <v>46064.6875</v>
      </c>
      <c r="F248" s="22" t="n">
        <f aca="false">DATE(YEAR(E248),MONTH(E248),1)</f>
        <v>46054</v>
      </c>
      <c r="G248" s="23" t="n">
        <v>273834</v>
      </c>
      <c r="H248" s="8" t="s">
        <v>55</v>
      </c>
      <c r="I248" s="24" t="n">
        <v>-21560.18</v>
      </c>
      <c r="J248" s="25" t="n">
        <f aca="false">Summary!$B$4</f>
        <v>1</v>
      </c>
      <c r="K248" s="11" t="n">
        <f aca="false">I248*J248*IF(A248="SILVER",Summary!$B$5,Summary!$B$6)</f>
        <v>-646805.4</v>
      </c>
      <c r="L248" s="26" t="n">
        <v>-0.5</v>
      </c>
      <c r="M248" s="27" t="n">
        <f aca="false">IF(K248&gt;0,1,0)</f>
        <v>0</v>
      </c>
      <c r="N248" s="11" t="n">
        <f aca="false">SUMIFS(K$2:K248,A$2:A248,A248,B$2:B248,B248)</f>
        <v>5541966.3</v>
      </c>
      <c r="O248" s="11" t="n">
        <f aca="false">MAX(0,_xlfn.MAXIFS(N$2:N248,A$2:A248,A248,B$2:B248,B248))</f>
        <v>6188771.7</v>
      </c>
      <c r="P248" s="11" t="n">
        <f aca="false">N248-O248</f>
        <v>-646805.4</v>
      </c>
    </row>
    <row r="249" customFormat="false" ht="15" hidden="false" customHeight="false" outlineLevel="0" collapsed="false">
      <c r="A249" s="8" t="s">
        <v>26</v>
      </c>
      <c r="B249" s="8" t="s">
        <v>37</v>
      </c>
      <c r="C249" s="8" t="s">
        <v>56</v>
      </c>
      <c r="D249" s="21" t="n">
        <v>46065.9166666667</v>
      </c>
      <c r="E249" s="21" t="n">
        <v>46066.5583333333</v>
      </c>
      <c r="F249" s="22" t="n">
        <f aca="false">DATE(YEAR(E249),MONTH(E249),1)</f>
        <v>46054</v>
      </c>
      <c r="G249" s="23" t="n">
        <v>275571</v>
      </c>
      <c r="H249" s="8" t="s">
        <v>58</v>
      </c>
      <c r="I249" s="24" t="n">
        <v>1884.74</v>
      </c>
      <c r="J249" s="25" t="n">
        <f aca="false">Summary!$B$4</f>
        <v>1</v>
      </c>
      <c r="K249" s="11" t="n">
        <f aca="false">I249*J249*IF(A249="SILVER",Summary!$B$5,Summary!$B$6)</f>
        <v>56542.2</v>
      </c>
      <c r="L249" s="26" t="n">
        <v>0.097</v>
      </c>
      <c r="M249" s="27" t="n">
        <f aca="false">IF(K249&gt;0,1,0)</f>
        <v>1</v>
      </c>
      <c r="N249" s="11" t="n">
        <f aca="false">SUMIFS(K$2:K249,A$2:A249,A249,B$2:B249,B249)</f>
        <v>5598508.5</v>
      </c>
      <c r="O249" s="11" t="n">
        <f aca="false">MAX(0,_xlfn.MAXIFS(N$2:N249,A$2:A249,A249,B$2:B249,B249))</f>
        <v>6188771.7</v>
      </c>
      <c r="P249" s="11" t="n">
        <f aca="false">N249-O249</f>
        <v>-590263.2</v>
      </c>
    </row>
    <row r="250" customFormat="false" ht="15" hidden="false" customHeight="false" outlineLevel="0" collapsed="false">
      <c r="A250" s="8" t="s">
        <v>26</v>
      </c>
      <c r="B250" s="8" t="s">
        <v>37</v>
      </c>
      <c r="C250" s="8" t="s">
        <v>56</v>
      </c>
      <c r="D250" s="21" t="n">
        <v>46069.3958333333</v>
      </c>
      <c r="E250" s="21" t="n">
        <v>46071.4138888889</v>
      </c>
      <c r="F250" s="22" t="n">
        <f aca="false">DATE(YEAR(E250),MONTH(E250),1)</f>
        <v>46054</v>
      </c>
      <c r="G250" s="23" t="n">
        <v>265345</v>
      </c>
      <c r="H250" s="8" t="s">
        <v>58</v>
      </c>
      <c r="I250" s="24" t="n">
        <v>1659.71</v>
      </c>
      <c r="J250" s="25" t="n">
        <f aca="false">Summary!$B$4</f>
        <v>1</v>
      </c>
      <c r="K250" s="11" t="n">
        <f aca="false">I250*J250*IF(A250="SILVER",Summary!$B$5,Summary!$B$6)</f>
        <v>49791.3</v>
      </c>
      <c r="L250" s="26" t="n">
        <v>0.097</v>
      </c>
      <c r="M250" s="27" t="n">
        <f aca="false">IF(K250&gt;0,1,0)</f>
        <v>1</v>
      </c>
      <c r="N250" s="11" t="n">
        <f aca="false">SUMIFS(K$2:K250,A$2:A250,A250,B$2:B250,B250)</f>
        <v>5648299.8</v>
      </c>
      <c r="O250" s="11" t="n">
        <f aca="false">MAX(0,_xlfn.MAXIFS(N$2:N250,A$2:A250,A250,B$2:B250,B250))</f>
        <v>6188771.7</v>
      </c>
      <c r="P250" s="11" t="n">
        <f aca="false">N250-O250</f>
        <v>-540471.9</v>
      </c>
    </row>
    <row r="251" customFormat="false" ht="15" hidden="false" customHeight="false" outlineLevel="0" collapsed="false">
      <c r="A251" s="8" t="s">
        <v>26</v>
      </c>
      <c r="B251" s="8" t="s">
        <v>37</v>
      </c>
      <c r="C251" s="8" t="s">
        <v>56</v>
      </c>
      <c r="D251" s="21" t="n">
        <v>46079.5833333333</v>
      </c>
      <c r="E251" s="21" t="n">
        <v>46080.7930555556</v>
      </c>
      <c r="F251" s="22" t="n">
        <f aca="false">DATE(YEAR(E251),MONTH(E251),1)</f>
        <v>46054</v>
      </c>
      <c r="G251" s="23" t="n">
        <v>285484</v>
      </c>
      <c r="H251" s="8" t="s">
        <v>55</v>
      </c>
      <c r="I251" s="24" t="n">
        <v>-12510.66</v>
      </c>
      <c r="J251" s="25" t="n">
        <f aca="false">Summary!$B$4</f>
        <v>1</v>
      </c>
      <c r="K251" s="11" t="n">
        <f aca="false">I251*J251*IF(A251="SILVER",Summary!$B$5,Summary!$B$6)</f>
        <v>-375319.8</v>
      </c>
      <c r="L251" s="26" t="n">
        <v>-0.871</v>
      </c>
      <c r="M251" s="27" t="n">
        <f aca="false">IF(K251&gt;0,1,0)</f>
        <v>0</v>
      </c>
      <c r="N251" s="11" t="n">
        <f aca="false">SUMIFS(K$2:K251,A$2:A251,A251,B$2:B251,B251)</f>
        <v>5272980</v>
      </c>
      <c r="O251" s="11" t="n">
        <f aca="false">MAX(0,_xlfn.MAXIFS(N$2:N251,A$2:A251,A251,B$2:B251,B251))</f>
        <v>6188771.7</v>
      </c>
      <c r="P251" s="11" t="n">
        <f aca="false">N251-O251</f>
        <v>-915791.7</v>
      </c>
    </row>
    <row r="252" customFormat="false" ht="15" hidden="false" customHeight="false" outlineLevel="0" collapsed="false">
      <c r="A252" s="8" t="s">
        <v>26</v>
      </c>
      <c r="B252" s="8" t="s">
        <v>37</v>
      </c>
      <c r="C252" s="8" t="s">
        <v>56</v>
      </c>
      <c r="D252" s="21" t="n">
        <v>46083.8541666667</v>
      </c>
      <c r="E252" s="21" t="n">
        <v>46091.3958333333</v>
      </c>
      <c r="F252" s="22" t="n">
        <f aca="false">DATE(YEAR(E252),MONTH(E252),1)</f>
        <v>46082</v>
      </c>
      <c r="G252" s="23" t="n">
        <v>303984</v>
      </c>
      <c r="H252" s="8" t="s">
        <v>55</v>
      </c>
      <c r="I252" s="24" t="n">
        <v>10927.73</v>
      </c>
      <c r="J252" s="25" t="n">
        <f aca="false">Summary!$B$4</f>
        <v>1</v>
      </c>
      <c r="K252" s="11" t="n">
        <f aca="false">I252*J252*IF(A252="SILVER",Summary!$B$5,Summary!$B$6)</f>
        <v>327831.9</v>
      </c>
      <c r="L252" s="26" t="n">
        <v>0.814</v>
      </c>
      <c r="M252" s="27" t="n">
        <f aca="false">IF(K252&gt;0,1,0)</f>
        <v>1</v>
      </c>
      <c r="N252" s="11" t="n">
        <f aca="false">SUMIFS(K$2:K252,A$2:A252,A252,B$2:B252,B252)</f>
        <v>5600811.9</v>
      </c>
      <c r="O252" s="11" t="n">
        <f aca="false">MAX(0,_xlfn.MAXIFS(N$2:N252,A$2:A252,A252,B$2:B252,B252))</f>
        <v>6188771.7</v>
      </c>
      <c r="P252" s="11" t="n">
        <f aca="false">N252-O252</f>
        <v>-587959.8</v>
      </c>
    </row>
    <row r="253" customFormat="false" ht="15" hidden="false" customHeight="false" outlineLevel="0" collapsed="false">
      <c r="A253" s="8" t="s">
        <v>26</v>
      </c>
      <c r="B253" s="8" t="s">
        <v>37</v>
      </c>
      <c r="C253" s="8" t="s">
        <v>56</v>
      </c>
      <c r="D253" s="21" t="n">
        <v>46092.7708333333</v>
      </c>
      <c r="E253" s="21" t="n">
        <v>46094.7270833333</v>
      </c>
      <c r="F253" s="22" t="n">
        <f aca="false">DATE(YEAR(E253),MONTH(E253),1)</f>
        <v>46082</v>
      </c>
      <c r="G253" s="23" t="n">
        <v>284775</v>
      </c>
      <c r="H253" s="8" t="s">
        <v>58</v>
      </c>
      <c r="I253" s="24" t="n">
        <v>1121.9</v>
      </c>
      <c r="J253" s="25" t="n">
        <f aca="false">Summary!$B$4</f>
        <v>1</v>
      </c>
      <c r="K253" s="11" t="n">
        <f aca="false">I253*J253*IF(A253="SILVER",Summary!$B$5,Summary!$B$6)</f>
        <v>33657</v>
      </c>
      <c r="L253" s="26" t="n">
        <v>0.095</v>
      </c>
      <c r="M253" s="27" t="n">
        <f aca="false">IF(K253&gt;0,1,0)</f>
        <v>1</v>
      </c>
      <c r="N253" s="11" t="n">
        <f aca="false">SUMIFS(K$2:K253,A$2:A253,A253,B$2:B253,B253)</f>
        <v>5634468.9</v>
      </c>
      <c r="O253" s="11" t="n">
        <f aca="false">MAX(0,_xlfn.MAXIFS(N$2:N253,A$2:A253,A253,B$2:B253,B253))</f>
        <v>6188771.7</v>
      </c>
      <c r="P253" s="11" t="n">
        <f aca="false">N253-O253</f>
        <v>-554302.8</v>
      </c>
    </row>
    <row r="254" customFormat="false" ht="15" hidden="false" customHeight="false" outlineLevel="0" collapsed="false">
      <c r="A254" s="8" t="s">
        <v>26</v>
      </c>
      <c r="B254" s="8" t="s">
        <v>37</v>
      </c>
      <c r="C254" s="8" t="s">
        <v>56</v>
      </c>
      <c r="D254" s="21" t="n">
        <v>46094.8541666667</v>
      </c>
      <c r="E254" s="21" t="n">
        <v>46097.7868055556</v>
      </c>
      <c r="F254" s="22" t="n">
        <f aca="false">DATE(YEAR(E254),MONTH(E254),1)</f>
        <v>46082</v>
      </c>
      <c r="G254" s="23" t="n">
        <v>275494</v>
      </c>
      <c r="H254" s="8" t="s">
        <v>58</v>
      </c>
      <c r="I254" s="24" t="n">
        <v>1373.22</v>
      </c>
      <c r="J254" s="25" t="n">
        <f aca="false">Summary!$B$4</f>
        <v>1</v>
      </c>
      <c r="K254" s="11" t="n">
        <f aca="false">I254*J254*IF(A254="SILVER",Summary!$B$5,Summary!$B$6)</f>
        <v>41196.6</v>
      </c>
      <c r="L254" s="26" t="n">
        <v>0.096</v>
      </c>
      <c r="M254" s="27" t="n">
        <f aca="false">IF(K254&gt;0,1,0)</f>
        <v>1</v>
      </c>
      <c r="N254" s="11" t="n">
        <f aca="false">SUMIFS(K$2:K254,A$2:A254,A254,B$2:B254,B254)</f>
        <v>5675665.5</v>
      </c>
      <c r="O254" s="11" t="n">
        <f aca="false">MAX(0,_xlfn.MAXIFS(N$2:N254,A$2:A254,A254,B$2:B254,B254))</f>
        <v>6188771.7</v>
      </c>
      <c r="P254" s="11" t="n">
        <f aca="false">N254-O254</f>
        <v>-513106.2</v>
      </c>
    </row>
    <row r="255" customFormat="false" ht="15" hidden="false" customHeight="false" outlineLevel="0" collapsed="false">
      <c r="A255" s="8" t="s">
        <v>26</v>
      </c>
      <c r="B255" s="8" t="s">
        <v>37</v>
      </c>
      <c r="C255" s="8" t="s">
        <v>56</v>
      </c>
      <c r="D255" s="21" t="n">
        <v>46099.7916666667</v>
      </c>
      <c r="E255" s="21" t="n">
        <v>46101.3958333333</v>
      </c>
      <c r="F255" s="22" t="n">
        <f aca="false">DATE(YEAR(E255),MONTH(E255),1)</f>
        <v>46082</v>
      </c>
      <c r="G255" s="23" t="n">
        <v>263182</v>
      </c>
      <c r="H255" s="8" t="s">
        <v>55</v>
      </c>
      <c r="I255" s="24" t="n">
        <v>6241.47</v>
      </c>
      <c r="J255" s="25" t="n">
        <f aca="false">Summary!$B$4</f>
        <v>1</v>
      </c>
      <c r="K255" s="11" t="n">
        <f aca="false">I255*J255*IF(A255="SILVER",Summary!$B$5,Summary!$B$6)</f>
        <v>187244.1</v>
      </c>
      <c r="L255" s="26" t="n">
        <v>0.524</v>
      </c>
      <c r="M255" s="27" t="n">
        <f aca="false">IF(K255&gt;0,1,0)</f>
        <v>1</v>
      </c>
      <c r="N255" s="11" t="n">
        <f aca="false">SUMIFS(K$2:K255,A$2:A255,A255,B$2:B255,B255)</f>
        <v>5862909.6</v>
      </c>
      <c r="O255" s="11" t="n">
        <f aca="false">MAX(0,_xlfn.MAXIFS(N$2:N255,A$2:A255,A255,B$2:B255,B255))</f>
        <v>6188771.7</v>
      </c>
      <c r="P255" s="11" t="n">
        <f aca="false">N255-O255</f>
        <v>-325862.1</v>
      </c>
    </row>
    <row r="256" customFormat="false" ht="15" hidden="false" customHeight="false" outlineLevel="0" collapsed="false">
      <c r="A256" s="8" t="s">
        <v>26</v>
      </c>
      <c r="B256" s="8" t="s">
        <v>37</v>
      </c>
      <c r="C256" s="8" t="s">
        <v>56</v>
      </c>
      <c r="D256" s="21" t="n">
        <v>46104.3958333333</v>
      </c>
      <c r="E256" s="21" t="n">
        <v>46104.5715277778</v>
      </c>
      <c r="F256" s="22" t="n">
        <f aca="false">DATE(YEAR(E256),MONTH(E256),1)</f>
        <v>46082</v>
      </c>
      <c r="G256" s="23" t="n">
        <v>229972</v>
      </c>
      <c r="H256" s="8" t="s">
        <v>58</v>
      </c>
      <c r="I256" s="24" t="n">
        <v>2335.14</v>
      </c>
      <c r="J256" s="25" t="n">
        <f aca="false">Summary!$B$4</f>
        <v>1</v>
      </c>
      <c r="K256" s="11" t="n">
        <f aca="false">I256*J256*IF(A256="SILVER",Summary!$B$5,Summary!$B$6)</f>
        <v>70054.2</v>
      </c>
      <c r="L256" s="26" t="n">
        <v>0.098</v>
      </c>
      <c r="M256" s="27" t="n">
        <f aca="false">IF(K256&gt;0,1,0)</f>
        <v>1</v>
      </c>
      <c r="N256" s="11" t="n">
        <f aca="false">SUMIFS(K$2:K256,A$2:A256,A256,B$2:B256,B256)</f>
        <v>5932963.8</v>
      </c>
      <c r="O256" s="11" t="n">
        <f aca="false">MAX(0,_xlfn.MAXIFS(N$2:N256,A$2:A256,A256,B$2:B256,B256))</f>
        <v>6188771.7</v>
      </c>
      <c r="P256" s="11" t="n">
        <f aca="false">N256-O256</f>
        <v>-255807.9</v>
      </c>
    </row>
    <row r="257" customFormat="false" ht="15" hidden="false" customHeight="false" outlineLevel="0" collapsed="false">
      <c r="A257" s="8" t="s">
        <v>26</v>
      </c>
      <c r="B257" s="8" t="s">
        <v>37</v>
      </c>
      <c r="C257" s="8" t="s">
        <v>56</v>
      </c>
      <c r="D257" s="21" t="n">
        <v>46107.7291666667</v>
      </c>
      <c r="E257" s="21" t="n">
        <v>46108.875</v>
      </c>
      <c r="F257" s="22" t="n">
        <f aca="false">DATE(YEAR(E257),MONTH(E257),1)</f>
        <v>46082</v>
      </c>
      <c r="G257" s="23" t="n">
        <v>238129</v>
      </c>
      <c r="H257" s="8" t="s">
        <v>55</v>
      </c>
      <c r="I257" s="24" t="n">
        <v>-12376.38</v>
      </c>
      <c r="J257" s="25" t="n">
        <f aca="false">Summary!$B$4</f>
        <v>1</v>
      </c>
      <c r="K257" s="11" t="n">
        <f aca="false">I257*J257*IF(A257="SILVER",Summary!$B$5,Summary!$B$6)</f>
        <v>-371291.4</v>
      </c>
      <c r="L257" s="26" t="n">
        <v>-0.699</v>
      </c>
      <c r="M257" s="27" t="n">
        <f aca="false">IF(K257&gt;0,1,0)</f>
        <v>0</v>
      </c>
      <c r="N257" s="11" t="n">
        <f aca="false">SUMIFS(K$2:K257,A$2:A257,A257,B$2:B257,B257)</f>
        <v>5561672.4</v>
      </c>
      <c r="O257" s="11" t="n">
        <f aca="false">MAX(0,_xlfn.MAXIFS(N$2:N257,A$2:A257,A257,B$2:B257,B257))</f>
        <v>6188771.7</v>
      </c>
      <c r="P257" s="11" t="n">
        <f aca="false">N257-O257</f>
        <v>-627099.3</v>
      </c>
    </row>
    <row r="258" customFormat="false" ht="15" hidden="false" customHeight="false" outlineLevel="0" collapsed="false">
      <c r="A258" s="8" t="s">
        <v>26</v>
      </c>
      <c r="B258" s="8" t="s">
        <v>37</v>
      </c>
      <c r="C258" s="8" t="s">
        <v>56</v>
      </c>
      <c r="D258" s="21" t="n">
        <v>46114.3958333333</v>
      </c>
      <c r="E258" s="21" t="n">
        <v>46120.3958333333</v>
      </c>
      <c r="F258" s="22" t="n">
        <f aca="false">DATE(YEAR(E258),MONTH(E258),1)</f>
        <v>46113</v>
      </c>
      <c r="G258" s="23" t="n">
        <v>249599</v>
      </c>
      <c r="H258" s="8" t="s">
        <v>55</v>
      </c>
      <c r="I258" s="24" t="n">
        <v>-11013.53</v>
      </c>
      <c r="J258" s="25" t="n">
        <f aca="false">Summary!$B$4</f>
        <v>1</v>
      </c>
      <c r="K258" s="11" t="n">
        <f aca="false">I258*J258*IF(A258="SILVER",Summary!$B$5,Summary!$B$6)</f>
        <v>-330405.9</v>
      </c>
      <c r="L258" s="26" t="n">
        <v>-0.657</v>
      </c>
      <c r="M258" s="27" t="n">
        <f aca="false">IF(K258&gt;0,1,0)</f>
        <v>0</v>
      </c>
      <c r="N258" s="11" t="n">
        <f aca="false">SUMIFS(K$2:K258,A$2:A258,A258,B$2:B258,B258)</f>
        <v>5231266.5</v>
      </c>
      <c r="O258" s="11" t="n">
        <f aca="false">MAX(0,_xlfn.MAXIFS(N$2:N258,A$2:A258,A258,B$2:B258,B258))</f>
        <v>6188771.7</v>
      </c>
      <c r="P258" s="11" t="n">
        <f aca="false">N258-O258</f>
        <v>-957505.2</v>
      </c>
    </row>
    <row r="259" customFormat="false" ht="15" hidden="false" customHeight="false" outlineLevel="0" collapsed="false">
      <c r="A259" s="8" t="s">
        <v>26</v>
      </c>
      <c r="B259" s="8" t="s">
        <v>37</v>
      </c>
      <c r="C259" s="8" t="s">
        <v>56</v>
      </c>
      <c r="D259" s="21" t="n">
        <v>46121.3958333333</v>
      </c>
      <c r="E259" s="21" t="n">
        <v>46122.8333333333</v>
      </c>
      <c r="F259" s="22" t="n">
        <f aca="false">DATE(YEAR(E259),MONTH(E259),1)</f>
        <v>46113</v>
      </c>
      <c r="G259" s="23" t="n">
        <v>254286</v>
      </c>
      <c r="H259" s="8" t="s">
        <v>55</v>
      </c>
      <c r="I259" s="24" t="n">
        <v>-8083.17</v>
      </c>
      <c r="J259" s="25" t="n">
        <f aca="false">Summary!$B$4</f>
        <v>1</v>
      </c>
      <c r="K259" s="11" t="n">
        <f aca="false">I259*J259*IF(A259="SILVER",Summary!$B$5,Summary!$B$6)</f>
        <v>-242495.1</v>
      </c>
      <c r="L259" s="26" t="n">
        <v>-0.83</v>
      </c>
      <c r="M259" s="27" t="n">
        <f aca="false">IF(K259&gt;0,1,0)</f>
        <v>0</v>
      </c>
      <c r="N259" s="11" t="n">
        <f aca="false">SUMIFS(K$2:K259,A$2:A259,A259,B$2:B259,B259)</f>
        <v>4988771.4</v>
      </c>
      <c r="O259" s="11" t="n">
        <f aca="false">MAX(0,_xlfn.MAXIFS(N$2:N259,A$2:A259,A259,B$2:B259,B259))</f>
        <v>6188771.7</v>
      </c>
      <c r="P259" s="11" t="n">
        <f aca="false">N259-O259</f>
        <v>-1200000.3</v>
      </c>
    </row>
    <row r="260" customFormat="false" ht="15" hidden="false" customHeight="false" outlineLevel="0" collapsed="false">
      <c r="A260" s="8" t="s">
        <v>26</v>
      </c>
      <c r="B260" s="8" t="s">
        <v>37</v>
      </c>
      <c r="C260" s="8" t="s">
        <v>56</v>
      </c>
      <c r="D260" s="21" t="n">
        <v>46132.3958333333</v>
      </c>
      <c r="E260" s="21" t="n">
        <v>46142.5861111111</v>
      </c>
      <c r="F260" s="22" t="n">
        <f aca="false">DATE(YEAR(E260),MONTH(E260),1)</f>
        <v>46113</v>
      </c>
      <c r="G260" s="23" t="n">
        <v>269699</v>
      </c>
      <c r="H260" s="8" t="s">
        <v>55</v>
      </c>
      <c r="I260" s="24" t="n">
        <v>11954.75</v>
      </c>
      <c r="J260" s="25" t="n">
        <f aca="false">Summary!$B$4</f>
        <v>1</v>
      </c>
      <c r="K260" s="11" t="n">
        <f aca="false">I260*J260*IF(A260="SILVER",Summary!$B$5,Summary!$B$6)</f>
        <v>358642.5</v>
      </c>
      <c r="L260" s="26" t="n">
        <v>1.117</v>
      </c>
      <c r="M260" s="27" t="n">
        <f aca="false">IF(K260&gt;0,1,0)</f>
        <v>1</v>
      </c>
      <c r="N260" s="11" t="n">
        <f aca="false">SUMIFS(K$2:K260,A$2:A260,A260,B$2:B260,B260)</f>
        <v>5347413.9</v>
      </c>
      <c r="O260" s="11" t="n">
        <f aca="false">MAX(0,_xlfn.MAXIFS(N$2:N260,A$2:A260,A260,B$2:B260,B260))</f>
        <v>6188771.7</v>
      </c>
      <c r="P260" s="11" t="n">
        <f aca="false">N260-O260</f>
        <v>-841357.8</v>
      </c>
    </row>
    <row r="261" customFormat="false" ht="15" hidden="false" customHeight="false" outlineLevel="0" collapsed="false">
      <c r="A261" s="8" t="s">
        <v>26</v>
      </c>
      <c r="B261" s="8" t="s">
        <v>37</v>
      </c>
      <c r="C261" s="8" t="s">
        <v>56</v>
      </c>
      <c r="D261" s="21" t="n">
        <v>46146.7402777778</v>
      </c>
      <c r="E261" s="21" t="n">
        <v>46147.5819444444</v>
      </c>
      <c r="F261" s="22" t="n">
        <f aca="false">DATE(YEAR(E261),MONTH(E261),1)</f>
        <v>46143</v>
      </c>
      <c r="G261" s="23" t="n">
        <v>257385</v>
      </c>
      <c r="H261" s="8" t="s">
        <v>58</v>
      </c>
      <c r="I261" s="24" t="n">
        <v>-57.75</v>
      </c>
      <c r="J261" s="25" t="n">
        <f aca="false">Summary!$B$4</f>
        <v>1</v>
      </c>
      <c r="K261" s="11" t="n">
        <f aca="false">I261*J261*IF(A261="SILVER",Summary!$B$5,Summary!$B$6)</f>
        <v>-1732.5</v>
      </c>
      <c r="L261" s="26" t="n">
        <v>-0.009</v>
      </c>
      <c r="M261" s="27" t="n">
        <f aca="false">IF(K261&gt;0,1,0)</f>
        <v>0</v>
      </c>
      <c r="N261" s="11" t="n">
        <f aca="false">SUMIFS(K$2:K261,A$2:A261,A261,B$2:B261,B261)</f>
        <v>5345681.4</v>
      </c>
      <c r="O261" s="11" t="n">
        <f aca="false">MAX(0,_xlfn.MAXIFS(N$2:N261,A$2:A261,A261,B$2:B261,B261))</f>
        <v>6188771.7</v>
      </c>
      <c r="P261" s="11" t="n">
        <f aca="false">N261-O261</f>
        <v>-843090.3</v>
      </c>
    </row>
    <row r="262" customFormat="false" ht="15" hidden="false" customHeight="false" outlineLevel="0" collapsed="false">
      <c r="A262" s="8" t="s">
        <v>26</v>
      </c>
      <c r="B262" s="8" t="s">
        <v>37</v>
      </c>
      <c r="C262" s="8" t="s">
        <v>56</v>
      </c>
      <c r="D262" s="21" t="n">
        <v>46156.8125</v>
      </c>
      <c r="E262" s="21" t="n">
        <v>46175.4791666667</v>
      </c>
      <c r="F262" s="22" t="n">
        <f aca="false">DATE(YEAR(E262),MONTH(E262),1)</f>
        <v>46174</v>
      </c>
      <c r="G262" s="23" t="n">
        <v>294418</v>
      </c>
      <c r="H262" s="8" t="s">
        <v>55</v>
      </c>
      <c r="I262" s="24" t="n">
        <v>17083.22</v>
      </c>
      <c r="J262" s="25" t="n">
        <f aca="false">Summary!$B$4</f>
        <v>1</v>
      </c>
      <c r="K262" s="11" t="n">
        <f aca="false">I262*J262*IF(A262="SILVER",Summary!$B$5,Summary!$B$6)</f>
        <v>512496.6</v>
      </c>
      <c r="L262" s="26" t="n">
        <v>1.221</v>
      </c>
      <c r="M262" s="27" t="n">
        <f aca="false">IF(K262&gt;0,1,0)</f>
        <v>1</v>
      </c>
      <c r="N262" s="11" t="n">
        <f aca="false">SUMIFS(K$2:K262,A$2:A262,A262,B$2:B262,B262)</f>
        <v>5858178</v>
      </c>
      <c r="O262" s="11" t="n">
        <f aca="false">MAX(0,_xlfn.MAXIFS(N$2:N262,A$2:A262,A262,B$2:B262,B262))</f>
        <v>6188771.7</v>
      </c>
      <c r="P262" s="11" t="n">
        <f aca="false">N262-O262</f>
        <v>-330593.7</v>
      </c>
    </row>
    <row r="263" customFormat="false" ht="15" hidden="false" customHeight="false" outlineLevel="0" collapsed="false">
      <c r="A263" s="8" t="s">
        <v>26</v>
      </c>
      <c r="B263" s="8" t="s">
        <v>37</v>
      </c>
      <c r="C263" s="8" t="s">
        <v>56</v>
      </c>
      <c r="D263" s="21" t="n">
        <v>46176.6458333333</v>
      </c>
      <c r="E263" s="21" t="n">
        <v>46185.3958333333</v>
      </c>
      <c r="F263" s="22" t="n">
        <f aca="false">DATE(YEAR(E263),MONTH(E263),1)</f>
        <v>46174</v>
      </c>
      <c r="G263" s="23" t="n">
        <v>270569</v>
      </c>
      <c r="H263" s="8" t="s">
        <v>55</v>
      </c>
      <c r="I263" s="24" t="n">
        <v>20839.37</v>
      </c>
      <c r="J263" s="25" t="n">
        <f aca="false">Summary!$B$4</f>
        <v>1</v>
      </c>
      <c r="K263" s="11" t="n">
        <f aca="false">I263*J263*IF(A263="SILVER",Summary!$B$5,Summary!$B$6)</f>
        <v>625181.1</v>
      </c>
      <c r="L263" s="26" t="n">
        <v>3.178</v>
      </c>
      <c r="M263" s="27" t="n">
        <f aca="false">IF(K263&gt;0,1,0)</f>
        <v>1</v>
      </c>
      <c r="N263" s="11" t="n">
        <f aca="false">SUMIFS(K$2:K263,A$2:A263,A263,B$2:B263,B263)</f>
        <v>6483359.1</v>
      </c>
      <c r="O263" s="11" t="n">
        <f aca="false">MAX(0,_xlfn.MAXIFS(N$2:N263,A$2:A263,A263,B$2:B263,B263))</f>
        <v>6483359.1</v>
      </c>
      <c r="P263" s="11" t="n">
        <f aca="false">N263-O263</f>
        <v>0</v>
      </c>
    </row>
    <row r="264" customFormat="false" ht="15" hidden="false" customHeight="false" outlineLevel="0" collapsed="false">
      <c r="A264" s="8" t="s">
        <v>26</v>
      </c>
      <c r="B264" s="8" t="s">
        <v>37</v>
      </c>
      <c r="C264" s="8" t="s">
        <v>56</v>
      </c>
      <c r="D264" s="21" t="n">
        <v>46191.4166666667</v>
      </c>
      <c r="E264" s="21" t="n">
        <v>46195.5</v>
      </c>
      <c r="F264" s="22" t="n">
        <f aca="false">DATE(YEAR(E264),MONTH(E264),1)</f>
        <v>46174</v>
      </c>
      <c r="G264" s="23" t="n">
        <v>253415</v>
      </c>
      <c r="H264" s="8" t="s">
        <v>55</v>
      </c>
      <c r="I264" s="24" t="n">
        <v>8387.56</v>
      </c>
      <c r="J264" s="25" t="n">
        <f aca="false">Summary!$B$4</f>
        <v>1</v>
      </c>
      <c r="K264" s="11" t="n">
        <f aca="false">I264*J264*IF(A264="SILVER",Summary!$B$5,Summary!$B$6)</f>
        <v>251626.8</v>
      </c>
      <c r="L264" s="26" t="n">
        <v>1.134</v>
      </c>
      <c r="M264" s="27" t="n">
        <f aca="false">IF(K264&gt;0,1,0)</f>
        <v>1</v>
      </c>
      <c r="N264" s="11" t="n">
        <f aca="false">SUMIFS(K$2:K264,A$2:A264,A264,B$2:B264,B264)</f>
        <v>6734985.9</v>
      </c>
      <c r="O264" s="11" t="n">
        <f aca="false">MAX(0,_xlfn.MAXIFS(N$2:N264,A$2:A264,A264,B$2:B264,B264))</f>
        <v>6734985.9</v>
      </c>
      <c r="P264" s="11" t="n">
        <f aca="false">N264-O264</f>
        <v>0</v>
      </c>
    </row>
    <row r="265" customFormat="false" ht="15" hidden="false" customHeight="false" outlineLevel="0" collapsed="false">
      <c r="A265" s="8" t="s">
        <v>26</v>
      </c>
      <c r="B265" s="8" t="s">
        <v>37</v>
      </c>
      <c r="C265" s="8" t="s">
        <v>56</v>
      </c>
      <c r="D265" s="21" t="n">
        <v>46196.3958333333</v>
      </c>
      <c r="E265" s="21" t="n">
        <v>46199.8125</v>
      </c>
      <c r="F265" s="22" t="n">
        <f aca="false">DATE(YEAR(E265),MONTH(E265),1)</f>
        <v>46174</v>
      </c>
      <c r="G265" s="23" t="n">
        <v>235620</v>
      </c>
      <c r="H265" s="8" t="s">
        <v>55</v>
      </c>
      <c r="I265" s="24" t="n">
        <v>6185.89</v>
      </c>
      <c r="J265" s="25" t="n">
        <f aca="false">Summary!$B$4</f>
        <v>1</v>
      </c>
      <c r="K265" s="11" t="n">
        <f aca="false">I265*J265*IF(A265="SILVER",Summary!$B$5,Summary!$B$6)</f>
        <v>185576.7</v>
      </c>
      <c r="L265" s="26" t="n">
        <v>0.784</v>
      </c>
      <c r="M265" s="27" t="n">
        <f aca="false">IF(K265&gt;0,1,0)</f>
        <v>1</v>
      </c>
      <c r="N265" s="11" t="n">
        <f aca="false">SUMIFS(K$2:K265,A$2:A265,A265,B$2:B265,B265)</f>
        <v>6920562.6</v>
      </c>
      <c r="O265" s="11" t="n">
        <f aca="false">MAX(0,_xlfn.MAXIFS(N$2:N265,A$2:A265,A265,B$2:B265,B265))</f>
        <v>6920562.6</v>
      </c>
      <c r="P265" s="11" t="n">
        <f aca="false">N265-O265</f>
        <v>0</v>
      </c>
    </row>
    <row r="266" customFormat="false" ht="15" hidden="false" customHeight="false" outlineLevel="0" collapsed="false">
      <c r="A266" s="8" t="s">
        <v>26</v>
      </c>
      <c r="B266" s="8" t="s">
        <v>37</v>
      </c>
      <c r="C266" s="8" t="s">
        <v>56</v>
      </c>
      <c r="D266" s="21" t="n">
        <v>46210.4375</v>
      </c>
      <c r="E266" s="21" t="n">
        <v>46217.7708333333</v>
      </c>
      <c r="F266" s="22" t="n">
        <f aca="false">DATE(YEAR(E266),MONTH(E266),1)</f>
        <v>46204</v>
      </c>
      <c r="G266" s="23" t="n">
        <v>236907</v>
      </c>
      <c r="H266" s="8" t="s">
        <v>55</v>
      </c>
      <c r="I266" s="24" t="n">
        <v>8053.36</v>
      </c>
      <c r="J266" s="25" t="n">
        <f aca="false">Summary!$B$4</f>
        <v>1</v>
      </c>
      <c r="K266" s="11" t="n">
        <f aca="false">I266*J266*IF(A266="SILVER",Summary!$B$5,Summary!$B$6)</f>
        <v>241600.8</v>
      </c>
      <c r="L266" s="26" t="n">
        <v>1.37</v>
      </c>
      <c r="M266" s="27" t="n">
        <f aca="false">IF(K266&gt;0,1,0)</f>
        <v>1</v>
      </c>
      <c r="N266" s="11" t="n">
        <f aca="false">SUMIFS(K$2:K266,A$2:A266,A266,B$2:B266,B266)</f>
        <v>7162163.4</v>
      </c>
      <c r="O266" s="11" t="n">
        <f aca="false">MAX(0,_xlfn.MAXIFS(N$2:N266,A$2:A266,A266,B$2:B266,B266))</f>
        <v>7162163.4</v>
      </c>
      <c r="P266" s="11" t="n">
        <f aca="false">N266-O266</f>
        <v>0</v>
      </c>
    </row>
    <row r="267" customFormat="false" ht="15" hidden="false" customHeight="false" outlineLevel="0" collapsed="false">
      <c r="A267" s="8" t="s">
        <v>26</v>
      </c>
      <c r="B267" s="8" t="s">
        <v>37</v>
      </c>
      <c r="C267" s="8" t="s">
        <v>56</v>
      </c>
      <c r="D267" s="21" t="n">
        <v>46219.5416666667</v>
      </c>
      <c r="E267" s="21" t="n">
        <v>46223.375</v>
      </c>
      <c r="F267" s="22" t="n">
        <f aca="false">DATE(YEAR(E267),MONTH(E267),1)</f>
        <v>46204</v>
      </c>
      <c r="G267" s="23" t="n">
        <v>223171</v>
      </c>
      <c r="H267" s="8" t="s">
        <v>58</v>
      </c>
      <c r="I267" s="24" t="n">
        <v>-738.74</v>
      </c>
      <c r="J267" s="25" t="n">
        <f aca="false">Summary!$B$4</f>
        <v>1</v>
      </c>
      <c r="K267" s="11" t="n">
        <f aca="false">I267*J267*IF(A267="SILVER",Summary!$B$5,Summary!$B$6)</f>
        <v>-22162.2</v>
      </c>
      <c r="L267" s="26" t="n">
        <v>-0.119</v>
      </c>
      <c r="M267" s="27" t="n">
        <f aca="false">IF(K267&gt;0,1,0)</f>
        <v>0</v>
      </c>
      <c r="N267" s="11" t="n">
        <f aca="false">SUMIFS(K$2:K267,A$2:A267,A267,B$2:B267,B267)</f>
        <v>7140001.2</v>
      </c>
      <c r="O267" s="11" t="n">
        <f aca="false">MAX(0,_xlfn.MAXIFS(N$2:N267,A$2:A267,A267,B$2:B267,B267))</f>
        <v>7162163.4</v>
      </c>
      <c r="P267" s="11" t="n">
        <f aca="false">N267-O267</f>
        <v>-22162.2000000002</v>
      </c>
    </row>
    <row r="268" customFormat="false" ht="15" hidden="false" customHeight="false" outlineLevel="0" collapsed="false">
      <c r="A268" s="8" t="s">
        <v>26</v>
      </c>
      <c r="B268" s="8" t="s">
        <v>37</v>
      </c>
      <c r="C268" s="8" t="s">
        <v>56</v>
      </c>
      <c r="D268" s="21" t="n">
        <v>46226.5625</v>
      </c>
      <c r="E268" s="21" t="n">
        <v>46227.5451388889</v>
      </c>
      <c r="F268" s="22" t="n">
        <f aca="false">DATE(YEAR(E268),MONTH(E268),1)</f>
        <v>46204</v>
      </c>
      <c r="G268" s="23" t="n">
        <v>227444</v>
      </c>
      <c r="H268" s="8" t="s">
        <v>58</v>
      </c>
      <c r="I268" s="24" t="n">
        <v>489.44</v>
      </c>
      <c r="J268" s="25" t="n">
        <f aca="false">Summary!$B$4</f>
        <v>1</v>
      </c>
      <c r="K268" s="11" t="n">
        <f aca="false">I268*J268*IF(A268="SILVER",Summary!$B$5,Summary!$B$6)</f>
        <v>14683.2</v>
      </c>
      <c r="L268" s="26" t="n">
        <v>0.09</v>
      </c>
      <c r="M268" s="27" t="n">
        <f aca="false">IF(K268&gt;0,1,0)</f>
        <v>1</v>
      </c>
      <c r="N268" s="11" t="n">
        <f aca="false">SUMIFS(K$2:K268,A$2:A268,A268,B$2:B268,B268)</f>
        <v>7154684.4</v>
      </c>
      <c r="O268" s="11" t="n">
        <f aca="false">MAX(0,_xlfn.MAXIFS(N$2:N268,A$2:A268,A268,B$2:B268,B268))</f>
        <v>7162163.4</v>
      </c>
      <c r="P268" s="11" t="n">
        <f aca="false">N268-O268</f>
        <v>-7479</v>
      </c>
    </row>
    <row r="269" customFormat="false" ht="15" hidden="false" customHeight="false" outlineLevel="0" collapsed="false">
      <c r="A269" s="8" t="s">
        <v>26</v>
      </c>
      <c r="B269" s="8" t="s">
        <v>37</v>
      </c>
      <c r="C269" s="8" t="s">
        <v>56</v>
      </c>
      <c r="D269" s="21" t="n">
        <v>46231.3958333333</v>
      </c>
      <c r="E269" s="21" t="n">
        <v>46233.9166666667</v>
      </c>
      <c r="F269" s="22" t="n">
        <f aca="false">DATE(YEAR(E269),MONTH(E269),1)</f>
        <v>46204</v>
      </c>
      <c r="G269" s="23" t="n">
        <v>222378</v>
      </c>
      <c r="H269" s="8" t="s">
        <v>55</v>
      </c>
      <c r="I269" s="24" t="n">
        <v>-2347.79</v>
      </c>
      <c r="J269" s="25" t="n">
        <f aca="false">Summary!$B$4</f>
        <v>1</v>
      </c>
      <c r="K269" s="11" t="n">
        <f aca="false">I269*J269*IF(A269="SILVER",Summary!$B$5,Summary!$B$6)</f>
        <v>-70433.7</v>
      </c>
      <c r="L269" s="26" t="n">
        <v>-0.353</v>
      </c>
      <c r="M269" s="27" t="n">
        <f aca="false">IF(K269&gt;0,1,0)</f>
        <v>0</v>
      </c>
      <c r="N269" s="11" t="n">
        <f aca="false">SUMIFS(K$2:K269,A$2:A269,A269,B$2:B269,B269)</f>
        <v>7084250.7</v>
      </c>
      <c r="O269" s="11" t="n">
        <f aca="false">MAX(0,_xlfn.MAXIFS(N$2:N269,A$2:A269,A269,B$2:B269,B269))</f>
        <v>7162163.4</v>
      </c>
      <c r="P269" s="11" t="n">
        <f aca="false">N269-O269</f>
        <v>-77912.7000000002</v>
      </c>
    </row>
    <row r="270" customFormat="false" ht="15" hidden="false" customHeight="false" outlineLevel="0" collapsed="false">
      <c r="A270" s="8" t="s">
        <v>26</v>
      </c>
      <c r="B270" s="8" t="s">
        <v>37</v>
      </c>
      <c r="C270" s="8" t="s">
        <v>56</v>
      </c>
      <c r="D270" s="21" t="n">
        <v>46237.7916666667</v>
      </c>
      <c r="E270" s="21" t="n">
        <v>46238.7083333333</v>
      </c>
      <c r="F270" s="22" t="n">
        <f aca="false">DATE(YEAR(E270),MONTH(E270),1)</f>
        <v>46235</v>
      </c>
      <c r="G270" s="23" t="n">
        <v>218771</v>
      </c>
      <c r="H270" s="8" t="s">
        <v>55</v>
      </c>
      <c r="I270" s="24" t="n">
        <v>-5889.41</v>
      </c>
      <c r="J270" s="25" t="n">
        <f aca="false">Summary!$B$4</f>
        <v>1</v>
      </c>
      <c r="K270" s="11" t="n">
        <f aca="false">I270*J270*IF(A270="SILVER",Summary!$B$5,Summary!$B$6)</f>
        <v>-176682.3</v>
      </c>
      <c r="L270" s="26" t="n">
        <v>-0.949</v>
      </c>
      <c r="M270" s="27" t="n">
        <f aca="false">IF(K270&gt;0,1,0)</f>
        <v>0</v>
      </c>
      <c r="N270" s="11" t="n">
        <f aca="false">SUMIFS(K$2:K270,A$2:A270,A270,B$2:B270,B270)</f>
        <v>6907568.4</v>
      </c>
      <c r="O270" s="11" t="n">
        <f aca="false">MAX(0,_xlfn.MAXIFS(N$2:N270,A$2:A270,A270,B$2:B270,B270))</f>
        <v>7162163.4</v>
      </c>
      <c r="P270" s="11" t="n">
        <f aca="false">N270-O270</f>
        <v>-254595</v>
      </c>
    </row>
    <row r="271" customFormat="false" ht="15" hidden="false" customHeight="false" outlineLevel="0" collapsed="false">
      <c r="A271" s="8" t="s">
        <v>26</v>
      </c>
      <c r="B271" s="8" t="s">
        <v>37</v>
      </c>
      <c r="C271" s="8" t="s">
        <v>56</v>
      </c>
      <c r="D271" s="21" t="n">
        <v>46248.3958333333</v>
      </c>
      <c r="E271" s="21" t="n">
        <v>46251.875</v>
      </c>
      <c r="F271" s="22" t="n">
        <f aca="false">DATE(YEAR(E271),MONTH(E271),1)</f>
        <v>46235</v>
      </c>
      <c r="G271" s="23" t="n">
        <v>237702</v>
      </c>
      <c r="H271" s="8" t="s">
        <v>55</v>
      </c>
      <c r="I271" s="24" t="n">
        <v>-5924.2</v>
      </c>
      <c r="J271" s="25" t="n">
        <f aca="false">Summary!$B$4</f>
        <v>1</v>
      </c>
      <c r="K271" s="11" t="n">
        <f aca="false">I271*J271*IF(A271="SILVER",Summary!$B$5,Summary!$B$6)</f>
        <v>-177726</v>
      </c>
      <c r="L271" s="26" t="n">
        <v>-0.898</v>
      </c>
      <c r="M271" s="27" t="n">
        <f aca="false">IF(K271&gt;0,1,0)</f>
        <v>0</v>
      </c>
      <c r="N271" s="11" t="n">
        <f aca="false">SUMIFS(K$2:K271,A$2:A271,A271,B$2:B271,B271)</f>
        <v>6729842.4</v>
      </c>
      <c r="O271" s="11" t="n">
        <f aca="false">MAX(0,_xlfn.MAXIFS(N$2:N271,A$2:A271,A271,B$2:B271,B271))</f>
        <v>7162163.4</v>
      </c>
      <c r="P271" s="11" t="n">
        <f aca="false">N271-O271</f>
        <v>-432321</v>
      </c>
    </row>
    <row r="272" customFormat="false" ht="15" hidden="false" customHeight="false" outlineLevel="0" collapsed="false">
      <c r="A272" s="8" t="s">
        <v>26</v>
      </c>
      <c r="B272" s="8" t="s">
        <v>37</v>
      </c>
      <c r="C272" s="8" t="s">
        <v>56</v>
      </c>
      <c r="D272" s="21" t="n">
        <v>46252.8541666667</v>
      </c>
      <c r="E272" s="21" t="n">
        <v>46253.7541666667</v>
      </c>
      <c r="F272" s="22" t="n">
        <f aca="false">DATE(YEAR(E272),MONTH(E272),1)</f>
        <v>46235</v>
      </c>
      <c r="G272" s="23" t="n">
        <v>237772</v>
      </c>
      <c r="H272" s="8" t="s">
        <v>58</v>
      </c>
      <c r="I272" s="24" t="n">
        <v>468.65</v>
      </c>
      <c r="J272" s="25" t="n">
        <f aca="false">Summary!$B$4</f>
        <v>1</v>
      </c>
      <c r="K272" s="11" t="n">
        <f aca="false">I272*J272*IF(A272="SILVER",Summary!$B$5,Summary!$B$6)</f>
        <v>14059.5</v>
      </c>
      <c r="L272" s="26" t="n">
        <v>0.089</v>
      </c>
      <c r="M272" s="27" t="n">
        <f aca="false">IF(K272&gt;0,1,0)</f>
        <v>1</v>
      </c>
      <c r="N272" s="11" t="n">
        <f aca="false">SUMIFS(K$2:K272,A$2:A272,A272,B$2:B272,B272)</f>
        <v>6743901.9</v>
      </c>
      <c r="O272" s="11" t="n">
        <f aca="false">MAX(0,_xlfn.MAXIFS(N$2:N272,A$2:A272,A272,B$2:B272,B272))</f>
        <v>7162163.4</v>
      </c>
      <c r="P272" s="11" t="n">
        <f aca="false">N272-O272</f>
        <v>-418261.5</v>
      </c>
    </row>
    <row r="273" customFormat="false" ht="15" hidden="false" customHeight="false" outlineLevel="0" collapsed="false">
      <c r="A273" s="8" t="s">
        <v>26</v>
      </c>
      <c r="B273" s="8" t="s">
        <v>37</v>
      </c>
      <c r="C273" s="8" t="s">
        <v>56</v>
      </c>
      <c r="D273" s="21" t="n">
        <v>46259.4375</v>
      </c>
      <c r="E273" s="21" t="n">
        <v>46261.375</v>
      </c>
      <c r="F273" s="22" t="n">
        <f aca="false">DATE(YEAR(E273),MONTH(E273),1)</f>
        <v>46235</v>
      </c>
      <c r="G273" s="23" t="n">
        <v>246858</v>
      </c>
      <c r="H273" s="8" t="s">
        <v>58</v>
      </c>
      <c r="I273" s="24" t="n">
        <v>-856.29</v>
      </c>
      <c r="J273" s="25" t="n">
        <f aca="false">Summary!$B$4</f>
        <v>1</v>
      </c>
      <c r="K273" s="11" t="n">
        <f aca="false">I273*J273*IF(A273="SILVER",Summary!$B$5,Summary!$B$6)</f>
        <v>-25688.7</v>
      </c>
      <c r="L273" s="26" t="n">
        <v>-0.131</v>
      </c>
      <c r="M273" s="27" t="n">
        <f aca="false">IF(K273&gt;0,1,0)</f>
        <v>0</v>
      </c>
      <c r="N273" s="11" t="n">
        <f aca="false">SUMIFS(K$2:K273,A$2:A273,A273,B$2:B273,B273)</f>
        <v>6718213.2</v>
      </c>
      <c r="O273" s="11" t="n">
        <f aca="false">MAX(0,_xlfn.MAXIFS(N$2:N273,A$2:A273,A273,B$2:B273,B273))</f>
        <v>7162163.4</v>
      </c>
      <c r="P273" s="11" t="n">
        <f aca="false">N273-O273</f>
        <v>-443950.2</v>
      </c>
    </row>
    <row r="274" customFormat="false" ht="15" hidden="false" customHeight="false" outlineLevel="0" collapsed="false">
      <c r="A274" s="8" t="s">
        <v>26</v>
      </c>
      <c r="B274" s="8" t="s">
        <v>37</v>
      </c>
      <c r="C274" s="8" t="s">
        <v>56</v>
      </c>
      <c r="D274" s="21" t="n">
        <v>46261.4166666667</v>
      </c>
      <c r="E274" s="21" t="n">
        <v>46265.7006944444</v>
      </c>
      <c r="F274" s="22" t="n">
        <f aca="false">DATE(YEAR(E274),MONTH(E274),1)</f>
        <v>46235</v>
      </c>
      <c r="G274" s="23" t="n">
        <v>242161</v>
      </c>
      <c r="H274" s="8" t="s">
        <v>58</v>
      </c>
      <c r="I274" s="24" t="n">
        <v>764.57</v>
      </c>
      <c r="J274" s="25" t="n">
        <f aca="false">Summary!$B$4</f>
        <v>1</v>
      </c>
      <c r="K274" s="11" t="n">
        <f aca="false">I274*J274*IF(A274="SILVER",Summary!$B$5,Summary!$B$6)</f>
        <v>22937.1</v>
      </c>
      <c r="L274" s="26" t="n">
        <v>0.093</v>
      </c>
      <c r="M274" s="27" t="n">
        <f aca="false">IF(K274&gt;0,1,0)</f>
        <v>1</v>
      </c>
      <c r="N274" s="11" t="n">
        <f aca="false">SUMIFS(K$2:K274,A$2:A274,A274,B$2:B274,B274)</f>
        <v>6741150.3</v>
      </c>
      <c r="O274" s="11" t="n">
        <f aca="false">MAX(0,_xlfn.MAXIFS(N$2:N274,A$2:A274,A274,B$2:B274,B274))</f>
        <v>7162163.4</v>
      </c>
      <c r="P274" s="11" t="n">
        <f aca="false">N274-O274</f>
        <v>-421013.100000001</v>
      </c>
    </row>
    <row r="275" customFormat="false" ht="15" hidden="false" customHeight="false" outlineLevel="0" collapsed="false">
      <c r="A275" s="8" t="s">
        <v>26</v>
      </c>
      <c r="B275" s="8" t="s">
        <v>37</v>
      </c>
      <c r="C275" s="8" t="s">
        <v>56</v>
      </c>
      <c r="D275" s="21" t="n">
        <v>46265.8958333333</v>
      </c>
      <c r="E275" s="21" t="n">
        <v>46268.3770833333</v>
      </c>
      <c r="F275" s="22" t="n">
        <f aca="false">DATE(YEAR(E275),MONTH(E275),1)</f>
        <v>46266</v>
      </c>
      <c r="G275" s="23" t="n">
        <v>238038</v>
      </c>
      <c r="H275" s="8" t="s">
        <v>58</v>
      </c>
      <c r="I275" s="24" t="n">
        <v>414.41</v>
      </c>
      <c r="J275" s="25" t="n">
        <f aca="false">Summary!$B$4</f>
        <v>1</v>
      </c>
      <c r="K275" s="11" t="n">
        <f aca="false">I275*J275*IF(A275="SILVER",Summary!$B$5,Summary!$B$6)</f>
        <v>12432.3</v>
      </c>
      <c r="L275" s="26" t="n">
        <v>0.06</v>
      </c>
      <c r="M275" s="27" t="n">
        <f aca="false">IF(K275&gt;0,1,0)</f>
        <v>1</v>
      </c>
      <c r="N275" s="11" t="n">
        <f aca="false">SUMIFS(K$2:K275,A$2:A275,A275,B$2:B275,B275)</f>
        <v>6753582.6</v>
      </c>
      <c r="O275" s="11" t="n">
        <f aca="false">MAX(0,_xlfn.MAXIFS(N$2:N275,A$2:A275,A275,B$2:B275,B275))</f>
        <v>7162163.4</v>
      </c>
      <c r="P275" s="11" t="n">
        <f aca="false">N275-O275</f>
        <v>-408580.8</v>
      </c>
    </row>
    <row r="276" customFormat="false" ht="15" hidden="false" customHeight="false" outlineLevel="0" collapsed="false">
      <c r="A276" s="8" t="s">
        <v>26</v>
      </c>
      <c r="B276" s="8" t="s">
        <v>37</v>
      </c>
      <c r="C276" s="8" t="s">
        <v>56</v>
      </c>
      <c r="D276" s="21" t="n">
        <v>46269.7923611111</v>
      </c>
      <c r="E276" s="21" t="n">
        <v>46273.3958333333</v>
      </c>
      <c r="F276" s="22" t="n">
        <f aca="false">DATE(YEAR(E276),MONTH(E276),1)</f>
        <v>46266</v>
      </c>
      <c r="G276" s="23" t="n">
        <v>235970</v>
      </c>
      <c r="H276" s="8" t="s">
        <v>55</v>
      </c>
      <c r="I276" s="24" t="n">
        <v>-5345.43</v>
      </c>
      <c r="J276" s="25" t="n">
        <f aca="false">Summary!$B$4</f>
        <v>1</v>
      </c>
      <c r="K276" s="11" t="n">
        <f aca="false">I276*J276*IF(A276="SILVER",Summary!$B$5,Summary!$B$6)</f>
        <v>-160362.9</v>
      </c>
      <c r="L276" s="26" t="n">
        <v>-1.196</v>
      </c>
      <c r="M276" s="27" t="n">
        <f aca="false">IF(K276&gt;0,1,0)</f>
        <v>0</v>
      </c>
      <c r="N276" s="11" t="n">
        <f aca="false">SUMIFS(K$2:K276,A$2:A276,A276,B$2:B276,B276)</f>
        <v>6593219.7</v>
      </c>
      <c r="O276" s="11" t="n">
        <f aca="false">MAX(0,_xlfn.MAXIFS(N$2:N276,A$2:A276,A276,B$2:B276,B276))</f>
        <v>7162163.4</v>
      </c>
      <c r="P276" s="11" t="n">
        <f aca="false">N276-O276</f>
        <v>-568943.7</v>
      </c>
    </row>
    <row r="277" customFormat="false" ht="15" hidden="false" customHeight="false" outlineLevel="0" collapsed="false">
      <c r="A277" s="8" t="s">
        <v>26</v>
      </c>
      <c r="B277" s="8" t="s">
        <v>37</v>
      </c>
      <c r="C277" s="8" t="s">
        <v>56</v>
      </c>
      <c r="D277" s="21" t="n">
        <v>46275.7291666667</v>
      </c>
      <c r="E277" s="21" t="n">
        <v>46281.7083333333</v>
      </c>
      <c r="F277" s="22" t="n">
        <f aca="false">DATE(YEAR(E277),MONTH(E277),1)</f>
        <v>46266</v>
      </c>
      <c r="G277" s="23" t="n">
        <v>238150</v>
      </c>
      <c r="H277" s="8" t="s">
        <v>55</v>
      </c>
      <c r="I277" s="24" t="n">
        <v>2230.59</v>
      </c>
      <c r="J277" s="25" t="n">
        <f aca="false">Summary!$B$4</f>
        <v>1</v>
      </c>
      <c r="K277" s="11" t="n">
        <f aca="false">I277*J277*IF(A277="SILVER",Summary!$B$5,Summary!$B$6)</f>
        <v>66917.7</v>
      </c>
      <c r="L277" s="26" t="n">
        <v>0.326</v>
      </c>
      <c r="M277" s="27" t="n">
        <f aca="false">IF(K277&gt;0,1,0)</f>
        <v>1</v>
      </c>
      <c r="N277" s="11" t="n">
        <f aca="false">SUMIFS(K$2:K277,A$2:A277,A277,B$2:B277,B277)</f>
        <v>6660137.4</v>
      </c>
      <c r="O277" s="11" t="n">
        <f aca="false">MAX(0,_xlfn.MAXIFS(N$2:N277,A$2:A277,A277,B$2:B277,B277))</f>
        <v>7162163.4</v>
      </c>
      <c r="P277" s="11" t="n">
        <f aca="false">N277-O277</f>
        <v>-502026</v>
      </c>
    </row>
    <row r="278" customFormat="false" ht="15" hidden="false" customHeight="false" outlineLevel="0" collapsed="false">
      <c r="A278" s="8" t="s">
        <v>26</v>
      </c>
      <c r="B278" s="8" t="s">
        <v>37</v>
      </c>
      <c r="C278" s="8" t="s">
        <v>56</v>
      </c>
      <c r="D278" s="21" t="n">
        <v>46287.5625</v>
      </c>
      <c r="E278" s="21" t="n">
        <v>46288.9784722222</v>
      </c>
      <c r="F278" s="22" t="n">
        <f aca="false">DATE(YEAR(E278),MONTH(E278),1)</f>
        <v>46266</v>
      </c>
      <c r="G278" s="23" t="n">
        <v>236800</v>
      </c>
      <c r="H278" s="8" t="s">
        <v>57</v>
      </c>
      <c r="I278" s="24" t="n">
        <v>657.71</v>
      </c>
      <c r="J278" s="25" t="n">
        <f aca="false">Summary!$B$4</f>
        <v>1</v>
      </c>
      <c r="K278" s="11" t="n">
        <f aca="false">I278*J278*IF(A278="SILVER",Summary!$B$5,Summary!$B$6)</f>
        <v>19731.3</v>
      </c>
      <c r="L278" s="26" t="n">
        <v>0.121</v>
      </c>
      <c r="M278" s="27" t="n">
        <f aca="false">IF(K278&gt;0,1,0)</f>
        <v>1</v>
      </c>
      <c r="N278" s="11" t="n">
        <f aca="false">SUMIFS(K$2:K278,A$2:A278,A278,B$2:B278,B278)</f>
        <v>6679868.7</v>
      </c>
      <c r="O278" s="11" t="n">
        <f aca="false">MAX(0,_xlfn.MAXIFS(N$2:N278,A$2:A278,A278,B$2:B278,B278))</f>
        <v>7162163.4</v>
      </c>
      <c r="P278" s="11" t="n">
        <f aca="false">N278-O278</f>
        <v>-482294.7</v>
      </c>
    </row>
    <row r="279" customFormat="false" ht="15" hidden="false" customHeight="false" outlineLevel="0" collapsed="false">
      <c r="A279" s="8" t="s">
        <v>39</v>
      </c>
      <c r="B279" s="8" t="s">
        <v>27</v>
      </c>
      <c r="C279" s="8" t="s">
        <v>54</v>
      </c>
      <c r="D279" s="21" t="n">
        <v>45665.8333333333</v>
      </c>
      <c r="E279" s="21" t="n">
        <v>45702.875</v>
      </c>
      <c r="F279" s="22" t="n">
        <f aca="false">DATE(YEAR(E279),MONTH(E279),1)</f>
        <v>45689</v>
      </c>
      <c r="G279" s="23" t="n">
        <v>98216</v>
      </c>
      <c r="H279" s="8" t="s">
        <v>55</v>
      </c>
      <c r="I279" s="24" t="n">
        <v>7271.71</v>
      </c>
      <c r="J279" s="25" t="n">
        <f aca="false">Summary!$B$4</f>
        <v>1</v>
      </c>
      <c r="K279" s="11" t="n">
        <f aca="false">I279*J279*IF(A279="SILVER",Summary!$B$5,Summary!$B$6)</f>
        <v>727171</v>
      </c>
      <c r="L279" s="26" t="n">
        <v>5.82</v>
      </c>
      <c r="M279" s="27" t="n">
        <f aca="false">IF(K279&gt;0,1,0)</f>
        <v>1</v>
      </c>
      <c r="N279" s="11" t="n">
        <f aca="false">SUMIFS(K$2:K279,A$2:A279,A279,B$2:B279,B279)</f>
        <v>727171</v>
      </c>
      <c r="O279" s="11" t="n">
        <f aca="false">MAX(0,_xlfn.MAXIFS(N$2:N279,A$2:A279,A279,B$2:B279,B279))</f>
        <v>727171</v>
      </c>
      <c r="P279" s="11" t="n">
        <f aca="false">N279-O279</f>
        <v>0</v>
      </c>
    </row>
    <row r="280" customFormat="false" ht="15" hidden="false" customHeight="false" outlineLevel="0" collapsed="false">
      <c r="A280" s="8" t="s">
        <v>39</v>
      </c>
      <c r="B280" s="8" t="s">
        <v>27</v>
      </c>
      <c r="C280" s="8" t="s">
        <v>56</v>
      </c>
      <c r="D280" s="21" t="n">
        <v>45702.875</v>
      </c>
      <c r="E280" s="21" t="n">
        <v>45707.5833333333</v>
      </c>
      <c r="F280" s="22" t="n">
        <f aca="false">DATE(YEAR(E280),MONTH(E280),1)</f>
        <v>45689</v>
      </c>
      <c r="G280" s="23" t="n">
        <v>105541</v>
      </c>
      <c r="H280" s="8" t="s">
        <v>55</v>
      </c>
      <c r="I280" s="24" t="n">
        <v>-1398.13</v>
      </c>
      <c r="J280" s="25" t="n">
        <f aca="false">Summary!$B$4</f>
        <v>1</v>
      </c>
      <c r="K280" s="11" t="n">
        <f aca="false">I280*J280*IF(A280="SILVER",Summary!$B$5,Summary!$B$6)</f>
        <v>-139813</v>
      </c>
      <c r="L280" s="26" t="n">
        <v>-1.033</v>
      </c>
      <c r="M280" s="27" t="n">
        <f aca="false">IF(K280&gt;0,1,0)</f>
        <v>0</v>
      </c>
      <c r="N280" s="11" t="n">
        <f aca="false">SUMIFS(K$2:K280,A$2:A280,A280,B$2:B280,B280)</f>
        <v>587358</v>
      </c>
      <c r="O280" s="11" t="n">
        <f aca="false">MAX(0,_xlfn.MAXIFS(N$2:N280,A$2:A280,A280,B$2:B280,B280))</f>
        <v>727171</v>
      </c>
      <c r="P280" s="11" t="n">
        <f aca="false">N280-O280</f>
        <v>-139813</v>
      </c>
    </row>
    <row r="281" customFormat="false" ht="15" hidden="false" customHeight="false" outlineLevel="0" collapsed="false">
      <c r="A281" s="8" t="s">
        <v>39</v>
      </c>
      <c r="B281" s="8" t="s">
        <v>27</v>
      </c>
      <c r="C281" s="8" t="s">
        <v>54</v>
      </c>
      <c r="D281" s="21" t="n">
        <v>45707.5833333333</v>
      </c>
      <c r="E281" s="21" t="n">
        <v>45713.9166666667</v>
      </c>
      <c r="F281" s="22" t="n">
        <f aca="false">DATE(YEAR(E281),MONTH(E281),1)</f>
        <v>45689</v>
      </c>
      <c r="G281" s="23" t="n">
        <v>106912</v>
      </c>
      <c r="H281" s="8" t="s">
        <v>55</v>
      </c>
      <c r="I281" s="24" t="n">
        <v>-1045.17</v>
      </c>
      <c r="J281" s="25" t="n">
        <f aca="false">Summary!$B$4</f>
        <v>1</v>
      </c>
      <c r="K281" s="11" t="n">
        <f aca="false">I281*J281*IF(A281="SILVER",Summary!$B$5,Summary!$B$6)</f>
        <v>-104517</v>
      </c>
      <c r="L281" s="26" t="n">
        <v>-0.914</v>
      </c>
      <c r="M281" s="27" t="n">
        <f aca="false">IF(K281&gt;0,1,0)</f>
        <v>0</v>
      </c>
      <c r="N281" s="11" t="n">
        <f aca="false">SUMIFS(K$2:K281,A$2:A281,A281,B$2:B281,B281)</f>
        <v>482841</v>
      </c>
      <c r="O281" s="11" t="n">
        <f aca="false">MAX(0,_xlfn.MAXIFS(N$2:N281,A$2:A281,A281,B$2:B281,B281))</f>
        <v>727171</v>
      </c>
      <c r="P281" s="11" t="n">
        <f aca="false">N281-O281</f>
        <v>-244330</v>
      </c>
    </row>
    <row r="282" customFormat="false" ht="15" hidden="false" customHeight="false" outlineLevel="0" collapsed="false">
      <c r="A282" s="8" t="s">
        <v>39</v>
      </c>
      <c r="B282" s="8" t="s">
        <v>27</v>
      </c>
      <c r="C282" s="8" t="s">
        <v>56</v>
      </c>
      <c r="D282" s="21" t="n">
        <v>45713.9166666667</v>
      </c>
      <c r="E282" s="21" t="n">
        <v>45720.5416666667</v>
      </c>
      <c r="F282" s="22" t="n">
        <f aca="false">DATE(YEAR(E282),MONTH(E282),1)</f>
        <v>45717</v>
      </c>
      <c r="G282" s="23" t="n">
        <v>105894</v>
      </c>
      <c r="H282" s="8" t="s">
        <v>55</v>
      </c>
      <c r="I282" s="24" t="n">
        <v>-370.1</v>
      </c>
      <c r="J282" s="25" t="n">
        <f aca="false">Summary!$B$4</f>
        <v>1</v>
      </c>
      <c r="K282" s="11" t="n">
        <f aca="false">I282*J282*IF(A282="SILVER",Summary!$B$5,Summary!$B$6)</f>
        <v>-37010</v>
      </c>
      <c r="L282" s="26" t="n">
        <v>-0.228</v>
      </c>
      <c r="M282" s="27" t="n">
        <f aca="false">IF(K282&gt;0,1,0)</f>
        <v>0</v>
      </c>
      <c r="N282" s="11" t="n">
        <f aca="false">SUMIFS(K$2:K282,A$2:A282,A282,B$2:B282,B282)</f>
        <v>445831</v>
      </c>
      <c r="O282" s="11" t="n">
        <f aca="false">MAX(0,_xlfn.MAXIFS(N$2:N282,A$2:A282,A282,B$2:B282,B282))</f>
        <v>727171</v>
      </c>
      <c r="P282" s="11" t="n">
        <f aca="false">N282-O282</f>
        <v>-281340</v>
      </c>
    </row>
    <row r="283" customFormat="false" ht="15" hidden="false" customHeight="false" outlineLevel="0" collapsed="false">
      <c r="A283" s="8" t="s">
        <v>39</v>
      </c>
      <c r="B283" s="8" t="s">
        <v>27</v>
      </c>
      <c r="C283" s="8" t="s">
        <v>54</v>
      </c>
      <c r="D283" s="21" t="n">
        <v>45720.5416666667</v>
      </c>
      <c r="E283" s="21" t="n">
        <v>45737.8333333333</v>
      </c>
      <c r="F283" s="22" t="n">
        <f aca="false">DATE(YEAR(E283),MONTH(E283),1)</f>
        <v>45717</v>
      </c>
      <c r="G283" s="23" t="n">
        <v>106237</v>
      </c>
      <c r="H283" s="8" t="s">
        <v>55</v>
      </c>
      <c r="I283" s="24" t="n">
        <v>1816.68</v>
      </c>
      <c r="J283" s="25" t="n">
        <f aca="false">Summary!$B$4</f>
        <v>1</v>
      </c>
      <c r="K283" s="11" t="n">
        <f aca="false">I283*J283*IF(A283="SILVER",Summary!$B$5,Summary!$B$6)</f>
        <v>181668</v>
      </c>
      <c r="L283" s="26" t="n">
        <v>1.27</v>
      </c>
      <c r="M283" s="27" t="n">
        <f aca="false">IF(K283&gt;0,1,0)</f>
        <v>1</v>
      </c>
      <c r="N283" s="11" t="n">
        <f aca="false">SUMIFS(K$2:K283,A$2:A283,A283,B$2:B283,B283)</f>
        <v>627499</v>
      </c>
      <c r="O283" s="11" t="n">
        <f aca="false">MAX(0,_xlfn.MAXIFS(N$2:N283,A$2:A283,A283,B$2:B283,B283))</f>
        <v>727171</v>
      </c>
      <c r="P283" s="11" t="n">
        <f aca="false">N283-O283</f>
        <v>-99672</v>
      </c>
    </row>
    <row r="284" customFormat="false" ht="15" hidden="false" customHeight="false" outlineLevel="0" collapsed="false">
      <c r="A284" s="8" t="s">
        <v>39</v>
      </c>
      <c r="B284" s="8" t="s">
        <v>27</v>
      </c>
      <c r="C284" s="8" t="s">
        <v>56</v>
      </c>
      <c r="D284" s="21" t="n">
        <v>45737.8333333333</v>
      </c>
      <c r="E284" s="21" t="n">
        <v>45743.875</v>
      </c>
      <c r="F284" s="22" t="n">
        <f aca="false">DATE(YEAR(E284),MONTH(E284),1)</f>
        <v>45717</v>
      </c>
      <c r="G284" s="23" t="n">
        <v>108081</v>
      </c>
      <c r="H284" s="8" t="s">
        <v>55</v>
      </c>
      <c r="I284" s="24" t="n">
        <v>-986.6</v>
      </c>
      <c r="J284" s="25" t="n">
        <f aca="false">Summary!$B$4</f>
        <v>1</v>
      </c>
      <c r="K284" s="11" t="n">
        <f aca="false">I284*J284*IF(A284="SILVER",Summary!$B$5,Summary!$B$6)</f>
        <v>-98660</v>
      </c>
      <c r="L284" s="26" t="n">
        <v>-0.631</v>
      </c>
      <c r="M284" s="27" t="n">
        <f aca="false">IF(K284&gt;0,1,0)</f>
        <v>0</v>
      </c>
      <c r="N284" s="11" t="n">
        <f aca="false">SUMIFS(K$2:K284,A$2:A284,A284,B$2:B284,B284)</f>
        <v>528839</v>
      </c>
      <c r="O284" s="11" t="n">
        <f aca="false">MAX(0,_xlfn.MAXIFS(N$2:N284,A$2:A284,A284,B$2:B284,B284))</f>
        <v>727171</v>
      </c>
      <c r="P284" s="11" t="n">
        <f aca="false">N284-O284</f>
        <v>-198332</v>
      </c>
    </row>
    <row r="285" customFormat="false" ht="15" hidden="false" customHeight="false" outlineLevel="0" collapsed="false">
      <c r="A285" s="8" t="s">
        <v>39</v>
      </c>
      <c r="B285" s="8" t="s">
        <v>27</v>
      </c>
      <c r="C285" s="8" t="s">
        <v>54</v>
      </c>
      <c r="D285" s="21" t="n">
        <v>45743.875</v>
      </c>
      <c r="E285" s="21" t="n">
        <v>45750.7520833333</v>
      </c>
      <c r="F285" s="22" t="n">
        <f aca="false">DATE(YEAR(E285),MONTH(E285),1)</f>
        <v>45748</v>
      </c>
      <c r="G285" s="23" t="n">
        <v>109040</v>
      </c>
      <c r="H285" s="8" t="s">
        <v>55</v>
      </c>
      <c r="I285" s="24" t="n">
        <v>1074.18</v>
      </c>
      <c r="J285" s="25" t="n">
        <f aca="false">Summary!$B$4</f>
        <v>1</v>
      </c>
      <c r="K285" s="11" t="n">
        <f aca="false">I285*J285*IF(A285="SILVER",Summary!$B$5,Summary!$B$6)</f>
        <v>107418</v>
      </c>
      <c r="L285" s="26" t="n">
        <v>0.873</v>
      </c>
      <c r="M285" s="27" t="n">
        <f aca="false">IF(K285&gt;0,1,0)</f>
        <v>1</v>
      </c>
      <c r="N285" s="11" t="n">
        <f aca="false">SUMIFS(K$2:K285,A$2:A285,A285,B$2:B285,B285)</f>
        <v>636257</v>
      </c>
      <c r="O285" s="11" t="n">
        <f aca="false">MAX(0,_xlfn.MAXIFS(N$2:N285,A$2:A285,A285,B$2:B285,B285))</f>
        <v>727171</v>
      </c>
      <c r="P285" s="11" t="n">
        <f aca="false">N285-O285</f>
        <v>-90914</v>
      </c>
    </row>
    <row r="286" customFormat="false" ht="15" hidden="false" customHeight="false" outlineLevel="0" collapsed="false">
      <c r="A286" s="8" t="s">
        <v>39</v>
      </c>
      <c r="B286" s="8" t="s">
        <v>27</v>
      </c>
      <c r="C286" s="8" t="s">
        <v>56</v>
      </c>
      <c r="D286" s="21" t="n">
        <v>45750.7520833333</v>
      </c>
      <c r="E286" s="21" t="n">
        <v>45756.7083333333</v>
      </c>
      <c r="F286" s="22" t="n">
        <f aca="false">DATE(YEAR(E286),MONTH(E286),1)</f>
        <v>45748</v>
      </c>
      <c r="G286" s="23" t="n">
        <v>110142</v>
      </c>
      <c r="H286" s="8" t="s">
        <v>55</v>
      </c>
      <c r="I286" s="24" t="n">
        <v>-1025.95</v>
      </c>
      <c r="J286" s="25" t="n">
        <f aca="false">Summary!$B$4</f>
        <v>1</v>
      </c>
      <c r="K286" s="11" t="n">
        <f aca="false">I286*J286*IF(A286="SILVER",Summary!$B$5,Summary!$B$6)</f>
        <v>-102595</v>
      </c>
      <c r="L286" s="26" t="n">
        <v>-0.57</v>
      </c>
      <c r="M286" s="27" t="n">
        <f aca="false">IF(K286&gt;0,1,0)</f>
        <v>0</v>
      </c>
      <c r="N286" s="11" t="n">
        <f aca="false">SUMIFS(K$2:K286,A$2:A286,A286,B$2:B286,B286)</f>
        <v>533662</v>
      </c>
      <c r="O286" s="11" t="n">
        <f aca="false">MAX(0,_xlfn.MAXIFS(N$2:N286,A$2:A286,A286,B$2:B286,B286))</f>
        <v>727171</v>
      </c>
      <c r="P286" s="11" t="n">
        <f aca="false">N286-O286</f>
        <v>-193509</v>
      </c>
    </row>
    <row r="287" customFormat="false" ht="15" hidden="false" customHeight="false" outlineLevel="0" collapsed="false">
      <c r="A287" s="8" t="s">
        <v>39</v>
      </c>
      <c r="B287" s="8" t="s">
        <v>27</v>
      </c>
      <c r="C287" s="8" t="s">
        <v>54</v>
      </c>
      <c r="D287" s="21" t="n">
        <v>45756.7083333333</v>
      </c>
      <c r="E287" s="21" t="n">
        <v>45770.4166666667</v>
      </c>
      <c r="F287" s="22" t="n">
        <f aca="false">DATE(YEAR(E287),MONTH(E287),1)</f>
        <v>45748</v>
      </c>
      <c r="G287" s="23" t="n">
        <v>111112</v>
      </c>
      <c r="H287" s="8" t="s">
        <v>55</v>
      </c>
      <c r="I287" s="24" t="n">
        <v>5836.42</v>
      </c>
      <c r="J287" s="25" t="n">
        <f aca="false">Summary!$B$4</f>
        <v>1</v>
      </c>
      <c r="K287" s="11" t="n">
        <f aca="false">I287*J287*IF(A287="SILVER",Summary!$B$5,Summary!$B$6)</f>
        <v>583642</v>
      </c>
      <c r="L287" s="26" t="n">
        <v>2.001</v>
      </c>
      <c r="M287" s="27" t="n">
        <f aca="false">IF(K287&gt;0,1,0)</f>
        <v>1</v>
      </c>
      <c r="N287" s="11" t="n">
        <f aca="false">SUMIFS(K$2:K287,A$2:A287,A287,B$2:B287,B287)</f>
        <v>1117304</v>
      </c>
      <c r="O287" s="11" t="n">
        <f aca="false">MAX(0,_xlfn.MAXIFS(N$2:N287,A$2:A287,A287,B$2:B287,B287))</f>
        <v>1117304</v>
      </c>
      <c r="P287" s="11" t="n">
        <f aca="false">N287-O287</f>
        <v>0</v>
      </c>
    </row>
    <row r="288" customFormat="false" ht="15" hidden="false" customHeight="false" outlineLevel="0" collapsed="false">
      <c r="A288" s="8" t="s">
        <v>39</v>
      </c>
      <c r="B288" s="8" t="s">
        <v>27</v>
      </c>
      <c r="C288" s="8" t="s">
        <v>56</v>
      </c>
      <c r="D288" s="21" t="n">
        <v>45770.4166666667</v>
      </c>
      <c r="E288" s="21" t="n">
        <v>45783.4166666667</v>
      </c>
      <c r="F288" s="22" t="n">
        <f aca="false">DATE(YEAR(E288),MONTH(E288),1)</f>
        <v>45778</v>
      </c>
      <c r="G288" s="23" t="n">
        <v>116977</v>
      </c>
      <c r="H288" s="8" t="s">
        <v>55</v>
      </c>
      <c r="I288" s="24" t="n">
        <v>-122.17</v>
      </c>
      <c r="J288" s="25" t="n">
        <f aca="false">Summary!$B$4</f>
        <v>1</v>
      </c>
      <c r="K288" s="11" t="n">
        <f aca="false">I288*J288*IF(A288="SILVER",Summary!$B$5,Summary!$B$6)</f>
        <v>-12217</v>
      </c>
      <c r="L288" s="26" t="n">
        <v>-0.033</v>
      </c>
      <c r="M288" s="27" t="n">
        <f aca="false">IF(K288&gt;0,1,0)</f>
        <v>0</v>
      </c>
      <c r="N288" s="11" t="n">
        <f aca="false">SUMIFS(K$2:K288,A$2:A288,A288,B$2:B288,B288)</f>
        <v>1105087</v>
      </c>
      <c r="O288" s="11" t="n">
        <f aca="false">MAX(0,_xlfn.MAXIFS(N$2:N288,A$2:A288,A288,B$2:B288,B288))</f>
        <v>1117304</v>
      </c>
      <c r="P288" s="11" t="n">
        <f aca="false">N288-O288</f>
        <v>-12217</v>
      </c>
    </row>
    <row r="289" customFormat="false" ht="15" hidden="false" customHeight="false" outlineLevel="0" collapsed="false">
      <c r="A289" s="8" t="s">
        <v>39</v>
      </c>
      <c r="B289" s="8" t="s">
        <v>27</v>
      </c>
      <c r="C289" s="8" t="s">
        <v>54</v>
      </c>
      <c r="D289" s="21" t="n">
        <v>45783.4166666667</v>
      </c>
      <c r="E289" s="21" t="n">
        <v>45789.4166666667</v>
      </c>
      <c r="F289" s="22" t="n">
        <f aca="false">DATE(YEAR(E289),MONTH(E289),1)</f>
        <v>45778</v>
      </c>
      <c r="G289" s="23" t="n">
        <v>117070</v>
      </c>
      <c r="H289" s="8" t="s">
        <v>55</v>
      </c>
      <c r="I289" s="24" t="n">
        <v>-1924.99</v>
      </c>
      <c r="J289" s="25" t="n">
        <f aca="false">Summary!$B$4</f>
        <v>1</v>
      </c>
      <c r="K289" s="11" t="n">
        <f aca="false">I289*J289*IF(A289="SILVER",Summary!$B$5,Summary!$B$6)</f>
        <v>-192499</v>
      </c>
      <c r="L289" s="26" t="n">
        <v>-0.71</v>
      </c>
      <c r="M289" s="27" t="n">
        <f aca="false">IF(K289&gt;0,1,0)</f>
        <v>0</v>
      </c>
      <c r="N289" s="11" t="n">
        <f aca="false">SUMIFS(K$2:K289,A$2:A289,A289,B$2:B289,B289)</f>
        <v>912588</v>
      </c>
      <c r="O289" s="11" t="n">
        <f aca="false">MAX(0,_xlfn.MAXIFS(N$2:N289,A$2:A289,A289,B$2:B289,B289))</f>
        <v>1117304</v>
      </c>
      <c r="P289" s="11" t="n">
        <f aca="false">N289-O289</f>
        <v>-204716</v>
      </c>
    </row>
    <row r="290" customFormat="false" ht="15" hidden="false" customHeight="false" outlineLevel="0" collapsed="false">
      <c r="A290" s="8" t="s">
        <v>39</v>
      </c>
      <c r="B290" s="8" t="s">
        <v>27</v>
      </c>
      <c r="C290" s="8" t="s">
        <v>56</v>
      </c>
      <c r="D290" s="21" t="n">
        <v>45789.4166666667</v>
      </c>
      <c r="E290" s="21" t="n">
        <v>45796.5833333333</v>
      </c>
      <c r="F290" s="22" t="n">
        <f aca="false">DATE(YEAR(E290),MONTH(E290),1)</f>
        <v>45778</v>
      </c>
      <c r="G290" s="23" t="n">
        <v>115174</v>
      </c>
      <c r="H290" s="8" t="s">
        <v>55</v>
      </c>
      <c r="I290" s="24" t="n">
        <v>432.24</v>
      </c>
      <c r="J290" s="25" t="n">
        <f aca="false">Summary!$B$4</f>
        <v>1</v>
      </c>
      <c r="K290" s="11" t="n">
        <f aca="false">I290*J290*IF(A290="SILVER",Summary!$B$5,Summary!$B$6)</f>
        <v>43224</v>
      </c>
      <c r="L290" s="26" t="n">
        <v>0.125</v>
      </c>
      <c r="M290" s="27" t="n">
        <f aca="false">IF(K290&gt;0,1,0)</f>
        <v>1</v>
      </c>
      <c r="N290" s="11" t="n">
        <f aca="false">SUMIFS(K$2:K290,A$2:A290,A290,B$2:B290,B290)</f>
        <v>955812</v>
      </c>
      <c r="O290" s="11" t="n">
        <f aca="false">MAX(0,_xlfn.MAXIFS(N$2:N290,A$2:A290,A290,B$2:B290,B290))</f>
        <v>1117304</v>
      </c>
      <c r="P290" s="11" t="n">
        <f aca="false">N290-O290</f>
        <v>-161492</v>
      </c>
    </row>
    <row r="291" customFormat="false" ht="15" hidden="false" customHeight="false" outlineLevel="0" collapsed="false">
      <c r="A291" s="8" t="s">
        <v>39</v>
      </c>
      <c r="B291" s="8" t="s">
        <v>27</v>
      </c>
      <c r="C291" s="8" t="s">
        <v>54</v>
      </c>
      <c r="D291" s="21" t="n">
        <v>45796.5833333333</v>
      </c>
      <c r="E291" s="21" t="n">
        <v>45806.4173611111</v>
      </c>
      <c r="F291" s="22" t="n">
        <f aca="false">DATE(YEAR(E291),MONTH(E291),1)</f>
        <v>45778</v>
      </c>
      <c r="G291" s="23" t="n">
        <v>114713</v>
      </c>
      <c r="H291" s="8" t="s">
        <v>55</v>
      </c>
      <c r="I291" s="24" t="n">
        <v>1070.18</v>
      </c>
      <c r="J291" s="25" t="n">
        <f aca="false">Summary!$B$4</f>
        <v>1</v>
      </c>
      <c r="K291" s="11" t="n">
        <f aca="false">I291*J291*IF(A291="SILVER",Summary!$B$5,Summary!$B$6)</f>
        <v>107018</v>
      </c>
      <c r="L291" s="26" t="n">
        <v>0.429</v>
      </c>
      <c r="M291" s="27" t="n">
        <f aca="false">IF(K291&gt;0,1,0)</f>
        <v>1</v>
      </c>
      <c r="N291" s="11" t="n">
        <f aca="false">SUMIFS(K$2:K291,A$2:A291,A291,B$2:B291,B291)</f>
        <v>1062830</v>
      </c>
      <c r="O291" s="11" t="n">
        <f aca="false">MAX(0,_xlfn.MAXIFS(N$2:N291,A$2:A291,A291,B$2:B291,B291))</f>
        <v>1117304</v>
      </c>
      <c r="P291" s="11" t="n">
        <f aca="false">N291-O291</f>
        <v>-54474</v>
      </c>
    </row>
    <row r="292" customFormat="false" ht="15" hidden="false" customHeight="false" outlineLevel="0" collapsed="false">
      <c r="A292" s="8" t="s">
        <v>39</v>
      </c>
      <c r="B292" s="8" t="s">
        <v>27</v>
      </c>
      <c r="C292" s="8" t="s">
        <v>56</v>
      </c>
      <c r="D292" s="21" t="n">
        <v>45806.4173611111</v>
      </c>
      <c r="E292" s="21" t="n">
        <v>45810.6118055556</v>
      </c>
      <c r="F292" s="22" t="n">
        <f aca="false">DATE(YEAR(E292),MONTH(E292),1)</f>
        <v>45809</v>
      </c>
      <c r="G292" s="23" t="n">
        <v>115812</v>
      </c>
      <c r="H292" s="8" t="s">
        <v>55</v>
      </c>
      <c r="I292" s="24" t="n">
        <v>-1659.1</v>
      </c>
      <c r="J292" s="25" t="n">
        <f aca="false">Summary!$B$4</f>
        <v>1</v>
      </c>
      <c r="K292" s="11" t="n">
        <f aca="false">I292*J292*IF(A292="SILVER",Summary!$B$5,Summary!$B$6)</f>
        <v>-165910</v>
      </c>
      <c r="L292" s="26" t="n">
        <v>-1.06</v>
      </c>
      <c r="M292" s="27" t="n">
        <f aca="false">IF(K292&gt;0,1,0)</f>
        <v>0</v>
      </c>
      <c r="N292" s="11" t="n">
        <f aca="false">SUMIFS(K$2:K292,A$2:A292,A292,B$2:B292,B292)</f>
        <v>896920</v>
      </c>
      <c r="O292" s="11" t="n">
        <f aca="false">MAX(0,_xlfn.MAXIFS(N$2:N292,A$2:A292,A292,B$2:B292,B292))</f>
        <v>1117304</v>
      </c>
      <c r="P292" s="11" t="n">
        <f aca="false">N292-O292</f>
        <v>-220384</v>
      </c>
    </row>
    <row r="293" customFormat="false" ht="15" hidden="false" customHeight="false" outlineLevel="0" collapsed="false">
      <c r="A293" s="8" t="s">
        <v>39</v>
      </c>
      <c r="B293" s="8" t="s">
        <v>27</v>
      </c>
      <c r="C293" s="8" t="s">
        <v>54</v>
      </c>
      <c r="D293" s="21" t="n">
        <v>45810.6118055556</v>
      </c>
      <c r="E293" s="21" t="n">
        <v>45814.7916666667</v>
      </c>
      <c r="F293" s="22" t="n">
        <f aca="false">DATE(YEAR(E293),MONTH(E293),1)</f>
        <v>45809</v>
      </c>
      <c r="G293" s="23" t="n">
        <v>117442</v>
      </c>
      <c r="H293" s="8" t="s">
        <v>55</v>
      </c>
      <c r="I293" s="24" t="n">
        <v>172.04</v>
      </c>
      <c r="J293" s="25" t="n">
        <f aca="false">Summary!$B$4</f>
        <v>1</v>
      </c>
      <c r="K293" s="11" t="n">
        <f aca="false">I293*J293*IF(A293="SILVER",Summary!$B$5,Summary!$B$6)</f>
        <v>17204</v>
      </c>
      <c r="L293" s="26" t="n">
        <v>0.092</v>
      </c>
      <c r="M293" s="27" t="n">
        <f aca="false">IF(K293&gt;0,1,0)</f>
        <v>1</v>
      </c>
      <c r="N293" s="11" t="n">
        <f aca="false">SUMIFS(K$2:K293,A$2:A293,A293,B$2:B293,B293)</f>
        <v>914124</v>
      </c>
      <c r="O293" s="11" t="n">
        <f aca="false">MAX(0,_xlfn.MAXIFS(N$2:N293,A$2:A293,A293,B$2:B293,B293))</f>
        <v>1117304</v>
      </c>
      <c r="P293" s="11" t="n">
        <f aca="false">N293-O293</f>
        <v>-203180</v>
      </c>
    </row>
    <row r="294" customFormat="false" ht="15" hidden="false" customHeight="false" outlineLevel="0" collapsed="false">
      <c r="A294" s="8" t="s">
        <v>39</v>
      </c>
      <c r="B294" s="8" t="s">
        <v>27</v>
      </c>
      <c r="C294" s="8" t="s">
        <v>56</v>
      </c>
      <c r="D294" s="21" t="n">
        <v>45814.7916666667</v>
      </c>
      <c r="E294" s="21" t="n">
        <v>45820.6666666667</v>
      </c>
      <c r="F294" s="22" t="n">
        <f aca="false">DATE(YEAR(E294),MONTH(E294),1)</f>
        <v>45809</v>
      </c>
      <c r="G294" s="23" t="n">
        <v>117673</v>
      </c>
      <c r="H294" s="8" t="s">
        <v>55</v>
      </c>
      <c r="I294" s="24" t="n">
        <v>-489.6</v>
      </c>
      <c r="J294" s="25" t="n">
        <f aca="false">Summary!$B$4</f>
        <v>1</v>
      </c>
      <c r="K294" s="11" t="n">
        <f aca="false">I294*J294*IF(A294="SILVER",Summary!$B$5,Summary!$B$6)</f>
        <v>-48960</v>
      </c>
      <c r="L294" s="26" t="n">
        <v>-0.288</v>
      </c>
      <c r="M294" s="27" t="n">
        <f aca="false">IF(K294&gt;0,1,0)</f>
        <v>0</v>
      </c>
      <c r="N294" s="11" t="n">
        <f aca="false">SUMIFS(K$2:K294,A$2:A294,A294,B$2:B294,B294)</f>
        <v>865164</v>
      </c>
      <c r="O294" s="11" t="n">
        <f aca="false">MAX(0,_xlfn.MAXIFS(N$2:N294,A$2:A294,A294,B$2:B294,B294))</f>
        <v>1117304</v>
      </c>
      <c r="P294" s="11" t="n">
        <f aca="false">N294-O294</f>
        <v>-252140</v>
      </c>
    </row>
    <row r="295" customFormat="false" ht="15" hidden="false" customHeight="false" outlineLevel="0" collapsed="false">
      <c r="A295" s="8" t="s">
        <v>39</v>
      </c>
      <c r="B295" s="8" t="s">
        <v>27</v>
      </c>
      <c r="C295" s="8" t="s">
        <v>54</v>
      </c>
      <c r="D295" s="21" t="n">
        <v>45820.6666666667</v>
      </c>
      <c r="E295" s="21" t="n">
        <v>45832.4166666667</v>
      </c>
      <c r="F295" s="22" t="n">
        <f aca="false">DATE(YEAR(E295),MONTH(E295),1)</f>
        <v>45809</v>
      </c>
      <c r="G295" s="23" t="n">
        <v>118133</v>
      </c>
      <c r="H295" s="8" t="s">
        <v>55</v>
      </c>
      <c r="I295" s="24" t="n">
        <v>-85.64</v>
      </c>
      <c r="J295" s="25" t="n">
        <f aca="false">Summary!$B$4</f>
        <v>1</v>
      </c>
      <c r="K295" s="11" t="n">
        <f aca="false">I295*J295*IF(A295="SILVER",Summary!$B$5,Summary!$B$6)</f>
        <v>-8564</v>
      </c>
      <c r="L295" s="26" t="n">
        <v>-0.042</v>
      </c>
      <c r="M295" s="27" t="n">
        <f aca="false">IF(K295&gt;0,1,0)</f>
        <v>0</v>
      </c>
      <c r="N295" s="11" t="n">
        <f aca="false">SUMIFS(K$2:K295,A$2:A295,A295,B$2:B295,B295)</f>
        <v>856600</v>
      </c>
      <c r="O295" s="11" t="n">
        <f aca="false">MAX(0,_xlfn.MAXIFS(N$2:N295,A$2:A295,A295,B$2:B295,B295))</f>
        <v>1117304</v>
      </c>
      <c r="P295" s="11" t="n">
        <f aca="false">N295-O295</f>
        <v>-260704</v>
      </c>
    </row>
    <row r="296" customFormat="false" ht="15" hidden="false" customHeight="false" outlineLevel="0" collapsed="false">
      <c r="A296" s="8" t="s">
        <v>39</v>
      </c>
      <c r="B296" s="8" t="s">
        <v>27</v>
      </c>
      <c r="C296" s="8" t="s">
        <v>56</v>
      </c>
      <c r="D296" s="21" t="n">
        <v>45832.4166666667</v>
      </c>
      <c r="E296" s="21" t="n">
        <v>45839.5416666667</v>
      </c>
      <c r="F296" s="22" t="n">
        <f aca="false">DATE(YEAR(E296),MONTH(E296),1)</f>
        <v>45839</v>
      </c>
      <c r="G296" s="23" t="n">
        <v>118077</v>
      </c>
      <c r="H296" s="8" t="s">
        <v>55</v>
      </c>
      <c r="I296" s="24" t="n">
        <v>964.46</v>
      </c>
      <c r="J296" s="25" t="n">
        <f aca="false">Summary!$B$4</f>
        <v>1</v>
      </c>
      <c r="K296" s="11" t="n">
        <f aca="false">I296*J296*IF(A296="SILVER",Summary!$B$5,Summary!$B$6)</f>
        <v>96446</v>
      </c>
      <c r="L296" s="26" t="n">
        <v>0.52</v>
      </c>
      <c r="M296" s="27" t="n">
        <f aca="false">IF(K296&gt;0,1,0)</f>
        <v>1</v>
      </c>
      <c r="N296" s="11" t="n">
        <f aca="false">SUMIFS(K$2:K296,A$2:A296,A296,B$2:B296,B296)</f>
        <v>953046</v>
      </c>
      <c r="O296" s="11" t="n">
        <f aca="false">MAX(0,_xlfn.MAXIFS(N$2:N296,A$2:A296,A296,B$2:B296,B296))</f>
        <v>1117304</v>
      </c>
      <c r="P296" s="11" t="n">
        <f aca="false">N296-O296</f>
        <v>-164258</v>
      </c>
    </row>
    <row r="297" customFormat="false" ht="15" hidden="false" customHeight="false" outlineLevel="0" collapsed="false">
      <c r="A297" s="8" t="s">
        <v>39</v>
      </c>
      <c r="B297" s="8" t="s">
        <v>27</v>
      </c>
      <c r="C297" s="8" t="s">
        <v>54</v>
      </c>
      <c r="D297" s="21" t="n">
        <v>45839.5416666667</v>
      </c>
      <c r="E297" s="21" t="n">
        <v>45845.4166666667</v>
      </c>
      <c r="F297" s="22" t="n">
        <f aca="false">DATE(YEAR(E297),MONTH(E297),1)</f>
        <v>45839</v>
      </c>
      <c r="G297" s="23" t="n">
        <v>117083</v>
      </c>
      <c r="H297" s="8" t="s">
        <v>55</v>
      </c>
      <c r="I297" s="24" t="n">
        <v>-766.36</v>
      </c>
      <c r="J297" s="25" t="n">
        <f aca="false">Summary!$B$4</f>
        <v>1</v>
      </c>
      <c r="K297" s="11" t="n">
        <f aca="false">I297*J297*IF(A297="SILVER",Summary!$B$5,Summary!$B$6)</f>
        <v>-76636</v>
      </c>
      <c r="L297" s="26" t="n">
        <v>-0.449</v>
      </c>
      <c r="M297" s="27" t="n">
        <f aca="false">IF(K297&gt;0,1,0)</f>
        <v>0</v>
      </c>
      <c r="N297" s="11" t="n">
        <f aca="false">SUMIFS(K$2:K297,A$2:A297,A297,B$2:B297,B297)</f>
        <v>876410</v>
      </c>
      <c r="O297" s="11" t="n">
        <f aca="false">MAX(0,_xlfn.MAXIFS(N$2:N297,A$2:A297,A297,B$2:B297,B297))</f>
        <v>1117304</v>
      </c>
      <c r="P297" s="11" t="n">
        <f aca="false">N297-O297</f>
        <v>-240894</v>
      </c>
    </row>
    <row r="298" customFormat="false" ht="15" hidden="false" customHeight="false" outlineLevel="0" collapsed="false">
      <c r="A298" s="8" t="s">
        <v>39</v>
      </c>
      <c r="B298" s="8" t="s">
        <v>27</v>
      </c>
      <c r="C298" s="8" t="s">
        <v>56</v>
      </c>
      <c r="D298" s="21" t="n">
        <v>45845.4166666667</v>
      </c>
      <c r="E298" s="21" t="n">
        <v>45849.4166666667</v>
      </c>
      <c r="F298" s="22" t="n">
        <f aca="false">DATE(YEAR(E298),MONTH(E298),1)</f>
        <v>45839</v>
      </c>
      <c r="G298" s="23" t="n">
        <v>116346</v>
      </c>
      <c r="H298" s="8" t="s">
        <v>55</v>
      </c>
      <c r="I298" s="24" t="n">
        <v>-837.37</v>
      </c>
      <c r="J298" s="25" t="n">
        <f aca="false">Summary!$B$4</f>
        <v>1</v>
      </c>
      <c r="K298" s="11" t="n">
        <f aca="false">I298*J298*IF(A298="SILVER",Summary!$B$5,Summary!$B$6)</f>
        <v>-83737</v>
      </c>
      <c r="L298" s="26" t="n">
        <v>-0.709</v>
      </c>
      <c r="M298" s="27" t="n">
        <f aca="false">IF(K298&gt;0,1,0)</f>
        <v>0</v>
      </c>
      <c r="N298" s="11" t="n">
        <f aca="false">SUMIFS(K$2:K298,A$2:A298,A298,B$2:B298,B298)</f>
        <v>792673</v>
      </c>
      <c r="O298" s="11" t="n">
        <f aca="false">MAX(0,_xlfn.MAXIFS(N$2:N298,A$2:A298,A298,B$2:B298,B298))</f>
        <v>1117304</v>
      </c>
      <c r="P298" s="11" t="n">
        <f aca="false">N298-O298</f>
        <v>-324631</v>
      </c>
    </row>
    <row r="299" customFormat="false" ht="15" hidden="false" customHeight="false" outlineLevel="0" collapsed="false">
      <c r="A299" s="8" t="s">
        <v>39</v>
      </c>
      <c r="B299" s="8" t="s">
        <v>27</v>
      </c>
      <c r="C299" s="8" t="s">
        <v>54</v>
      </c>
      <c r="D299" s="21" t="n">
        <v>45849.4166666667</v>
      </c>
      <c r="E299" s="21" t="n">
        <v>45855.7916666667</v>
      </c>
      <c r="F299" s="22" t="n">
        <f aca="false">DATE(YEAR(E299),MONTH(E299),1)</f>
        <v>45839</v>
      </c>
      <c r="G299" s="23" t="n">
        <v>117154</v>
      </c>
      <c r="H299" s="8" t="s">
        <v>55</v>
      </c>
      <c r="I299" s="24" t="n">
        <v>-280.43</v>
      </c>
      <c r="J299" s="25" t="n">
        <f aca="false">Summary!$B$4</f>
        <v>1</v>
      </c>
      <c r="K299" s="11" t="n">
        <f aca="false">I299*J299*IF(A299="SILVER",Summary!$B$5,Summary!$B$6)</f>
        <v>-28043</v>
      </c>
      <c r="L299" s="26" t="n">
        <v>-0.216</v>
      </c>
      <c r="M299" s="27" t="n">
        <f aca="false">IF(K299&gt;0,1,0)</f>
        <v>0</v>
      </c>
      <c r="N299" s="11" t="n">
        <f aca="false">SUMIFS(K$2:K299,A$2:A299,A299,B$2:B299,B299)</f>
        <v>764630</v>
      </c>
      <c r="O299" s="11" t="n">
        <f aca="false">MAX(0,_xlfn.MAXIFS(N$2:N299,A$2:A299,A299,B$2:B299,B299))</f>
        <v>1117304</v>
      </c>
      <c r="P299" s="11" t="n">
        <f aca="false">N299-O299</f>
        <v>-352674</v>
      </c>
    </row>
    <row r="300" customFormat="false" ht="15" hidden="false" customHeight="false" outlineLevel="0" collapsed="false">
      <c r="A300" s="8" t="s">
        <v>39</v>
      </c>
      <c r="B300" s="8" t="s">
        <v>27</v>
      </c>
      <c r="C300" s="8" t="s">
        <v>56</v>
      </c>
      <c r="D300" s="21" t="n">
        <v>45855.7916666667</v>
      </c>
      <c r="E300" s="21" t="n">
        <v>45859.4583333333</v>
      </c>
      <c r="F300" s="22" t="n">
        <f aca="false">DATE(YEAR(E300),MONTH(E300),1)</f>
        <v>45839</v>
      </c>
      <c r="G300" s="23" t="n">
        <v>116903</v>
      </c>
      <c r="H300" s="8" t="s">
        <v>55</v>
      </c>
      <c r="I300" s="24" t="n">
        <v>-1495.55</v>
      </c>
      <c r="J300" s="25" t="n">
        <f aca="false">Summary!$B$4</f>
        <v>1</v>
      </c>
      <c r="K300" s="11" t="n">
        <f aca="false">I300*J300*IF(A300="SILVER",Summary!$B$5,Summary!$B$6)</f>
        <v>-149555</v>
      </c>
      <c r="L300" s="26" t="n">
        <v>-1.019</v>
      </c>
      <c r="M300" s="27" t="n">
        <f aca="false">IF(K300&gt;0,1,0)</f>
        <v>0</v>
      </c>
      <c r="N300" s="11" t="n">
        <f aca="false">SUMIFS(K$2:K300,A$2:A300,A300,B$2:B300,B300)</f>
        <v>615075</v>
      </c>
      <c r="O300" s="11" t="n">
        <f aca="false">MAX(0,_xlfn.MAXIFS(N$2:N300,A$2:A300,A300,B$2:B300,B300))</f>
        <v>1117304</v>
      </c>
      <c r="P300" s="11" t="n">
        <f aca="false">N300-O300</f>
        <v>-502229</v>
      </c>
    </row>
    <row r="301" customFormat="false" ht="15" hidden="false" customHeight="false" outlineLevel="0" collapsed="false">
      <c r="A301" s="8" t="s">
        <v>39</v>
      </c>
      <c r="B301" s="8" t="s">
        <v>27</v>
      </c>
      <c r="C301" s="8" t="s">
        <v>54</v>
      </c>
      <c r="D301" s="21" t="n">
        <v>45859.4583333333</v>
      </c>
      <c r="E301" s="21" t="n">
        <v>45862.4166666667</v>
      </c>
      <c r="F301" s="22" t="n">
        <f aca="false">DATE(YEAR(E301),MONTH(E301),1)</f>
        <v>45839</v>
      </c>
      <c r="G301" s="23" t="n">
        <v>118369</v>
      </c>
      <c r="H301" s="8" t="s">
        <v>55</v>
      </c>
      <c r="I301" s="24" t="n">
        <v>529.25</v>
      </c>
      <c r="J301" s="25" t="n">
        <f aca="false">Summary!$B$4</f>
        <v>1</v>
      </c>
      <c r="K301" s="11" t="n">
        <f aca="false">I301*J301*IF(A301="SILVER",Summary!$B$5,Summary!$B$6)</f>
        <v>52925</v>
      </c>
      <c r="L301" s="26" t="n">
        <v>0.416</v>
      </c>
      <c r="M301" s="27" t="n">
        <f aca="false">IF(K301&gt;0,1,0)</f>
        <v>1</v>
      </c>
      <c r="N301" s="11" t="n">
        <f aca="false">SUMIFS(K$2:K301,A$2:A301,A301,B$2:B301,B301)</f>
        <v>668000</v>
      </c>
      <c r="O301" s="11" t="n">
        <f aca="false">MAX(0,_xlfn.MAXIFS(N$2:N301,A$2:A301,A301,B$2:B301,B301))</f>
        <v>1117304</v>
      </c>
      <c r="P301" s="11" t="n">
        <f aca="false">N301-O301</f>
        <v>-449304</v>
      </c>
    </row>
    <row r="302" customFormat="false" ht="15" hidden="false" customHeight="false" outlineLevel="0" collapsed="false">
      <c r="A302" s="8" t="s">
        <v>39</v>
      </c>
      <c r="B302" s="8" t="s">
        <v>27</v>
      </c>
      <c r="C302" s="8" t="s">
        <v>56</v>
      </c>
      <c r="D302" s="21" t="n">
        <v>45862.4166666667</v>
      </c>
      <c r="E302" s="21" t="n">
        <v>45868.5854166667</v>
      </c>
      <c r="F302" s="22" t="n">
        <f aca="false">DATE(YEAR(E302),MONTH(E302),1)</f>
        <v>45839</v>
      </c>
      <c r="G302" s="23" t="n">
        <v>118928</v>
      </c>
      <c r="H302" s="8" t="s">
        <v>55</v>
      </c>
      <c r="I302" s="24" t="n">
        <v>330.23</v>
      </c>
      <c r="J302" s="25" t="n">
        <f aca="false">Summary!$B$4</f>
        <v>1</v>
      </c>
      <c r="K302" s="11" t="n">
        <f aca="false">I302*J302*IF(A302="SILVER",Summary!$B$5,Summary!$B$6)</f>
        <v>33023</v>
      </c>
      <c r="L302" s="26" t="n">
        <v>0.205</v>
      </c>
      <c r="M302" s="27" t="n">
        <f aca="false">IF(K302&gt;0,1,0)</f>
        <v>1</v>
      </c>
      <c r="N302" s="11" t="n">
        <f aca="false">SUMIFS(K$2:K302,A$2:A302,A302,B$2:B302,B302)</f>
        <v>701023</v>
      </c>
      <c r="O302" s="11" t="n">
        <f aca="false">MAX(0,_xlfn.MAXIFS(N$2:N302,A$2:A302,A302,B$2:B302,B302))</f>
        <v>1117304</v>
      </c>
      <c r="P302" s="11" t="n">
        <f aca="false">N302-O302</f>
        <v>-416281</v>
      </c>
    </row>
    <row r="303" customFormat="false" ht="15" hidden="false" customHeight="false" outlineLevel="0" collapsed="false">
      <c r="A303" s="8" t="s">
        <v>39</v>
      </c>
      <c r="B303" s="8" t="s">
        <v>27</v>
      </c>
      <c r="C303" s="8" t="s">
        <v>54</v>
      </c>
      <c r="D303" s="21" t="n">
        <v>45868.5854166667</v>
      </c>
      <c r="E303" s="21" t="n">
        <v>45880.75</v>
      </c>
      <c r="F303" s="22" t="n">
        <f aca="false">DATE(YEAR(E303),MONTH(E303),1)</f>
        <v>45870</v>
      </c>
      <c r="G303" s="23" t="n">
        <v>118568</v>
      </c>
      <c r="H303" s="8" t="s">
        <v>55</v>
      </c>
      <c r="I303" s="24" t="n">
        <v>1574.1</v>
      </c>
      <c r="J303" s="25" t="n">
        <f aca="false">Summary!$B$4</f>
        <v>1</v>
      </c>
      <c r="K303" s="11" t="n">
        <f aca="false">I303*J303*IF(A303="SILVER",Summary!$B$5,Summary!$B$6)</f>
        <v>157410</v>
      </c>
      <c r="L303" s="26" t="n">
        <v>1.269</v>
      </c>
      <c r="M303" s="27" t="n">
        <f aca="false">IF(K303&gt;0,1,0)</f>
        <v>1</v>
      </c>
      <c r="N303" s="11" t="n">
        <f aca="false">SUMIFS(K$2:K303,A$2:A303,A303,B$2:B303,B303)</f>
        <v>858433</v>
      </c>
      <c r="O303" s="11" t="n">
        <f aca="false">MAX(0,_xlfn.MAXIFS(N$2:N303,A$2:A303,A303,B$2:B303,B303))</f>
        <v>1117304</v>
      </c>
      <c r="P303" s="11" t="n">
        <f aca="false">N303-O303</f>
        <v>-258871</v>
      </c>
    </row>
    <row r="304" customFormat="false" ht="15" hidden="false" customHeight="false" outlineLevel="0" collapsed="false">
      <c r="A304" s="8" t="s">
        <v>39</v>
      </c>
      <c r="B304" s="8" t="s">
        <v>27</v>
      </c>
      <c r="C304" s="8" t="s">
        <v>56</v>
      </c>
      <c r="D304" s="21" t="n">
        <v>45880.75</v>
      </c>
      <c r="E304" s="21" t="n">
        <v>45891.8333333333</v>
      </c>
      <c r="F304" s="22" t="n">
        <f aca="false">DATE(YEAR(E304),MONTH(E304),1)</f>
        <v>45870</v>
      </c>
      <c r="G304" s="23" t="n">
        <v>120172</v>
      </c>
      <c r="H304" s="8" t="s">
        <v>55</v>
      </c>
      <c r="I304" s="24" t="n">
        <v>265.95</v>
      </c>
      <c r="J304" s="25" t="n">
        <f aca="false">Summary!$B$4</f>
        <v>1</v>
      </c>
      <c r="K304" s="11" t="n">
        <f aca="false">I304*J304*IF(A304="SILVER",Summary!$B$5,Summary!$B$6)</f>
        <v>26595</v>
      </c>
      <c r="L304" s="26" t="n">
        <v>0.136</v>
      </c>
      <c r="M304" s="27" t="n">
        <f aca="false">IF(K304&gt;0,1,0)</f>
        <v>1</v>
      </c>
      <c r="N304" s="11" t="n">
        <f aca="false">SUMIFS(K$2:K304,A$2:A304,A304,B$2:B304,B304)</f>
        <v>885028</v>
      </c>
      <c r="O304" s="11" t="n">
        <f aca="false">MAX(0,_xlfn.MAXIFS(N$2:N304,A$2:A304,A304,B$2:B304,B304))</f>
        <v>1117304</v>
      </c>
      <c r="P304" s="11" t="n">
        <f aca="false">N304-O304</f>
        <v>-232276</v>
      </c>
    </row>
    <row r="305" customFormat="false" ht="15" hidden="false" customHeight="false" outlineLevel="0" collapsed="false">
      <c r="A305" s="8" t="s">
        <v>39</v>
      </c>
      <c r="B305" s="8" t="s">
        <v>27</v>
      </c>
      <c r="C305" s="8" t="s">
        <v>54</v>
      </c>
      <c r="D305" s="21" t="n">
        <v>45891.8333333333</v>
      </c>
      <c r="E305" s="21" t="n">
        <v>45918.5</v>
      </c>
      <c r="F305" s="22" t="n">
        <f aca="false">DATE(YEAR(E305),MONTH(E305),1)</f>
        <v>45901</v>
      </c>
      <c r="G305" s="23" t="n">
        <v>119846</v>
      </c>
      <c r="H305" s="8" t="s">
        <v>55</v>
      </c>
      <c r="I305" s="24" t="n">
        <v>8702.11</v>
      </c>
      <c r="J305" s="25" t="n">
        <f aca="false">Summary!$B$4</f>
        <v>1</v>
      </c>
      <c r="K305" s="11" t="n">
        <f aca="false">I305*J305*IF(A305="SILVER",Summary!$B$5,Summary!$B$6)</f>
        <v>870211</v>
      </c>
      <c r="L305" s="26" t="n">
        <v>5.412</v>
      </c>
      <c r="M305" s="27" t="n">
        <f aca="false">IF(K305&gt;0,1,0)</f>
        <v>1</v>
      </c>
      <c r="N305" s="11" t="n">
        <f aca="false">SUMIFS(K$2:K305,A$2:A305,A305,B$2:B305,B305)</f>
        <v>1755239</v>
      </c>
      <c r="O305" s="11" t="n">
        <f aca="false">MAX(0,_xlfn.MAXIFS(N$2:N305,A$2:A305,A305,B$2:B305,B305))</f>
        <v>1755239</v>
      </c>
      <c r="P305" s="11" t="n">
        <f aca="false">N305-O305</f>
        <v>0</v>
      </c>
    </row>
    <row r="306" customFormat="false" ht="15" hidden="false" customHeight="false" outlineLevel="0" collapsed="false">
      <c r="A306" s="8" t="s">
        <v>39</v>
      </c>
      <c r="B306" s="8" t="s">
        <v>27</v>
      </c>
      <c r="C306" s="8" t="s">
        <v>56</v>
      </c>
      <c r="D306" s="21" t="n">
        <v>45918.5</v>
      </c>
      <c r="E306" s="21" t="n">
        <v>45922.4583333333</v>
      </c>
      <c r="F306" s="22" t="n">
        <f aca="false">DATE(YEAR(E306),MONTH(E306),1)</f>
        <v>45901</v>
      </c>
      <c r="G306" s="23" t="n">
        <v>128579</v>
      </c>
      <c r="H306" s="8" t="s">
        <v>55</v>
      </c>
      <c r="I306" s="24" t="n">
        <v>-1773.94</v>
      </c>
      <c r="J306" s="25" t="n">
        <f aca="false">Summary!$B$4</f>
        <v>1</v>
      </c>
      <c r="K306" s="11" t="n">
        <f aca="false">I306*J306*IF(A306="SILVER",Summary!$B$5,Summary!$B$6)</f>
        <v>-177394</v>
      </c>
      <c r="L306" s="26" t="n">
        <v>-1.001</v>
      </c>
      <c r="M306" s="27" t="n">
        <f aca="false">IF(K306&gt;0,1,0)</f>
        <v>0</v>
      </c>
      <c r="N306" s="11" t="n">
        <f aca="false">SUMIFS(K$2:K306,A$2:A306,A306,B$2:B306,B306)</f>
        <v>1577845</v>
      </c>
      <c r="O306" s="11" t="n">
        <f aca="false">MAX(0,_xlfn.MAXIFS(N$2:N306,A$2:A306,A306,B$2:B306,B306))</f>
        <v>1755239</v>
      </c>
      <c r="P306" s="11" t="n">
        <f aca="false">N306-O306</f>
        <v>-177394</v>
      </c>
    </row>
    <row r="307" customFormat="false" ht="15" hidden="false" customHeight="false" outlineLevel="0" collapsed="false">
      <c r="A307" s="8" t="s">
        <v>39</v>
      </c>
      <c r="B307" s="8" t="s">
        <v>27</v>
      </c>
      <c r="C307" s="8" t="s">
        <v>54</v>
      </c>
      <c r="D307" s="21" t="n">
        <v>45922.4583333333</v>
      </c>
      <c r="E307" s="21" t="n">
        <v>45939.9583333333</v>
      </c>
      <c r="F307" s="22" t="n">
        <f aca="false">DATE(YEAR(E307),MONTH(E307),1)</f>
        <v>45931</v>
      </c>
      <c r="G307" s="23" t="n">
        <v>130321</v>
      </c>
      <c r="H307" s="8" t="s">
        <v>55</v>
      </c>
      <c r="I307" s="24" t="n">
        <v>8552.75</v>
      </c>
      <c r="J307" s="25" t="n">
        <f aca="false">Summary!$B$4</f>
        <v>1</v>
      </c>
      <c r="K307" s="11" t="n">
        <f aca="false">I307*J307*IF(A307="SILVER",Summary!$B$5,Summary!$B$6)</f>
        <v>855275</v>
      </c>
      <c r="L307" s="26" t="n">
        <v>5.253</v>
      </c>
      <c r="M307" s="27" t="n">
        <f aca="false">IF(K307&gt;0,1,0)</f>
        <v>1</v>
      </c>
      <c r="N307" s="11" t="n">
        <f aca="false">SUMIFS(K$2:K307,A$2:A307,A307,B$2:B307,B307)</f>
        <v>2433120</v>
      </c>
      <c r="O307" s="11" t="n">
        <f aca="false">MAX(0,_xlfn.MAXIFS(N$2:N307,A$2:A307,A307,B$2:B307,B307))</f>
        <v>2433120</v>
      </c>
      <c r="P307" s="11" t="n">
        <f aca="false">N307-O307</f>
        <v>0</v>
      </c>
    </row>
    <row r="308" customFormat="false" ht="15" hidden="false" customHeight="false" outlineLevel="0" collapsed="false">
      <c r="A308" s="8" t="s">
        <v>39</v>
      </c>
      <c r="B308" s="8" t="s">
        <v>27</v>
      </c>
      <c r="C308" s="8" t="s">
        <v>56</v>
      </c>
      <c r="D308" s="21" t="n">
        <v>45939.9583333333</v>
      </c>
      <c r="E308" s="21" t="n">
        <v>45943.4583333333</v>
      </c>
      <c r="F308" s="22" t="n">
        <f aca="false">DATE(YEAR(E308),MONTH(E308),1)</f>
        <v>45931</v>
      </c>
      <c r="G308" s="23" t="n">
        <v>138941</v>
      </c>
      <c r="H308" s="8" t="s">
        <v>55</v>
      </c>
      <c r="I308" s="24" t="n">
        <v>-3158.44</v>
      </c>
      <c r="J308" s="25" t="n">
        <f aca="false">Summary!$B$4</f>
        <v>1</v>
      </c>
      <c r="K308" s="11" t="n">
        <f aca="false">I308*J308*IF(A308="SILVER",Summary!$B$5,Summary!$B$6)</f>
        <v>-315844</v>
      </c>
      <c r="L308" s="26" t="n">
        <v>-0.824</v>
      </c>
      <c r="M308" s="27" t="n">
        <f aca="false">IF(K308&gt;0,1,0)</f>
        <v>0</v>
      </c>
      <c r="N308" s="11" t="n">
        <f aca="false">SUMIFS(K$2:K308,A$2:A308,A308,B$2:B308,B308)</f>
        <v>2117276</v>
      </c>
      <c r="O308" s="11" t="n">
        <f aca="false">MAX(0,_xlfn.MAXIFS(N$2:N308,A$2:A308,A308,B$2:B308,B308))</f>
        <v>2433120</v>
      </c>
      <c r="P308" s="11" t="n">
        <f aca="false">N308-O308</f>
        <v>-315844</v>
      </c>
    </row>
    <row r="309" customFormat="false" ht="15" hidden="false" customHeight="false" outlineLevel="0" collapsed="false">
      <c r="A309" s="8" t="s">
        <v>39</v>
      </c>
      <c r="B309" s="8" t="s">
        <v>27</v>
      </c>
      <c r="C309" s="8" t="s">
        <v>54</v>
      </c>
      <c r="D309" s="21" t="n">
        <v>45943.4583333333</v>
      </c>
      <c r="E309" s="21" t="n">
        <v>45947.8333333333</v>
      </c>
      <c r="F309" s="22" t="n">
        <f aca="false">DATE(YEAR(E309),MONTH(E309),1)</f>
        <v>45931</v>
      </c>
      <c r="G309" s="23" t="n">
        <v>142065</v>
      </c>
      <c r="H309" s="8" t="s">
        <v>55</v>
      </c>
      <c r="I309" s="24" t="n">
        <v>4430.8</v>
      </c>
      <c r="J309" s="25" t="n">
        <f aca="false">Summary!$B$4</f>
        <v>1</v>
      </c>
      <c r="K309" s="11" t="n">
        <f aca="false">I309*J309*IF(A309="SILVER",Summary!$B$5,Summary!$B$6)</f>
        <v>443080</v>
      </c>
      <c r="L309" s="26" t="n">
        <v>1.032</v>
      </c>
      <c r="M309" s="27" t="n">
        <f aca="false">IF(K309&gt;0,1,0)</f>
        <v>1</v>
      </c>
      <c r="N309" s="11" t="n">
        <f aca="false">SUMIFS(K$2:K309,A$2:A309,A309,B$2:B309,B309)</f>
        <v>2560356</v>
      </c>
      <c r="O309" s="11" t="n">
        <f aca="false">MAX(0,_xlfn.MAXIFS(N$2:N309,A$2:A309,A309,B$2:B309,B309))</f>
        <v>2560356</v>
      </c>
      <c r="P309" s="11" t="n">
        <f aca="false">N309-O309</f>
        <v>0</v>
      </c>
    </row>
    <row r="310" customFormat="false" ht="15" hidden="false" customHeight="false" outlineLevel="0" collapsed="false">
      <c r="A310" s="8" t="s">
        <v>39</v>
      </c>
      <c r="B310" s="8" t="s">
        <v>27</v>
      </c>
      <c r="C310" s="8" t="s">
        <v>56</v>
      </c>
      <c r="D310" s="21" t="n">
        <v>45947.8333333333</v>
      </c>
      <c r="E310" s="21" t="n">
        <v>45971.5</v>
      </c>
      <c r="F310" s="22" t="n">
        <f aca="false">DATE(YEAR(E310),MONTH(E310),1)</f>
        <v>45962</v>
      </c>
      <c r="G310" s="23" t="n">
        <v>146531</v>
      </c>
      <c r="H310" s="8" t="s">
        <v>55</v>
      </c>
      <c r="I310" s="24" t="n">
        <v>5195.88</v>
      </c>
      <c r="J310" s="25" t="n">
        <f aca="false">Summary!$B$4</f>
        <v>1</v>
      </c>
      <c r="K310" s="11" t="n">
        <f aca="false">I310*J310*IF(A310="SILVER",Summary!$B$5,Summary!$B$6)</f>
        <v>519588</v>
      </c>
      <c r="L310" s="26" t="n">
        <v>0.938</v>
      </c>
      <c r="M310" s="27" t="n">
        <f aca="false">IF(K310&gt;0,1,0)</f>
        <v>1</v>
      </c>
      <c r="N310" s="11" t="n">
        <f aca="false">SUMIFS(K$2:K310,A$2:A310,A310,B$2:B310,B310)</f>
        <v>3079944</v>
      </c>
      <c r="O310" s="11" t="n">
        <f aca="false">MAX(0,_xlfn.MAXIFS(N$2:N310,A$2:A310,A310,B$2:B310,B310))</f>
        <v>3079944</v>
      </c>
      <c r="P310" s="11" t="n">
        <f aca="false">N310-O310</f>
        <v>0</v>
      </c>
    </row>
    <row r="311" customFormat="false" ht="15" hidden="false" customHeight="false" outlineLevel="0" collapsed="false">
      <c r="A311" s="8" t="s">
        <v>39</v>
      </c>
      <c r="B311" s="8" t="s">
        <v>27</v>
      </c>
      <c r="C311" s="8" t="s">
        <v>54</v>
      </c>
      <c r="D311" s="21" t="n">
        <v>45971.5</v>
      </c>
      <c r="E311" s="21" t="n">
        <v>45975.75</v>
      </c>
      <c r="F311" s="22" t="n">
        <f aca="false">DATE(YEAR(E311),MONTH(E311),1)</f>
        <v>45962</v>
      </c>
      <c r="G311" s="23" t="n">
        <v>141300</v>
      </c>
      <c r="H311" s="8" t="s">
        <v>55</v>
      </c>
      <c r="I311" s="24" t="n">
        <v>1088.29</v>
      </c>
      <c r="J311" s="25" t="n">
        <f aca="false">Summary!$B$4</f>
        <v>1</v>
      </c>
      <c r="K311" s="11" t="n">
        <f aca="false">I311*J311*IF(A311="SILVER",Summary!$B$5,Summary!$B$6)</f>
        <v>108829</v>
      </c>
      <c r="L311" s="26" t="n">
        <v>0.38</v>
      </c>
      <c r="M311" s="27" t="n">
        <f aca="false">IF(K311&gt;0,1,0)</f>
        <v>1</v>
      </c>
      <c r="N311" s="11" t="n">
        <f aca="false">SUMIFS(K$2:K311,A$2:A311,A311,B$2:B311,B311)</f>
        <v>3188773</v>
      </c>
      <c r="O311" s="11" t="n">
        <f aca="false">MAX(0,_xlfn.MAXIFS(N$2:N311,A$2:A311,A311,B$2:B311,B311))</f>
        <v>3188773</v>
      </c>
      <c r="P311" s="11" t="n">
        <f aca="false">N311-O311</f>
        <v>0</v>
      </c>
    </row>
    <row r="312" customFormat="false" ht="15" hidden="false" customHeight="false" outlineLevel="0" collapsed="false">
      <c r="A312" s="8" t="s">
        <v>39</v>
      </c>
      <c r="B312" s="8" t="s">
        <v>27</v>
      </c>
      <c r="C312" s="8" t="s">
        <v>56</v>
      </c>
      <c r="D312" s="21" t="n">
        <v>45975.75</v>
      </c>
      <c r="E312" s="21" t="n">
        <v>45986.4166666667</v>
      </c>
      <c r="F312" s="22" t="n">
        <f aca="false">DATE(YEAR(E312),MONTH(E312),1)</f>
        <v>45962</v>
      </c>
      <c r="G312" s="23" t="n">
        <v>142423</v>
      </c>
      <c r="H312" s="8" t="s">
        <v>55</v>
      </c>
      <c r="I312" s="24" t="n">
        <v>-1179.94</v>
      </c>
      <c r="J312" s="25" t="n">
        <f aca="false">Summary!$B$4</f>
        <v>1</v>
      </c>
      <c r="K312" s="11" t="n">
        <f aca="false">I312*J312*IF(A312="SILVER",Summary!$B$5,Summary!$B$6)</f>
        <v>-117994</v>
      </c>
      <c r="L312" s="26" t="n">
        <v>-0.284</v>
      </c>
      <c r="M312" s="27" t="n">
        <f aca="false">IF(K312&gt;0,1,0)</f>
        <v>0</v>
      </c>
      <c r="N312" s="11" t="n">
        <f aca="false">SUMIFS(K$2:K312,A$2:A312,A312,B$2:B312,B312)</f>
        <v>3070779</v>
      </c>
      <c r="O312" s="11" t="n">
        <f aca="false">MAX(0,_xlfn.MAXIFS(N$2:N312,A$2:A312,A312,B$2:B312,B312))</f>
        <v>3188773</v>
      </c>
      <c r="P312" s="11" t="n">
        <f aca="false">N312-O312</f>
        <v>-117994</v>
      </c>
    </row>
    <row r="313" customFormat="false" ht="15" hidden="false" customHeight="false" outlineLevel="0" collapsed="false">
      <c r="A313" s="8" t="s">
        <v>39</v>
      </c>
      <c r="B313" s="8" t="s">
        <v>27</v>
      </c>
      <c r="C313" s="8" t="s">
        <v>54</v>
      </c>
      <c r="D313" s="21" t="n">
        <v>45986.4166666667</v>
      </c>
      <c r="E313" s="21" t="n">
        <v>46020.8333333333</v>
      </c>
      <c r="F313" s="22" t="n">
        <f aca="false">DATE(YEAR(E313),MONTH(E313),1)</f>
        <v>45992</v>
      </c>
      <c r="G313" s="23" t="n">
        <v>143568</v>
      </c>
      <c r="H313" s="8" t="s">
        <v>55</v>
      </c>
      <c r="I313" s="24" t="n">
        <v>9680.52</v>
      </c>
      <c r="J313" s="25" t="n">
        <f aca="false">Summary!$B$4</f>
        <v>1</v>
      </c>
      <c r="K313" s="11" t="n">
        <f aca="false">I313*J313*IF(A313="SILVER",Summary!$B$5,Summary!$B$6)</f>
        <v>968052</v>
      </c>
      <c r="L313" s="26" t="n">
        <v>2.94</v>
      </c>
      <c r="M313" s="27" t="n">
        <f aca="false">IF(K313&gt;0,1,0)</f>
        <v>1</v>
      </c>
      <c r="N313" s="11" t="n">
        <f aca="false">SUMIFS(K$2:K313,A$2:A313,A313,B$2:B313,B313)</f>
        <v>4038831</v>
      </c>
      <c r="O313" s="11" t="n">
        <f aca="false">MAX(0,_xlfn.MAXIFS(N$2:N313,A$2:A313,A313,B$2:B313,B313))</f>
        <v>4038831</v>
      </c>
      <c r="P313" s="11" t="n">
        <f aca="false">N313-O313</f>
        <v>0</v>
      </c>
    </row>
    <row r="314" customFormat="false" ht="15" hidden="false" customHeight="false" outlineLevel="0" collapsed="false">
      <c r="A314" s="8" t="s">
        <v>39</v>
      </c>
      <c r="B314" s="8" t="s">
        <v>27</v>
      </c>
      <c r="C314" s="8" t="s">
        <v>56</v>
      </c>
      <c r="D314" s="21" t="n">
        <v>46020.8333333333</v>
      </c>
      <c r="E314" s="21" t="n">
        <v>46028.4166666667</v>
      </c>
      <c r="F314" s="22" t="n">
        <f aca="false">DATE(YEAR(E314),MONTH(E314),1)</f>
        <v>46023</v>
      </c>
      <c r="G314" s="23" t="n">
        <v>153322</v>
      </c>
      <c r="H314" s="8" t="s">
        <v>55</v>
      </c>
      <c r="I314" s="24" t="n">
        <v>-2160.5</v>
      </c>
      <c r="J314" s="25" t="n">
        <f aca="false">Summary!$B$4</f>
        <v>1</v>
      </c>
      <c r="K314" s="11" t="n">
        <f aca="false">I314*J314*IF(A314="SILVER",Summary!$B$5,Summary!$B$6)</f>
        <v>-216050</v>
      </c>
      <c r="L314" s="26" t="n">
        <v>-0.491</v>
      </c>
      <c r="M314" s="27" t="n">
        <f aca="false">IF(K314&gt;0,1,0)</f>
        <v>0</v>
      </c>
      <c r="N314" s="11" t="n">
        <f aca="false">SUMIFS(K$2:K314,A$2:A314,A314,B$2:B314,B314)</f>
        <v>3822781</v>
      </c>
      <c r="O314" s="11" t="n">
        <f aca="false">MAX(0,_xlfn.MAXIFS(N$2:N314,A$2:A314,A314,B$2:B314,B314))</f>
        <v>4038831</v>
      </c>
      <c r="P314" s="11" t="n">
        <f aca="false">N314-O314</f>
        <v>-216050</v>
      </c>
    </row>
    <row r="315" customFormat="false" ht="15" hidden="false" customHeight="false" outlineLevel="0" collapsed="false">
      <c r="A315" s="8" t="s">
        <v>39</v>
      </c>
      <c r="B315" s="8" t="s">
        <v>27</v>
      </c>
      <c r="C315" s="8" t="s">
        <v>54</v>
      </c>
      <c r="D315" s="21" t="n">
        <v>46028.4166666667</v>
      </c>
      <c r="E315" s="21" t="n">
        <v>46044.4166666667</v>
      </c>
      <c r="F315" s="22" t="n">
        <f aca="false">DATE(YEAR(E315),MONTH(E315),1)</f>
        <v>46023</v>
      </c>
      <c r="G315" s="23" t="n">
        <v>155445</v>
      </c>
      <c r="H315" s="8" t="s">
        <v>55</v>
      </c>
      <c r="I315" s="24" t="n">
        <v>11104.18</v>
      </c>
      <c r="J315" s="25" t="n">
        <f aca="false">Summary!$B$4</f>
        <v>1</v>
      </c>
      <c r="K315" s="11" t="n">
        <f aca="false">I315*J315*IF(A315="SILVER",Summary!$B$5,Summary!$B$6)</f>
        <v>1110418</v>
      </c>
      <c r="L315" s="26" t="n">
        <v>3.772</v>
      </c>
      <c r="M315" s="27" t="n">
        <f aca="false">IF(K315&gt;0,1,0)</f>
        <v>1</v>
      </c>
      <c r="N315" s="11" t="n">
        <f aca="false">SUMIFS(K$2:K315,A$2:A315,A315,B$2:B315,B315)</f>
        <v>4933199</v>
      </c>
      <c r="O315" s="11" t="n">
        <f aca="false">MAX(0,_xlfn.MAXIFS(N$2:N315,A$2:A315,A315,B$2:B315,B315))</f>
        <v>4933199</v>
      </c>
      <c r="P315" s="11" t="n">
        <f aca="false">N315-O315</f>
        <v>0</v>
      </c>
    </row>
    <row r="316" customFormat="false" ht="15" hidden="false" customHeight="false" outlineLevel="0" collapsed="false">
      <c r="A316" s="8" t="s">
        <v>39</v>
      </c>
      <c r="B316" s="8" t="s">
        <v>27</v>
      </c>
      <c r="C316" s="8" t="s">
        <v>56</v>
      </c>
      <c r="D316" s="21" t="n">
        <v>46044.4166666667</v>
      </c>
      <c r="E316" s="21" t="n">
        <v>46049.4166666667</v>
      </c>
      <c r="F316" s="22" t="n">
        <f aca="false">DATE(YEAR(E316),MONTH(E316),1)</f>
        <v>46023</v>
      </c>
      <c r="G316" s="23" t="n">
        <v>166588</v>
      </c>
      <c r="H316" s="8" t="s">
        <v>55</v>
      </c>
      <c r="I316" s="24" t="n">
        <v>-8802.81</v>
      </c>
      <c r="J316" s="25" t="n">
        <f aca="false">Summary!$B$4</f>
        <v>1</v>
      </c>
      <c r="K316" s="11" t="n">
        <f aca="false">I316*J316*IF(A316="SILVER",Summary!$B$5,Summary!$B$6)</f>
        <v>-880281</v>
      </c>
      <c r="L316" s="26" t="n">
        <v>-0.842</v>
      </c>
      <c r="M316" s="27" t="n">
        <f aca="false">IF(K316&gt;0,1,0)</f>
        <v>0</v>
      </c>
      <c r="N316" s="11" t="n">
        <f aca="false">SUMIFS(K$2:K316,A$2:A316,A316,B$2:B316,B316)</f>
        <v>4052918</v>
      </c>
      <c r="O316" s="11" t="n">
        <f aca="false">MAX(0,_xlfn.MAXIFS(N$2:N316,A$2:A316,A316,B$2:B316,B316))</f>
        <v>4933199</v>
      </c>
      <c r="P316" s="11" t="n">
        <f aca="false">N316-O316</f>
        <v>-880281</v>
      </c>
    </row>
    <row r="317" customFormat="false" ht="15" hidden="false" customHeight="false" outlineLevel="0" collapsed="false">
      <c r="A317" s="8" t="s">
        <v>39</v>
      </c>
      <c r="B317" s="8" t="s">
        <v>27</v>
      </c>
      <c r="C317" s="8" t="s">
        <v>54</v>
      </c>
      <c r="D317" s="21" t="n">
        <v>46049.4166666667</v>
      </c>
      <c r="E317" s="21" t="n">
        <v>46051.875</v>
      </c>
      <c r="F317" s="22" t="n">
        <f aca="false">DATE(YEAR(E317),MONTH(E317),1)</f>
        <v>46023</v>
      </c>
      <c r="G317" s="23" t="n">
        <v>175350</v>
      </c>
      <c r="H317" s="8" t="s">
        <v>55</v>
      </c>
      <c r="I317" s="24" t="n">
        <v>832.09</v>
      </c>
      <c r="J317" s="25" t="n">
        <f aca="false">Summary!$B$4</f>
        <v>1</v>
      </c>
      <c r="K317" s="11" t="n">
        <f aca="false">I317*J317*IF(A317="SILVER",Summary!$B$5,Summary!$B$6)</f>
        <v>83209</v>
      </c>
      <c r="L317" s="26" t="n">
        <v>0.102</v>
      </c>
      <c r="M317" s="27" t="n">
        <f aca="false">IF(K317&gt;0,1,0)</f>
        <v>1</v>
      </c>
      <c r="N317" s="11" t="n">
        <f aca="false">SUMIFS(K$2:K317,A$2:A317,A317,B$2:B317,B317)</f>
        <v>4136127</v>
      </c>
      <c r="O317" s="11" t="n">
        <f aca="false">MAX(0,_xlfn.MAXIFS(N$2:N317,A$2:A317,A317,B$2:B317,B317))</f>
        <v>4933199</v>
      </c>
      <c r="P317" s="11" t="n">
        <f aca="false">N317-O317</f>
        <v>-797072</v>
      </c>
    </row>
    <row r="318" customFormat="false" ht="15" hidden="false" customHeight="false" outlineLevel="0" collapsed="false">
      <c r="A318" s="8" t="s">
        <v>39</v>
      </c>
      <c r="B318" s="8" t="s">
        <v>27</v>
      </c>
      <c r="C318" s="8" t="s">
        <v>56</v>
      </c>
      <c r="D318" s="21" t="n">
        <v>46051.875</v>
      </c>
      <c r="E318" s="21" t="n">
        <v>46072.5416666667</v>
      </c>
      <c r="F318" s="22" t="n">
        <f aca="false">DATE(YEAR(E318),MONTH(E318),1)</f>
        <v>46054</v>
      </c>
      <c r="G318" s="23" t="n">
        <v>176224</v>
      </c>
      <c r="H318" s="8" t="s">
        <v>55</v>
      </c>
      <c r="I318" s="24" t="n">
        <v>11684.83</v>
      </c>
      <c r="J318" s="25" t="n">
        <f aca="false">Summary!$B$4</f>
        <v>1</v>
      </c>
      <c r="K318" s="11" t="n">
        <f aca="false">I318*J318*IF(A318="SILVER",Summary!$B$5,Summary!$B$6)</f>
        <v>1168483</v>
      </c>
      <c r="L318" s="26" t="n">
        <v>0.471</v>
      </c>
      <c r="M318" s="27" t="n">
        <f aca="false">IF(K318&gt;0,1,0)</f>
        <v>1</v>
      </c>
      <c r="N318" s="11" t="n">
        <f aca="false">SUMIFS(K$2:K318,A$2:A318,A318,B$2:B318,B318)</f>
        <v>5304610</v>
      </c>
      <c r="O318" s="11" t="n">
        <f aca="false">MAX(0,_xlfn.MAXIFS(N$2:N318,A$2:A318,A318,B$2:B318,B318))</f>
        <v>5304610</v>
      </c>
      <c r="P318" s="11" t="n">
        <f aca="false">N318-O318</f>
        <v>0</v>
      </c>
    </row>
    <row r="319" customFormat="false" ht="15" hidden="false" customHeight="false" outlineLevel="0" collapsed="false">
      <c r="A319" s="8" t="s">
        <v>39</v>
      </c>
      <c r="B319" s="8" t="s">
        <v>27</v>
      </c>
      <c r="C319" s="8" t="s">
        <v>54</v>
      </c>
      <c r="D319" s="21" t="n">
        <v>46072.5416666667</v>
      </c>
      <c r="E319" s="21" t="n">
        <v>46084.75</v>
      </c>
      <c r="F319" s="22" t="n">
        <f aca="false">DATE(YEAR(E319),MONTH(E319),1)</f>
        <v>46082</v>
      </c>
      <c r="G319" s="23" t="n">
        <v>164456</v>
      </c>
      <c r="H319" s="8" t="s">
        <v>55</v>
      </c>
      <c r="I319" s="24" t="n">
        <v>7282.87</v>
      </c>
      <c r="J319" s="25" t="n">
        <f aca="false">Summary!$B$4</f>
        <v>1</v>
      </c>
      <c r="K319" s="11" t="n">
        <f aca="false">I319*J319*IF(A319="SILVER",Summary!$B$5,Summary!$B$6)</f>
        <v>728287</v>
      </c>
      <c r="L319" s="26" t="n">
        <v>1.479</v>
      </c>
      <c r="M319" s="27" t="n">
        <f aca="false">IF(K319&gt;0,1,0)</f>
        <v>1</v>
      </c>
      <c r="N319" s="11" t="n">
        <f aca="false">SUMIFS(K$2:K319,A$2:A319,A319,B$2:B319,B319)</f>
        <v>6032897</v>
      </c>
      <c r="O319" s="11" t="n">
        <f aca="false">MAX(0,_xlfn.MAXIFS(N$2:N319,A$2:A319,A319,B$2:B319,B319))</f>
        <v>6032897</v>
      </c>
      <c r="P319" s="11" t="n">
        <f aca="false">N319-O319</f>
        <v>0</v>
      </c>
    </row>
    <row r="320" customFormat="false" ht="15" hidden="false" customHeight="false" outlineLevel="0" collapsed="false">
      <c r="A320" s="8" t="s">
        <v>39</v>
      </c>
      <c r="B320" s="8" t="s">
        <v>27</v>
      </c>
      <c r="C320" s="8" t="s">
        <v>56</v>
      </c>
      <c r="D320" s="21" t="n">
        <v>46084.75</v>
      </c>
      <c r="E320" s="21" t="n">
        <v>46106.4166666667</v>
      </c>
      <c r="F320" s="22" t="n">
        <f aca="false">DATE(YEAR(E320),MONTH(E320),1)</f>
        <v>46082</v>
      </c>
      <c r="G320" s="23" t="n">
        <v>171781</v>
      </c>
      <c r="H320" s="8" t="s">
        <v>55</v>
      </c>
      <c r="I320" s="24" t="n">
        <v>19952.14</v>
      </c>
      <c r="J320" s="25" t="n">
        <f aca="false">Summary!$B$4</f>
        <v>1</v>
      </c>
      <c r="K320" s="11" t="n">
        <f aca="false">I320*J320*IF(A320="SILVER",Summary!$B$5,Summary!$B$6)</f>
        <v>1995214</v>
      </c>
      <c r="L320" s="26" t="n">
        <v>3.432</v>
      </c>
      <c r="M320" s="27" t="n">
        <f aca="false">IF(K320&gt;0,1,0)</f>
        <v>1</v>
      </c>
      <c r="N320" s="11" t="n">
        <f aca="false">SUMIFS(K$2:K320,A$2:A320,A320,B$2:B320,B320)</f>
        <v>8028111</v>
      </c>
      <c r="O320" s="11" t="n">
        <f aca="false">MAX(0,_xlfn.MAXIFS(N$2:N320,A$2:A320,A320,B$2:B320,B320))</f>
        <v>8028111</v>
      </c>
      <c r="P320" s="11" t="n">
        <f aca="false">N320-O320</f>
        <v>0</v>
      </c>
    </row>
    <row r="321" customFormat="false" ht="15" hidden="false" customHeight="false" outlineLevel="0" collapsed="false">
      <c r="A321" s="8" t="s">
        <v>39</v>
      </c>
      <c r="B321" s="8" t="s">
        <v>27</v>
      </c>
      <c r="C321" s="8" t="s">
        <v>54</v>
      </c>
      <c r="D321" s="21" t="n">
        <v>46106.4166666667</v>
      </c>
      <c r="E321" s="21" t="n">
        <v>46118.375</v>
      </c>
      <c r="F321" s="22" t="n">
        <f aca="false">DATE(YEAR(E321),MONTH(E321),1)</f>
        <v>46113</v>
      </c>
      <c r="G321" s="23" t="n">
        <v>151788</v>
      </c>
      <c r="H321" s="8" t="s">
        <v>55</v>
      </c>
      <c r="I321" s="24" t="n">
        <v>1235.88</v>
      </c>
      <c r="J321" s="25" t="n">
        <f aca="false">Summary!$B$4</f>
        <v>1</v>
      </c>
      <c r="K321" s="11" t="n">
        <f aca="false">I321*J321*IF(A321="SILVER",Summary!$B$5,Summary!$B$6)</f>
        <v>123588</v>
      </c>
      <c r="L321" s="26" t="n">
        <v>0.101</v>
      </c>
      <c r="M321" s="27" t="n">
        <f aca="false">IF(K321&gt;0,1,0)</f>
        <v>1</v>
      </c>
      <c r="N321" s="11" t="n">
        <f aca="false">SUMIFS(K$2:K321,A$2:A321,A321,B$2:B321,B321)</f>
        <v>8151699</v>
      </c>
      <c r="O321" s="11" t="n">
        <f aca="false">MAX(0,_xlfn.MAXIFS(N$2:N321,A$2:A321,A321,B$2:B321,B321))</f>
        <v>8151699</v>
      </c>
      <c r="P321" s="11" t="n">
        <f aca="false">N321-O321</f>
        <v>0</v>
      </c>
    </row>
    <row r="322" customFormat="false" ht="15" hidden="false" customHeight="false" outlineLevel="0" collapsed="false">
      <c r="A322" s="8" t="s">
        <v>39</v>
      </c>
      <c r="B322" s="8" t="s">
        <v>27</v>
      </c>
      <c r="C322" s="8" t="s">
        <v>56</v>
      </c>
      <c r="D322" s="21" t="n">
        <v>46118.375</v>
      </c>
      <c r="E322" s="21" t="n">
        <v>46126.9583333333</v>
      </c>
      <c r="F322" s="22" t="n">
        <f aca="false">DATE(YEAR(E322),MONTH(E322),1)</f>
        <v>46113</v>
      </c>
      <c r="G322" s="23" t="n">
        <v>153102</v>
      </c>
      <c r="H322" s="8" t="s">
        <v>55</v>
      </c>
      <c r="I322" s="24" t="n">
        <v>-5751.02</v>
      </c>
      <c r="J322" s="25" t="n">
        <f aca="false">Summary!$B$4</f>
        <v>1</v>
      </c>
      <c r="K322" s="11" t="n">
        <f aca="false">I322*J322*IF(A322="SILVER",Summary!$B$5,Summary!$B$6)</f>
        <v>-575102</v>
      </c>
      <c r="L322" s="26" t="n">
        <v>-0.758</v>
      </c>
      <c r="M322" s="27" t="n">
        <f aca="false">IF(K322&gt;0,1,0)</f>
        <v>0</v>
      </c>
      <c r="N322" s="11" t="n">
        <f aca="false">SUMIFS(K$2:K322,A$2:A322,A322,B$2:B322,B322)</f>
        <v>7576597</v>
      </c>
      <c r="O322" s="11" t="n">
        <f aca="false">MAX(0,_xlfn.MAXIFS(N$2:N322,A$2:A322,A322,B$2:B322,B322))</f>
        <v>8151699</v>
      </c>
      <c r="P322" s="11" t="n">
        <f aca="false">N322-O322</f>
        <v>-575102</v>
      </c>
    </row>
    <row r="323" customFormat="false" ht="15" hidden="false" customHeight="false" outlineLevel="0" collapsed="false">
      <c r="A323" s="8" t="s">
        <v>39</v>
      </c>
      <c r="B323" s="8" t="s">
        <v>27</v>
      </c>
      <c r="C323" s="8" t="s">
        <v>54</v>
      </c>
      <c r="D323" s="21" t="n">
        <v>46126.9583333333</v>
      </c>
      <c r="E323" s="21" t="n">
        <v>46133.9583333333</v>
      </c>
      <c r="F323" s="22" t="n">
        <f aca="false">DATE(YEAR(E323),MONTH(E323),1)</f>
        <v>46113</v>
      </c>
      <c r="G323" s="23" t="n">
        <v>158813</v>
      </c>
      <c r="H323" s="8" t="s">
        <v>55</v>
      </c>
      <c r="I323" s="24" t="n">
        <v>-3105.61</v>
      </c>
      <c r="J323" s="25" t="n">
        <f aca="false">Summary!$B$4</f>
        <v>1</v>
      </c>
      <c r="K323" s="11" t="n">
        <f aca="false">I323*J323*IF(A323="SILVER",Summary!$B$5,Summary!$B$6)</f>
        <v>-310561</v>
      </c>
      <c r="L323" s="26" t="n">
        <v>-0.809</v>
      </c>
      <c r="M323" s="27" t="n">
        <f aca="false">IF(K323&gt;0,1,0)</f>
        <v>0</v>
      </c>
      <c r="N323" s="11" t="n">
        <f aca="false">SUMIFS(K$2:K323,A$2:A323,A323,B$2:B323,B323)</f>
        <v>7266036</v>
      </c>
      <c r="O323" s="11" t="n">
        <f aca="false">MAX(0,_xlfn.MAXIFS(N$2:N323,A$2:A323,A323,B$2:B323,B323))</f>
        <v>8151699</v>
      </c>
      <c r="P323" s="11" t="n">
        <f aca="false">N323-O323</f>
        <v>-885663</v>
      </c>
    </row>
    <row r="324" customFormat="false" ht="15" hidden="false" customHeight="false" outlineLevel="0" collapsed="false">
      <c r="A324" s="8" t="s">
        <v>39</v>
      </c>
      <c r="B324" s="8" t="s">
        <v>27</v>
      </c>
      <c r="C324" s="8" t="s">
        <v>56</v>
      </c>
      <c r="D324" s="21" t="n">
        <v>46133.9583333333</v>
      </c>
      <c r="E324" s="21" t="n">
        <v>46142.6666666667</v>
      </c>
      <c r="F324" s="22" t="n">
        <f aca="false">DATE(YEAR(E324),MONTH(E324),1)</f>
        <v>46113</v>
      </c>
      <c r="G324" s="23" t="n">
        <v>155748</v>
      </c>
      <c r="H324" s="8" t="s">
        <v>55</v>
      </c>
      <c r="I324" s="24" t="n">
        <v>-303.32</v>
      </c>
      <c r="J324" s="25" t="n">
        <f aca="false">Summary!$B$4</f>
        <v>1</v>
      </c>
      <c r="K324" s="11" t="n">
        <f aca="false">I324*J324*IF(A324="SILVER",Summary!$B$5,Summary!$B$6)</f>
        <v>-30332</v>
      </c>
      <c r="L324" s="26" t="n">
        <v>-0.086</v>
      </c>
      <c r="M324" s="27" t="n">
        <f aca="false">IF(K324&gt;0,1,0)</f>
        <v>0</v>
      </c>
      <c r="N324" s="11" t="n">
        <f aca="false">SUMIFS(K$2:K324,A$2:A324,A324,B$2:B324,B324)</f>
        <v>7235704</v>
      </c>
      <c r="O324" s="11" t="n">
        <f aca="false">MAX(0,_xlfn.MAXIFS(N$2:N324,A$2:A324,A324,B$2:B324,B324))</f>
        <v>8151699</v>
      </c>
      <c r="P324" s="11" t="n">
        <f aca="false">N324-O324</f>
        <v>-915995</v>
      </c>
    </row>
    <row r="325" customFormat="false" ht="15" hidden="false" customHeight="false" outlineLevel="0" collapsed="false">
      <c r="A325" s="8" t="s">
        <v>39</v>
      </c>
      <c r="B325" s="8" t="s">
        <v>27</v>
      </c>
      <c r="C325" s="8" t="s">
        <v>54</v>
      </c>
      <c r="D325" s="21" t="n">
        <v>46142.6666666667</v>
      </c>
      <c r="E325" s="21" t="n">
        <v>46162.4166666667</v>
      </c>
      <c r="F325" s="22" t="n">
        <f aca="false">DATE(YEAR(E325),MONTH(E325),1)</f>
        <v>46143</v>
      </c>
      <c r="G325" s="23" t="n">
        <v>156011</v>
      </c>
      <c r="H325" s="8" t="s">
        <v>55</v>
      </c>
      <c r="I325" s="24" t="n">
        <v>6583</v>
      </c>
      <c r="J325" s="25" t="n">
        <f aca="false">Summary!$B$4</f>
        <v>1</v>
      </c>
      <c r="K325" s="11" t="n">
        <f aca="false">I325*J325*IF(A325="SILVER",Summary!$B$5,Summary!$B$6)</f>
        <v>658300</v>
      </c>
      <c r="L325" s="26" t="n">
        <v>1.853</v>
      </c>
      <c r="M325" s="27" t="n">
        <f aca="false">IF(K325&gt;0,1,0)</f>
        <v>1</v>
      </c>
      <c r="N325" s="11" t="n">
        <f aca="false">SUMIFS(K$2:K325,A$2:A325,A325,B$2:B325,B325)</f>
        <v>7894004</v>
      </c>
      <c r="O325" s="11" t="n">
        <f aca="false">MAX(0,_xlfn.MAXIFS(N$2:N325,A$2:A325,A325,B$2:B325,B325))</f>
        <v>8151699</v>
      </c>
      <c r="P325" s="11" t="n">
        <f aca="false">N325-O325</f>
        <v>-257695</v>
      </c>
    </row>
    <row r="326" customFormat="false" ht="15" hidden="false" customHeight="false" outlineLevel="0" collapsed="false">
      <c r="A326" s="8" t="s">
        <v>39</v>
      </c>
      <c r="B326" s="8" t="s">
        <v>27</v>
      </c>
      <c r="C326" s="8" t="s">
        <v>56</v>
      </c>
      <c r="D326" s="21" t="n">
        <v>46162.4166666667</v>
      </c>
      <c r="E326" s="21" t="n">
        <v>46188.4166666667</v>
      </c>
      <c r="F326" s="22" t="n">
        <f aca="false">DATE(YEAR(E326),MONTH(E326),1)</f>
        <v>46174</v>
      </c>
      <c r="G326" s="23" t="n">
        <v>162635</v>
      </c>
      <c r="H326" s="8" t="s">
        <v>55</v>
      </c>
      <c r="I326" s="24" t="n">
        <v>6748.23</v>
      </c>
      <c r="J326" s="25" t="n">
        <f aca="false">Summary!$B$4</f>
        <v>1</v>
      </c>
      <c r="K326" s="11" t="n">
        <f aca="false">I326*J326*IF(A326="SILVER",Summary!$B$5,Summary!$B$6)</f>
        <v>674823</v>
      </c>
      <c r="L326" s="26" t="n">
        <v>1.787</v>
      </c>
      <c r="M326" s="27" t="n">
        <f aca="false">IF(K326&gt;0,1,0)</f>
        <v>1</v>
      </c>
      <c r="N326" s="11" t="n">
        <f aca="false">SUMIFS(K$2:K326,A$2:A326,A326,B$2:B326,B326)</f>
        <v>8568827</v>
      </c>
      <c r="O326" s="11" t="n">
        <f aca="false">MAX(0,_xlfn.MAXIFS(N$2:N326,A$2:A326,A326,B$2:B326,B326))</f>
        <v>8568827</v>
      </c>
      <c r="P326" s="11" t="n">
        <f aca="false">N326-O326</f>
        <v>0</v>
      </c>
    </row>
    <row r="327" customFormat="false" ht="15" hidden="false" customHeight="false" outlineLevel="0" collapsed="false">
      <c r="A327" s="8" t="s">
        <v>39</v>
      </c>
      <c r="B327" s="8" t="s">
        <v>27</v>
      </c>
      <c r="C327" s="8" t="s">
        <v>54</v>
      </c>
      <c r="D327" s="21" t="n">
        <v>46188.4166666667</v>
      </c>
      <c r="E327" s="21" t="n">
        <v>46191.5833333333</v>
      </c>
      <c r="F327" s="22" t="n">
        <f aca="false">DATE(YEAR(E327),MONTH(E327),1)</f>
        <v>46174</v>
      </c>
      <c r="G327" s="23" t="n">
        <v>155805</v>
      </c>
      <c r="H327" s="8" t="s">
        <v>55</v>
      </c>
      <c r="I327" s="24" t="n">
        <v>-2321.4</v>
      </c>
      <c r="J327" s="25" t="n">
        <f aca="false">Summary!$B$4</f>
        <v>1</v>
      </c>
      <c r="K327" s="11" t="n">
        <f aca="false">I327*J327*IF(A327="SILVER",Summary!$B$5,Summary!$B$6)</f>
        <v>-232140</v>
      </c>
      <c r="L327" s="26" t="n">
        <v>-0.487</v>
      </c>
      <c r="M327" s="27" t="n">
        <f aca="false">IF(K327&gt;0,1,0)</f>
        <v>0</v>
      </c>
      <c r="N327" s="11" t="n">
        <f aca="false">SUMIFS(K$2:K327,A$2:A327,A327,B$2:B327,B327)</f>
        <v>8336687</v>
      </c>
      <c r="O327" s="11" t="n">
        <f aca="false">MAX(0,_xlfn.MAXIFS(N$2:N327,A$2:A327,A327,B$2:B327,B327))</f>
        <v>8568827</v>
      </c>
      <c r="P327" s="11" t="n">
        <f aca="false">N327-O327</f>
        <v>-232140</v>
      </c>
    </row>
    <row r="328" customFormat="false" ht="15" hidden="false" customHeight="false" outlineLevel="0" collapsed="false">
      <c r="A328" s="8" t="s">
        <v>39</v>
      </c>
      <c r="B328" s="8" t="s">
        <v>27</v>
      </c>
      <c r="C328" s="8" t="s">
        <v>56</v>
      </c>
      <c r="D328" s="21" t="n">
        <v>46191.5833333333</v>
      </c>
      <c r="E328" s="21" t="n">
        <v>46204.8333333333</v>
      </c>
      <c r="F328" s="22" t="n">
        <f aca="false">DATE(YEAR(E328),MONTH(E328),1)</f>
        <v>46204</v>
      </c>
      <c r="G328" s="23" t="n">
        <v>153524</v>
      </c>
      <c r="H328" s="8" t="s">
        <v>55</v>
      </c>
      <c r="I328" s="24" t="n">
        <v>5817.41</v>
      </c>
      <c r="J328" s="25" t="n">
        <f aca="false">Summary!$B$4</f>
        <v>1</v>
      </c>
      <c r="K328" s="11" t="n">
        <f aca="false">I328*J328*IF(A328="SILVER",Summary!$B$5,Summary!$B$6)</f>
        <v>581741</v>
      </c>
      <c r="L328" s="26" t="n">
        <v>1.534</v>
      </c>
      <c r="M328" s="27" t="n">
        <f aca="false">IF(K328&gt;0,1,0)</f>
        <v>1</v>
      </c>
      <c r="N328" s="11" t="n">
        <f aca="false">SUMIFS(K$2:K328,A$2:A328,A328,B$2:B328,B328)</f>
        <v>8918428</v>
      </c>
      <c r="O328" s="11" t="n">
        <f aca="false">MAX(0,_xlfn.MAXIFS(N$2:N328,A$2:A328,A328,B$2:B328,B328))</f>
        <v>8918428</v>
      </c>
      <c r="P328" s="11" t="n">
        <f aca="false">N328-O328</f>
        <v>0</v>
      </c>
    </row>
    <row r="329" customFormat="false" ht="15" hidden="false" customHeight="false" outlineLevel="0" collapsed="false">
      <c r="A329" s="8" t="s">
        <v>39</v>
      </c>
      <c r="B329" s="8" t="s">
        <v>27</v>
      </c>
      <c r="C329" s="8" t="s">
        <v>54</v>
      </c>
      <c r="D329" s="21" t="n">
        <v>46204.8333333333</v>
      </c>
      <c r="E329" s="21" t="n">
        <v>46211.625</v>
      </c>
      <c r="F329" s="22" t="n">
        <f aca="false">DATE(YEAR(E329),MONTH(E329),1)</f>
        <v>46204</v>
      </c>
      <c r="G329" s="23" t="n">
        <v>147667</v>
      </c>
      <c r="H329" s="8" t="s">
        <v>55</v>
      </c>
      <c r="I329" s="24" t="n">
        <v>-1821.83</v>
      </c>
      <c r="J329" s="25" t="n">
        <f aca="false">Summary!$B$4</f>
        <v>1</v>
      </c>
      <c r="K329" s="11" t="n">
        <f aca="false">I329*J329*IF(A329="SILVER",Summary!$B$5,Summary!$B$6)</f>
        <v>-182183</v>
      </c>
      <c r="L329" s="26" t="n">
        <v>-0.353</v>
      </c>
      <c r="M329" s="27" t="n">
        <f aca="false">IF(K329&gt;0,1,0)</f>
        <v>0</v>
      </c>
      <c r="N329" s="11" t="n">
        <f aca="false">SUMIFS(K$2:K329,A$2:A329,A329,B$2:B329,B329)</f>
        <v>8736245</v>
      </c>
      <c r="O329" s="11" t="n">
        <f aca="false">MAX(0,_xlfn.MAXIFS(N$2:N329,A$2:A329,A329,B$2:B329,B329))</f>
        <v>8918428</v>
      </c>
      <c r="P329" s="11" t="n">
        <f aca="false">N329-O329</f>
        <v>-182183</v>
      </c>
    </row>
    <row r="330" customFormat="false" ht="15" hidden="false" customHeight="false" outlineLevel="0" collapsed="false">
      <c r="A330" s="8" t="s">
        <v>39</v>
      </c>
      <c r="B330" s="8" t="s">
        <v>27</v>
      </c>
      <c r="C330" s="8" t="s">
        <v>56</v>
      </c>
      <c r="D330" s="21" t="n">
        <v>46211.625</v>
      </c>
      <c r="E330" s="21" t="n">
        <v>46224.875</v>
      </c>
      <c r="F330" s="22" t="n">
        <f aca="false">DATE(YEAR(E330),MONTH(E330),1)</f>
        <v>46204</v>
      </c>
      <c r="G330" s="23" t="n">
        <v>145884</v>
      </c>
      <c r="H330" s="8" t="s">
        <v>55</v>
      </c>
      <c r="I330" s="24" t="n">
        <v>226.37</v>
      </c>
      <c r="J330" s="25" t="n">
        <f aca="false">Summary!$B$4</f>
        <v>1</v>
      </c>
      <c r="K330" s="11" t="n">
        <f aca="false">I330*J330*IF(A330="SILVER",Summary!$B$5,Summary!$B$6)</f>
        <v>22637</v>
      </c>
      <c r="L330" s="26" t="n">
        <v>0.061</v>
      </c>
      <c r="M330" s="27" t="n">
        <f aca="false">IF(K330&gt;0,1,0)</f>
        <v>1</v>
      </c>
      <c r="N330" s="11" t="n">
        <f aca="false">SUMIFS(K$2:K330,A$2:A330,A330,B$2:B330,B330)</f>
        <v>8758882</v>
      </c>
      <c r="O330" s="11" t="n">
        <f aca="false">MAX(0,_xlfn.MAXIFS(N$2:N330,A$2:A330,A330,B$2:B330,B330))</f>
        <v>8918428</v>
      </c>
      <c r="P330" s="11" t="n">
        <f aca="false">N330-O330</f>
        <v>-159546</v>
      </c>
    </row>
    <row r="331" customFormat="false" ht="15" hidden="false" customHeight="false" outlineLevel="0" collapsed="false">
      <c r="A331" s="8" t="s">
        <v>39</v>
      </c>
      <c r="B331" s="8" t="s">
        <v>27</v>
      </c>
      <c r="C331" s="8" t="s">
        <v>54</v>
      </c>
      <c r="D331" s="21" t="n">
        <v>46224.875</v>
      </c>
      <c r="E331" s="21" t="n">
        <v>46226.7916666667</v>
      </c>
      <c r="F331" s="22" t="n">
        <f aca="false">DATE(YEAR(E331),MONTH(E331),1)</f>
        <v>46204</v>
      </c>
      <c r="G331" s="23" t="n">
        <v>145619</v>
      </c>
      <c r="H331" s="8" t="s">
        <v>55</v>
      </c>
      <c r="I331" s="24" t="n">
        <v>260.38</v>
      </c>
      <c r="J331" s="25" t="n">
        <f aca="false">Summary!$B$4</f>
        <v>1</v>
      </c>
      <c r="K331" s="11" t="n">
        <f aca="false">I331*J331*IF(A331="SILVER",Summary!$B$5,Summary!$B$6)</f>
        <v>26038</v>
      </c>
      <c r="L331" s="26" t="n">
        <v>0.103</v>
      </c>
      <c r="M331" s="27" t="n">
        <f aca="false">IF(K331&gt;0,1,0)</f>
        <v>1</v>
      </c>
      <c r="N331" s="11" t="n">
        <f aca="false">SUMIFS(K$2:K331,A$2:A331,A331,B$2:B331,B331)</f>
        <v>8784920</v>
      </c>
      <c r="O331" s="11" t="n">
        <f aca="false">MAX(0,_xlfn.MAXIFS(N$2:N331,A$2:A331,A331,B$2:B331,B331))</f>
        <v>8918428</v>
      </c>
      <c r="P331" s="11" t="n">
        <f aca="false">N331-O331</f>
        <v>-133508</v>
      </c>
    </row>
    <row r="332" customFormat="false" ht="15" hidden="false" customHeight="false" outlineLevel="0" collapsed="false">
      <c r="A332" s="8" t="s">
        <v>39</v>
      </c>
      <c r="B332" s="8" t="s">
        <v>27</v>
      </c>
      <c r="C332" s="8" t="s">
        <v>56</v>
      </c>
      <c r="D332" s="21" t="n">
        <v>46226.7916666667</v>
      </c>
      <c r="E332" s="21" t="n">
        <v>46233.9166666667</v>
      </c>
      <c r="F332" s="22" t="n">
        <f aca="false">DATE(YEAR(E332),MONTH(E332),1)</f>
        <v>46204</v>
      </c>
      <c r="G332" s="23" t="n">
        <v>145918</v>
      </c>
      <c r="H332" s="8" t="s">
        <v>55</v>
      </c>
      <c r="I332" s="24" t="n">
        <v>-89.66</v>
      </c>
      <c r="J332" s="25" t="n">
        <f aca="false">Summary!$B$4</f>
        <v>1</v>
      </c>
      <c r="K332" s="11" t="n">
        <f aca="false">I332*J332*IF(A332="SILVER",Summary!$B$5,Summary!$B$6)</f>
        <v>-8966</v>
      </c>
      <c r="L332" s="26" t="n">
        <v>-0.035</v>
      </c>
      <c r="M332" s="27" t="n">
        <f aca="false">IF(K332&gt;0,1,0)</f>
        <v>0</v>
      </c>
      <c r="N332" s="11" t="n">
        <f aca="false">SUMIFS(K$2:K332,A$2:A332,A332,B$2:B332,B332)</f>
        <v>8775954</v>
      </c>
      <c r="O332" s="11" t="n">
        <f aca="false">MAX(0,_xlfn.MAXIFS(N$2:N332,A$2:A332,A332,B$2:B332,B332))</f>
        <v>8918428</v>
      </c>
      <c r="P332" s="11" t="n">
        <f aca="false">N332-O332</f>
        <v>-142474</v>
      </c>
    </row>
    <row r="333" customFormat="false" ht="15" hidden="false" customHeight="false" outlineLevel="0" collapsed="false">
      <c r="A333" s="8" t="s">
        <v>39</v>
      </c>
      <c r="B333" s="8" t="s">
        <v>27</v>
      </c>
      <c r="C333" s="8" t="s">
        <v>54</v>
      </c>
      <c r="D333" s="21" t="n">
        <v>46233.9166666667</v>
      </c>
      <c r="E333" s="21" t="n">
        <v>46260.9583333333</v>
      </c>
      <c r="F333" s="22" t="n">
        <f aca="false">DATE(YEAR(E333),MONTH(E333),1)</f>
        <v>46235</v>
      </c>
      <c r="G333" s="23" t="n">
        <v>145969</v>
      </c>
      <c r="H333" s="8" t="s">
        <v>55</v>
      </c>
      <c r="I333" s="24" t="n">
        <v>14218.58</v>
      </c>
      <c r="J333" s="25" t="n">
        <f aca="false">Summary!$B$4</f>
        <v>1</v>
      </c>
      <c r="K333" s="11" t="n">
        <f aca="false">I333*J333*IF(A333="SILVER",Summary!$B$5,Summary!$B$6)</f>
        <v>1421858</v>
      </c>
      <c r="L333" s="26" t="n">
        <v>4.952</v>
      </c>
      <c r="M333" s="27" t="n">
        <f aca="false">IF(K333&gt;0,1,0)</f>
        <v>1</v>
      </c>
      <c r="N333" s="11" t="n">
        <f aca="false">SUMIFS(K$2:K333,A$2:A333,A333,B$2:B333,B333)</f>
        <v>10197812</v>
      </c>
      <c r="O333" s="11" t="n">
        <f aca="false">MAX(0,_xlfn.MAXIFS(N$2:N333,A$2:A333,A333,B$2:B333,B333))</f>
        <v>10197812</v>
      </c>
      <c r="P333" s="11" t="n">
        <f aca="false">N333-O333</f>
        <v>0</v>
      </c>
    </row>
    <row r="334" customFormat="false" ht="15" hidden="false" customHeight="false" outlineLevel="0" collapsed="false">
      <c r="A334" s="8" t="s">
        <v>39</v>
      </c>
      <c r="B334" s="8" t="s">
        <v>27</v>
      </c>
      <c r="C334" s="8" t="s">
        <v>56</v>
      </c>
      <c r="D334" s="21" t="n">
        <v>46260.9583333333</v>
      </c>
      <c r="E334" s="21" t="n">
        <v>46268.7916666667</v>
      </c>
      <c r="F334" s="22" t="n">
        <f aca="false">DATE(YEAR(E334),MONTH(E334),1)</f>
        <v>46266</v>
      </c>
      <c r="G334" s="23" t="n">
        <v>160270</v>
      </c>
      <c r="H334" s="8" t="s">
        <v>55</v>
      </c>
      <c r="I334" s="24" t="n">
        <v>4794.43</v>
      </c>
      <c r="J334" s="25" t="n">
        <f aca="false">Summary!$B$4</f>
        <v>1</v>
      </c>
      <c r="K334" s="11" t="n">
        <f aca="false">I334*J334*IF(A334="SILVER",Summary!$B$5,Summary!$B$6)</f>
        <v>479443</v>
      </c>
      <c r="L334" s="26" t="n">
        <v>1.14</v>
      </c>
      <c r="M334" s="27" t="n">
        <f aca="false">IF(K334&gt;0,1,0)</f>
        <v>1</v>
      </c>
      <c r="N334" s="11" t="n">
        <f aca="false">SUMIFS(K$2:K334,A$2:A334,A334,B$2:B334,B334)</f>
        <v>10677255</v>
      </c>
      <c r="O334" s="11" t="n">
        <f aca="false">MAX(0,_xlfn.MAXIFS(N$2:N334,A$2:A334,A334,B$2:B334,B334))</f>
        <v>10677255</v>
      </c>
      <c r="P334" s="11" t="n">
        <f aca="false">N334-O334</f>
        <v>0</v>
      </c>
    </row>
    <row r="335" customFormat="false" ht="15" hidden="false" customHeight="false" outlineLevel="0" collapsed="false">
      <c r="A335" s="8" t="s">
        <v>39</v>
      </c>
      <c r="B335" s="8" t="s">
        <v>27</v>
      </c>
      <c r="C335" s="8" t="s">
        <v>54</v>
      </c>
      <c r="D335" s="21" t="n">
        <v>46268.7916666667</v>
      </c>
      <c r="E335" s="21" t="n">
        <v>46279.75</v>
      </c>
      <c r="F335" s="22" t="n">
        <f aca="false">DATE(YEAR(E335),MONTH(E335),1)</f>
        <v>46266</v>
      </c>
      <c r="G335" s="23" t="n">
        <v>155434</v>
      </c>
      <c r="H335" s="8" t="s">
        <v>55</v>
      </c>
      <c r="I335" s="24" t="n">
        <v>-4899.6</v>
      </c>
      <c r="J335" s="25" t="n">
        <f aca="false">Summary!$B$4</f>
        <v>1</v>
      </c>
      <c r="K335" s="11" t="n">
        <f aca="false">I335*J335*IF(A335="SILVER",Summary!$B$5,Summary!$B$6)</f>
        <v>-489960</v>
      </c>
      <c r="L335" s="26" t="n">
        <v>-1.073</v>
      </c>
      <c r="M335" s="27" t="n">
        <f aca="false">IF(K335&gt;0,1,0)</f>
        <v>0</v>
      </c>
      <c r="N335" s="11" t="n">
        <f aca="false">SUMIFS(K$2:K335,A$2:A335,A335,B$2:B335,B335)</f>
        <v>10187295</v>
      </c>
      <c r="O335" s="11" t="n">
        <f aca="false">MAX(0,_xlfn.MAXIFS(N$2:N335,A$2:A335,A335,B$2:B335,B335))</f>
        <v>10677255</v>
      </c>
      <c r="P335" s="11" t="n">
        <f aca="false">N335-O335</f>
        <v>-489960</v>
      </c>
    </row>
    <row r="336" customFormat="false" ht="15" hidden="false" customHeight="false" outlineLevel="0" collapsed="false">
      <c r="A336" s="8" t="s">
        <v>39</v>
      </c>
      <c r="B336" s="8" t="s">
        <v>27</v>
      </c>
      <c r="C336" s="8" t="s">
        <v>56</v>
      </c>
      <c r="D336" s="21" t="n">
        <v>46279.75</v>
      </c>
      <c r="E336" s="21" t="n">
        <v>46283.5</v>
      </c>
      <c r="F336" s="22" t="n">
        <f aca="false">DATE(YEAR(E336),MONTH(E336),1)</f>
        <v>46266</v>
      </c>
      <c r="G336" s="23" t="n">
        <v>150575</v>
      </c>
      <c r="H336" s="8" t="s">
        <v>55</v>
      </c>
      <c r="I336" s="24" t="n">
        <v>-3505.46</v>
      </c>
      <c r="J336" s="25" t="n">
        <f aca="false">Summary!$B$4</f>
        <v>1</v>
      </c>
      <c r="K336" s="11" t="n">
        <f aca="false">I336*J336*IF(A336="SILVER",Summary!$B$5,Summary!$B$6)</f>
        <v>-350546</v>
      </c>
      <c r="L336" s="26" t="n">
        <v>-0.805</v>
      </c>
      <c r="M336" s="27" t="n">
        <f aca="false">IF(K336&gt;0,1,0)</f>
        <v>0</v>
      </c>
      <c r="N336" s="11" t="n">
        <f aca="false">SUMIFS(K$2:K336,A$2:A336,A336,B$2:B336,B336)</f>
        <v>9836749</v>
      </c>
      <c r="O336" s="11" t="n">
        <f aca="false">MAX(0,_xlfn.MAXIFS(N$2:N336,A$2:A336,A336,B$2:B336,B336))</f>
        <v>10677255</v>
      </c>
      <c r="P336" s="11" t="n">
        <f aca="false">N336-O336</f>
        <v>-840506</v>
      </c>
    </row>
    <row r="337" customFormat="false" ht="15" hidden="false" customHeight="false" outlineLevel="0" collapsed="false">
      <c r="A337" s="8" t="s">
        <v>39</v>
      </c>
      <c r="B337" s="8" t="s">
        <v>27</v>
      </c>
      <c r="C337" s="8" t="s">
        <v>54</v>
      </c>
      <c r="D337" s="21" t="n">
        <v>46283.5</v>
      </c>
      <c r="E337" s="21" t="n">
        <v>46288.9784722222</v>
      </c>
      <c r="F337" s="22" t="n">
        <f aca="false">DATE(YEAR(E337),MONTH(E337),1)</f>
        <v>46266</v>
      </c>
      <c r="G337" s="23" t="n">
        <v>154040</v>
      </c>
      <c r="H337" s="8" t="s">
        <v>57</v>
      </c>
      <c r="I337" s="24" t="n">
        <v>-2720.54</v>
      </c>
      <c r="J337" s="25" t="n">
        <f aca="false">Summary!$B$4</f>
        <v>1</v>
      </c>
      <c r="K337" s="11" t="n">
        <f aca="false">I337*J337*IF(A337="SILVER",Summary!$B$5,Summary!$B$6)</f>
        <v>-272054</v>
      </c>
      <c r="L337" s="26" t="n">
        <v>-0.667</v>
      </c>
      <c r="M337" s="27" t="n">
        <f aca="false">IF(K337&gt;0,1,0)</f>
        <v>0</v>
      </c>
      <c r="N337" s="11" t="n">
        <f aca="false">SUMIFS(K$2:K337,A$2:A337,A337,B$2:B337,B337)</f>
        <v>9564695</v>
      </c>
      <c r="O337" s="11" t="n">
        <f aca="false">MAX(0,_xlfn.MAXIFS(N$2:N337,A$2:A337,A337,B$2:B337,B337))</f>
        <v>10677255</v>
      </c>
      <c r="P337" s="11" t="n">
        <f aca="false">N337-O337</f>
        <v>-1112560</v>
      </c>
    </row>
    <row r="338" customFormat="false" ht="15" hidden="false" customHeight="false" outlineLevel="0" collapsed="false">
      <c r="A338" s="8" t="s">
        <v>39</v>
      </c>
      <c r="B338" s="8" t="s">
        <v>29</v>
      </c>
      <c r="C338" s="8" t="s">
        <v>54</v>
      </c>
      <c r="D338" s="21" t="n">
        <v>45707.5833333333</v>
      </c>
      <c r="E338" s="21" t="n">
        <v>45713.9166666667</v>
      </c>
      <c r="F338" s="22" t="n">
        <f aca="false">DATE(YEAR(E338),MONTH(E338),1)</f>
        <v>45689</v>
      </c>
      <c r="G338" s="23" t="n">
        <v>106912</v>
      </c>
      <c r="H338" s="8" t="s">
        <v>55</v>
      </c>
      <c r="I338" s="24" t="n">
        <v>-1045.17</v>
      </c>
      <c r="J338" s="25" t="n">
        <f aca="false">Summary!$B$4</f>
        <v>1</v>
      </c>
      <c r="K338" s="11" t="n">
        <f aca="false">I338*J338*IF(A338="SILVER",Summary!$B$5,Summary!$B$6)</f>
        <v>-104517</v>
      </c>
      <c r="L338" s="26" t="n">
        <v>-0.914</v>
      </c>
      <c r="M338" s="27" t="n">
        <f aca="false">IF(K338&gt;0,1,0)</f>
        <v>0</v>
      </c>
      <c r="N338" s="11" t="n">
        <f aca="false">SUMIFS(K$2:K338,A$2:A338,A338,B$2:B338,B338)</f>
        <v>-104517</v>
      </c>
      <c r="O338" s="11" t="n">
        <f aca="false">MAX(0,_xlfn.MAXIFS(N$2:N338,A$2:A338,A338,B$2:B338,B338))</f>
        <v>0</v>
      </c>
      <c r="P338" s="11" t="n">
        <f aca="false">N338-O338</f>
        <v>-104517</v>
      </c>
    </row>
    <row r="339" customFormat="false" ht="15" hidden="false" customHeight="false" outlineLevel="0" collapsed="false">
      <c r="A339" s="8" t="s">
        <v>39</v>
      </c>
      <c r="B339" s="8" t="s">
        <v>29</v>
      </c>
      <c r="C339" s="8" t="s">
        <v>54</v>
      </c>
      <c r="D339" s="21" t="n">
        <v>45720.5416666667</v>
      </c>
      <c r="E339" s="21" t="n">
        <v>45737.8333333333</v>
      </c>
      <c r="F339" s="22" t="n">
        <f aca="false">DATE(YEAR(E339),MONTH(E339),1)</f>
        <v>45717</v>
      </c>
      <c r="G339" s="23" t="n">
        <v>106237</v>
      </c>
      <c r="H339" s="8" t="s">
        <v>55</v>
      </c>
      <c r="I339" s="24" t="n">
        <v>1816.68</v>
      </c>
      <c r="J339" s="25" t="n">
        <f aca="false">Summary!$B$4</f>
        <v>1</v>
      </c>
      <c r="K339" s="11" t="n">
        <f aca="false">I339*J339*IF(A339="SILVER",Summary!$B$5,Summary!$B$6)</f>
        <v>181668</v>
      </c>
      <c r="L339" s="26" t="n">
        <v>1.27</v>
      </c>
      <c r="M339" s="27" t="n">
        <f aca="false">IF(K339&gt;0,1,0)</f>
        <v>1</v>
      </c>
      <c r="N339" s="11" t="n">
        <f aca="false">SUMIFS(K$2:K339,A$2:A339,A339,B$2:B339,B339)</f>
        <v>77151</v>
      </c>
      <c r="O339" s="11" t="n">
        <f aca="false">MAX(0,_xlfn.MAXIFS(N$2:N339,A$2:A339,A339,B$2:B339,B339))</f>
        <v>77151</v>
      </c>
      <c r="P339" s="11" t="n">
        <f aca="false">N339-O339</f>
        <v>0</v>
      </c>
    </row>
    <row r="340" customFormat="false" ht="15" hidden="false" customHeight="false" outlineLevel="0" collapsed="false">
      <c r="A340" s="8" t="s">
        <v>39</v>
      </c>
      <c r="B340" s="8" t="s">
        <v>29</v>
      </c>
      <c r="C340" s="8" t="s">
        <v>54</v>
      </c>
      <c r="D340" s="21" t="n">
        <v>45743.875</v>
      </c>
      <c r="E340" s="21" t="n">
        <v>45750.7520833333</v>
      </c>
      <c r="F340" s="22" t="n">
        <f aca="false">DATE(YEAR(E340),MONTH(E340),1)</f>
        <v>45748</v>
      </c>
      <c r="G340" s="23" t="n">
        <v>109040</v>
      </c>
      <c r="H340" s="8" t="s">
        <v>55</v>
      </c>
      <c r="I340" s="24" t="n">
        <v>1074.18</v>
      </c>
      <c r="J340" s="25" t="n">
        <f aca="false">Summary!$B$4</f>
        <v>1</v>
      </c>
      <c r="K340" s="11" t="n">
        <f aca="false">I340*J340*IF(A340="SILVER",Summary!$B$5,Summary!$B$6)</f>
        <v>107418</v>
      </c>
      <c r="L340" s="26" t="n">
        <v>0.873</v>
      </c>
      <c r="M340" s="27" t="n">
        <f aca="false">IF(K340&gt;0,1,0)</f>
        <v>1</v>
      </c>
      <c r="N340" s="11" t="n">
        <f aca="false">SUMIFS(K$2:K340,A$2:A340,A340,B$2:B340,B340)</f>
        <v>184569</v>
      </c>
      <c r="O340" s="11" t="n">
        <f aca="false">MAX(0,_xlfn.MAXIFS(N$2:N340,A$2:A340,A340,B$2:B340,B340))</f>
        <v>184569</v>
      </c>
      <c r="P340" s="11" t="n">
        <f aca="false">N340-O340</f>
        <v>0</v>
      </c>
    </row>
    <row r="341" customFormat="false" ht="15" hidden="false" customHeight="false" outlineLevel="0" collapsed="false">
      <c r="A341" s="8" t="s">
        <v>39</v>
      </c>
      <c r="B341" s="8" t="s">
        <v>29</v>
      </c>
      <c r="C341" s="8" t="s">
        <v>54</v>
      </c>
      <c r="D341" s="21" t="n">
        <v>45756.7083333333</v>
      </c>
      <c r="E341" s="21" t="n">
        <v>45770.4166666667</v>
      </c>
      <c r="F341" s="22" t="n">
        <f aca="false">DATE(YEAR(E341),MONTH(E341),1)</f>
        <v>45748</v>
      </c>
      <c r="G341" s="23" t="n">
        <v>111112</v>
      </c>
      <c r="H341" s="8" t="s">
        <v>55</v>
      </c>
      <c r="I341" s="24" t="n">
        <v>5836.42</v>
      </c>
      <c r="J341" s="25" t="n">
        <f aca="false">Summary!$B$4</f>
        <v>1</v>
      </c>
      <c r="K341" s="11" t="n">
        <f aca="false">I341*J341*IF(A341="SILVER",Summary!$B$5,Summary!$B$6)</f>
        <v>583642</v>
      </c>
      <c r="L341" s="26" t="n">
        <v>2.001</v>
      </c>
      <c r="M341" s="27" t="n">
        <f aca="false">IF(K341&gt;0,1,0)</f>
        <v>1</v>
      </c>
      <c r="N341" s="11" t="n">
        <f aca="false">SUMIFS(K$2:K341,A$2:A341,A341,B$2:B341,B341)</f>
        <v>768211</v>
      </c>
      <c r="O341" s="11" t="n">
        <f aca="false">MAX(0,_xlfn.MAXIFS(N$2:N341,A$2:A341,A341,B$2:B341,B341))</f>
        <v>768211</v>
      </c>
      <c r="P341" s="11" t="n">
        <f aca="false">N341-O341</f>
        <v>0</v>
      </c>
    </row>
    <row r="342" customFormat="false" ht="15" hidden="false" customHeight="false" outlineLevel="0" collapsed="false">
      <c r="A342" s="8" t="s">
        <v>39</v>
      </c>
      <c r="B342" s="8" t="s">
        <v>29</v>
      </c>
      <c r="C342" s="8" t="s">
        <v>54</v>
      </c>
      <c r="D342" s="21" t="n">
        <v>45783.4166666667</v>
      </c>
      <c r="E342" s="21" t="n">
        <v>45789.4166666667</v>
      </c>
      <c r="F342" s="22" t="n">
        <f aca="false">DATE(YEAR(E342),MONTH(E342),1)</f>
        <v>45778</v>
      </c>
      <c r="G342" s="23" t="n">
        <v>117070</v>
      </c>
      <c r="H342" s="8" t="s">
        <v>55</v>
      </c>
      <c r="I342" s="24" t="n">
        <v>-1924.99</v>
      </c>
      <c r="J342" s="25" t="n">
        <f aca="false">Summary!$B$4</f>
        <v>1</v>
      </c>
      <c r="K342" s="11" t="n">
        <f aca="false">I342*J342*IF(A342="SILVER",Summary!$B$5,Summary!$B$6)</f>
        <v>-192499</v>
      </c>
      <c r="L342" s="26" t="n">
        <v>-0.71</v>
      </c>
      <c r="M342" s="27" t="n">
        <f aca="false">IF(K342&gt;0,1,0)</f>
        <v>0</v>
      </c>
      <c r="N342" s="11" t="n">
        <f aca="false">SUMIFS(K$2:K342,A$2:A342,A342,B$2:B342,B342)</f>
        <v>575712</v>
      </c>
      <c r="O342" s="11" t="n">
        <f aca="false">MAX(0,_xlfn.MAXIFS(N$2:N342,A$2:A342,A342,B$2:B342,B342))</f>
        <v>768211</v>
      </c>
      <c r="P342" s="11" t="n">
        <f aca="false">N342-O342</f>
        <v>-192499</v>
      </c>
    </row>
    <row r="343" customFormat="false" ht="15" hidden="false" customHeight="false" outlineLevel="0" collapsed="false">
      <c r="A343" s="8" t="s">
        <v>39</v>
      </c>
      <c r="B343" s="8" t="s">
        <v>29</v>
      </c>
      <c r="C343" s="8" t="s">
        <v>54</v>
      </c>
      <c r="D343" s="21" t="n">
        <v>45796.5833333333</v>
      </c>
      <c r="E343" s="21" t="n">
        <v>45806.4173611111</v>
      </c>
      <c r="F343" s="22" t="n">
        <f aca="false">DATE(YEAR(E343),MONTH(E343),1)</f>
        <v>45778</v>
      </c>
      <c r="G343" s="23" t="n">
        <v>114713</v>
      </c>
      <c r="H343" s="8" t="s">
        <v>55</v>
      </c>
      <c r="I343" s="24" t="n">
        <v>1070.18</v>
      </c>
      <c r="J343" s="25" t="n">
        <f aca="false">Summary!$B$4</f>
        <v>1</v>
      </c>
      <c r="K343" s="11" t="n">
        <f aca="false">I343*J343*IF(A343="SILVER",Summary!$B$5,Summary!$B$6)</f>
        <v>107018</v>
      </c>
      <c r="L343" s="26" t="n">
        <v>0.429</v>
      </c>
      <c r="M343" s="27" t="n">
        <f aca="false">IF(K343&gt;0,1,0)</f>
        <v>1</v>
      </c>
      <c r="N343" s="11" t="n">
        <f aca="false">SUMIFS(K$2:K343,A$2:A343,A343,B$2:B343,B343)</f>
        <v>682730</v>
      </c>
      <c r="O343" s="11" t="n">
        <f aca="false">MAX(0,_xlfn.MAXIFS(N$2:N343,A$2:A343,A343,B$2:B343,B343))</f>
        <v>768211</v>
      </c>
      <c r="P343" s="11" t="n">
        <f aca="false">N343-O343</f>
        <v>-85481</v>
      </c>
    </row>
    <row r="344" customFormat="false" ht="15" hidden="false" customHeight="false" outlineLevel="0" collapsed="false">
      <c r="A344" s="8" t="s">
        <v>39</v>
      </c>
      <c r="B344" s="8" t="s">
        <v>29</v>
      </c>
      <c r="C344" s="8" t="s">
        <v>54</v>
      </c>
      <c r="D344" s="21" t="n">
        <v>45810.6118055556</v>
      </c>
      <c r="E344" s="21" t="n">
        <v>45814.7916666667</v>
      </c>
      <c r="F344" s="22" t="n">
        <f aca="false">DATE(YEAR(E344),MONTH(E344),1)</f>
        <v>45809</v>
      </c>
      <c r="G344" s="23" t="n">
        <v>117442</v>
      </c>
      <c r="H344" s="8" t="s">
        <v>55</v>
      </c>
      <c r="I344" s="24" t="n">
        <v>172.04</v>
      </c>
      <c r="J344" s="25" t="n">
        <f aca="false">Summary!$B$4</f>
        <v>1</v>
      </c>
      <c r="K344" s="11" t="n">
        <f aca="false">I344*J344*IF(A344="SILVER",Summary!$B$5,Summary!$B$6)</f>
        <v>17204</v>
      </c>
      <c r="L344" s="26" t="n">
        <v>0.092</v>
      </c>
      <c r="M344" s="27" t="n">
        <f aca="false">IF(K344&gt;0,1,0)</f>
        <v>1</v>
      </c>
      <c r="N344" s="11" t="n">
        <f aca="false">SUMIFS(K$2:K344,A$2:A344,A344,B$2:B344,B344)</f>
        <v>699934</v>
      </c>
      <c r="O344" s="11" t="n">
        <f aca="false">MAX(0,_xlfn.MAXIFS(N$2:N344,A$2:A344,A344,B$2:B344,B344))</f>
        <v>768211</v>
      </c>
      <c r="P344" s="11" t="n">
        <f aca="false">N344-O344</f>
        <v>-68277</v>
      </c>
    </row>
    <row r="345" customFormat="false" ht="15" hidden="false" customHeight="false" outlineLevel="0" collapsed="false">
      <c r="A345" s="8" t="s">
        <v>39</v>
      </c>
      <c r="B345" s="8" t="s">
        <v>29</v>
      </c>
      <c r="C345" s="8" t="s">
        <v>54</v>
      </c>
      <c r="D345" s="21" t="n">
        <v>45820.6666666667</v>
      </c>
      <c r="E345" s="21" t="n">
        <v>45832.4166666667</v>
      </c>
      <c r="F345" s="22" t="n">
        <f aca="false">DATE(YEAR(E345),MONTH(E345),1)</f>
        <v>45809</v>
      </c>
      <c r="G345" s="23" t="n">
        <v>118133</v>
      </c>
      <c r="H345" s="8" t="s">
        <v>55</v>
      </c>
      <c r="I345" s="24" t="n">
        <v>-85.64</v>
      </c>
      <c r="J345" s="25" t="n">
        <f aca="false">Summary!$B$4</f>
        <v>1</v>
      </c>
      <c r="K345" s="11" t="n">
        <f aca="false">I345*J345*IF(A345="SILVER",Summary!$B$5,Summary!$B$6)</f>
        <v>-8564</v>
      </c>
      <c r="L345" s="26" t="n">
        <v>-0.042</v>
      </c>
      <c r="M345" s="27" t="n">
        <f aca="false">IF(K345&gt;0,1,0)</f>
        <v>0</v>
      </c>
      <c r="N345" s="11" t="n">
        <f aca="false">SUMIFS(K$2:K345,A$2:A345,A345,B$2:B345,B345)</f>
        <v>691370</v>
      </c>
      <c r="O345" s="11" t="n">
        <f aca="false">MAX(0,_xlfn.MAXIFS(N$2:N345,A$2:A345,A345,B$2:B345,B345))</f>
        <v>768211</v>
      </c>
      <c r="P345" s="11" t="n">
        <f aca="false">N345-O345</f>
        <v>-76841</v>
      </c>
    </row>
    <row r="346" customFormat="false" ht="15" hidden="false" customHeight="false" outlineLevel="0" collapsed="false">
      <c r="A346" s="8" t="s">
        <v>39</v>
      </c>
      <c r="B346" s="8" t="s">
        <v>29</v>
      </c>
      <c r="C346" s="8" t="s">
        <v>54</v>
      </c>
      <c r="D346" s="21" t="n">
        <v>45839.5416666667</v>
      </c>
      <c r="E346" s="21" t="n">
        <v>45845.4166666667</v>
      </c>
      <c r="F346" s="22" t="n">
        <f aca="false">DATE(YEAR(E346),MONTH(E346),1)</f>
        <v>45839</v>
      </c>
      <c r="G346" s="23" t="n">
        <v>117083</v>
      </c>
      <c r="H346" s="8" t="s">
        <v>55</v>
      </c>
      <c r="I346" s="24" t="n">
        <v>-766.36</v>
      </c>
      <c r="J346" s="25" t="n">
        <f aca="false">Summary!$B$4</f>
        <v>1</v>
      </c>
      <c r="K346" s="11" t="n">
        <f aca="false">I346*J346*IF(A346="SILVER",Summary!$B$5,Summary!$B$6)</f>
        <v>-76636</v>
      </c>
      <c r="L346" s="26" t="n">
        <v>-0.449</v>
      </c>
      <c r="M346" s="27" t="n">
        <f aca="false">IF(K346&gt;0,1,0)</f>
        <v>0</v>
      </c>
      <c r="N346" s="11" t="n">
        <f aca="false">SUMIFS(K$2:K346,A$2:A346,A346,B$2:B346,B346)</f>
        <v>614734</v>
      </c>
      <c r="O346" s="11" t="n">
        <f aca="false">MAX(0,_xlfn.MAXIFS(N$2:N346,A$2:A346,A346,B$2:B346,B346))</f>
        <v>768211</v>
      </c>
      <c r="P346" s="11" t="n">
        <f aca="false">N346-O346</f>
        <v>-153477</v>
      </c>
    </row>
    <row r="347" customFormat="false" ht="15" hidden="false" customHeight="false" outlineLevel="0" collapsed="false">
      <c r="A347" s="8" t="s">
        <v>39</v>
      </c>
      <c r="B347" s="8" t="s">
        <v>29</v>
      </c>
      <c r="C347" s="8" t="s">
        <v>54</v>
      </c>
      <c r="D347" s="21" t="n">
        <v>45849.4166666667</v>
      </c>
      <c r="E347" s="21" t="n">
        <v>45855.7916666667</v>
      </c>
      <c r="F347" s="22" t="n">
        <f aca="false">DATE(YEAR(E347),MONTH(E347),1)</f>
        <v>45839</v>
      </c>
      <c r="G347" s="23" t="n">
        <v>117154</v>
      </c>
      <c r="H347" s="8" t="s">
        <v>55</v>
      </c>
      <c r="I347" s="24" t="n">
        <v>-280.43</v>
      </c>
      <c r="J347" s="25" t="n">
        <f aca="false">Summary!$B$4</f>
        <v>1</v>
      </c>
      <c r="K347" s="11" t="n">
        <f aca="false">I347*J347*IF(A347="SILVER",Summary!$B$5,Summary!$B$6)</f>
        <v>-28043</v>
      </c>
      <c r="L347" s="26" t="n">
        <v>-0.216</v>
      </c>
      <c r="M347" s="27" t="n">
        <f aca="false">IF(K347&gt;0,1,0)</f>
        <v>0</v>
      </c>
      <c r="N347" s="11" t="n">
        <f aca="false">SUMIFS(K$2:K347,A$2:A347,A347,B$2:B347,B347)</f>
        <v>586691</v>
      </c>
      <c r="O347" s="11" t="n">
        <f aca="false">MAX(0,_xlfn.MAXIFS(N$2:N347,A$2:A347,A347,B$2:B347,B347))</f>
        <v>768211</v>
      </c>
      <c r="P347" s="11" t="n">
        <f aca="false">N347-O347</f>
        <v>-181520</v>
      </c>
    </row>
    <row r="348" customFormat="false" ht="15" hidden="false" customHeight="false" outlineLevel="0" collapsed="false">
      <c r="A348" s="8" t="s">
        <v>39</v>
      </c>
      <c r="B348" s="8" t="s">
        <v>29</v>
      </c>
      <c r="C348" s="8" t="s">
        <v>54</v>
      </c>
      <c r="D348" s="21" t="n">
        <v>45859.4583333333</v>
      </c>
      <c r="E348" s="21" t="n">
        <v>45862.4166666667</v>
      </c>
      <c r="F348" s="22" t="n">
        <f aca="false">DATE(YEAR(E348),MONTH(E348),1)</f>
        <v>45839</v>
      </c>
      <c r="G348" s="23" t="n">
        <v>118369</v>
      </c>
      <c r="H348" s="8" t="s">
        <v>55</v>
      </c>
      <c r="I348" s="24" t="n">
        <v>529.25</v>
      </c>
      <c r="J348" s="25" t="n">
        <f aca="false">Summary!$B$4</f>
        <v>1</v>
      </c>
      <c r="K348" s="11" t="n">
        <f aca="false">I348*J348*IF(A348="SILVER",Summary!$B$5,Summary!$B$6)</f>
        <v>52925</v>
      </c>
      <c r="L348" s="26" t="n">
        <v>0.416</v>
      </c>
      <c r="M348" s="27" t="n">
        <f aca="false">IF(K348&gt;0,1,0)</f>
        <v>1</v>
      </c>
      <c r="N348" s="11" t="n">
        <f aca="false">SUMIFS(K$2:K348,A$2:A348,A348,B$2:B348,B348)</f>
        <v>639616</v>
      </c>
      <c r="O348" s="11" t="n">
        <f aca="false">MAX(0,_xlfn.MAXIFS(N$2:N348,A$2:A348,A348,B$2:B348,B348))</f>
        <v>768211</v>
      </c>
      <c r="P348" s="11" t="n">
        <f aca="false">N348-O348</f>
        <v>-128595</v>
      </c>
    </row>
    <row r="349" customFormat="false" ht="15" hidden="false" customHeight="false" outlineLevel="0" collapsed="false">
      <c r="A349" s="8" t="s">
        <v>39</v>
      </c>
      <c r="B349" s="8" t="s">
        <v>29</v>
      </c>
      <c r="C349" s="8" t="s">
        <v>54</v>
      </c>
      <c r="D349" s="21" t="n">
        <v>45868.5854166667</v>
      </c>
      <c r="E349" s="21" t="n">
        <v>45880.75</v>
      </c>
      <c r="F349" s="22" t="n">
        <f aca="false">DATE(YEAR(E349),MONTH(E349),1)</f>
        <v>45870</v>
      </c>
      <c r="G349" s="23" t="n">
        <v>118568</v>
      </c>
      <c r="H349" s="8" t="s">
        <v>55</v>
      </c>
      <c r="I349" s="24" t="n">
        <v>1574.1</v>
      </c>
      <c r="J349" s="25" t="n">
        <f aca="false">Summary!$B$4</f>
        <v>1</v>
      </c>
      <c r="K349" s="11" t="n">
        <f aca="false">I349*J349*IF(A349="SILVER",Summary!$B$5,Summary!$B$6)</f>
        <v>157410</v>
      </c>
      <c r="L349" s="26" t="n">
        <v>1.269</v>
      </c>
      <c r="M349" s="27" t="n">
        <f aca="false">IF(K349&gt;0,1,0)</f>
        <v>1</v>
      </c>
      <c r="N349" s="11" t="n">
        <f aca="false">SUMIFS(K$2:K349,A$2:A349,A349,B$2:B349,B349)</f>
        <v>797026</v>
      </c>
      <c r="O349" s="11" t="n">
        <f aca="false">MAX(0,_xlfn.MAXIFS(N$2:N349,A$2:A349,A349,B$2:B349,B349))</f>
        <v>797026</v>
      </c>
      <c r="P349" s="11" t="n">
        <f aca="false">N349-O349</f>
        <v>0</v>
      </c>
    </row>
    <row r="350" customFormat="false" ht="15" hidden="false" customHeight="false" outlineLevel="0" collapsed="false">
      <c r="A350" s="8" t="s">
        <v>39</v>
      </c>
      <c r="B350" s="8" t="s">
        <v>29</v>
      </c>
      <c r="C350" s="8" t="s">
        <v>54</v>
      </c>
      <c r="D350" s="21" t="n">
        <v>45891.8333333333</v>
      </c>
      <c r="E350" s="21" t="n">
        <v>45918.5</v>
      </c>
      <c r="F350" s="22" t="n">
        <f aca="false">DATE(YEAR(E350),MONTH(E350),1)</f>
        <v>45901</v>
      </c>
      <c r="G350" s="23" t="n">
        <v>119846</v>
      </c>
      <c r="H350" s="8" t="s">
        <v>55</v>
      </c>
      <c r="I350" s="24" t="n">
        <v>8702.11</v>
      </c>
      <c r="J350" s="25" t="n">
        <f aca="false">Summary!$B$4</f>
        <v>1</v>
      </c>
      <c r="K350" s="11" t="n">
        <f aca="false">I350*J350*IF(A350="SILVER",Summary!$B$5,Summary!$B$6)</f>
        <v>870211</v>
      </c>
      <c r="L350" s="26" t="n">
        <v>5.412</v>
      </c>
      <c r="M350" s="27" t="n">
        <f aca="false">IF(K350&gt;0,1,0)</f>
        <v>1</v>
      </c>
      <c r="N350" s="11" t="n">
        <f aca="false">SUMIFS(K$2:K350,A$2:A350,A350,B$2:B350,B350)</f>
        <v>1667237</v>
      </c>
      <c r="O350" s="11" t="n">
        <f aca="false">MAX(0,_xlfn.MAXIFS(N$2:N350,A$2:A350,A350,B$2:B350,B350))</f>
        <v>1667237</v>
      </c>
      <c r="P350" s="11" t="n">
        <f aca="false">N350-O350</f>
        <v>0</v>
      </c>
    </row>
    <row r="351" customFormat="false" ht="15" hidden="false" customHeight="false" outlineLevel="0" collapsed="false">
      <c r="A351" s="8" t="s">
        <v>39</v>
      </c>
      <c r="B351" s="8" t="s">
        <v>29</v>
      </c>
      <c r="C351" s="8" t="s">
        <v>54</v>
      </c>
      <c r="D351" s="21" t="n">
        <v>45922.4583333333</v>
      </c>
      <c r="E351" s="21" t="n">
        <v>45939.9583333333</v>
      </c>
      <c r="F351" s="22" t="n">
        <f aca="false">DATE(YEAR(E351),MONTH(E351),1)</f>
        <v>45931</v>
      </c>
      <c r="G351" s="23" t="n">
        <v>130321</v>
      </c>
      <c r="H351" s="8" t="s">
        <v>55</v>
      </c>
      <c r="I351" s="24" t="n">
        <v>8552.75</v>
      </c>
      <c r="J351" s="25" t="n">
        <f aca="false">Summary!$B$4</f>
        <v>1</v>
      </c>
      <c r="K351" s="11" t="n">
        <f aca="false">I351*J351*IF(A351="SILVER",Summary!$B$5,Summary!$B$6)</f>
        <v>855275</v>
      </c>
      <c r="L351" s="26" t="n">
        <v>5.253</v>
      </c>
      <c r="M351" s="27" t="n">
        <f aca="false">IF(K351&gt;0,1,0)</f>
        <v>1</v>
      </c>
      <c r="N351" s="11" t="n">
        <f aca="false">SUMIFS(K$2:K351,A$2:A351,A351,B$2:B351,B351)</f>
        <v>2522512</v>
      </c>
      <c r="O351" s="11" t="n">
        <f aca="false">MAX(0,_xlfn.MAXIFS(N$2:N351,A$2:A351,A351,B$2:B351,B351))</f>
        <v>2522512</v>
      </c>
      <c r="P351" s="11" t="n">
        <f aca="false">N351-O351</f>
        <v>0</v>
      </c>
    </row>
    <row r="352" customFormat="false" ht="15" hidden="false" customHeight="false" outlineLevel="0" collapsed="false">
      <c r="A352" s="8" t="s">
        <v>39</v>
      </c>
      <c r="B352" s="8" t="s">
        <v>29</v>
      </c>
      <c r="C352" s="8" t="s">
        <v>54</v>
      </c>
      <c r="D352" s="21" t="n">
        <v>45943.4583333333</v>
      </c>
      <c r="E352" s="21" t="n">
        <v>45947.8333333333</v>
      </c>
      <c r="F352" s="22" t="n">
        <f aca="false">DATE(YEAR(E352),MONTH(E352),1)</f>
        <v>45931</v>
      </c>
      <c r="G352" s="23" t="n">
        <v>142065</v>
      </c>
      <c r="H352" s="8" t="s">
        <v>55</v>
      </c>
      <c r="I352" s="24" t="n">
        <v>4430.8</v>
      </c>
      <c r="J352" s="25" t="n">
        <f aca="false">Summary!$B$4</f>
        <v>1</v>
      </c>
      <c r="K352" s="11" t="n">
        <f aca="false">I352*J352*IF(A352="SILVER",Summary!$B$5,Summary!$B$6)</f>
        <v>443080</v>
      </c>
      <c r="L352" s="26" t="n">
        <v>1.032</v>
      </c>
      <c r="M352" s="27" t="n">
        <f aca="false">IF(K352&gt;0,1,0)</f>
        <v>1</v>
      </c>
      <c r="N352" s="11" t="n">
        <f aca="false">SUMIFS(K$2:K352,A$2:A352,A352,B$2:B352,B352)</f>
        <v>2965592</v>
      </c>
      <c r="O352" s="11" t="n">
        <f aca="false">MAX(0,_xlfn.MAXIFS(N$2:N352,A$2:A352,A352,B$2:B352,B352))</f>
        <v>2965592</v>
      </c>
      <c r="P352" s="11" t="n">
        <f aca="false">N352-O352</f>
        <v>0</v>
      </c>
    </row>
    <row r="353" customFormat="false" ht="15" hidden="false" customHeight="false" outlineLevel="0" collapsed="false">
      <c r="A353" s="8" t="s">
        <v>39</v>
      </c>
      <c r="B353" s="8" t="s">
        <v>29</v>
      </c>
      <c r="C353" s="8" t="s">
        <v>54</v>
      </c>
      <c r="D353" s="21" t="n">
        <v>45971.5</v>
      </c>
      <c r="E353" s="21" t="n">
        <v>45975.75</v>
      </c>
      <c r="F353" s="22" t="n">
        <f aca="false">DATE(YEAR(E353),MONTH(E353),1)</f>
        <v>45962</v>
      </c>
      <c r="G353" s="23" t="n">
        <v>141300</v>
      </c>
      <c r="H353" s="8" t="s">
        <v>55</v>
      </c>
      <c r="I353" s="24" t="n">
        <v>1088.29</v>
      </c>
      <c r="J353" s="25" t="n">
        <f aca="false">Summary!$B$4</f>
        <v>1</v>
      </c>
      <c r="K353" s="11" t="n">
        <f aca="false">I353*J353*IF(A353="SILVER",Summary!$B$5,Summary!$B$6)</f>
        <v>108829</v>
      </c>
      <c r="L353" s="26" t="n">
        <v>0.38</v>
      </c>
      <c r="M353" s="27" t="n">
        <f aca="false">IF(K353&gt;0,1,0)</f>
        <v>1</v>
      </c>
      <c r="N353" s="11" t="n">
        <f aca="false">SUMIFS(K$2:K353,A$2:A353,A353,B$2:B353,B353)</f>
        <v>3074421</v>
      </c>
      <c r="O353" s="11" t="n">
        <f aca="false">MAX(0,_xlfn.MAXIFS(N$2:N353,A$2:A353,A353,B$2:B353,B353))</f>
        <v>3074421</v>
      </c>
      <c r="P353" s="11" t="n">
        <f aca="false">N353-O353</f>
        <v>0</v>
      </c>
    </row>
    <row r="354" customFormat="false" ht="15" hidden="false" customHeight="false" outlineLevel="0" collapsed="false">
      <c r="A354" s="8" t="s">
        <v>39</v>
      </c>
      <c r="B354" s="8" t="s">
        <v>29</v>
      </c>
      <c r="C354" s="8" t="s">
        <v>54</v>
      </c>
      <c r="D354" s="21" t="n">
        <v>45986.4166666667</v>
      </c>
      <c r="E354" s="21" t="n">
        <v>46020.8333333333</v>
      </c>
      <c r="F354" s="22" t="n">
        <f aca="false">DATE(YEAR(E354),MONTH(E354),1)</f>
        <v>45992</v>
      </c>
      <c r="G354" s="23" t="n">
        <v>143568</v>
      </c>
      <c r="H354" s="8" t="s">
        <v>55</v>
      </c>
      <c r="I354" s="24" t="n">
        <v>9680.52</v>
      </c>
      <c r="J354" s="25" t="n">
        <f aca="false">Summary!$B$4</f>
        <v>1</v>
      </c>
      <c r="K354" s="11" t="n">
        <f aca="false">I354*J354*IF(A354="SILVER",Summary!$B$5,Summary!$B$6)</f>
        <v>968052</v>
      </c>
      <c r="L354" s="26" t="n">
        <v>2.94</v>
      </c>
      <c r="M354" s="27" t="n">
        <f aca="false">IF(K354&gt;0,1,0)</f>
        <v>1</v>
      </c>
      <c r="N354" s="11" t="n">
        <f aca="false">SUMIFS(K$2:K354,A$2:A354,A354,B$2:B354,B354)</f>
        <v>4042473</v>
      </c>
      <c r="O354" s="11" t="n">
        <f aca="false">MAX(0,_xlfn.MAXIFS(N$2:N354,A$2:A354,A354,B$2:B354,B354))</f>
        <v>4042473</v>
      </c>
      <c r="P354" s="11" t="n">
        <f aca="false">N354-O354</f>
        <v>0</v>
      </c>
    </row>
    <row r="355" customFormat="false" ht="15" hidden="false" customHeight="false" outlineLevel="0" collapsed="false">
      <c r="A355" s="8" t="s">
        <v>39</v>
      </c>
      <c r="B355" s="8" t="s">
        <v>29</v>
      </c>
      <c r="C355" s="8" t="s">
        <v>54</v>
      </c>
      <c r="D355" s="21" t="n">
        <v>46028.4166666667</v>
      </c>
      <c r="E355" s="21" t="n">
        <v>46044.4166666667</v>
      </c>
      <c r="F355" s="22" t="n">
        <f aca="false">DATE(YEAR(E355),MONTH(E355),1)</f>
        <v>46023</v>
      </c>
      <c r="G355" s="23" t="n">
        <v>155445</v>
      </c>
      <c r="H355" s="8" t="s">
        <v>55</v>
      </c>
      <c r="I355" s="24" t="n">
        <v>11104.18</v>
      </c>
      <c r="J355" s="25" t="n">
        <f aca="false">Summary!$B$4</f>
        <v>1</v>
      </c>
      <c r="K355" s="11" t="n">
        <f aca="false">I355*J355*IF(A355="SILVER",Summary!$B$5,Summary!$B$6)</f>
        <v>1110418</v>
      </c>
      <c r="L355" s="26" t="n">
        <v>3.772</v>
      </c>
      <c r="M355" s="27" t="n">
        <f aca="false">IF(K355&gt;0,1,0)</f>
        <v>1</v>
      </c>
      <c r="N355" s="11" t="n">
        <f aca="false">SUMIFS(K$2:K355,A$2:A355,A355,B$2:B355,B355)</f>
        <v>5152891</v>
      </c>
      <c r="O355" s="11" t="n">
        <f aca="false">MAX(0,_xlfn.MAXIFS(N$2:N355,A$2:A355,A355,B$2:B355,B355))</f>
        <v>5152891</v>
      </c>
      <c r="P355" s="11" t="n">
        <f aca="false">N355-O355</f>
        <v>0</v>
      </c>
    </row>
    <row r="356" customFormat="false" ht="15" hidden="false" customHeight="false" outlineLevel="0" collapsed="false">
      <c r="A356" s="8" t="s">
        <v>39</v>
      </c>
      <c r="B356" s="8" t="s">
        <v>29</v>
      </c>
      <c r="C356" s="8" t="s">
        <v>54</v>
      </c>
      <c r="D356" s="21" t="n">
        <v>46049.4166666667</v>
      </c>
      <c r="E356" s="21" t="n">
        <v>46051.875</v>
      </c>
      <c r="F356" s="22" t="n">
        <f aca="false">DATE(YEAR(E356),MONTH(E356),1)</f>
        <v>46023</v>
      </c>
      <c r="G356" s="23" t="n">
        <v>175350</v>
      </c>
      <c r="H356" s="8" t="s">
        <v>55</v>
      </c>
      <c r="I356" s="24" t="n">
        <v>832.09</v>
      </c>
      <c r="J356" s="25" t="n">
        <f aca="false">Summary!$B$4</f>
        <v>1</v>
      </c>
      <c r="K356" s="11" t="n">
        <f aca="false">I356*J356*IF(A356="SILVER",Summary!$B$5,Summary!$B$6)</f>
        <v>83209</v>
      </c>
      <c r="L356" s="26" t="n">
        <v>0.102</v>
      </c>
      <c r="M356" s="27" t="n">
        <f aca="false">IF(K356&gt;0,1,0)</f>
        <v>1</v>
      </c>
      <c r="N356" s="11" t="n">
        <f aca="false">SUMIFS(K$2:K356,A$2:A356,A356,B$2:B356,B356)</f>
        <v>5236100</v>
      </c>
      <c r="O356" s="11" t="n">
        <f aca="false">MAX(0,_xlfn.MAXIFS(N$2:N356,A$2:A356,A356,B$2:B356,B356))</f>
        <v>5236100</v>
      </c>
      <c r="P356" s="11" t="n">
        <f aca="false">N356-O356</f>
        <v>0</v>
      </c>
    </row>
    <row r="357" customFormat="false" ht="15" hidden="false" customHeight="false" outlineLevel="0" collapsed="false">
      <c r="A357" s="8" t="s">
        <v>39</v>
      </c>
      <c r="B357" s="8" t="s">
        <v>29</v>
      </c>
      <c r="C357" s="8" t="s">
        <v>56</v>
      </c>
      <c r="D357" s="21" t="n">
        <v>46084.75</v>
      </c>
      <c r="E357" s="21" t="n">
        <v>46106.4166666667</v>
      </c>
      <c r="F357" s="22" t="n">
        <f aca="false">DATE(YEAR(E357),MONTH(E357),1)</f>
        <v>46082</v>
      </c>
      <c r="G357" s="23" t="n">
        <v>171781</v>
      </c>
      <c r="H357" s="8" t="s">
        <v>55</v>
      </c>
      <c r="I357" s="24" t="n">
        <v>19952.14</v>
      </c>
      <c r="J357" s="25" t="n">
        <f aca="false">Summary!$B$4</f>
        <v>1</v>
      </c>
      <c r="K357" s="11" t="n">
        <f aca="false">I357*J357*IF(A357="SILVER",Summary!$B$5,Summary!$B$6)</f>
        <v>1995214</v>
      </c>
      <c r="L357" s="26" t="n">
        <v>3.432</v>
      </c>
      <c r="M357" s="27" t="n">
        <f aca="false">IF(K357&gt;0,1,0)</f>
        <v>1</v>
      </c>
      <c r="N357" s="11" t="n">
        <f aca="false">SUMIFS(K$2:K357,A$2:A357,A357,B$2:B357,B357)</f>
        <v>7231314</v>
      </c>
      <c r="O357" s="11" t="n">
        <f aca="false">MAX(0,_xlfn.MAXIFS(N$2:N357,A$2:A357,A357,B$2:B357,B357))</f>
        <v>7231314</v>
      </c>
      <c r="P357" s="11" t="n">
        <f aca="false">N357-O357</f>
        <v>0</v>
      </c>
    </row>
    <row r="358" customFormat="false" ht="15" hidden="false" customHeight="false" outlineLevel="0" collapsed="false">
      <c r="A358" s="8" t="s">
        <v>39</v>
      </c>
      <c r="B358" s="8" t="s">
        <v>29</v>
      </c>
      <c r="C358" s="8" t="s">
        <v>56</v>
      </c>
      <c r="D358" s="21" t="n">
        <v>46118.375</v>
      </c>
      <c r="E358" s="21" t="n">
        <v>46126.9583333333</v>
      </c>
      <c r="F358" s="22" t="n">
        <f aca="false">DATE(YEAR(E358),MONTH(E358),1)</f>
        <v>46113</v>
      </c>
      <c r="G358" s="23" t="n">
        <v>153102</v>
      </c>
      <c r="H358" s="8" t="s">
        <v>55</v>
      </c>
      <c r="I358" s="24" t="n">
        <v>-5751.02</v>
      </c>
      <c r="J358" s="25" t="n">
        <f aca="false">Summary!$B$4</f>
        <v>1</v>
      </c>
      <c r="K358" s="11" t="n">
        <f aca="false">I358*J358*IF(A358="SILVER",Summary!$B$5,Summary!$B$6)</f>
        <v>-575102</v>
      </c>
      <c r="L358" s="26" t="n">
        <v>-0.758</v>
      </c>
      <c r="M358" s="27" t="n">
        <f aca="false">IF(K358&gt;0,1,0)</f>
        <v>0</v>
      </c>
      <c r="N358" s="11" t="n">
        <f aca="false">SUMIFS(K$2:K358,A$2:A358,A358,B$2:B358,B358)</f>
        <v>6656212</v>
      </c>
      <c r="O358" s="11" t="n">
        <f aca="false">MAX(0,_xlfn.MAXIFS(N$2:N358,A$2:A358,A358,B$2:B358,B358))</f>
        <v>7231314</v>
      </c>
      <c r="P358" s="11" t="n">
        <f aca="false">N358-O358</f>
        <v>-575102</v>
      </c>
    </row>
    <row r="359" customFormat="false" ht="15" hidden="false" customHeight="false" outlineLevel="0" collapsed="false">
      <c r="A359" s="8" t="s">
        <v>39</v>
      </c>
      <c r="B359" s="8" t="s">
        <v>29</v>
      </c>
      <c r="C359" s="8" t="s">
        <v>56</v>
      </c>
      <c r="D359" s="21" t="n">
        <v>46133.9583333333</v>
      </c>
      <c r="E359" s="21" t="n">
        <v>46142.6666666667</v>
      </c>
      <c r="F359" s="22" t="n">
        <f aca="false">DATE(YEAR(E359),MONTH(E359),1)</f>
        <v>46113</v>
      </c>
      <c r="G359" s="23" t="n">
        <v>155748</v>
      </c>
      <c r="H359" s="8" t="s">
        <v>55</v>
      </c>
      <c r="I359" s="24" t="n">
        <v>-303.32</v>
      </c>
      <c r="J359" s="25" t="n">
        <f aca="false">Summary!$B$4</f>
        <v>1</v>
      </c>
      <c r="K359" s="11" t="n">
        <f aca="false">I359*J359*IF(A359="SILVER",Summary!$B$5,Summary!$B$6)</f>
        <v>-30332</v>
      </c>
      <c r="L359" s="26" t="n">
        <v>-0.086</v>
      </c>
      <c r="M359" s="27" t="n">
        <f aca="false">IF(K359&gt;0,1,0)</f>
        <v>0</v>
      </c>
      <c r="N359" s="11" t="n">
        <f aca="false">SUMIFS(K$2:K359,A$2:A359,A359,B$2:B359,B359)</f>
        <v>6625880</v>
      </c>
      <c r="O359" s="11" t="n">
        <f aca="false">MAX(0,_xlfn.MAXIFS(N$2:N359,A$2:A359,A359,B$2:B359,B359))</f>
        <v>7231314</v>
      </c>
      <c r="P359" s="11" t="n">
        <f aca="false">N359-O359</f>
        <v>-605434</v>
      </c>
    </row>
    <row r="360" customFormat="false" ht="15" hidden="false" customHeight="false" outlineLevel="0" collapsed="false">
      <c r="A360" s="8" t="s">
        <v>39</v>
      </c>
      <c r="B360" s="8" t="s">
        <v>29</v>
      </c>
      <c r="C360" s="8" t="s">
        <v>56</v>
      </c>
      <c r="D360" s="21" t="n">
        <v>46162.4166666667</v>
      </c>
      <c r="E360" s="21" t="n">
        <v>46188.4166666667</v>
      </c>
      <c r="F360" s="22" t="n">
        <f aca="false">DATE(YEAR(E360),MONTH(E360),1)</f>
        <v>46174</v>
      </c>
      <c r="G360" s="23" t="n">
        <v>162635</v>
      </c>
      <c r="H360" s="8" t="s">
        <v>55</v>
      </c>
      <c r="I360" s="24" t="n">
        <v>6748.23</v>
      </c>
      <c r="J360" s="25" t="n">
        <f aca="false">Summary!$B$4</f>
        <v>1</v>
      </c>
      <c r="K360" s="11" t="n">
        <f aca="false">I360*J360*IF(A360="SILVER",Summary!$B$5,Summary!$B$6)</f>
        <v>674823</v>
      </c>
      <c r="L360" s="26" t="n">
        <v>1.787</v>
      </c>
      <c r="M360" s="27" t="n">
        <f aca="false">IF(K360&gt;0,1,0)</f>
        <v>1</v>
      </c>
      <c r="N360" s="11" t="n">
        <f aca="false">SUMIFS(K$2:K360,A$2:A360,A360,B$2:B360,B360)</f>
        <v>7300703</v>
      </c>
      <c r="O360" s="11" t="n">
        <f aca="false">MAX(0,_xlfn.MAXIFS(N$2:N360,A$2:A360,A360,B$2:B360,B360))</f>
        <v>7300703</v>
      </c>
      <c r="P360" s="11" t="n">
        <f aca="false">N360-O360</f>
        <v>0</v>
      </c>
    </row>
    <row r="361" customFormat="false" ht="15" hidden="false" customHeight="false" outlineLevel="0" collapsed="false">
      <c r="A361" s="8" t="s">
        <v>39</v>
      </c>
      <c r="B361" s="8" t="s">
        <v>29</v>
      </c>
      <c r="C361" s="8" t="s">
        <v>56</v>
      </c>
      <c r="D361" s="21" t="n">
        <v>46191.5833333333</v>
      </c>
      <c r="E361" s="21" t="n">
        <v>46204.8333333333</v>
      </c>
      <c r="F361" s="22" t="n">
        <f aca="false">DATE(YEAR(E361),MONTH(E361),1)</f>
        <v>46204</v>
      </c>
      <c r="G361" s="23" t="n">
        <v>153524</v>
      </c>
      <c r="H361" s="8" t="s">
        <v>55</v>
      </c>
      <c r="I361" s="24" t="n">
        <v>5817.41</v>
      </c>
      <c r="J361" s="25" t="n">
        <f aca="false">Summary!$B$4</f>
        <v>1</v>
      </c>
      <c r="K361" s="11" t="n">
        <f aca="false">I361*J361*IF(A361="SILVER",Summary!$B$5,Summary!$B$6)</f>
        <v>581741</v>
      </c>
      <c r="L361" s="26" t="n">
        <v>1.534</v>
      </c>
      <c r="M361" s="27" t="n">
        <f aca="false">IF(K361&gt;0,1,0)</f>
        <v>1</v>
      </c>
      <c r="N361" s="11" t="n">
        <f aca="false">SUMIFS(K$2:K361,A$2:A361,A361,B$2:B361,B361)</f>
        <v>7882444</v>
      </c>
      <c r="O361" s="11" t="n">
        <f aca="false">MAX(0,_xlfn.MAXIFS(N$2:N361,A$2:A361,A361,B$2:B361,B361))</f>
        <v>7882444</v>
      </c>
      <c r="P361" s="11" t="n">
        <f aca="false">N361-O361</f>
        <v>0</v>
      </c>
    </row>
    <row r="362" customFormat="false" ht="15" hidden="false" customHeight="false" outlineLevel="0" collapsed="false">
      <c r="A362" s="8" t="s">
        <v>39</v>
      </c>
      <c r="B362" s="8" t="s">
        <v>29</v>
      </c>
      <c r="C362" s="8" t="s">
        <v>56</v>
      </c>
      <c r="D362" s="21" t="n">
        <v>46211.625</v>
      </c>
      <c r="E362" s="21" t="n">
        <v>46224.875</v>
      </c>
      <c r="F362" s="22" t="n">
        <f aca="false">DATE(YEAR(E362),MONTH(E362),1)</f>
        <v>46204</v>
      </c>
      <c r="G362" s="23" t="n">
        <v>145884</v>
      </c>
      <c r="H362" s="8" t="s">
        <v>55</v>
      </c>
      <c r="I362" s="24" t="n">
        <v>226.37</v>
      </c>
      <c r="J362" s="25" t="n">
        <f aca="false">Summary!$B$4</f>
        <v>1</v>
      </c>
      <c r="K362" s="11" t="n">
        <f aca="false">I362*J362*IF(A362="SILVER",Summary!$B$5,Summary!$B$6)</f>
        <v>22637</v>
      </c>
      <c r="L362" s="26" t="n">
        <v>0.061</v>
      </c>
      <c r="M362" s="27" t="n">
        <f aca="false">IF(K362&gt;0,1,0)</f>
        <v>1</v>
      </c>
      <c r="N362" s="11" t="n">
        <f aca="false">SUMIFS(K$2:K362,A$2:A362,A362,B$2:B362,B362)</f>
        <v>7905081</v>
      </c>
      <c r="O362" s="11" t="n">
        <f aca="false">MAX(0,_xlfn.MAXIFS(N$2:N362,A$2:A362,A362,B$2:B362,B362))</f>
        <v>7905081</v>
      </c>
      <c r="P362" s="11" t="n">
        <f aca="false">N362-O362</f>
        <v>0</v>
      </c>
    </row>
    <row r="363" customFormat="false" ht="15" hidden="false" customHeight="false" outlineLevel="0" collapsed="false">
      <c r="A363" s="8" t="s">
        <v>39</v>
      </c>
      <c r="B363" s="8" t="s">
        <v>29</v>
      </c>
      <c r="C363" s="8" t="s">
        <v>56</v>
      </c>
      <c r="D363" s="21" t="n">
        <v>46226.7916666667</v>
      </c>
      <c r="E363" s="21" t="n">
        <v>46233.9166666667</v>
      </c>
      <c r="F363" s="22" t="n">
        <f aca="false">DATE(YEAR(E363),MONTH(E363),1)</f>
        <v>46204</v>
      </c>
      <c r="G363" s="23" t="n">
        <v>145918</v>
      </c>
      <c r="H363" s="8" t="s">
        <v>55</v>
      </c>
      <c r="I363" s="24" t="n">
        <v>-89.66</v>
      </c>
      <c r="J363" s="25" t="n">
        <f aca="false">Summary!$B$4</f>
        <v>1</v>
      </c>
      <c r="K363" s="11" t="n">
        <f aca="false">I363*J363*IF(A363="SILVER",Summary!$B$5,Summary!$B$6)</f>
        <v>-8966</v>
      </c>
      <c r="L363" s="26" t="n">
        <v>-0.035</v>
      </c>
      <c r="M363" s="27" t="n">
        <f aca="false">IF(K363&gt;0,1,0)</f>
        <v>0</v>
      </c>
      <c r="N363" s="11" t="n">
        <f aca="false">SUMIFS(K$2:K363,A$2:A363,A363,B$2:B363,B363)</f>
        <v>7896115</v>
      </c>
      <c r="O363" s="11" t="n">
        <f aca="false">MAX(0,_xlfn.MAXIFS(N$2:N363,A$2:A363,A363,B$2:B363,B363))</f>
        <v>7905081</v>
      </c>
      <c r="P363" s="11" t="n">
        <f aca="false">N363-O363</f>
        <v>-8966</v>
      </c>
    </row>
    <row r="364" customFormat="false" ht="15" hidden="false" customHeight="false" outlineLevel="0" collapsed="false">
      <c r="A364" s="8" t="s">
        <v>39</v>
      </c>
      <c r="B364" s="8" t="s">
        <v>29</v>
      </c>
      <c r="C364" s="8" t="s">
        <v>54</v>
      </c>
      <c r="D364" s="21" t="n">
        <v>46268.7916666667</v>
      </c>
      <c r="E364" s="21" t="n">
        <v>46279.75</v>
      </c>
      <c r="F364" s="22" t="n">
        <f aca="false">DATE(YEAR(E364),MONTH(E364),1)</f>
        <v>46266</v>
      </c>
      <c r="G364" s="23" t="n">
        <v>155434</v>
      </c>
      <c r="H364" s="8" t="s">
        <v>55</v>
      </c>
      <c r="I364" s="24" t="n">
        <v>-4899.6</v>
      </c>
      <c r="J364" s="25" t="n">
        <f aca="false">Summary!$B$4</f>
        <v>1</v>
      </c>
      <c r="K364" s="11" t="n">
        <f aca="false">I364*J364*IF(A364="SILVER",Summary!$B$5,Summary!$B$6)</f>
        <v>-489960</v>
      </c>
      <c r="L364" s="26" t="n">
        <v>-1.073</v>
      </c>
      <c r="M364" s="27" t="n">
        <f aca="false">IF(K364&gt;0,1,0)</f>
        <v>0</v>
      </c>
      <c r="N364" s="11" t="n">
        <f aca="false">SUMIFS(K$2:K364,A$2:A364,A364,B$2:B364,B364)</f>
        <v>7406155</v>
      </c>
      <c r="O364" s="11" t="n">
        <f aca="false">MAX(0,_xlfn.MAXIFS(N$2:N364,A$2:A364,A364,B$2:B364,B364))</f>
        <v>7905081</v>
      </c>
      <c r="P364" s="11" t="n">
        <f aca="false">N364-O364</f>
        <v>-498926</v>
      </c>
    </row>
    <row r="365" customFormat="false" ht="15" hidden="false" customHeight="false" outlineLevel="0" collapsed="false">
      <c r="A365" s="8" t="s">
        <v>39</v>
      </c>
      <c r="B365" s="8" t="s">
        <v>29</v>
      </c>
      <c r="C365" s="8" t="s">
        <v>54</v>
      </c>
      <c r="D365" s="21" t="n">
        <v>46283.5</v>
      </c>
      <c r="E365" s="21" t="n">
        <v>46288.9784722222</v>
      </c>
      <c r="F365" s="22" t="n">
        <f aca="false">DATE(YEAR(E365),MONTH(E365),1)</f>
        <v>46266</v>
      </c>
      <c r="G365" s="23" t="n">
        <v>154040</v>
      </c>
      <c r="H365" s="8" t="s">
        <v>57</v>
      </c>
      <c r="I365" s="24" t="n">
        <v>-2720.54</v>
      </c>
      <c r="J365" s="25" t="n">
        <f aca="false">Summary!$B$4</f>
        <v>1</v>
      </c>
      <c r="K365" s="11" t="n">
        <f aca="false">I365*J365*IF(A365="SILVER",Summary!$B$5,Summary!$B$6)</f>
        <v>-272054</v>
      </c>
      <c r="L365" s="26" t="n">
        <v>-0.667</v>
      </c>
      <c r="M365" s="27" t="n">
        <f aca="false">IF(K365&gt;0,1,0)</f>
        <v>0</v>
      </c>
      <c r="N365" s="11" t="n">
        <f aca="false">SUMIFS(K$2:K365,A$2:A365,A365,B$2:B365,B365)</f>
        <v>7134101</v>
      </c>
      <c r="O365" s="11" t="n">
        <f aca="false">MAX(0,_xlfn.MAXIFS(N$2:N365,A$2:A365,A365,B$2:B365,B365))</f>
        <v>7905081</v>
      </c>
      <c r="P365" s="11" t="n">
        <f aca="false">N365-O365</f>
        <v>-770980</v>
      </c>
    </row>
    <row r="366" customFormat="false" ht="15" hidden="false" customHeight="false" outlineLevel="0" collapsed="false">
      <c r="A366" s="8" t="s">
        <v>39</v>
      </c>
      <c r="B366" s="8" t="s">
        <v>31</v>
      </c>
      <c r="C366" s="8" t="s">
        <v>54</v>
      </c>
      <c r="D366" s="21" t="n">
        <v>45707.5833333333</v>
      </c>
      <c r="E366" s="21" t="n">
        <v>45713.9166666667</v>
      </c>
      <c r="F366" s="22" t="n">
        <f aca="false">DATE(YEAR(E366),MONTH(E366),1)</f>
        <v>45689</v>
      </c>
      <c r="G366" s="23" t="n">
        <v>106912</v>
      </c>
      <c r="H366" s="8" t="s">
        <v>55</v>
      </c>
      <c r="I366" s="24" t="n">
        <v>-1045.17</v>
      </c>
      <c r="J366" s="25" t="n">
        <f aca="false">Summary!$B$4</f>
        <v>1</v>
      </c>
      <c r="K366" s="11" t="n">
        <f aca="false">I366*J366*IF(A366="SILVER",Summary!$B$5,Summary!$B$6)</f>
        <v>-104517</v>
      </c>
      <c r="L366" s="26" t="n">
        <v>-0.914</v>
      </c>
      <c r="M366" s="27" t="n">
        <f aca="false">IF(K366&gt;0,1,0)</f>
        <v>0</v>
      </c>
      <c r="N366" s="11" t="n">
        <f aca="false">SUMIFS(K$2:K366,A$2:A366,A366,B$2:B366,B366)</f>
        <v>-104517</v>
      </c>
      <c r="O366" s="11" t="n">
        <f aca="false">MAX(0,_xlfn.MAXIFS(N$2:N366,A$2:A366,A366,B$2:B366,B366))</f>
        <v>0</v>
      </c>
      <c r="P366" s="11" t="n">
        <f aca="false">N366-O366</f>
        <v>-104517</v>
      </c>
    </row>
    <row r="367" customFormat="false" ht="15" hidden="false" customHeight="false" outlineLevel="0" collapsed="false">
      <c r="A367" s="8" t="s">
        <v>39</v>
      </c>
      <c r="B367" s="8" t="s">
        <v>31</v>
      </c>
      <c r="C367" s="8" t="s">
        <v>54</v>
      </c>
      <c r="D367" s="21" t="n">
        <v>45720.5416666667</v>
      </c>
      <c r="E367" s="21" t="n">
        <v>45737.8333333333</v>
      </c>
      <c r="F367" s="22" t="n">
        <f aca="false">DATE(YEAR(E367),MONTH(E367),1)</f>
        <v>45717</v>
      </c>
      <c r="G367" s="23" t="n">
        <v>106237</v>
      </c>
      <c r="H367" s="8" t="s">
        <v>55</v>
      </c>
      <c r="I367" s="24" t="n">
        <v>1816.68</v>
      </c>
      <c r="J367" s="25" t="n">
        <f aca="false">Summary!$B$4</f>
        <v>1</v>
      </c>
      <c r="K367" s="11" t="n">
        <f aca="false">I367*J367*IF(A367="SILVER",Summary!$B$5,Summary!$B$6)</f>
        <v>181668</v>
      </c>
      <c r="L367" s="26" t="n">
        <v>1.27</v>
      </c>
      <c r="M367" s="27" t="n">
        <f aca="false">IF(K367&gt;0,1,0)</f>
        <v>1</v>
      </c>
      <c r="N367" s="11" t="n">
        <f aca="false">SUMIFS(K$2:K367,A$2:A367,A367,B$2:B367,B367)</f>
        <v>77151</v>
      </c>
      <c r="O367" s="11" t="n">
        <f aca="false">MAX(0,_xlfn.MAXIFS(N$2:N367,A$2:A367,A367,B$2:B367,B367))</f>
        <v>77151</v>
      </c>
      <c r="P367" s="11" t="n">
        <f aca="false">N367-O367</f>
        <v>0</v>
      </c>
    </row>
    <row r="368" customFormat="false" ht="15" hidden="false" customHeight="false" outlineLevel="0" collapsed="false">
      <c r="A368" s="8" t="s">
        <v>39</v>
      </c>
      <c r="B368" s="8" t="s">
        <v>31</v>
      </c>
      <c r="C368" s="8" t="s">
        <v>54</v>
      </c>
      <c r="D368" s="21" t="n">
        <v>45743.875</v>
      </c>
      <c r="E368" s="21" t="n">
        <v>45750.7520833333</v>
      </c>
      <c r="F368" s="22" t="n">
        <f aca="false">DATE(YEAR(E368),MONTH(E368),1)</f>
        <v>45748</v>
      </c>
      <c r="G368" s="23" t="n">
        <v>109040</v>
      </c>
      <c r="H368" s="8" t="s">
        <v>55</v>
      </c>
      <c r="I368" s="24" t="n">
        <v>1074.18</v>
      </c>
      <c r="J368" s="25" t="n">
        <f aca="false">Summary!$B$4</f>
        <v>1</v>
      </c>
      <c r="K368" s="11" t="n">
        <f aca="false">I368*J368*IF(A368="SILVER",Summary!$B$5,Summary!$B$6)</f>
        <v>107418</v>
      </c>
      <c r="L368" s="26" t="n">
        <v>0.873</v>
      </c>
      <c r="M368" s="27" t="n">
        <f aca="false">IF(K368&gt;0,1,0)</f>
        <v>1</v>
      </c>
      <c r="N368" s="11" t="n">
        <f aca="false">SUMIFS(K$2:K368,A$2:A368,A368,B$2:B368,B368)</f>
        <v>184569</v>
      </c>
      <c r="O368" s="11" t="n">
        <f aca="false">MAX(0,_xlfn.MAXIFS(N$2:N368,A$2:A368,A368,B$2:B368,B368))</f>
        <v>184569</v>
      </c>
      <c r="P368" s="11" t="n">
        <f aca="false">N368-O368</f>
        <v>0</v>
      </c>
    </row>
    <row r="369" customFormat="false" ht="15" hidden="false" customHeight="false" outlineLevel="0" collapsed="false">
      <c r="A369" s="8" t="s">
        <v>39</v>
      </c>
      <c r="B369" s="8" t="s">
        <v>31</v>
      </c>
      <c r="C369" s="8" t="s">
        <v>54</v>
      </c>
      <c r="D369" s="21" t="n">
        <v>45756.7083333333</v>
      </c>
      <c r="E369" s="21" t="n">
        <v>45770.4166666667</v>
      </c>
      <c r="F369" s="22" t="n">
        <f aca="false">DATE(YEAR(E369),MONTH(E369),1)</f>
        <v>45748</v>
      </c>
      <c r="G369" s="23" t="n">
        <v>111112</v>
      </c>
      <c r="H369" s="8" t="s">
        <v>55</v>
      </c>
      <c r="I369" s="24" t="n">
        <v>5836.42</v>
      </c>
      <c r="J369" s="25" t="n">
        <f aca="false">Summary!$B$4</f>
        <v>1</v>
      </c>
      <c r="K369" s="11" t="n">
        <f aca="false">I369*J369*IF(A369="SILVER",Summary!$B$5,Summary!$B$6)</f>
        <v>583642</v>
      </c>
      <c r="L369" s="26" t="n">
        <v>2.001</v>
      </c>
      <c r="M369" s="27" t="n">
        <f aca="false">IF(K369&gt;0,1,0)</f>
        <v>1</v>
      </c>
      <c r="N369" s="11" t="n">
        <f aca="false">SUMIFS(K$2:K369,A$2:A369,A369,B$2:B369,B369)</f>
        <v>768211</v>
      </c>
      <c r="O369" s="11" t="n">
        <f aca="false">MAX(0,_xlfn.MAXIFS(N$2:N369,A$2:A369,A369,B$2:B369,B369))</f>
        <v>768211</v>
      </c>
      <c r="P369" s="11" t="n">
        <f aca="false">N369-O369</f>
        <v>0</v>
      </c>
    </row>
    <row r="370" customFormat="false" ht="15" hidden="false" customHeight="false" outlineLevel="0" collapsed="false">
      <c r="A370" s="8" t="s">
        <v>39</v>
      </c>
      <c r="B370" s="8" t="s">
        <v>31</v>
      </c>
      <c r="C370" s="8" t="s">
        <v>54</v>
      </c>
      <c r="D370" s="21" t="n">
        <v>45783.4166666667</v>
      </c>
      <c r="E370" s="21" t="n">
        <v>45785.4791666667</v>
      </c>
      <c r="F370" s="22" t="n">
        <f aca="false">DATE(YEAR(E370),MONTH(E370),1)</f>
        <v>45778</v>
      </c>
      <c r="G370" s="23" t="n">
        <v>117070</v>
      </c>
      <c r="H370" s="8" t="s">
        <v>58</v>
      </c>
      <c r="I370" s="24" t="n">
        <v>191.82</v>
      </c>
      <c r="J370" s="25" t="n">
        <f aca="false">Summary!$B$4</f>
        <v>1</v>
      </c>
      <c r="K370" s="11" t="n">
        <f aca="false">I370*J370*IF(A370="SILVER",Summary!$B$5,Summary!$B$6)</f>
        <v>19182</v>
      </c>
      <c r="L370" s="26" t="n">
        <v>0.071</v>
      </c>
      <c r="M370" s="27" t="n">
        <f aca="false">IF(K370&gt;0,1,0)</f>
        <v>1</v>
      </c>
      <c r="N370" s="11" t="n">
        <f aca="false">SUMIFS(K$2:K370,A$2:A370,A370,B$2:B370,B370)</f>
        <v>787393</v>
      </c>
      <c r="O370" s="11" t="n">
        <f aca="false">MAX(0,_xlfn.MAXIFS(N$2:N370,A$2:A370,A370,B$2:B370,B370))</f>
        <v>787393</v>
      </c>
      <c r="P370" s="11" t="n">
        <f aca="false">N370-O370</f>
        <v>0</v>
      </c>
    </row>
    <row r="371" customFormat="false" ht="15" hidden="false" customHeight="false" outlineLevel="0" collapsed="false">
      <c r="A371" s="8" t="s">
        <v>39</v>
      </c>
      <c r="B371" s="8" t="s">
        <v>31</v>
      </c>
      <c r="C371" s="8" t="s">
        <v>54</v>
      </c>
      <c r="D371" s="21" t="n">
        <v>45796.5833333333</v>
      </c>
      <c r="E371" s="21" t="n">
        <v>45806.4173611111</v>
      </c>
      <c r="F371" s="22" t="n">
        <f aca="false">DATE(YEAR(E371),MONTH(E371),1)</f>
        <v>45778</v>
      </c>
      <c r="G371" s="23" t="n">
        <v>114713</v>
      </c>
      <c r="H371" s="8" t="s">
        <v>55</v>
      </c>
      <c r="I371" s="24" t="n">
        <v>1070.18</v>
      </c>
      <c r="J371" s="25" t="n">
        <f aca="false">Summary!$B$4</f>
        <v>1</v>
      </c>
      <c r="K371" s="11" t="n">
        <f aca="false">I371*J371*IF(A371="SILVER",Summary!$B$5,Summary!$B$6)</f>
        <v>107018</v>
      </c>
      <c r="L371" s="26" t="n">
        <v>0.429</v>
      </c>
      <c r="M371" s="27" t="n">
        <f aca="false">IF(K371&gt;0,1,0)</f>
        <v>1</v>
      </c>
      <c r="N371" s="11" t="n">
        <f aca="false">SUMIFS(K$2:K371,A$2:A371,A371,B$2:B371,B371)</f>
        <v>894411</v>
      </c>
      <c r="O371" s="11" t="n">
        <f aca="false">MAX(0,_xlfn.MAXIFS(N$2:N371,A$2:A371,A371,B$2:B371,B371))</f>
        <v>894411</v>
      </c>
      <c r="P371" s="11" t="n">
        <f aca="false">N371-O371</f>
        <v>0</v>
      </c>
    </row>
    <row r="372" customFormat="false" ht="15" hidden="false" customHeight="false" outlineLevel="0" collapsed="false">
      <c r="A372" s="8" t="s">
        <v>39</v>
      </c>
      <c r="B372" s="8" t="s">
        <v>31</v>
      </c>
      <c r="C372" s="8" t="s">
        <v>54</v>
      </c>
      <c r="D372" s="21" t="n">
        <v>45810.6118055556</v>
      </c>
      <c r="E372" s="21" t="n">
        <v>45814.75625</v>
      </c>
      <c r="F372" s="22" t="n">
        <f aca="false">DATE(YEAR(E372),MONTH(E372),1)</f>
        <v>45809</v>
      </c>
      <c r="G372" s="23" t="n">
        <v>117442</v>
      </c>
      <c r="H372" s="8" t="s">
        <v>58</v>
      </c>
      <c r="I372" s="24" t="n">
        <v>128.12</v>
      </c>
      <c r="J372" s="25" t="n">
        <f aca="false">Summary!$B$4</f>
        <v>1</v>
      </c>
      <c r="K372" s="11" t="n">
        <f aca="false">I372*J372*IF(A372="SILVER",Summary!$B$5,Summary!$B$6)</f>
        <v>12812</v>
      </c>
      <c r="L372" s="26" t="n">
        <v>0.068</v>
      </c>
      <c r="M372" s="27" t="n">
        <f aca="false">IF(K372&gt;0,1,0)</f>
        <v>1</v>
      </c>
      <c r="N372" s="11" t="n">
        <f aca="false">SUMIFS(K$2:K372,A$2:A372,A372,B$2:B372,B372)</f>
        <v>907223</v>
      </c>
      <c r="O372" s="11" t="n">
        <f aca="false">MAX(0,_xlfn.MAXIFS(N$2:N372,A$2:A372,A372,B$2:B372,B372))</f>
        <v>907223</v>
      </c>
      <c r="P372" s="11" t="n">
        <f aca="false">N372-O372</f>
        <v>0</v>
      </c>
    </row>
    <row r="373" customFormat="false" ht="15" hidden="false" customHeight="false" outlineLevel="0" collapsed="false">
      <c r="A373" s="8" t="s">
        <v>39</v>
      </c>
      <c r="B373" s="8" t="s">
        <v>31</v>
      </c>
      <c r="C373" s="8" t="s">
        <v>54</v>
      </c>
      <c r="D373" s="21" t="n">
        <v>45820.6666666667</v>
      </c>
      <c r="E373" s="21" t="n">
        <v>45828.5090277778</v>
      </c>
      <c r="F373" s="22" t="n">
        <f aca="false">DATE(YEAR(E373),MONTH(E373),1)</f>
        <v>45809</v>
      </c>
      <c r="G373" s="23" t="n">
        <v>118133</v>
      </c>
      <c r="H373" s="8" t="s">
        <v>58</v>
      </c>
      <c r="I373" s="24" t="n">
        <v>172.14</v>
      </c>
      <c r="J373" s="25" t="n">
        <f aca="false">Summary!$B$4</f>
        <v>1</v>
      </c>
      <c r="K373" s="11" t="n">
        <f aca="false">I373*J373*IF(A373="SILVER",Summary!$B$5,Summary!$B$6)</f>
        <v>17214</v>
      </c>
      <c r="L373" s="26" t="n">
        <v>0.085</v>
      </c>
      <c r="M373" s="27" t="n">
        <f aca="false">IF(K373&gt;0,1,0)</f>
        <v>1</v>
      </c>
      <c r="N373" s="11" t="n">
        <f aca="false">SUMIFS(K$2:K373,A$2:A373,A373,B$2:B373,B373)</f>
        <v>924437</v>
      </c>
      <c r="O373" s="11" t="n">
        <f aca="false">MAX(0,_xlfn.MAXIFS(N$2:N373,A$2:A373,A373,B$2:B373,B373))</f>
        <v>924437</v>
      </c>
      <c r="P373" s="11" t="n">
        <f aca="false">N373-O373</f>
        <v>0</v>
      </c>
    </row>
    <row r="374" customFormat="false" ht="15" hidden="false" customHeight="false" outlineLevel="0" collapsed="false">
      <c r="A374" s="8" t="s">
        <v>39</v>
      </c>
      <c r="B374" s="8" t="s">
        <v>31</v>
      </c>
      <c r="C374" s="8" t="s">
        <v>54</v>
      </c>
      <c r="D374" s="21" t="n">
        <v>45839.5416666667</v>
      </c>
      <c r="E374" s="21" t="n">
        <v>45845.4166666667</v>
      </c>
      <c r="F374" s="22" t="n">
        <f aca="false">DATE(YEAR(E374),MONTH(E374),1)</f>
        <v>45839</v>
      </c>
      <c r="G374" s="23" t="n">
        <v>117083</v>
      </c>
      <c r="H374" s="8" t="s">
        <v>55</v>
      </c>
      <c r="I374" s="24" t="n">
        <v>-766.36</v>
      </c>
      <c r="J374" s="25" t="n">
        <f aca="false">Summary!$B$4</f>
        <v>1</v>
      </c>
      <c r="K374" s="11" t="n">
        <f aca="false">I374*J374*IF(A374="SILVER",Summary!$B$5,Summary!$B$6)</f>
        <v>-76636</v>
      </c>
      <c r="L374" s="26" t="n">
        <v>-0.449</v>
      </c>
      <c r="M374" s="27" t="n">
        <f aca="false">IF(K374&gt;0,1,0)</f>
        <v>0</v>
      </c>
      <c r="N374" s="11" t="n">
        <f aca="false">SUMIFS(K$2:K374,A$2:A374,A374,B$2:B374,B374)</f>
        <v>847801</v>
      </c>
      <c r="O374" s="11" t="n">
        <f aca="false">MAX(0,_xlfn.MAXIFS(N$2:N374,A$2:A374,A374,B$2:B374,B374))</f>
        <v>924437</v>
      </c>
      <c r="P374" s="11" t="n">
        <f aca="false">N374-O374</f>
        <v>-76636</v>
      </c>
    </row>
    <row r="375" customFormat="false" ht="15" hidden="false" customHeight="false" outlineLevel="0" collapsed="false">
      <c r="A375" s="8" t="s">
        <v>39</v>
      </c>
      <c r="B375" s="8" t="s">
        <v>31</v>
      </c>
      <c r="C375" s="8" t="s">
        <v>54</v>
      </c>
      <c r="D375" s="21" t="n">
        <v>45849.4166666667</v>
      </c>
      <c r="E375" s="21" t="n">
        <v>45853.7888888889</v>
      </c>
      <c r="F375" s="22" t="n">
        <f aca="false">DATE(YEAR(E375),MONTH(E375),1)</f>
        <v>45839</v>
      </c>
      <c r="G375" s="23" t="n">
        <v>117154</v>
      </c>
      <c r="H375" s="8" t="s">
        <v>58</v>
      </c>
      <c r="I375" s="24" t="n">
        <v>100.5</v>
      </c>
      <c r="J375" s="25" t="n">
        <f aca="false">Summary!$B$4</f>
        <v>1</v>
      </c>
      <c r="K375" s="11" t="n">
        <f aca="false">I375*J375*IF(A375="SILVER",Summary!$B$5,Summary!$B$6)</f>
        <v>10050</v>
      </c>
      <c r="L375" s="26" t="n">
        <v>0.077</v>
      </c>
      <c r="M375" s="27" t="n">
        <f aca="false">IF(K375&gt;0,1,0)</f>
        <v>1</v>
      </c>
      <c r="N375" s="11" t="n">
        <f aca="false">SUMIFS(K$2:K375,A$2:A375,A375,B$2:B375,B375)</f>
        <v>857851</v>
      </c>
      <c r="O375" s="11" t="n">
        <f aca="false">MAX(0,_xlfn.MAXIFS(N$2:N375,A$2:A375,A375,B$2:B375,B375))</f>
        <v>924437</v>
      </c>
      <c r="P375" s="11" t="n">
        <f aca="false">N375-O375</f>
        <v>-66586</v>
      </c>
    </row>
    <row r="376" customFormat="false" ht="15" hidden="false" customHeight="false" outlineLevel="0" collapsed="false">
      <c r="A376" s="8" t="s">
        <v>39</v>
      </c>
      <c r="B376" s="8" t="s">
        <v>31</v>
      </c>
      <c r="C376" s="8" t="s">
        <v>54</v>
      </c>
      <c r="D376" s="21" t="n">
        <v>45859.4583333333</v>
      </c>
      <c r="E376" s="21" t="n">
        <v>45862.4166666667</v>
      </c>
      <c r="F376" s="22" t="n">
        <f aca="false">DATE(YEAR(E376),MONTH(E376),1)</f>
        <v>45839</v>
      </c>
      <c r="G376" s="23" t="n">
        <v>118369</v>
      </c>
      <c r="H376" s="8" t="s">
        <v>55</v>
      </c>
      <c r="I376" s="24" t="n">
        <v>529.25</v>
      </c>
      <c r="J376" s="25" t="n">
        <f aca="false">Summary!$B$4</f>
        <v>1</v>
      </c>
      <c r="K376" s="11" t="n">
        <f aca="false">I376*J376*IF(A376="SILVER",Summary!$B$5,Summary!$B$6)</f>
        <v>52925</v>
      </c>
      <c r="L376" s="26" t="n">
        <v>0.416</v>
      </c>
      <c r="M376" s="27" t="n">
        <f aca="false">IF(K376&gt;0,1,0)</f>
        <v>1</v>
      </c>
      <c r="N376" s="11" t="n">
        <f aca="false">SUMIFS(K$2:K376,A$2:A376,A376,B$2:B376,B376)</f>
        <v>910776</v>
      </c>
      <c r="O376" s="11" t="n">
        <f aca="false">MAX(0,_xlfn.MAXIFS(N$2:N376,A$2:A376,A376,B$2:B376,B376))</f>
        <v>924437</v>
      </c>
      <c r="P376" s="11" t="n">
        <f aca="false">N376-O376</f>
        <v>-13661</v>
      </c>
    </row>
    <row r="377" customFormat="false" ht="15" hidden="false" customHeight="false" outlineLevel="0" collapsed="false">
      <c r="A377" s="8" t="s">
        <v>39</v>
      </c>
      <c r="B377" s="8" t="s">
        <v>31</v>
      </c>
      <c r="C377" s="8" t="s">
        <v>54</v>
      </c>
      <c r="D377" s="21" t="n">
        <v>45868.5854166667</v>
      </c>
      <c r="E377" s="21" t="n">
        <v>45880.75</v>
      </c>
      <c r="F377" s="22" t="n">
        <f aca="false">DATE(YEAR(E377),MONTH(E377),1)</f>
        <v>45870</v>
      </c>
      <c r="G377" s="23" t="n">
        <v>118568</v>
      </c>
      <c r="H377" s="8" t="s">
        <v>55</v>
      </c>
      <c r="I377" s="24" t="n">
        <v>1574.1</v>
      </c>
      <c r="J377" s="25" t="n">
        <f aca="false">Summary!$B$4</f>
        <v>1</v>
      </c>
      <c r="K377" s="11" t="n">
        <f aca="false">I377*J377*IF(A377="SILVER",Summary!$B$5,Summary!$B$6)</f>
        <v>157410</v>
      </c>
      <c r="L377" s="26" t="n">
        <v>1.269</v>
      </c>
      <c r="M377" s="27" t="n">
        <f aca="false">IF(K377&gt;0,1,0)</f>
        <v>1</v>
      </c>
      <c r="N377" s="11" t="n">
        <f aca="false">SUMIFS(K$2:K377,A$2:A377,A377,B$2:B377,B377)</f>
        <v>1068186</v>
      </c>
      <c r="O377" s="11" t="n">
        <f aca="false">MAX(0,_xlfn.MAXIFS(N$2:N377,A$2:A377,A377,B$2:B377,B377))</f>
        <v>1068186</v>
      </c>
      <c r="P377" s="11" t="n">
        <f aca="false">N377-O377</f>
        <v>0</v>
      </c>
    </row>
    <row r="378" customFormat="false" ht="15" hidden="false" customHeight="false" outlineLevel="0" collapsed="false">
      <c r="A378" s="8" t="s">
        <v>39</v>
      </c>
      <c r="B378" s="8" t="s">
        <v>31</v>
      </c>
      <c r="C378" s="8" t="s">
        <v>54</v>
      </c>
      <c r="D378" s="21" t="n">
        <v>45891.8333333333</v>
      </c>
      <c r="E378" s="21" t="n">
        <v>45918.5</v>
      </c>
      <c r="F378" s="22" t="n">
        <f aca="false">DATE(YEAR(E378),MONTH(E378),1)</f>
        <v>45901</v>
      </c>
      <c r="G378" s="23" t="n">
        <v>119846</v>
      </c>
      <c r="H378" s="8" t="s">
        <v>55</v>
      </c>
      <c r="I378" s="24" t="n">
        <v>8702.11</v>
      </c>
      <c r="J378" s="25" t="n">
        <f aca="false">Summary!$B$4</f>
        <v>1</v>
      </c>
      <c r="K378" s="11" t="n">
        <f aca="false">I378*J378*IF(A378="SILVER",Summary!$B$5,Summary!$B$6)</f>
        <v>870211</v>
      </c>
      <c r="L378" s="26" t="n">
        <v>5.412</v>
      </c>
      <c r="M378" s="27" t="n">
        <f aca="false">IF(K378&gt;0,1,0)</f>
        <v>1</v>
      </c>
      <c r="N378" s="11" t="n">
        <f aca="false">SUMIFS(K$2:K378,A$2:A378,A378,B$2:B378,B378)</f>
        <v>1938397</v>
      </c>
      <c r="O378" s="11" t="n">
        <f aca="false">MAX(0,_xlfn.MAXIFS(N$2:N378,A$2:A378,A378,B$2:B378,B378))</f>
        <v>1938397</v>
      </c>
      <c r="P378" s="11" t="n">
        <f aca="false">N378-O378</f>
        <v>0</v>
      </c>
    </row>
    <row r="379" customFormat="false" ht="15" hidden="false" customHeight="false" outlineLevel="0" collapsed="false">
      <c r="A379" s="8" t="s">
        <v>39</v>
      </c>
      <c r="B379" s="8" t="s">
        <v>31</v>
      </c>
      <c r="C379" s="8" t="s">
        <v>54</v>
      </c>
      <c r="D379" s="21" t="n">
        <v>45922.4583333333</v>
      </c>
      <c r="E379" s="21" t="n">
        <v>45939.9583333333</v>
      </c>
      <c r="F379" s="22" t="n">
        <f aca="false">DATE(YEAR(E379),MONTH(E379),1)</f>
        <v>45931</v>
      </c>
      <c r="G379" s="23" t="n">
        <v>130321</v>
      </c>
      <c r="H379" s="8" t="s">
        <v>55</v>
      </c>
      <c r="I379" s="24" t="n">
        <v>8552.75</v>
      </c>
      <c r="J379" s="25" t="n">
        <f aca="false">Summary!$B$4</f>
        <v>1</v>
      </c>
      <c r="K379" s="11" t="n">
        <f aca="false">I379*J379*IF(A379="SILVER",Summary!$B$5,Summary!$B$6)</f>
        <v>855275</v>
      </c>
      <c r="L379" s="26" t="n">
        <v>5.253</v>
      </c>
      <c r="M379" s="27" t="n">
        <f aca="false">IF(K379&gt;0,1,0)</f>
        <v>1</v>
      </c>
      <c r="N379" s="11" t="n">
        <f aca="false">SUMIFS(K$2:K379,A$2:A379,A379,B$2:B379,B379)</f>
        <v>2793672</v>
      </c>
      <c r="O379" s="11" t="n">
        <f aca="false">MAX(0,_xlfn.MAXIFS(N$2:N379,A$2:A379,A379,B$2:B379,B379))</f>
        <v>2793672</v>
      </c>
      <c r="P379" s="11" t="n">
        <f aca="false">N379-O379</f>
        <v>0</v>
      </c>
    </row>
    <row r="380" customFormat="false" ht="15" hidden="false" customHeight="false" outlineLevel="0" collapsed="false">
      <c r="A380" s="8" t="s">
        <v>39</v>
      </c>
      <c r="B380" s="8" t="s">
        <v>31</v>
      </c>
      <c r="C380" s="8" t="s">
        <v>54</v>
      </c>
      <c r="D380" s="21" t="n">
        <v>45943.4583333333</v>
      </c>
      <c r="E380" s="21" t="n">
        <v>45947.8333333333</v>
      </c>
      <c r="F380" s="22" t="n">
        <f aca="false">DATE(YEAR(E380),MONTH(E380),1)</f>
        <v>45931</v>
      </c>
      <c r="G380" s="23" t="n">
        <v>142065</v>
      </c>
      <c r="H380" s="8" t="s">
        <v>55</v>
      </c>
      <c r="I380" s="24" t="n">
        <v>4430.8</v>
      </c>
      <c r="J380" s="25" t="n">
        <f aca="false">Summary!$B$4</f>
        <v>1</v>
      </c>
      <c r="K380" s="11" t="n">
        <f aca="false">I380*J380*IF(A380="SILVER",Summary!$B$5,Summary!$B$6)</f>
        <v>443080</v>
      </c>
      <c r="L380" s="26" t="n">
        <v>1.032</v>
      </c>
      <c r="M380" s="27" t="n">
        <f aca="false">IF(K380&gt;0,1,0)</f>
        <v>1</v>
      </c>
      <c r="N380" s="11" t="n">
        <f aca="false">SUMIFS(K$2:K380,A$2:A380,A380,B$2:B380,B380)</f>
        <v>3236752</v>
      </c>
      <c r="O380" s="11" t="n">
        <f aca="false">MAX(0,_xlfn.MAXIFS(N$2:N380,A$2:A380,A380,B$2:B380,B380))</f>
        <v>3236752</v>
      </c>
      <c r="P380" s="11" t="n">
        <f aca="false">N380-O380</f>
        <v>0</v>
      </c>
    </row>
    <row r="381" customFormat="false" ht="15" hidden="false" customHeight="false" outlineLevel="0" collapsed="false">
      <c r="A381" s="8" t="s">
        <v>39</v>
      </c>
      <c r="B381" s="8" t="s">
        <v>31</v>
      </c>
      <c r="C381" s="8" t="s">
        <v>54</v>
      </c>
      <c r="D381" s="21" t="n">
        <v>45971.5</v>
      </c>
      <c r="E381" s="21" t="n">
        <v>45975.75</v>
      </c>
      <c r="F381" s="22" t="n">
        <f aca="false">DATE(YEAR(E381),MONTH(E381),1)</f>
        <v>45962</v>
      </c>
      <c r="G381" s="23" t="n">
        <v>141300</v>
      </c>
      <c r="H381" s="8" t="s">
        <v>55</v>
      </c>
      <c r="I381" s="24" t="n">
        <v>1088.29</v>
      </c>
      <c r="J381" s="25" t="n">
        <f aca="false">Summary!$B$4</f>
        <v>1</v>
      </c>
      <c r="K381" s="11" t="n">
        <f aca="false">I381*J381*IF(A381="SILVER",Summary!$B$5,Summary!$B$6)</f>
        <v>108829</v>
      </c>
      <c r="L381" s="26" t="n">
        <v>0.38</v>
      </c>
      <c r="M381" s="27" t="n">
        <f aca="false">IF(K381&gt;0,1,0)</f>
        <v>1</v>
      </c>
      <c r="N381" s="11" t="n">
        <f aca="false">SUMIFS(K$2:K381,A$2:A381,A381,B$2:B381,B381)</f>
        <v>3345581</v>
      </c>
      <c r="O381" s="11" t="n">
        <f aca="false">MAX(0,_xlfn.MAXIFS(N$2:N381,A$2:A381,A381,B$2:B381,B381))</f>
        <v>3345581</v>
      </c>
      <c r="P381" s="11" t="n">
        <f aca="false">N381-O381</f>
        <v>0</v>
      </c>
    </row>
    <row r="382" customFormat="false" ht="15" hidden="false" customHeight="false" outlineLevel="0" collapsed="false">
      <c r="A382" s="8" t="s">
        <v>39</v>
      </c>
      <c r="B382" s="8" t="s">
        <v>31</v>
      </c>
      <c r="C382" s="8" t="s">
        <v>54</v>
      </c>
      <c r="D382" s="21" t="n">
        <v>45986.4166666667</v>
      </c>
      <c r="E382" s="21" t="n">
        <v>46020.8333333333</v>
      </c>
      <c r="F382" s="22" t="n">
        <f aca="false">DATE(YEAR(E382),MONTH(E382),1)</f>
        <v>45992</v>
      </c>
      <c r="G382" s="23" t="n">
        <v>143568</v>
      </c>
      <c r="H382" s="8" t="s">
        <v>55</v>
      </c>
      <c r="I382" s="24" t="n">
        <v>9680.52</v>
      </c>
      <c r="J382" s="25" t="n">
        <f aca="false">Summary!$B$4</f>
        <v>1</v>
      </c>
      <c r="K382" s="11" t="n">
        <f aca="false">I382*J382*IF(A382="SILVER",Summary!$B$5,Summary!$B$6)</f>
        <v>968052</v>
      </c>
      <c r="L382" s="26" t="n">
        <v>2.94</v>
      </c>
      <c r="M382" s="27" t="n">
        <f aca="false">IF(K382&gt;0,1,0)</f>
        <v>1</v>
      </c>
      <c r="N382" s="11" t="n">
        <f aca="false">SUMIFS(K$2:K382,A$2:A382,A382,B$2:B382,B382)</f>
        <v>4313633</v>
      </c>
      <c r="O382" s="11" t="n">
        <f aca="false">MAX(0,_xlfn.MAXIFS(N$2:N382,A$2:A382,A382,B$2:B382,B382))</f>
        <v>4313633</v>
      </c>
      <c r="P382" s="11" t="n">
        <f aca="false">N382-O382</f>
        <v>0</v>
      </c>
    </row>
    <row r="383" customFormat="false" ht="15" hidden="false" customHeight="false" outlineLevel="0" collapsed="false">
      <c r="A383" s="8" t="s">
        <v>39</v>
      </c>
      <c r="B383" s="8" t="s">
        <v>31</v>
      </c>
      <c r="C383" s="8" t="s">
        <v>54</v>
      </c>
      <c r="D383" s="21" t="n">
        <v>46028.4166666667</v>
      </c>
      <c r="E383" s="21" t="n">
        <v>46044.4166666667</v>
      </c>
      <c r="F383" s="22" t="n">
        <f aca="false">DATE(YEAR(E383),MONTH(E383),1)</f>
        <v>46023</v>
      </c>
      <c r="G383" s="23" t="n">
        <v>155445</v>
      </c>
      <c r="H383" s="8" t="s">
        <v>55</v>
      </c>
      <c r="I383" s="24" t="n">
        <v>11104.18</v>
      </c>
      <c r="J383" s="25" t="n">
        <f aca="false">Summary!$B$4</f>
        <v>1</v>
      </c>
      <c r="K383" s="11" t="n">
        <f aca="false">I383*J383*IF(A383="SILVER",Summary!$B$5,Summary!$B$6)</f>
        <v>1110418</v>
      </c>
      <c r="L383" s="26" t="n">
        <v>3.772</v>
      </c>
      <c r="M383" s="27" t="n">
        <f aca="false">IF(K383&gt;0,1,0)</f>
        <v>1</v>
      </c>
      <c r="N383" s="11" t="n">
        <f aca="false">SUMIFS(K$2:K383,A$2:A383,A383,B$2:B383,B383)</f>
        <v>5424051</v>
      </c>
      <c r="O383" s="11" t="n">
        <f aca="false">MAX(0,_xlfn.MAXIFS(N$2:N383,A$2:A383,A383,B$2:B383,B383))</f>
        <v>5424051</v>
      </c>
      <c r="P383" s="11" t="n">
        <f aca="false">N383-O383</f>
        <v>0</v>
      </c>
    </row>
    <row r="384" customFormat="false" ht="15" hidden="false" customHeight="false" outlineLevel="0" collapsed="false">
      <c r="A384" s="8" t="s">
        <v>39</v>
      </c>
      <c r="B384" s="8" t="s">
        <v>31</v>
      </c>
      <c r="C384" s="8" t="s">
        <v>54</v>
      </c>
      <c r="D384" s="21" t="n">
        <v>46049.4166666667</v>
      </c>
      <c r="E384" s="21" t="n">
        <v>46051.8659722222</v>
      </c>
      <c r="F384" s="22" t="n">
        <f aca="false">DATE(YEAR(E384),MONTH(E384),1)</f>
        <v>46023</v>
      </c>
      <c r="G384" s="23" t="n">
        <v>175350</v>
      </c>
      <c r="H384" s="8" t="s">
        <v>58</v>
      </c>
      <c r="I384" s="24" t="n">
        <v>773.19</v>
      </c>
      <c r="J384" s="25" t="n">
        <f aca="false">Summary!$B$4</f>
        <v>1</v>
      </c>
      <c r="K384" s="11" t="n">
        <f aca="false">I384*J384*IF(A384="SILVER",Summary!$B$5,Summary!$B$6)</f>
        <v>77319</v>
      </c>
      <c r="L384" s="26" t="n">
        <v>0.095</v>
      </c>
      <c r="M384" s="27" t="n">
        <f aca="false">IF(K384&gt;0,1,0)</f>
        <v>1</v>
      </c>
      <c r="N384" s="11" t="n">
        <f aca="false">SUMIFS(K$2:K384,A$2:A384,A384,B$2:B384,B384)</f>
        <v>5501370</v>
      </c>
      <c r="O384" s="11" t="n">
        <f aca="false">MAX(0,_xlfn.MAXIFS(N$2:N384,A$2:A384,A384,B$2:B384,B384))</f>
        <v>5501370</v>
      </c>
      <c r="P384" s="11" t="n">
        <f aca="false">N384-O384</f>
        <v>0</v>
      </c>
    </row>
    <row r="385" customFormat="false" ht="15" hidden="false" customHeight="false" outlineLevel="0" collapsed="false">
      <c r="A385" s="8" t="s">
        <v>39</v>
      </c>
      <c r="B385" s="8" t="s">
        <v>31</v>
      </c>
      <c r="C385" s="8" t="s">
        <v>56</v>
      </c>
      <c r="D385" s="21" t="n">
        <v>46084.75</v>
      </c>
      <c r="E385" s="21" t="n">
        <v>46085.3909722222</v>
      </c>
      <c r="F385" s="22" t="n">
        <f aca="false">DATE(YEAR(E385),MONTH(E385),1)</f>
        <v>46082</v>
      </c>
      <c r="G385" s="23" t="n">
        <v>171781</v>
      </c>
      <c r="H385" s="8" t="s">
        <v>58</v>
      </c>
      <c r="I385" s="24" t="n">
        <v>538.57</v>
      </c>
      <c r="J385" s="25" t="n">
        <f aca="false">Summary!$B$4</f>
        <v>1</v>
      </c>
      <c r="K385" s="11" t="n">
        <f aca="false">I385*J385*IF(A385="SILVER",Summary!$B$5,Summary!$B$6)</f>
        <v>53857</v>
      </c>
      <c r="L385" s="26" t="n">
        <v>0.093</v>
      </c>
      <c r="M385" s="27" t="n">
        <f aca="false">IF(K385&gt;0,1,0)</f>
        <v>1</v>
      </c>
      <c r="N385" s="11" t="n">
        <f aca="false">SUMIFS(K$2:K385,A$2:A385,A385,B$2:B385,B385)</f>
        <v>5555227</v>
      </c>
      <c r="O385" s="11" t="n">
        <f aca="false">MAX(0,_xlfn.MAXIFS(N$2:N385,A$2:A385,A385,B$2:B385,B385))</f>
        <v>5555227</v>
      </c>
      <c r="P385" s="11" t="n">
        <f aca="false">N385-O385</f>
        <v>0</v>
      </c>
    </row>
    <row r="386" customFormat="false" ht="15" hidden="false" customHeight="false" outlineLevel="0" collapsed="false">
      <c r="A386" s="8" t="s">
        <v>39</v>
      </c>
      <c r="B386" s="8" t="s">
        <v>31</v>
      </c>
      <c r="C386" s="8" t="s">
        <v>56</v>
      </c>
      <c r="D386" s="21" t="n">
        <v>46118.375</v>
      </c>
      <c r="E386" s="21" t="n">
        <v>46126.9583333333</v>
      </c>
      <c r="F386" s="22" t="n">
        <f aca="false">DATE(YEAR(E386),MONTH(E386),1)</f>
        <v>46113</v>
      </c>
      <c r="G386" s="23" t="n">
        <v>153102</v>
      </c>
      <c r="H386" s="8" t="s">
        <v>55</v>
      </c>
      <c r="I386" s="24" t="n">
        <v>-5751.02</v>
      </c>
      <c r="J386" s="25" t="n">
        <f aca="false">Summary!$B$4</f>
        <v>1</v>
      </c>
      <c r="K386" s="11" t="n">
        <f aca="false">I386*J386*IF(A386="SILVER",Summary!$B$5,Summary!$B$6)</f>
        <v>-575102</v>
      </c>
      <c r="L386" s="26" t="n">
        <v>-0.758</v>
      </c>
      <c r="M386" s="27" t="n">
        <f aca="false">IF(K386&gt;0,1,0)</f>
        <v>0</v>
      </c>
      <c r="N386" s="11" t="n">
        <f aca="false">SUMIFS(K$2:K386,A$2:A386,A386,B$2:B386,B386)</f>
        <v>4980125</v>
      </c>
      <c r="O386" s="11" t="n">
        <f aca="false">MAX(0,_xlfn.MAXIFS(N$2:N386,A$2:A386,A386,B$2:B386,B386))</f>
        <v>5555227</v>
      </c>
      <c r="P386" s="11" t="n">
        <f aca="false">N386-O386</f>
        <v>-575102</v>
      </c>
    </row>
    <row r="387" customFormat="false" ht="15" hidden="false" customHeight="false" outlineLevel="0" collapsed="false">
      <c r="A387" s="8" t="s">
        <v>39</v>
      </c>
      <c r="B387" s="8" t="s">
        <v>31</v>
      </c>
      <c r="C387" s="8" t="s">
        <v>56</v>
      </c>
      <c r="D387" s="21" t="n">
        <v>46133.9583333333</v>
      </c>
      <c r="E387" s="21" t="n">
        <v>46141.375</v>
      </c>
      <c r="F387" s="22" t="n">
        <f aca="false">DATE(YEAR(E387),MONTH(E387),1)</f>
        <v>46113</v>
      </c>
      <c r="G387" s="23" t="n">
        <v>155748</v>
      </c>
      <c r="H387" s="8" t="s">
        <v>58</v>
      </c>
      <c r="I387" s="24" t="n">
        <v>310.82</v>
      </c>
      <c r="J387" s="25" t="n">
        <f aca="false">Summary!$B$4</f>
        <v>1</v>
      </c>
      <c r="K387" s="11" t="n">
        <f aca="false">I387*J387*IF(A387="SILVER",Summary!$B$5,Summary!$B$6)</f>
        <v>31082</v>
      </c>
      <c r="L387" s="26" t="n">
        <v>0.089</v>
      </c>
      <c r="M387" s="27" t="n">
        <f aca="false">IF(K387&gt;0,1,0)</f>
        <v>1</v>
      </c>
      <c r="N387" s="11" t="n">
        <f aca="false">SUMIFS(K$2:K387,A$2:A387,A387,B$2:B387,B387)</f>
        <v>5011207</v>
      </c>
      <c r="O387" s="11" t="n">
        <f aca="false">MAX(0,_xlfn.MAXIFS(N$2:N387,A$2:A387,A387,B$2:B387,B387))</f>
        <v>5555227</v>
      </c>
      <c r="P387" s="11" t="n">
        <f aca="false">N387-O387</f>
        <v>-544020</v>
      </c>
    </row>
    <row r="388" customFormat="false" ht="15" hidden="false" customHeight="false" outlineLevel="0" collapsed="false">
      <c r="A388" s="8" t="s">
        <v>39</v>
      </c>
      <c r="B388" s="8" t="s">
        <v>31</v>
      </c>
      <c r="C388" s="8" t="s">
        <v>56</v>
      </c>
      <c r="D388" s="21" t="n">
        <v>46162.4166666667</v>
      </c>
      <c r="E388" s="21" t="n">
        <v>46188.4166666667</v>
      </c>
      <c r="F388" s="22" t="n">
        <f aca="false">DATE(YEAR(E388),MONTH(E388),1)</f>
        <v>46174</v>
      </c>
      <c r="G388" s="23" t="n">
        <v>162635</v>
      </c>
      <c r="H388" s="8" t="s">
        <v>55</v>
      </c>
      <c r="I388" s="24" t="n">
        <v>6748.23</v>
      </c>
      <c r="J388" s="25" t="n">
        <f aca="false">Summary!$B$4</f>
        <v>1</v>
      </c>
      <c r="K388" s="11" t="n">
        <f aca="false">I388*J388*IF(A388="SILVER",Summary!$B$5,Summary!$B$6)</f>
        <v>674823</v>
      </c>
      <c r="L388" s="26" t="n">
        <v>1.787</v>
      </c>
      <c r="M388" s="27" t="n">
        <f aca="false">IF(K388&gt;0,1,0)</f>
        <v>1</v>
      </c>
      <c r="N388" s="11" t="n">
        <f aca="false">SUMIFS(K$2:K388,A$2:A388,A388,B$2:B388,B388)</f>
        <v>5686030</v>
      </c>
      <c r="O388" s="11" t="n">
        <f aca="false">MAX(0,_xlfn.MAXIFS(N$2:N388,A$2:A388,A388,B$2:B388,B388))</f>
        <v>5686030</v>
      </c>
      <c r="P388" s="11" t="n">
        <f aca="false">N388-O388</f>
        <v>0</v>
      </c>
    </row>
    <row r="389" customFormat="false" ht="15" hidden="false" customHeight="false" outlineLevel="0" collapsed="false">
      <c r="A389" s="8" t="s">
        <v>39</v>
      </c>
      <c r="B389" s="8" t="s">
        <v>31</v>
      </c>
      <c r="C389" s="8" t="s">
        <v>56</v>
      </c>
      <c r="D389" s="21" t="n">
        <v>46191.5833333333</v>
      </c>
      <c r="E389" s="21" t="n">
        <v>46204.8333333333</v>
      </c>
      <c r="F389" s="22" t="n">
        <f aca="false">DATE(YEAR(E389),MONTH(E389),1)</f>
        <v>46204</v>
      </c>
      <c r="G389" s="23" t="n">
        <v>153524</v>
      </c>
      <c r="H389" s="8" t="s">
        <v>55</v>
      </c>
      <c r="I389" s="24" t="n">
        <v>5817.41</v>
      </c>
      <c r="J389" s="25" t="n">
        <f aca="false">Summary!$B$4</f>
        <v>1</v>
      </c>
      <c r="K389" s="11" t="n">
        <f aca="false">I389*J389*IF(A389="SILVER",Summary!$B$5,Summary!$B$6)</f>
        <v>581741</v>
      </c>
      <c r="L389" s="26" t="n">
        <v>1.534</v>
      </c>
      <c r="M389" s="27" t="n">
        <f aca="false">IF(K389&gt;0,1,0)</f>
        <v>1</v>
      </c>
      <c r="N389" s="11" t="n">
        <f aca="false">SUMIFS(K$2:K389,A$2:A389,A389,B$2:B389,B389)</f>
        <v>6267771</v>
      </c>
      <c r="O389" s="11" t="n">
        <f aca="false">MAX(0,_xlfn.MAXIFS(N$2:N389,A$2:A389,A389,B$2:B389,B389))</f>
        <v>6267771</v>
      </c>
      <c r="P389" s="11" t="n">
        <f aca="false">N389-O389</f>
        <v>0</v>
      </c>
    </row>
    <row r="390" customFormat="false" ht="15" hidden="false" customHeight="false" outlineLevel="0" collapsed="false">
      <c r="A390" s="8" t="s">
        <v>39</v>
      </c>
      <c r="B390" s="8" t="s">
        <v>31</v>
      </c>
      <c r="C390" s="8" t="s">
        <v>56</v>
      </c>
      <c r="D390" s="21" t="n">
        <v>46211.625</v>
      </c>
      <c r="E390" s="21" t="n">
        <v>46217.7506944445</v>
      </c>
      <c r="F390" s="22" t="n">
        <f aca="false">DATE(YEAR(E390),MONTH(E390),1)</f>
        <v>46204</v>
      </c>
      <c r="G390" s="23" t="n">
        <v>145884</v>
      </c>
      <c r="H390" s="8" t="s">
        <v>58</v>
      </c>
      <c r="I390" s="24" t="n">
        <v>331.37</v>
      </c>
      <c r="J390" s="25" t="n">
        <f aca="false">Summary!$B$4</f>
        <v>1</v>
      </c>
      <c r="K390" s="11" t="n">
        <f aca="false">I390*J390*IF(A390="SILVER",Summary!$B$5,Summary!$B$6)</f>
        <v>33137</v>
      </c>
      <c r="L390" s="26" t="n">
        <v>0.09</v>
      </c>
      <c r="M390" s="27" t="n">
        <f aca="false">IF(K390&gt;0,1,0)</f>
        <v>1</v>
      </c>
      <c r="N390" s="11" t="n">
        <f aca="false">SUMIFS(K$2:K390,A$2:A390,A390,B$2:B390,B390)</f>
        <v>6300908</v>
      </c>
      <c r="O390" s="11" t="n">
        <f aca="false">MAX(0,_xlfn.MAXIFS(N$2:N390,A$2:A390,A390,B$2:B390,B390))</f>
        <v>6300908</v>
      </c>
      <c r="P390" s="11" t="n">
        <f aca="false">N390-O390</f>
        <v>0</v>
      </c>
    </row>
    <row r="391" customFormat="false" ht="15" hidden="false" customHeight="false" outlineLevel="0" collapsed="false">
      <c r="A391" s="8" t="s">
        <v>39</v>
      </c>
      <c r="B391" s="8" t="s">
        <v>31</v>
      </c>
      <c r="C391" s="8" t="s">
        <v>56</v>
      </c>
      <c r="D391" s="21" t="n">
        <v>46226.7916666667</v>
      </c>
      <c r="E391" s="21" t="n">
        <v>46227.5916666667</v>
      </c>
      <c r="F391" s="22" t="n">
        <f aca="false">DATE(YEAR(E391),MONTH(E391),1)</f>
        <v>46204</v>
      </c>
      <c r="G391" s="23" t="n">
        <v>145918</v>
      </c>
      <c r="H391" s="8" t="s">
        <v>58</v>
      </c>
      <c r="I391" s="24" t="n">
        <v>220.67</v>
      </c>
      <c r="J391" s="25" t="n">
        <f aca="false">Summary!$B$4</f>
        <v>1</v>
      </c>
      <c r="K391" s="11" t="n">
        <f aca="false">I391*J391*IF(A391="SILVER",Summary!$B$5,Summary!$B$6)</f>
        <v>22067</v>
      </c>
      <c r="L391" s="26" t="n">
        <v>0.085</v>
      </c>
      <c r="M391" s="27" t="n">
        <f aca="false">IF(K391&gt;0,1,0)</f>
        <v>1</v>
      </c>
      <c r="N391" s="11" t="n">
        <f aca="false">SUMIFS(K$2:K391,A$2:A391,A391,B$2:B391,B391)</f>
        <v>6322975</v>
      </c>
      <c r="O391" s="11" t="n">
        <f aca="false">MAX(0,_xlfn.MAXIFS(N$2:N391,A$2:A391,A391,B$2:B391,B391))</f>
        <v>6322975</v>
      </c>
      <c r="P391" s="11" t="n">
        <f aca="false">N391-O391</f>
        <v>0</v>
      </c>
    </row>
    <row r="392" customFormat="false" ht="15" hidden="false" customHeight="false" outlineLevel="0" collapsed="false">
      <c r="A392" s="8" t="s">
        <v>39</v>
      </c>
      <c r="B392" s="8" t="s">
        <v>31</v>
      </c>
      <c r="C392" s="8" t="s">
        <v>54</v>
      </c>
      <c r="D392" s="21" t="n">
        <v>46268.7916666667</v>
      </c>
      <c r="E392" s="21" t="n">
        <v>46279.75</v>
      </c>
      <c r="F392" s="22" t="n">
        <f aca="false">DATE(YEAR(E392),MONTH(E392),1)</f>
        <v>46266</v>
      </c>
      <c r="G392" s="23" t="n">
        <v>155434</v>
      </c>
      <c r="H392" s="8" t="s">
        <v>55</v>
      </c>
      <c r="I392" s="24" t="n">
        <v>-4899.6</v>
      </c>
      <c r="J392" s="25" t="n">
        <f aca="false">Summary!$B$4</f>
        <v>1</v>
      </c>
      <c r="K392" s="11" t="n">
        <f aca="false">I392*J392*IF(A392="SILVER",Summary!$B$5,Summary!$B$6)</f>
        <v>-489960</v>
      </c>
      <c r="L392" s="26" t="n">
        <v>-1.073</v>
      </c>
      <c r="M392" s="27" t="n">
        <f aca="false">IF(K392&gt;0,1,0)</f>
        <v>0</v>
      </c>
      <c r="N392" s="11" t="n">
        <f aca="false">SUMIFS(K$2:K392,A$2:A392,A392,B$2:B392,B392)</f>
        <v>5833015</v>
      </c>
      <c r="O392" s="11" t="n">
        <f aca="false">MAX(0,_xlfn.MAXIFS(N$2:N392,A$2:A392,A392,B$2:B392,B392))</f>
        <v>6322975</v>
      </c>
      <c r="P392" s="11" t="n">
        <f aca="false">N392-O392</f>
        <v>-489960</v>
      </c>
    </row>
    <row r="393" customFormat="false" ht="15" hidden="false" customHeight="false" outlineLevel="0" collapsed="false">
      <c r="A393" s="8" t="s">
        <v>39</v>
      </c>
      <c r="B393" s="8" t="s">
        <v>31</v>
      </c>
      <c r="C393" s="8" t="s">
        <v>54</v>
      </c>
      <c r="D393" s="21" t="n">
        <v>46283.5</v>
      </c>
      <c r="E393" s="21" t="n">
        <v>46288.9784722222</v>
      </c>
      <c r="F393" s="22" t="n">
        <f aca="false">DATE(YEAR(E393),MONTH(E393),1)</f>
        <v>46266</v>
      </c>
      <c r="G393" s="23" t="n">
        <v>154040</v>
      </c>
      <c r="H393" s="8" t="s">
        <v>57</v>
      </c>
      <c r="I393" s="24" t="n">
        <v>-2720.54</v>
      </c>
      <c r="J393" s="25" t="n">
        <f aca="false">Summary!$B$4</f>
        <v>1</v>
      </c>
      <c r="K393" s="11" t="n">
        <f aca="false">I393*J393*IF(A393="SILVER",Summary!$B$5,Summary!$B$6)</f>
        <v>-272054</v>
      </c>
      <c r="L393" s="26" t="n">
        <v>-0.667</v>
      </c>
      <c r="M393" s="27" t="n">
        <f aca="false">IF(K393&gt;0,1,0)</f>
        <v>0</v>
      </c>
      <c r="N393" s="11" t="n">
        <f aca="false">SUMIFS(K$2:K393,A$2:A393,A393,B$2:B393,B393)</f>
        <v>5560961</v>
      </c>
      <c r="O393" s="11" t="n">
        <f aca="false">MAX(0,_xlfn.MAXIFS(N$2:N393,A$2:A393,A393,B$2:B393,B393))</f>
        <v>6322975</v>
      </c>
      <c r="P393" s="11" t="n">
        <f aca="false">N393-O393</f>
        <v>-762014</v>
      </c>
    </row>
    <row r="394" customFormat="false" ht="15" hidden="false" customHeight="false" outlineLevel="0" collapsed="false">
      <c r="A394" s="8" t="s">
        <v>39</v>
      </c>
      <c r="B394" s="8" t="s">
        <v>33</v>
      </c>
      <c r="C394" s="8" t="s">
        <v>54</v>
      </c>
      <c r="D394" s="21" t="n">
        <v>45707.625</v>
      </c>
      <c r="E394" s="21" t="n">
        <v>45713.9166666667</v>
      </c>
      <c r="F394" s="22" t="n">
        <f aca="false">DATE(YEAR(E394),MONTH(E394),1)</f>
        <v>45689</v>
      </c>
      <c r="G394" s="23" t="n">
        <v>107037</v>
      </c>
      <c r="H394" s="8" t="s">
        <v>55</v>
      </c>
      <c r="I394" s="24" t="n">
        <v>-1170.18</v>
      </c>
      <c r="J394" s="25" t="n">
        <f aca="false">Summary!$B$4</f>
        <v>1</v>
      </c>
      <c r="K394" s="11" t="n">
        <f aca="false">I394*J394*IF(A394="SILVER",Summary!$B$5,Summary!$B$6)</f>
        <v>-117018</v>
      </c>
      <c r="L394" s="26" t="n">
        <v>-1.003</v>
      </c>
      <c r="M394" s="27" t="n">
        <f aca="false">IF(K394&gt;0,1,0)</f>
        <v>0</v>
      </c>
      <c r="N394" s="11" t="n">
        <f aca="false">SUMIFS(K$2:K394,A$2:A394,A394,B$2:B394,B394)</f>
        <v>-117018</v>
      </c>
      <c r="O394" s="11" t="n">
        <f aca="false">MAX(0,_xlfn.MAXIFS(N$2:N394,A$2:A394,A394,B$2:B394,B394))</f>
        <v>0</v>
      </c>
      <c r="P394" s="11" t="n">
        <f aca="false">N394-O394</f>
        <v>-117018</v>
      </c>
    </row>
    <row r="395" customFormat="false" ht="15" hidden="false" customHeight="false" outlineLevel="0" collapsed="false">
      <c r="A395" s="8" t="s">
        <v>39</v>
      </c>
      <c r="B395" s="8" t="s">
        <v>33</v>
      </c>
      <c r="C395" s="8" t="s">
        <v>54</v>
      </c>
      <c r="D395" s="21" t="n">
        <v>45720.5833333333</v>
      </c>
      <c r="E395" s="21" t="n">
        <v>45737.8333333333</v>
      </c>
      <c r="F395" s="22" t="n">
        <f aca="false">DATE(YEAR(E395),MONTH(E395),1)</f>
        <v>45717</v>
      </c>
      <c r="G395" s="23" t="n">
        <v>106664</v>
      </c>
      <c r="H395" s="8" t="s">
        <v>55</v>
      </c>
      <c r="I395" s="24" t="n">
        <v>1389.64</v>
      </c>
      <c r="J395" s="25" t="n">
        <f aca="false">Summary!$B$4</f>
        <v>1</v>
      </c>
      <c r="K395" s="11" t="n">
        <f aca="false">I395*J395*IF(A395="SILVER",Summary!$B$5,Summary!$B$6)</f>
        <v>138964</v>
      </c>
      <c r="L395" s="26" t="n">
        <v>0.867</v>
      </c>
      <c r="M395" s="27" t="n">
        <f aca="false">IF(K395&gt;0,1,0)</f>
        <v>1</v>
      </c>
      <c r="N395" s="11" t="n">
        <f aca="false">SUMIFS(K$2:K395,A$2:A395,A395,B$2:B395,B395)</f>
        <v>21946</v>
      </c>
      <c r="O395" s="11" t="n">
        <f aca="false">MAX(0,_xlfn.MAXIFS(N$2:N395,A$2:A395,A395,B$2:B395,B395))</f>
        <v>21946</v>
      </c>
      <c r="P395" s="11" t="n">
        <f aca="false">N395-O395</f>
        <v>0</v>
      </c>
    </row>
    <row r="396" customFormat="false" ht="15" hidden="false" customHeight="false" outlineLevel="0" collapsed="false">
      <c r="A396" s="8" t="s">
        <v>39</v>
      </c>
      <c r="B396" s="8" t="s">
        <v>33</v>
      </c>
      <c r="C396" s="8" t="s">
        <v>54</v>
      </c>
      <c r="D396" s="21" t="n">
        <v>45783.4583333333</v>
      </c>
      <c r="E396" s="21" t="n">
        <v>45785.4784722222</v>
      </c>
      <c r="F396" s="22" t="n">
        <f aca="false">DATE(YEAR(E396),MONTH(E396),1)</f>
        <v>45778</v>
      </c>
      <c r="G396" s="23" t="n">
        <v>117143</v>
      </c>
      <c r="H396" s="8" t="s">
        <v>58</v>
      </c>
      <c r="I396" s="24" t="n">
        <v>207.41</v>
      </c>
      <c r="J396" s="25" t="n">
        <f aca="false">Summary!$B$4</f>
        <v>1</v>
      </c>
      <c r="K396" s="11" t="n">
        <f aca="false">I396*J396*IF(A396="SILVER",Summary!$B$5,Summary!$B$6)</f>
        <v>20741</v>
      </c>
      <c r="L396" s="26" t="n">
        <v>0.088</v>
      </c>
      <c r="M396" s="27" t="n">
        <f aca="false">IF(K396&gt;0,1,0)</f>
        <v>1</v>
      </c>
      <c r="N396" s="11" t="n">
        <f aca="false">SUMIFS(K$2:K396,A$2:A396,A396,B$2:B396,B396)</f>
        <v>42687</v>
      </c>
      <c r="O396" s="11" t="n">
        <f aca="false">MAX(0,_xlfn.MAXIFS(N$2:N396,A$2:A396,A396,B$2:B396,B396))</f>
        <v>42687</v>
      </c>
      <c r="P396" s="11" t="n">
        <f aca="false">N396-O396</f>
        <v>0</v>
      </c>
    </row>
    <row r="397" customFormat="false" ht="15" hidden="false" customHeight="false" outlineLevel="0" collapsed="false">
      <c r="A397" s="8" t="s">
        <v>39</v>
      </c>
      <c r="B397" s="8" t="s">
        <v>33</v>
      </c>
      <c r="C397" s="8" t="s">
        <v>54</v>
      </c>
      <c r="D397" s="21" t="n">
        <v>45796.625</v>
      </c>
      <c r="E397" s="21" t="n">
        <v>45806.4173611111</v>
      </c>
      <c r="F397" s="22" t="n">
        <f aca="false">DATE(YEAR(E397),MONTH(E397),1)</f>
        <v>45778</v>
      </c>
      <c r="G397" s="23" t="n">
        <v>114770</v>
      </c>
      <c r="H397" s="8" t="s">
        <v>55</v>
      </c>
      <c r="I397" s="24" t="n">
        <v>1013.18</v>
      </c>
      <c r="J397" s="25" t="n">
        <f aca="false">Summary!$B$4</f>
        <v>1</v>
      </c>
      <c r="K397" s="11" t="n">
        <f aca="false">I397*J397*IF(A397="SILVER",Summary!$B$5,Summary!$B$6)</f>
        <v>101318</v>
      </c>
      <c r="L397" s="26" t="n">
        <v>0.423</v>
      </c>
      <c r="M397" s="27" t="n">
        <f aca="false">IF(K397&gt;0,1,0)</f>
        <v>1</v>
      </c>
      <c r="N397" s="11" t="n">
        <f aca="false">SUMIFS(K$2:K397,A$2:A397,A397,B$2:B397,B397)</f>
        <v>144005</v>
      </c>
      <c r="O397" s="11" t="n">
        <f aca="false">MAX(0,_xlfn.MAXIFS(N$2:N397,A$2:A397,A397,B$2:B397,B397))</f>
        <v>144005</v>
      </c>
      <c r="P397" s="11" t="n">
        <f aca="false">N397-O397</f>
        <v>0</v>
      </c>
    </row>
    <row r="398" customFormat="false" ht="15" hidden="false" customHeight="false" outlineLevel="0" collapsed="false">
      <c r="A398" s="8" t="s">
        <v>39</v>
      </c>
      <c r="B398" s="8" t="s">
        <v>33</v>
      </c>
      <c r="C398" s="8" t="s">
        <v>54</v>
      </c>
      <c r="D398" s="21" t="n">
        <v>45820.7083333333</v>
      </c>
      <c r="E398" s="21" t="n">
        <v>45828.5090277778</v>
      </c>
      <c r="F398" s="22" t="n">
        <f aca="false">DATE(YEAR(E398),MONTH(E398),1)</f>
        <v>45809</v>
      </c>
      <c r="G398" s="23" t="n">
        <v>118168</v>
      </c>
      <c r="H398" s="8" t="s">
        <v>58</v>
      </c>
      <c r="I398" s="24" t="n">
        <v>157.54</v>
      </c>
      <c r="J398" s="25" t="n">
        <f aca="false">Summary!$B$4</f>
        <v>1</v>
      </c>
      <c r="K398" s="11" t="n">
        <f aca="false">I398*J398*IF(A398="SILVER",Summary!$B$5,Summary!$B$6)</f>
        <v>15754</v>
      </c>
      <c r="L398" s="26" t="n">
        <v>0.084</v>
      </c>
      <c r="M398" s="27" t="n">
        <f aca="false">IF(K398&gt;0,1,0)</f>
        <v>1</v>
      </c>
      <c r="N398" s="11" t="n">
        <f aca="false">SUMIFS(K$2:K398,A$2:A398,A398,B$2:B398,B398)</f>
        <v>159759</v>
      </c>
      <c r="O398" s="11" t="n">
        <f aca="false">MAX(0,_xlfn.MAXIFS(N$2:N398,A$2:A398,A398,B$2:B398,B398))</f>
        <v>159759</v>
      </c>
      <c r="P398" s="11" t="n">
        <f aca="false">N398-O398</f>
        <v>0</v>
      </c>
    </row>
    <row r="399" customFormat="false" ht="15" hidden="false" customHeight="false" outlineLevel="0" collapsed="false">
      <c r="A399" s="8" t="s">
        <v>39</v>
      </c>
      <c r="B399" s="8" t="s">
        <v>33</v>
      </c>
      <c r="C399" s="8" t="s">
        <v>54</v>
      </c>
      <c r="D399" s="21" t="n">
        <v>45849.4583333333</v>
      </c>
      <c r="E399" s="21" t="n">
        <v>45852.8402777778</v>
      </c>
      <c r="F399" s="22" t="n">
        <f aca="false">DATE(YEAR(E399),MONTH(E399),1)</f>
        <v>45839</v>
      </c>
      <c r="G399" s="23" t="n">
        <v>117411</v>
      </c>
      <c r="H399" s="8" t="s">
        <v>58</v>
      </c>
      <c r="I399" s="24" t="n">
        <v>118.06</v>
      </c>
      <c r="J399" s="25" t="n">
        <f aca="false">Summary!$B$4</f>
        <v>1</v>
      </c>
      <c r="K399" s="11" t="n">
        <f aca="false">I399*J399*IF(A399="SILVER",Summary!$B$5,Summary!$B$6)</f>
        <v>11806</v>
      </c>
      <c r="L399" s="26" t="n">
        <v>0.08</v>
      </c>
      <c r="M399" s="27" t="n">
        <f aca="false">IF(K399&gt;0,1,0)</f>
        <v>1</v>
      </c>
      <c r="N399" s="11" t="n">
        <f aca="false">SUMIFS(K$2:K399,A$2:A399,A399,B$2:B399,B399)</f>
        <v>171565</v>
      </c>
      <c r="O399" s="11" t="n">
        <f aca="false">MAX(0,_xlfn.MAXIFS(N$2:N399,A$2:A399,A399,B$2:B399,B399))</f>
        <v>171565</v>
      </c>
      <c r="P399" s="11" t="n">
        <f aca="false">N399-O399</f>
        <v>0</v>
      </c>
    </row>
    <row r="400" customFormat="false" ht="15" hidden="false" customHeight="false" outlineLevel="0" collapsed="false">
      <c r="A400" s="8" t="s">
        <v>39</v>
      </c>
      <c r="B400" s="8" t="s">
        <v>33</v>
      </c>
      <c r="C400" s="8" t="s">
        <v>54</v>
      </c>
      <c r="D400" s="21" t="n">
        <v>45859.5</v>
      </c>
      <c r="E400" s="21" t="n">
        <v>45862.4166666667</v>
      </c>
      <c r="F400" s="22" t="n">
        <f aca="false">DATE(YEAR(E400),MONTH(E400),1)</f>
        <v>45839</v>
      </c>
      <c r="G400" s="23" t="n">
        <v>118432</v>
      </c>
      <c r="H400" s="8" t="s">
        <v>55</v>
      </c>
      <c r="I400" s="24" t="n">
        <v>466.25</v>
      </c>
      <c r="J400" s="25" t="n">
        <f aca="false">Summary!$B$4</f>
        <v>1</v>
      </c>
      <c r="K400" s="11" t="n">
        <f aca="false">I400*J400*IF(A400="SILVER",Summary!$B$5,Summary!$B$6)</f>
        <v>46625</v>
      </c>
      <c r="L400" s="26" t="n">
        <v>0.403</v>
      </c>
      <c r="M400" s="27" t="n">
        <f aca="false">IF(K400&gt;0,1,0)</f>
        <v>1</v>
      </c>
      <c r="N400" s="11" t="n">
        <f aca="false">SUMIFS(K$2:K400,A$2:A400,A400,B$2:B400,B400)</f>
        <v>218190</v>
      </c>
      <c r="O400" s="11" t="n">
        <f aca="false">MAX(0,_xlfn.MAXIFS(N$2:N400,A$2:A400,A400,B$2:B400,B400))</f>
        <v>218190</v>
      </c>
      <c r="P400" s="11" t="n">
        <f aca="false">N400-O400</f>
        <v>0</v>
      </c>
    </row>
    <row r="401" customFormat="false" ht="15" hidden="false" customHeight="false" outlineLevel="0" collapsed="false">
      <c r="A401" s="8" t="s">
        <v>39</v>
      </c>
      <c r="B401" s="8" t="s">
        <v>33</v>
      </c>
      <c r="C401" s="8" t="s">
        <v>54</v>
      </c>
      <c r="D401" s="21" t="n">
        <v>45868.625</v>
      </c>
      <c r="E401" s="21" t="n">
        <v>45880.75</v>
      </c>
      <c r="F401" s="22" t="n">
        <f aca="false">DATE(YEAR(E401),MONTH(E401),1)</f>
        <v>45870</v>
      </c>
      <c r="G401" s="23" t="n">
        <v>118663</v>
      </c>
      <c r="H401" s="8" t="s">
        <v>55</v>
      </c>
      <c r="I401" s="24" t="n">
        <v>1479.09</v>
      </c>
      <c r="J401" s="25" t="n">
        <f aca="false">Summary!$B$4</f>
        <v>1</v>
      </c>
      <c r="K401" s="11" t="n">
        <f aca="false">I401*J401*IF(A401="SILVER",Summary!$B$5,Summary!$B$6)</f>
        <v>147909</v>
      </c>
      <c r="L401" s="26" t="n">
        <v>1.108</v>
      </c>
      <c r="M401" s="27" t="n">
        <f aca="false">IF(K401&gt;0,1,0)</f>
        <v>1</v>
      </c>
      <c r="N401" s="11" t="n">
        <f aca="false">SUMIFS(K$2:K401,A$2:A401,A401,B$2:B401,B401)</f>
        <v>366099</v>
      </c>
      <c r="O401" s="11" t="n">
        <f aca="false">MAX(0,_xlfn.MAXIFS(N$2:N401,A$2:A401,A401,B$2:B401,B401))</f>
        <v>366099</v>
      </c>
      <c r="P401" s="11" t="n">
        <f aca="false">N401-O401</f>
        <v>0</v>
      </c>
    </row>
    <row r="402" customFormat="false" ht="15" hidden="false" customHeight="false" outlineLevel="0" collapsed="false">
      <c r="A402" s="8" t="s">
        <v>39</v>
      </c>
      <c r="B402" s="8" t="s">
        <v>33</v>
      </c>
      <c r="C402" s="8" t="s">
        <v>54</v>
      </c>
      <c r="D402" s="21" t="n">
        <v>45891.875</v>
      </c>
      <c r="E402" s="21" t="n">
        <v>45918.5</v>
      </c>
      <c r="F402" s="22" t="n">
        <f aca="false">DATE(YEAR(E402),MONTH(E402),1)</f>
        <v>45901</v>
      </c>
      <c r="G402" s="23" t="n">
        <v>120164</v>
      </c>
      <c r="H402" s="8" t="s">
        <v>55</v>
      </c>
      <c r="I402" s="24" t="n">
        <v>8384.08</v>
      </c>
      <c r="J402" s="25" t="n">
        <f aca="false">Summary!$B$4</f>
        <v>1</v>
      </c>
      <c r="K402" s="11" t="n">
        <f aca="false">I402*J402*IF(A402="SILVER",Summary!$B$5,Summary!$B$6)</f>
        <v>838408</v>
      </c>
      <c r="L402" s="26" t="n">
        <v>5.983</v>
      </c>
      <c r="M402" s="27" t="n">
        <f aca="false">IF(K402&gt;0,1,0)</f>
        <v>1</v>
      </c>
      <c r="N402" s="11" t="n">
        <f aca="false">SUMIFS(K$2:K402,A$2:A402,A402,B$2:B402,B402)</f>
        <v>1204507</v>
      </c>
      <c r="O402" s="11" t="n">
        <f aca="false">MAX(0,_xlfn.MAXIFS(N$2:N402,A$2:A402,A402,B$2:B402,B402))</f>
        <v>1204507</v>
      </c>
      <c r="P402" s="11" t="n">
        <f aca="false">N402-O402</f>
        <v>0</v>
      </c>
    </row>
    <row r="403" customFormat="false" ht="15" hidden="false" customHeight="false" outlineLevel="0" collapsed="false">
      <c r="A403" s="8" t="s">
        <v>39</v>
      </c>
      <c r="B403" s="8" t="s">
        <v>33</v>
      </c>
      <c r="C403" s="8" t="s">
        <v>54</v>
      </c>
      <c r="D403" s="21" t="n">
        <v>45922.5</v>
      </c>
      <c r="E403" s="21" t="n">
        <v>45939.9583333333</v>
      </c>
      <c r="F403" s="22" t="n">
        <f aca="false">DATE(YEAR(E403),MONTH(E403),1)</f>
        <v>45931</v>
      </c>
      <c r="G403" s="23" t="n">
        <v>130596</v>
      </c>
      <c r="H403" s="8" t="s">
        <v>55</v>
      </c>
      <c r="I403" s="24" t="n">
        <v>8277.72</v>
      </c>
      <c r="J403" s="25" t="n">
        <f aca="false">Summary!$B$4</f>
        <v>1</v>
      </c>
      <c r="K403" s="11" t="n">
        <f aca="false">I403*J403*IF(A403="SILVER",Summary!$B$5,Summary!$B$6)</f>
        <v>827772</v>
      </c>
      <c r="L403" s="26" t="n">
        <v>4.689</v>
      </c>
      <c r="M403" s="27" t="n">
        <f aca="false">IF(K403&gt;0,1,0)</f>
        <v>1</v>
      </c>
      <c r="N403" s="11" t="n">
        <f aca="false">SUMIFS(K$2:K403,A$2:A403,A403,B$2:B403,B403)</f>
        <v>2032279</v>
      </c>
      <c r="O403" s="11" t="n">
        <f aca="false">MAX(0,_xlfn.MAXIFS(N$2:N403,A$2:A403,A403,B$2:B403,B403))</f>
        <v>2032279</v>
      </c>
      <c r="P403" s="11" t="n">
        <f aca="false">N403-O403</f>
        <v>0</v>
      </c>
    </row>
    <row r="404" customFormat="false" ht="15" hidden="false" customHeight="false" outlineLevel="0" collapsed="false">
      <c r="A404" s="8" t="s">
        <v>39</v>
      </c>
      <c r="B404" s="8" t="s">
        <v>33</v>
      </c>
      <c r="C404" s="8" t="s">
        <v>54</v>
      </c>
      <c r="D404" s="21" t="n">
        <v>45971.5416666667</v>
      </c>
      <c r="E404" s="21" t="n">
        <v>45975.75</v>
      </c>
      <c r="F404" s="22" t="n">
        <f aca="false">DATE(YEAR(E404),MONTH(E404),1)</f>
        <v>45962</v>
      </c>
      <c r="G404" s="23" t="n">
        <v>141355</v>
      </c>
      <c r="H404" s="8" t="s">
        <v>55</v>
      </c>
      <c r="I404" s="24" t="n">
        <v>1033.28</v>
      </c>
      <c r="J404" s="25" t="n">
        <f aca="false">Summary!$B$4</f>
        <v>1</v>
      </c>
      <c r="K404" s="11" t="n">
        <f aca="false">I404*J404*IF(A404="SILVER",Summary!$B$5,Summary!$B$6)</f>
        <v>103328</v>
      </c>
      <c r="L404" s="26" t="n">
        <v>0.394</v>
      </c>
      <c r="M404" s="27" t="n">
        <f aca="false">IF(K404&gt;0,1,0)</f>
        <v>1</v>
      </c>
      <c r="N404" s="11" t="n">
        <f aca="false">SUMIFS(K$2:K404,A$2:A404,A404,B$2:B404,B404)</f>
        <v>2135607</v>
      </c>
      <c r="O404" s="11" t="n">
        <f aca="false">MAX(0,_xlfn.MAXIFS(N$2:N404,A$2:A404,A404,B$2:B404,B404))</f>
        <v>2135607</v>
      </c>
      <c r="P404" s="11" t="n">
        <f aca="false">N404-O404</f>
        <v>0</v>
      </c>
    </row>
    <row r="405" customFormat="false" ht="15" hidden="false" customHeight="false" outlineLevel="0" collapsed="false">
      <c r="A405" s="8" t="s">
        <v>39</v>
      </c>
      <c r="B405" s="8" t="s">
        <v>33</v>
      </c>
      <c r="C405" s="8" t="s">
        <v>54</v>
      </c>
      <c r="D405" s="21" t="n">
        <v>46028.4583333333</v>
      </c>
      <c r="E405" s="21" t="n">
        <v>46044.4166666667</v>
      </c>
      <c r="F405" s="22" t="n">
        <f aca="false">DATE(YEAR(E405),MONTH(E405),1)</f>
        <v>46023</v>
      </c>
      <c r="G405" s="23" t="n">
        <v>155576</v>
      </c>
      <c r="H405" s="8" t="s">
        <v>55</v>
      </c>
      <c r="I405" s="24" t="n">
        <v>10973.17</v>
      </c>
      <c r="J405" s="25" t="n">
        <f aca="false">Summary!$B$4</f>
        <v>1</v>
      </c>
      <c r="K405" s="11" t="n">
        <f aca="false">I405*J405*IF(A405="SILVER",Summary!$B$5,Summary!$B$6)</f>
        <v>1097317</v>
      </c>
      <c r="L405" s="26" t="n">
        <v>3.612</v>
      </c>
      <c r="M405" s="27" t="n">
        <f aca="false">IF(K405&gt;0,1,0)</f>
        <v>1</v>
      </c>
      <c r="N405" s="11" t="n">
        <f aca="false">SUMIFS(K$2:K405,A$2:A405,A405,B$2:B405,B405)</f>
        <v>3232924</v>
      </c>
      <c r="O405" s="11" t="n">
        <f aca="false">MAX(0,_xlfn.MAXIFS(N$2:N405,A$2:A405,A405,B$2:B405,B405))</f>
        <v>3232924</v>
      </c>
      <c r="P405" s="11" t="n">
        <f aca="false">N405-O405</f>
        <v>0</v>
      </c>
    </row>
    <row r="406" customFormat="false" ht="15" hidden="false" customHeight="false" outlineLevel="0" collapsed="false">
      <c r="A406" s="8" t="s">
        <v>39</v>
      </c>
      <c r="B406" s="8" t="s">
        <v>33</v>
      </c>
      <c r="C406" s="8" t="s">
        <v>56</v>
      </c>
      <c r="D406" s="21" t="n">
        <v>46084.7916666667</v>
      </c>
      <c r="E406" s="21" t="n">
        <v>46085.375</v>
      </c>
      <c r="F406" s="22" t="n">
        <f aca="false">DATE(YEAR(E406),MONTH(E406),1)</f>
        <v>46082</v>
      </c>
      <c r="G406" s="23" t="n">
        <v>171063</v>
      </c>
      <c r="H406" s="8" t="s">
        <v>58</v>
      </c>
      <c r="I406" s="24" t="n">
        <v>254.3</v>
      </c>
      <c r="J406" s="25" t="n">
        <f aca="false">Summary!$B$4</f>
        <v>1</v>
      </c>
      <c r="K406" s="11" t="n">
        <f aca="false">I406*J406*IF(A406="SILVER",Summary!$B$5,Summary!$B$6)</f>
        <v>25430</v>
      </c>
      <c r="L406" s="26" t="n">
        <v>0.039</v>
      </c>
      <c r="M406" s="27" t="n">
        <f aca="false">IF(K406&gt;0,1,0)</f>
        <v>1</v>
      </c>
      <c r="N406" s="11" t="n">
        <f aca="false">SUMIFS(K$2:K406,A$2:A406,A406,B$2:B406,B406)</f>
        <v>3258354</v>
      </c>
      <c r="O406" s="11" t="n">
        <f aca="false">MAX(0,_xlfn.MAXIFS(N$2:N406,A$2:A406,A406,B$2:B406,B406))</f>
        <v>3258354</v>
      </c>
      <c r="P406" s="11" t="n">
        <f aca="false">N406-O406</f>
        <v>0</v>
      </c>
    </row>
    <row r="407" customFormat="false" ht="15" hidden="false" customHeight="false" outlineLevel="0" collapsed="false">
      <c r="A407" s="8" t="s">
        <v>39</v>
      </c>
      <c r="B407" s="8" t="s">
        <v>33</v>
      </c>
      <c r="C407" s="8" t="s">
        <v>56</v>
      </c>
      <c r="D407" s="21" t="n">
        <v>46162.4583333333</v>
      </c>
      <c r="E407" s="21" t="n">
        <v>46188.4166666667</v>
      </c>
      <c r="F407" s="22" t="n">
        <f aca="false">DATE(YEAR(E407),MONTH(E407),1)</f>
        <v>46174</v>
      </c>
      <c r="G407" s="23" t="n">
        <v>162620</v>
      </c>
      <c r="H407" s="8" t="s">
        <v>55</v>
      </c>
      <c r="I407" s="24" t="n">
        <v>6733.23</v>
      </c>
      <c r="J407" s="25" t="n">
        <f aca="false">Summary!$B$4</f>
        <v>1</v>
      </c>
      <c r="K407" s="11" t="n">
        <f aca="false">I407*J407*IF(A407="SILVER",Summary!$B$5,Summary!$B$6)</f>
        <v>673323</v>
      </c>
      <c r="L407" s="26" t="n">
        <v>1.908</v>
      </c>
      <c r="M407" s="27" t="n">
        <f aca="false">IF(K407&gt;0,1,0)</f>
        <v>1</v>
      </c>
      <c r="N407" s="11" t="n">
        <f aca="false">SUMIFS(K$2:K407,A$2:A407,A407,B$2:B407,B407)</f>
        <v>3931677</v>
      </c>
      <c r="O407" s="11" t="n">
        <f aca="false">MAX(0,_xlfn.MAXIFS(N$2:N407,A$2:A407,A407,B$2:B407,B407))</f>
        <v>3931677</v>
      </c>
      <c r="P407" s="11" t="n">
        <f aca="false">N407-O407</f>
        <v>0</v>
      </c>
    </row>
    <row r="408" customFormat="false" ht="15" hidden="false" customHeight="false" outlineLevel="0" collapsed="false">
      <c r="A408" s="8" t="s">
        <v>39</v>
      </c>
      <c r="B408" s="8" t="s">
        <v>33</v>
      </c>
      <c r="C408" s="8" t="s">
        <v>56</v>
      </c>
      <c r="D408" s="21" t="n">
        <v>46191.625</v>
      </c>
      <c r="E408" s="21" t="n">
        <v>46204.8333333333</v>
      </c>
      <c r="F408" s="22" t="n">
        <f aca="false">DATE(YEAR(E408),MONTH(E408),1)</f>
        <v>46204</v>
      </c>
      <c r="G408" s="23" t="n">
        <v>153156</v>
      </c>
      <c r="H408" s="8" t="s">
        <v>55</v>
      </c>
      <c r="I408" s="24" t="n">
        <v>5449.44</v>
      </c>
      <c r="J408" s="25" t="n">
        <f aca="false">Summary!$B$4</f>
        <v>1</v>
      </c>
      <c r="K408" s="11" t="n">
        <f aca="false">I408*J408*IF(A408="SILVER",Summary!$B$5,Summary!$B$6)</f>
        <v>544944</v>
      </c>
      <c r="L408" s="26" t="n">
        <v>1.516</v>
      </c>
      <c r="M408" s="27" t="n">
        <f aca="false">IF(K408&gt;0,1,0)</f>
        <v>1</v>
      </c>
      <c r="N408" s="11" t="n">
        <f aca="false">SUMIFS(K$2:K408,A$2:A408,A408,B$2:B408,B408)</f>
        <v>4476621</v>
      </c>
      <c r="O408" s="11" t="n">
        <f aca="false">MAX(0,_xlfn.MAXIFS(N$2:N408,A$2:A408,A408,B$2:B408,B408))</f>
        <v>4476621</v>
      </c>
      <c r="P408" s="11" t="n">
        <f aca="false">N408-O408</f>
        <v>0</v>
      </c>
    </row>
    <row r="409" customFormat="false" ht="15" hidden="false" customHeight="false" outlineLevel="0" collapsed="false">
      <c r="A409" s="8" t="s">
        <v>39</v>
      </c>
      <c r="B409" s="8" t="s">
        <v>33</v>
      </c>
      <c r="C409" s="8" t="s">
        <v>56</v>
      </c>
      <c r="D409" s="21" t="n">
        <v>46211.6673611111</v>
      </c>
      <c r="E409" s="21" t="n">
        <v>46217.7506944445</v>
      </c>
      <c r="F409" s="22" t="n">
        <f aca="false">DATE(YEAR(E409),MONTH(E409),1)</f>
        <v>46204</v>
      </c>
      <c r="G409" s="23" t="n">
        <v>145784</v>
      </c>
      <c r="H409" s="8" t="s">
        <v>58</v>
      </c>
      <c r="I409" s="24" t="n">
        <v>292.37</v>
      </c>
      <c r="J409" s="25" t="n">
        <f aca="false">Summary!$B$4</f>
        <v>1</v>
      </c>
      <c r="K409" s="11" t="n">
        <f aca="false">I409*J409*IF(A409="SILVER",Summary!$B$5,Summary!$B$6)</f>
        <v>29237</v>
      </c>
      <c r="L409" s="26" t="n">
        <v>0.088</v>
      </c>
      <c r="M409" s="27" t="n">
        <f aca="false">IF(K409&gt;0,1,0)</f>
        <v>1</v>
      </c>
      <c r="N409" s="11" t="n">
        <f aca="false">SUMIFS(K$2:K409,A$2:A409,A409,B$2:B409,B409)</f>
        <v>4505858</v>
      </c>
      <c r="O409" s="11" t="n">
        <f aca="false">MAX(0,_xlfn.MAXIFS(N$2:N409,A$2:A409,A409,B$2:B409,B409))</f>
        <v>4505858</v>
      </c>
      <c r="P409" s="11" t="n">
        <f aca="false">N409-O409</f>
        <v>0</v>
      </c>
    </row>
    <row r="410" customFormat="false" ht="15" hidden="false" customHeight="false" outlineLevel="0" collapsed="false">
      <c r="A410" s="8" t="s">
        <v>39</v>
      </c>
      <c r="B410" s="8" t="s">
        <v>33</v>
      </c>
      <c r="C410" s="8" t="s">
        <v>56</v>
      </c>
      <c r="D410" s="21" t="n">
        <v>46226.8333333333</v>
      </c>
      <c r="E410" s="21" t="n">
        <v>46233.6645833333</v>
      </c>
      <c r="F410" s="22" t="n">
        <f aca="false">DATE(YEAR(E410),MONTH(E410),1)</f>
        <v>46204</v>
      </c>
      <c r="G410" s="23" t="n">
        <v>145671</v>
      </c>
      <c r="H410" s="8" t="s">
        <v>58</v>
      </c>
      <c r="I410" s="24" t="n">
        <v>237.7</v>
      </c>
      <c r="J410" s="25" t="n">
        <f aca="false">Summary!$B$4</f>
        <v>1</v>
      </c>
      <c r="K410" s="11" t="n">
        <f aca="false">I410*J410*IF(A410="SILVER",Summary!$B$5,Summary!$B$6)</f>
        <v>23770</v>
      </c>
      <c r="L410" s="26" t="n">
        <v>0.086</v>
      </c>
      <c r="M410" s="27" t="n">
        <f aca="false">IF(K410&gt;0,1,0)</f>
        <v>1</v>
      </c>
      <c r="N410" s="11" t="n">
        <f aca="false">SUMIFS(K$2:K410,A$2:A410,A410,B$2:B410,B410)</f>
        <v>4529628</v>
      </c>
      <c r="O410" s="11" t="n">
        <f aca="false">MAX(0,_xlfn.MAXIFS(N$2:N410,A$2:A410,A410,B$2:B410,B410))</f>
        <v>4529628</v>
      </c>
      <c r="P410" s="11" t="n">
        <f aca="false">N410-O410</f>
        <v>0</v>
      </c>
    </row>
    <row r="411" customFormat="false" ht="15" hidden="false" customHeight="false" outlineLevel="0" collapsed="false">
      <c r="A411" s="8" t="s">
        <v>39</v>
      </c>
      <c r="B411" s="8" t="s">
        <v>33</v>
      </c>
      <c r="C411" s="8" t="s">
        <v>54</v>
      </c>
      <c r="D411" s="21" t="n">
        <v>46283.5416666667</v>
      </c>
      <c r="E411" s="21" t="n">
        <v>46288.9784722222</v>
      </c>
      <c r="F411" s="22" t="n">
        <f aca="false">DATE(YEAR(E411),MONTH(E411),1)</f>
        <v>46266</v>
      </c>
      <c r="G411" s="23" t="n">
        <v>154270</v>
      </c>
      <c r="H411" s="8" t="s">
        <v>57</v>
      </c>
      <c r="I411" s="24" t="n">
        <v>-2950.56</v>
      </c>
      <c r="J411" s="25" t="n">
        <f aca="false">Summary!$B$4</f>
        <v>1</v>
      </c>
      <c r="K411" s="11" t="n">
        <f aca="false">I411*J411*IF(A411="SILVER",Summary!$B$5,Summary!$B$6)</f>
        <v>-295056</v>
      </c>
      <c r="L411" s="26" t="n">
        <v>-0.791</v>
      </c>
      <c r="M411" s="27" t="n">
        <f aca="false">IF(K411&gt;0,1,0)</f>
        <v>0</v>
      </c>
      <c r="N411" s="11" t="n">
        <f aca="false">SUMIFS(K$2:K411,A$2:A411,A411,B$2:B411,B411)</f>
        <v>4234572</v>
      </c>
      <c r="O411" s="11" t="n">
        <f aca="false">MAX(0,_xlfn.MAXIFS(N$2:N411,A$2:A411,A411,B$2:B411,B411))</f>
        <v>4529628</v>
      </c>
      <c r="P411" s="11" t="n">
        <f aca="false">N411-O411</f>
        <v>-295056</v>
      </c>
    </row>
    <row r="412" customFormat="false" ht="15" hidden="false" customHeight="false" outlineLevel="0" collapsed="false">
      <c r="A412" s="8" t="s">
        <v>39</v>
      </c>
      <c r="B412" s="8" t="s">
        <v>35</v>
      </c>
      <c r="C412" s="8" t="s">
        <v>54</v>
      </c>
      <c r="D412" s="21" t="n">
        <v>45701.4166666667</v>
      </c>
      <c r="E412" s="21" t="n">
        <v>45702.875</v>
      </c>
      <c r="F412" s="22" t="n">
        <f aca="false">DATE(YEAR(E412),MONTH(E412),1)</f>
        <v>45689</v>
      </c>
      <c r="G412" s="23" t="n">
        <v>106410</v>
      </c>
      <c r="H412" s="8" t="s">
        <v>55</v>
      </c>
      <c r="I412" s="24" t="n">
        <v>-896.08</v>
      </c>
      <c r="J412" s="25" t="n">
        <f aca="false">Summary!$B$4</f>
        <v>1</v>
      </c>
      <c r="K412" s="11" t="n">
        <f aca="false">I412*J412*IF(A412="SILVER",Summary!$B$5,Summary!$B$6)</f>
        <v>-89608</v>
      </c>
      <c r="L412" s="26" t="n">
        <v>-0.786</v>
      </c>
      <c r="M412" s="27" t="n">
        <f aca="false">IF(K412&gt;0,1,0)</f>
        <v>0</v>
      </c>
      <c r="N412" s="11" t="n">
        <f aca="false">SUMIFS(K$2:K412,A$2:A412,A412,B$2:B412,B412)</f>
        <v>-89608</v>
      </c>
      <c r="O412" s="11" t="n">
        <f aca="false">MAX(0,_xlfn.MAXIFS(N$2:N412,A$2:A412,A412,B$2:B412,B412))</f>
        <v>0</v>
      </c>
      <c r="P412" s="11" t="n">
        <f aca="false">N412-O412</f>
        <v>-89608</v>
      </c>
    </row>
    <row r="413" customFormat="false" ht="15" hidden="false" customHeight="false" outlineLevel="0" collapsed="false">
      <c r="A413" s="8" t="s">
        <v>39</v>
      </c>
      <c r="B413" s="8" t="s">
        <v>35</v>
      </c>
      <c r="C413" s="8" t="s">
        <v>54</v>
      </c>
      <c r="D413" s="21" t="n">
        <v>45706.8333333333</v>
      </c>
      <c r="E413" s="21" t="n">
        <v>45707.9854166667</v>
      </c>
      <c r="F413" s="22" t="n">
        <f aca="false">DATE(YEAR(E413),MONTH(E413),1)</f>
        <v>45689</v>
      </c>
      <c r="G413" s="23" t="n">
        <v>106372</v>
      </c>
      <c r="H413" s="8" t="s">
        <v>58</v>
      </c>
      <c r="I413" s="24" t="n">
        <v>55.99</v>
      </c>
      <c r="J413" s="25" t="n">
        <f aca="false">Summary!$B$4</f>
        <v>1</v>
      </c>
      <c r="K413" s="11" t="n">
        <f aca="false">I413*J413*IF(A413="SILVER",Summary!$B$5,Summary!$B$6)</f>
        <v>5599</v>
      </c>
      <c r="L413" s="26" t="n">
        <v>0.067</v>
      </c>
      <c r="M413" s="27" t="n">
        <f aca="false">IF(K413&gt;0,1,0)</f>
        <v>1</v>
      </c>
      <c r="N413" s="11" t="n">
        <f aca="false">SUMIFS(K$2:K413,A$2:A413,A413,B$2:B413,B413)</f>
        <v>-84009</v>
      </c>
      <c r="O413" s="11" t="n">
        <f aca="false">MAX(0,_xlfn.MAXIFS(N$2:N413,A$2:A413,A413,B$2:B413,B413))</f>
        <v>0</v>
      </c>
      <c r="P413" s="11" t="n">
        <f aca="false">N413-O413</f>
        <v>-84009</v>
      </c>
    </row>
    <row r="414" customFormat="false" ht="15" hidden="false" customHeight="false" outlineLevel="0" collapsed="false">
      <c r="A414" s="8" t="s">
        <v>39</v>
      </c>
      <c r="B414" s="8" t="s">
        <v>35</v>
      </c>
      <c r="C414" s="8" t="s">
        <v>54</v>
      </c>
      <c r="D414" s="21" t="n">
        <v>45719.875</v>
      </c>
      <c r="E414" s="21" t="n">
        <v>45721.8055555556</v>
      </c>
      <c r="F414" s="22" t="n">
        <f aca="false">DATE(YEAR(E414),MONTH(E414),1)</f>
        <v>45717</v>
      </c>
      <c r="G414" s="23" t="n">
        <v>105861</v>
      </c>
      <c r="H414" s="8" t="s">
        <v>58</v>
      </c>
      <c r="I414" s="24" t="n">
        <v>83.56</v>
      </c>
      <c r="J414" s="25" t="n">
        <f aca="false">Summary!$B$4</f>
        <v>1</v>
      </c>
      <c r="K414" s="11" t="n">
        <f aca="false">I414*J414*IF(A414="SILVER",Summary!$B$5,Summary!$B$6)</f>
        <v>8356</v>
      </c>
      <c r="L414" s="26" t="n">
        <v>0.076</v>
      </c>
      <c r="M414" s="27" t="n">
        <f aca="false">IF(K414&gt;0,1,0)</f>
        <v>1</v>
      </c>
      <c r="N414" s="11" t="n">
        <f aca="false">SUMIFS(K$2:K414,A$2:A414,A414,B$2:B414,B414)</f>
        <v>-75653</v>
      </c>
      <c r="O414" s="11" t="n">
        <f aca="false">MAX(0,_xlfn.MAXIFS(N$2:N414,A$2:A414,A414,B$2:B414,B414))</f>
        <v>0</v>
      </c>
      <c r="P414" s="11" t="n">
        <f aca="false">N414-O414</f>
        <v>-75653</v>
      </c>
    </row>
    <row r="415" customFormat="false" ht="15" hidden="false" customHeight="false" outlineLevel="0" collapsed="false">
      <c r="A415" s="8" t="s">
        <v>39</v>
      </c>
      <c r="B415" s="8" t="s">
        <v>35</v>
      </c>
      <c r="C415" s="8" t="s">
        <v>54</v>
      </c>
      <c r="D415" s="21" t="n">
        <v>45743.4166666667</v>
      </c>
      <c r="E415" s="21" t="n">
        <v>45750.6861111111</v>
      </c>
      <c r="F415" s="22" t="n">
        <f aca="false">DATE(YEAR(E415),MONTH(E415),1)</f>
        <v>45748</v>
      </c>
      <c r="G415" s="23" t="n">
        <v>108663</v>
      </c>
      <c r="H415" s="8" t="s">
        <v>55</v>
      </c>
      <c r="I415" s="24" t="n">
        <v>1771.18</v>
      </c>
      <c r="J415" s="25" t="n">
        <f aca="false">Summary!$B$4</f>
        <v>1</v>
      </c>
      <c r="K415" s="11" t="n">
        <f aca="false">I415*J415*IF(A415="SILVER",Summary!$B$5,Summary!$B$6)</f>
        <v>177118</v>
      </c>
      <c r="L415" s="26" t="n">
        <v>2.017</v>
      </c>
      <c r="M415" s="27" t="n">
        <f aca="false">IF(K415&gt;0,1,0)</f>
        <v>1</v>
      </c>
      <c r="N415" s="11" t="n">
        <f aca="false">SUMIFS(K$2:K415,A$2:A415,A415,B$2:B415,B415)</f>
        <v>101465</v>
      </c>
      <c r="O415" s="11" t="n">
        <f aca="false">MAX(0,_xlfn.MAXIFS(N$2:N415,A$2:A415,A415,B$2:B415,B415))</f>
        <v>101465</v>
      </c>
      <c r="P415" s="11" t="n">
        <f aca="false">N415-O415</f>
        <v>0</v>
      </c>
    </row>
    <row r="416" customFormat="false" ht="15" hidden="false" customHeight="false" outlineLevel="0" collapsed="false">
      <c r="A416" s="8" t="s">
        <v>39</v>
      </c>
      <c r="B416" s="8" t="s">
        <v>35</v>
      </c>
      <c r="C416" s="8" t="s">
        <v>54</v>
      </c>
      <c r="D416" s="21" t="n">
        <v>45756.5</v>
      </c>
      <c r="E416" s="21" t="n">
        <v>45764.875</v>
      </c>
      <c r="F416" s="22" t="n">
        <f aca="false">DATE(YEAR(E416),MONTH(E416),1)</f>
        <v>45748</v>
      </c>
      <c r="G416" s="23" t="n">
        <v>110226</v>
      </c>
      <c r="H416" s="8" t="s">
        <v>55</v>
      </c>
      <c r="I416" s="24" t="n">
        <v>5457.64</v>
      </c>
      <c r="J416" s="25" t="n">
        <f aca="false">Summary!$B$4</f>
        <v>1</v>
      </c>
      <c r="K416" s="11" t="n">
        <f aca="false">I416*J416*IF(A416="SILVER",Summary!$B$5,Summary!$B$6)</f>
        <v>545764</v>
      </c>
      <c r="L416" s="26" t="n">
        <v>2.773</v>
      </c>
      <c r="M416" s="27" t="n">
        <f aca="false">IF(K416&gt;0,1,0)</f>
        <v>1</v>
      </c>
      <c r="N416" s="11" t="n">
        <f aca="false">SUMIFS(K$2:K416,A$2:A416,A416,B$2:B416,B416)</f>
        <v>647229</v>
      </c>
      <c r="O416" s="11" t="n">
        <f aca="false">MAX(0,_xlfn.MAXIFS(N$2:N416,A$2:A416,A416,B$2:B416,B416))</f>
        <v>647229</v>
      </c>
      <c r="P416" s="11" t="n">
        <f aca="false">N416-O416</f>
        <v>0</v>
      </c>
    </row>
    <row r="417" customFormat="false" ht="15" hidden="false" customHeight="false" outlineLevel="0" collapsed="false">
      <c r="A417" s="8" t="s">
        <v>39</v>
      </c>
      <c r="B417" s="8" t="s">
        <v>35</v>
      </c>
      <c r="C417" s="8" t="s">
        <v>54</v>
      </c>
      <c r="D417" s="21" t="n">
        <v>45768.4166666667</v>
      </c>
      <c r="E417" s="21" t="n">
        <v>45769.9166666667</v>
      </c>
      <c r="F417" s="22" t="n">
        <f aca="false">DATE(YEAR(E417),MONTH(E417),1)</f>
        <v>45748</v>
      </c>
      <c r="G417" s="23" t="n">
        <v>117619</v>
      </c>
      <c r="H417" s="8" t="s">
        <v>55</v>
      </c>
      <c r="I417" s="24" t="n">
        <v>404.67</v>
      </c>
      <c r="J417" s="25" t="n">
        <f aca="false">Summary!$B$4</f>
        <v>1</v>
      </c>
      <c r="K417" s="11" t="n">
        <f aca="false">I417*J417*IF(A417="SILVER",Summary!$B$5,Summary!$B$6)</f>
        <v>40467</v>
      </c>
      <c r="L417" s="26" t="n">
        <v>0.263</v>
      </c>
      <c r="M417" s="27" t="n">
        <f aca="false">IF(K417&gt;0,1,0)</f>
        <v>1</v>
      </c>
      <c r="N417" s="11" t="n">
        <f aca="false">SUMIFS(K$2:K417,A$2:A417,A417,B$2:B417,B417)</f>
        <v>687696</v>
      </c>
      <c r="O417" s="11" t="n">
        <f aca="false">MAX(0,_xlfn.MAXIFS(N$2:N417,A$2:A417,A417,B$2:B417,B417))</f>
        <v>687696</v>
      </c>
      <c r="P417" s="11" t="n">
        <f aca="false">N417-O417</f>
        <v>0</v>
      </c>
    </row>
    <row r="418" customFormat="false" ht="15" hidden="false" customHeight="false" outlineLevel="0" collapsed="false">
      <c r="A418" s="8" t="s">
        <v>39</v>
      </c>
      <c r="B418" s="8" t="s">
        <v>35</v>
      </c>
      <c r="C418" s="8" t="s">
        <v>54</v>
      </c>
      <c r="D418" s="21" t="n">
        <v>45775.9583333333</v>
      </c>
      <c r="E418" s="21" t="n">
        <v>45777.5833333333</v>
      </c>
      <c r="F418" s="22" t="n">
        <f aca="false">DATE(YEAR(E418),MONTH(E418),1)</f>
        <v>45748</v>
      </c>
      <c r="G418" s="23" t="n">
        <v>117102</v>
      </c>
      <c r="H418" s="8" t="s">
        <v>55</v>
      </c>
      <c r="I418" s="24" t="n">
        <v>-1659.03</v>
      </c>
      <c r="J418" s="25" t="n">
        <f aca="false">Summary!$B$4</f>
        <v>1</v>
      </c>
      <c r="K418" s="11" t="n">
        <f aca="false">I418*J418*IF(A418="SILVER",Summary!$B$5,Summary!$B$6)</f>
        <v>-165903</v>
      </c>
      <c r="L418" s="26" t="n">
        <v>-0.953</v>
      </c>
      <c r="M418" s="27" t="n">
        <f aca="false">IF(K418&gt;0,1,0)</f>
        <v>0</v>
      </c>
      <c r="N418" s="11" t="n">
        <f aca="false">SUMIFS(K$2:K418,A$2:A418,A418,B$2:B418,B418)</f>
        <v>521793</v>
      </c>
      <c r="O418" s="11" t="n">
        <f aca="false">MAX(0,_xlfn.MAXIFS(N$2:N418,A$2:A418,A418,B$2:B418,B418))</f>
        <v>687696</v>
      </c>
      <c r="P418" s="11" t="n">
        <f aca="false">N418-O418</f>
        <v>-165903</v>
      </c>
    </row>
    <row r="419" customFormat="false" ht="15" hidden="false" customHeight="false" outlineLevel="0" collapsed="false">
      <c r="A419" s="8" t="s">
        <v>39</v>
      </c>
      <c r="B419" s="8" t="s">
        <v>35</v>
      </c>
      <c r="C419" s="8" t="s">
        <v>54</v>
      </c>
      <c r="D419" s="21" t="n">
        <v>45782.625</v>
      </c>
      <c r="E419" s="21" t="n">
        <v>45785.5</v>
      </c>
      <c r="F419" s="22" t="n">
        <f aca="false">DATE(YEAR(E419),MONTH(E419),1)</f>
        <v>45778</v>
      </c>
      <c r="G419" s="23" t="n">
        <v>115542</v>
      </c>
      <c r="H419" s="8" t="s">
        <v>55</v>
      </c>
      <c r="I419" s="24" t="n">
        <v>1472.98</v>
      </c>
      <c r="J419" s="25" t="n">
        <f aca="false">Summary!$B$4</f>
        <v>1</v>
      </c>
      <c r="K419" s="11" t="n">
        <f aca="false">I419*J419*IF(A419="SILVER",Summary!$B$5,Summary!$B$6)</f>
        <v>147298</v>
      </c>
      <c r="L419" s="26" t="n">
        <v>0.675</v>
      </c>
      <c r="M419" s="27" t="n">
        <f aca="false">IF(K419&gt;0,1,0)</f>
        <v>1</v>
      </c>
      <c r="N419" s="11" t="n">
        <f aca="false">SUMIFS(K$2:K419,A$2:A419,A419,B$2:B419,B419)</f>
        <v>669091</v>
      </c>
      <c r="O419" s="11" t="n">
        <f aca="false">MAX(0,_xlfn.MAXIFS(N$2:N419,A$2:A419,A419,B$2:B419,B419))</f>
        <v>687696</v>
      </c>
      <c r="P419" s="11" t="n">
        <f aca="false">N419-O419</f>
        <v>-18605</v>
      </c>
    </row>
    <row r="420" customFormat="false" ht="15" hidden="false" customHeight="false" outlineLevel="0" collapsed="false">
      <c r="A420" s="8" t="s">
        <v>39</v>
      </c>
      <c r="B420" s="8" t="s">
        <v>35</v>
      </c>
      <c r="C420" s="8" t="s">
        <v>54</v>
      </c>
      <c r="D420" s="21" t="n">
        <v>45792.8333333333</v>
      </c>
      <c r="E420" s="21" t="n">
        <v>45796.3993055556</v>
      </c>
      <c r="F420" s="22" t="n">
        <f aca="false">DATE(YEAR(E420),MONTH(E420),1)</f>
        <v>45778</v>
      </c>
      <c r="G420" s="23" t="n">
        <v>113948</v>
      </c>
      <c r="H420" s="8" t="s">
        <v>58</v>
      </c>
      <c r="I420" s="24" t="n">
        <v>149.3</v>
      </c>
      <c r="J420" s="25" t="n">
        <f aca="false">Summary!$B$4</f>
        <v>1</v>
      </c>
      <c r="K420" s="11" t="n">
        <f aca="false">I420*J420*IF(A420="SILVER",Summary!$B$5,Summary!$B$6)</f>
        <v>14930</v>
      </c>
      <c r="L420" s="26" t="n">
        <v>0.084</v>
      </c>
      <c r="M420" s="27" t="n">
        <f aca="false">IF(K420&gt;0,1,0)</f>
        <v>1</v>
      </c>
      <c r="N420" s="11" t="n">
        <f aca="false">SUMIFS(K$2:K420,A$2:A420,A420,B$2:B420,B420)</f>
        <v>684021</v>
      </c>
      <c r="O420" s="11" t="n">
        <f aca="false">MAX(0,_xlfn.MAXIFS(N$2:N420,A$2:A420,A420,B$2:B420,B420))</f>
        <v>687696</v>
      </c>
      <c r="P420" s="11" t="n">
        <f aca="false">N420-O420</f>
        <v>-3675</v>
      </c>
    </row>
    <row r="421" customFormat="false" ht="15" hidden="false" customHeight="false" outlineLevel="0" collapsed="false">
      <c r="A421" s="8" t="s">
        <v>39</v>
      </c>
      <c r="B421" s="8" t="s">
        <v>35</v>
      </c>
      <c r="C421" s="8" t="s">
        <v>54</v>
      </c>
      <c r="D421" s="21" t="n">
        <v>45806.9166666667</v>
      </c>
      <c r="E421" s="21" t="n">
        <v>45813.9520833333</v>
      </c>
      <c r="F421" s="22" t="n">
        <f aca="false">DATE(YEAR(E421),MONTH(E421),1)</f>
        <v>45809</v>
      </c>
      <c r="G421" s="23" t="n">
        <v>116759</v>
      </c>
      <c r="H421" s="8" t="s">
        <v>55</v>
      </c>
      <c r="I421" s="24" t="n">
        <v>1343.78</v>
      </c>
      <c r="J421" s="25" t="n">
        <f aca="false">Summary!$B$4</f>
        <v>1</v>
      </c>
      <c r="K421" s="11" t="n">
        <f aca="false">I421*J421*IF(A421="SILVER",Summary!$B$5,Summary!$B$6)</f>
        <v>134378</v>
      </c>
      <c r="L421" s="26" t="n">
        <v>1.325</v>
      </c>
      <c r="M421" s="27" t="n">
        <f aca="false">IF(K421&gt;0,1,0)</f>
        <v>1</v>
      </c>
      <c r="N421" s="11" t="n">
        <f aca="false">SUMIFS(K$2:K421,A$2:A421,A421,B$2:B421,B421)</f>
        <v>818399</v>
      </c>
      <c r="O421" s="11" t="n">
        <f aca="false">MAX(0,_xlfn.MAXIFS(N$2:N421,A$2:A421,A421,B$2:B421,B421))</f>
        <v>818399</v>
      </c>
      <c r="P421" s="11" t="n">
        <f aca="false">N421-O421</f>
        <v>0</v>
      </c>
    </row>
    <row r="422" customFormat="false" ht="15" hidden="false" customHeight="false" outlineLevel="0" collapsed="false">
      <c r="A422" s="8" t="s">
        <v>39</v>
      </c>
      <c r="B422" s="8" t="s">
        <v>35</v>
      </c>
      <c r="C422" s="8" t="s">
        <v>54</v>
      </c>
      <c r="D422" s="21" t="n">
        <v>45820.4166666667</v>
      </c>
      <c r="E422" s="21" t="n">
        <v>45824.8333333333</v>
      </c>
      <c r="F422" s="22" t="n">
        <f aca="false">DATE(YEAR(E422),MONTH(E422),1)</f>
        <v>45809</v>
      </c>
      <c r="G422" s="23" t="n">
        <v>117884</v>
      </c>
      <c r="H422" s="8" t="s">
        <v>55</v>
      </c>
      <c r="I422" s="24" t="n">
        <v>839.31</v>
      </c>
      <c r="J422" s="25" t="n">
        <f aca="false">Summary!$B$4</f>
        <v>1</v>
      </c>
      <c r="K422" s="11" t="n">
        <f aca="false">I422*J422*IF(A422="SILVER",Summary!$B$5,Summary!$B$6)</f>
        <v>83931</v>
      </c>
      <c r="L422" s="26" t="n">
        <v>0.607</v>
      </c>
      <c r="M422" s="27" t="n">
        <f aca="false">IF(K422&gt;0,1,0)</f>
        <v>1</v>
      </c>
      <c r="N422" s="11" t="n">
        <f aca="false">SUMIFS(K$2:K422,A$2:A422,A422,B$2:B422,B422)</f>
        <v>902330</v>
      </c>
      <c r="O422" s="11" t="n">
        <f aca="false">MAX(0,_xlfn.MAXIFS(N$2:N422,A$2:A422,A422,B$2:B422,B422))</f>
        <v>902330</v>
      </c>
      <c r="P422" s="11" t="n">
        <f aca="false">N422-O422</f>
        <v>0</v>
      </c>
    </row>
    <row r="423" customFormat="false" ht="15" hidden="false" customHeight="false" outlineLevel="0" collapsed="false">
      <c r="A423" s="8" t="s">
        <v>39</v>
      </c>
      <c r="B423" s="8" t="s">
        <v>35</v>
      </c>
      <c r="C423" s="8" t="s">
        <v>54</v>
      </c>
      <c r="D423" s="21" t="n">
        <v>45831.875</v>
      </c>
      <c r="E423" s="21" t="n">
        <v>45832.4166666667</v>
      </c>
      <c r="F423" s="22" t="n">
        <f aca="false">DATE(YEAR(E423),MONTH(E423),1)</f>
        <v>45809</v>
      </c>
      <c r="G423" s="23" t="n">
        <v>119574</v>
      </c>
      <c r="H423" s="8" t="s">
        <v>55</v>
      </c>
      <c r="I423" s="24" t="n">
        <v>-1526.78</v>
      </c>
      <c r="J423" s="25" t="n">
        <f aca="false">Summary!$B$4</f>
        <v>1</v>
      </c>
      <c r="K423" s="11" t="n">
        <f aca="false">I423*J423*IF(A423="SILVER",Summary!$B$5,Summary!$B$6)</f>
        <v>-152678</v>
      </c>
      <c r="L423" s="26" t="n">
        <v>-1.313</v>
      </c>
      <c r="M423" s="27" t="n">
        <f aca="false">IF(K423&gt;0,1,0)</f>
        <v>0</v>
      </c>
      <c r="N423" s="11" t="n">
        <f aca="false">SUMIFS(K$2:K423,A$2:A423,A423,B$2:B423,B423)</f>
        <v>749652</v>
      </c>
      <c r="O423" s="11" t="n">
        <f aca="false">MAX(0,_xlfn.MAXIFS(N$2:N423,A$2:A423,A423,B$2:B423,B423))</f>
        <v>902330</v>
      </c>
      <c r="P423" s="11" t="n">
        <f aca="false">N423-O423</f>
        <v>-152678</v>
      </c>
    </row>
    <row r="424" customFormat="false" ht="15" hidden="false" customHeight="false" outlineLevel="0" collapsed="false">
      <c r="A424" s="8" t="s">
        <v>39</v>
      </c>
      <c r="B424" s="8" t="s">
        <v>35</v>
      </c>
      <c r="C424" s="8" t="s">
        <v>54</v>
      </c>
      <c r="D424" s="21" t="n">
        <v>45839.4166666667</v>
      </c>
      <c r="E424" s="21" t="n">
        <v>45841.7513888889</v>
      </c>
      <c r="F424" s="22" t="n">
        <f aca="false">DATE(YEAR(E424),MONTH(E424),1)</f>
        <v>45839</v>
      </c>
      <c r="G424" s="23" t="n">
        <v>116692</v>
      </c>
      <c r="H424" s="8" t="s">
        <v>58</v>
      </c>
      <c r="I424" s="24" t="n">
        <v>89.79</v>
      </c>
      <c r="J424" s="25" t="n">
        <f aca="false">Summary!$B$4</f>
        <v>1</v>
      </c>
      <c r="K424" s="11" t="n">
        <f aca="false">I424*J424*IF(A424="SILVER",Summary!$B$5,Summary!$B$6)</f>
        <v>8979</v>
      </c>
      <c r="L424" s="26" t="n">
        <v>0.075</v>
      </c>
      <c r="M424" s="27" t="n">
        <f aca="false">IF(K424&gt;0,1,0)</f>
        <v>1</v>
      </c>
      <c r="N424" s="11" t="n">
        <f aca="false">SUMIFS(K$2:K424,A$2:A424,A424,B$2:B424,B424)</f>
        <v>758631</v>
      </c>
      <c r="O424" s="11" t="n">
        <f aca="false">MAX(0,_xlfn.MAXIFS(N$2:N424,A$2:A424,A424,B$2:B424,B424))</f>
        <v>902330</v>
      </c>
      <c r="P424" s="11" t="n">
        <f aca="false">N424-O424</f>
        <v>-143699</v>
      </c>
    </row>
    <row r="425" customFormat="false" ht="15" hidden="false" customHeight="false" outlineLevel="0" collapsed="false">
      <c r="A425" s="8" t="s">
        <v>39</v>
      </c>
      <c r="B425" s="8" t="s">
        <v>35</v>
      </c>
      <c r="C425" s="8" t="s">
        <v>54</v>
      </c>
      <c r="D425" s="21" t="n">
        <v>45845.9583333333</v>
      </c>
      <c r="E425" s="21" t="n">
        <v>45846.8333333333</v>
      </c>
      <c r="F425" s="22" t="n">
        <f aca="false">DATE(YEAR(E425),MONTH(E425),1)</f>
        <v>45839</v>
      </c>
      <c r="G425" s="23" t="n">
        <v>117172</v>
      </c>
      <c r="H425" s="8" t="s">
        <v>55</v>
      </c>
      <c r="I425" s="24" t="n">
        <v>-872.37</v>
      </c>
      <c r="J425" s="25" t="n">
        <f aca="false">Summary!$B$4</f>
        <v>1</v>
      </c>
      <c r="K425" s="11" t="n">
        <f aca="false">I425*J425*IF(A425="SILVER",Summary!$B$5,Summary!$B$6)</f>
        <v>-87237</v>
      </c>
      <c r="L425" s="26" t="n">
        <v>-0.924</v>
      </c>
      <c r="M425" s="27" t="n">
        <f aca="false">IF(K425&gt;0,1,0)</f>
        <v>0</v>
      </c>
      <c r="N425" s="11" t="n">
        <f aca="false">SUMIFS(K$2:K425,A$2:A425,A425,B$2:B425,B425)</f>
        <v>671394</v>
      </c>
      <c r="O425" s="11" t="n">
        <f aca="false">MAX(0,_xlfn.MAXIFS(N$2:N425,A$2:A425,A425,B$2:B425,B425))</f>
        <v>902330</v>
      </c>
      <c r="P425" s="11" t="n">
        <f aca="false">N425-O425</f>
        <v>-230936</v>
      </c>
    </row>
    <row r="426" customFormat="false" ht="15" hidden="false" customHeight="false" outlineLevel="0" collapsed="false">
      <c r="A426" s="8" t="s">
        <v>39</v>
      </c>
      <c r="B426" s="8" t="s">
        <v>35</v>
      </c>
      <c r="C426" s="8" t="s">
        <v>54</v>
      </c>
      <c r="D426" s="21" t="n">
        <v>45848.5416666667</v>
      </c>
      <c r="E426" s="21" t="n">
        <v>45853.7916666667</v>
      </c>
      <c r="F426" s="22" t="n">
        <f aca="false">DATE(YEAR(E426),MONTH(E426),1)</f>
        <v>45839</v>
      </c>
      <c r="G426" s="23" t="n">
        <v>116693</v>
      </c>
      <c r="H426" s="8" t="s">
        <v>55</v>
      </c>
      <c r="I426" s="24" t="n">
        <v>563.58</v>
      </c>
      <c r="J426" s="25" t="n">
        <f aca="false">Summary!$B$4</f>
        <v>1</v>
      </c>
      <c r="K426" s="11" t="n">
        <f aca="false">I426*J426*IF(A426="SILVER",Summary!$B$5,Summary!$B$6)</f>
        <v>56358</v>
      </c>
      <c r="L426" s="26" t="n">
        <v>0.684</v>
      </c>
      <c r="M426" s="27" t="n">
        <f aca="false">IF(K426&gt;0,1,0)</f>
        <v>1</v>
      </c>
      <c r="N426" s="11" t="n">
        <f aca="false">SUMIFS(K$2:K426,A$2:A426,A426,B$2:B426,B426)</f>
        <v>727752</v>
      </c>
      <c r="O426" s="11" t="n">
        <f aca="false">MAX(0,_xlfn.MAXIFS(N$2:N426,A$2:A426,A426,B$2:B426,B426))</f>
        <v>902330</v>
      </c>
      <c r="P426" s="11" t="n">
        <f aca="false">N426-O426</f>
        <v>-174578</v>
      </c>
    </row>
    <row r="427" customFormat="false" ht="15" hidden="false" customHeight="false" outlineLevel="0" collapsed="false">
      <c r="A427" s="8" t="s">
        <v>39</v>
      </c>
      <c r="B427" s="8" t="s">
        <v>35</v>
      </c>
      <c r="C427" s="8" t="s">
        <v>54</v>
      </c>
      <c r="D427" s="21" t="n">
        <v>45856.75</v>
      </c>
      <c r="E427" s="21" t="n">
        <v>45861.9166666667</v>
      </c>
      <c r="F427" s="22" t="n">
        <f aca="false">DATE(YEAR(E427),MONTH(E427),1)</f>
        <v>45839</v>
      </c>
      <c r="G427" s="23" t="n">
        <v>117985</v>
      </c>
      <c r="H427" s="8" t="s">
        <v>55</v>
      </c>
      <c r="I427" s="24" t="n">
        <v>1168.26</v>
      </c>
      <c r="J427" s="25" t="n">
        <f aca="false">Summary!$B$4</f>
        <v>1</v>
      </c>
      <c r="K427" s="11" t="n">
        <f aca="false">I427*J427*IF(A427="SILVER",Summary!$B$5,Summary!$B$6)</f>
        <v>116826</v>
      </c>
      <c r="L427" s="26" t="n">
        <v>1.353</v>
      </c>
      <c r="M427" s="27" t="n">
        <f aca="false">IF(K427&gt;0,1,0)</f>
        <v>1</v>
      </c>
      <c r="N427" s="11" t="n">
        <f aca="false">SUMIFS(K$2:K427,A$2:A427,A427,B$2:B427,B427)</f>
        <v>844578</v>
      </c>
      <c r="O427" s="11" t="n">
        <f aca="false">MAX(0,_xlfn.MAXIFS(N$2:N427,A$2:A427,A427,B$2:B427,B427))</f>
        <v>902330</v>
      </c>
      <c r="P427" s="11" t="n">
        <f aca="false">N427-O427</f>
        <v>-57752</v>
      </c>
    </row>
    <row r="428" customFormat="false" ht="15" hidden="false" customHeight="false" outlineLevel="0" collapsed="false">
      <c r="A428" s="8" t="s">
        <v>39</v>
      </c>
      <c r="B428" s="8" t="s">
        <v>35</v>
      </c>
      <c r="C428" s="8" t="s">
        <v>54</v>
      </c>
      <c r="D428" s="21" t="n">
        <v>45868.375</v>
      </c>
      <c r="E428" s="21" t="n">
        <v>45870.4194444444</v>
      </c>
      <c r="F428" s="22" t="n">
        <f aca="false">DATE(YEAR(E428),MONTH(E428),1)</f>
        <v>45870</v>
      </c>
      <c r="G428" s="23" t="n">
        <v>118403</v>
      </c>
      <c r="H428" s="8" t="s">
        <v>55</v>
      </c>
      <c r="I428" s="24" t="n">
        <v>-829.6</v>
      </c>
      <c r="J428" s="25" t="n">
        <f aca="false">Summary!$B$4</f>
        <v>1</v>
      </c>
      <c r="K428" s="11" t="n">
        <f aca="false">I428*J428*IF(A428="SILVER",Summary!$B$5,Summary!$B$6)</f>
        <v>-82960</v>
      </c>
      <c r="L428" s="26" t="n">
        <v>-0.739</v>
      </c>
      <c r="M428" s="27" t="n">
        <f aca="false">IF(K428&gt;0,1,0)</f>
        <v>0</v>
      </c>
      <c r="N428" s="11" t="n">
        <f aca="false">SUMIFS(K$2:K428,A$2:A428,A428,B$2:B428,B428)</f>
        <v>761618</v>
      </c>
      <c r="O428" s="11" t="n">
        <f aca="false">MAX(0,_xlfn.MAXIFS(N$2:N428,A$2:A428,A428,B$2:B428,B428))</f>
        <v>902330</v>
      </c>
      <c r="P428" s="11" t="n">
        <f aca="false">N428-O428</f>
        <v>-140712</v>
      </c>
    </row>
    <row r="429" customFormat="false" ht="15" hidden="false" customHeight="false" outlineLevel="0" collapsed="false">
      <c r="A429" s="8" t="s">
        <v>39</v>
      </c>
      <c r="B429" s="8" t="s">
        <v>35</v>
      </c>
      <c r="C429" s="8" t="s">
        <v>54</v>
      </c>
      <c r="D429" s="21" t="n">
        <v>45870.8340277778</v>
      </c>
      <c r="E429" s="21" t="n">
        <v>45874.7201388889</v>
      </c>
      <c r="F429" s="22" t="n">
        <f aca="false">DATE(YEAR(E429),MONTH(E429),1)</f>
        <v>45870</v>
      </c>
      <c r="G429" s="23" t="n">
        <v>118943</v>
      </c>
      <c r="H429" s="8" t="s">
        <v>55</v>
      </c>
      <c r="I429" s="24" t="n">
        <v>885.14</v>
      </c>
      <c r="J429" s="25" t="n">
        <f aca="false">Summary!$B$4</f>
        <v>1</v>
      </c>
      <c r="K429" s="11" t="n">
        <f aca="false">I429*J429*IF(A429="SILVER",Summary!$B$5,Summary!$B$6)</f>
        <v>88514</v>
      </c>
      <c r="L429" s="26" t="n">
        <v>0.634</v>
      </c>
      <c r="M429" s="27" t="n">
        <f aca="false">IF(K429&gt;0,1,0)</f>
        <v>1</v>
      </c>
      <c r="N429" s="11" t="n">
        <f aca="false">SUMIFS(K$2:K429,A$2:A429,A429,B$2:B429,B429)</f>
        <v>850132</v>
      </c>
      <c r="O429" s="11" t="n">
        <f aca="false">MAX(0,_xlfn.MAXIFS(N$2:N429,A$2:A429,A429,B$2:B429,B429))</f>
        <v>902330</v>
      </c>
      <c r="P429" s="11" t="n">
        <f aca="false">N429-O429</f>
        <v>-52198</v>
      </c>
    </row>
    <row r="430" customFormat="false" ht="15" hidden="false" customHeight="false" outlineLevel="0" collapsed="false">
      <c r="A430" s="8" t="s">
        <v>39</v>
      </c>
      <c r="B430" s="8" t="s">
        <v>35</v>
      </c>
      <c r="C430" s="8" t="s">
        <v>54</v>
      </c>
      <c r="D430" s="21" t="n">
        <v>45874.9048611111</v>
      </c>
      <c r="E430" s="21" t="n">
        <v>45880.3784722222</v>
      </c>
      <c r="F430" s="22" t="n">
        <f aca="false">DATE(YEAR(E430),MONTH(E430),1)</f>
        <v>45870</v>
      </c>
      <c r="G430" s="23" t="n">
        <v>120704</v>
      </c>
      <c r="H430" s="8" t="s">
        <v>58</v>
      </c>
      <c r="I430" s="24" t="n">
        <v>96.01</v>
      </c>
      <c r="J430" s="25" t="n">
        <f aca="false">Summary!$B$4</f>
        <v>1</v>
      </c>
      <c r="K430" s="11" t="n">
        <f aca="false">I430*J430*IF(A430="SILVER",Summary!$B$5,Summary!$B$6)</f>
        <v>9601</v>
      </c>
      <c r="L430" s="26" t="n">
        <v>0.076</v>
      </c>
      <c r="M430" s="27" t="n">
        <f aca="false">IF(K430&gt;0,1,0)</f>
        <v>1</v>
      </c>
      <c r="N430" s="11" t="n">
        <f aca="false">SUMIFS(K$2:K430,A$2:A430,A430,B$2:B430,B430)</f>
        <v>859733</v>
      </c>
      <c r="O430" s="11" t="n">
        <f aca="false">MAX(0,_xlfn.MAXIFS(N$2:N430,A$2:A430,A430,B$2:B430,B430))</f>
        <v>902330</v>
      </c>
      <c r="P430" s="11" t="n">
        <f aca="false">N430-O430</f>
        <v>-42597</v>
      </c>
    </row>
    <row r="431" customFormat="false" ht="15" hidden="false" customHeight="false" outlineLevel="0" collapsed="false">
      <c r="A431" s="8" t="s">
        <v>39</v>
      </c>
      <c r="B431" s="8" t="s">
        <v>35</v>
      </c>
      <c r="C431" s="8" t="s">
        <v>54</v>
      </c>
      <c r="D431" s="21" t="n">
        <v>45890.7916666667</v>
      </c>
      <c r="E431" s="21" t="n">
        <v>45904.4166666667</v>
      </c>
      <c r="F431" s="22" t="n">
        <f aca="false">DATE(YEAR(E431),MONTH(E431),1)</f>
        <v>45901</v>
      </c>
      <c r="G431" s="23" t="n">
        <v>119234</v>
      </c>
      <c r="H431" s="8" t="s">
        <v>55</v>
      </c>
      <c r="I431" s="24" t="n">
        <v>6458.46</v>
      </c>
      <c r="J431" s="25" t="n">
        <f aca="false">Summary!$B$4</f>
        <v>1</v>
      </c>
      <c r="K431" s="11" t="n">
        <f aca="false">I431*J431*IF(A431="SILVER",Summary!$B$5,Summary!$B$6)</f>
        <v>645846</v>
      </c>
      <c r="L431" s="26" t="n">
        <v>7.68</v>
      </c>
      <c r="M431" s="27" t="n">
        <f aca="false">IF(K431&gt;0,1,0)</f>
        <v>1</v>
      </c>
      <c r="N431" s="11" t="n">
        <f aca="false">SUMIFS(K$2:K431,A$2:A431,A431,B$2:B431,B431)</f>
        <v>1505579</v>
      </c>
      <c r="O431" s="11" t="n">
        <f aca="false">MAX(0,_xlfn.MAXIFS(N$2:N431,A$2:A431,A431,B$2:B431,B431))</f>
        <v>1505579</v>
      </c>
      <c r="P431" s="11" t="n">
        <f aca="false">N431-O431</f>
        <v>0</v>
      </c>
    </row>
    <row r="432" customFormat="false" ht="15" hidden="false" customHeight="false" outlineLevel="0" collapsed="false">
      <c r="A432" s="8" t="s">
        <v>39</v>
      </c>
      <c r="B432" s="8" t="s">
        <v>35</v>
      </c>
      <c r="C432" s="8" t="s">
        <v>54</v>
      </c>
      <c r="D432" s="21" t="n">
        <v>45905.7916666667</v>
      </c>
      <c r="E432" s="21" t="n">
        <v>45917.5</v>
      </c>
      <c r="F432" s="22" t="n">
        <f aca="false">DATE(YEAR(E432),MONTH(E432),1)</f>
        <v>45901</v>
      </c>
      <c r="G432" s="23" t="n">
        <v>127127</v>
      </c>
      <c r="H432" s="8" t="s">
        <v>55</v>
      </c>
      <c r="I432" s="24" t="n">
        <v>2148.31</v>
      </c>
      <c r="J432" s="25" t="n">
        <f aca="false">Summary!$B$4</f>
        <v>1</v>
      </c>
      <c r="K432" s="11" t="n">
        <f aca="false">I432*J432*IF(A432="SILVER",Summary!$B$5,Summary!$B$6)</f>
        <v>214831</v>
      </c>
      <c r="L432" s="26" t="n">
        <v>1.621</v>
      </c>
      <c r="M432" s="27" t="n">
        <f aca="false">IF(K432&gt;0,1,0)</f>
        <v>1</v>
      </c>
      <c r="N432" s="11" t="n">
        <f aca="false">SUMIFS(K$2:K432,A$2:A432,A432,B$2:B432,B432)</f>
        <v>1720410</v>
      </c>
      <c r="O432" s="11" t="n">
        <f aca="false">MAX(0,_xlfn.MAXIFS(N$2:N432,A$2:A432,A432,B$2:B432,B432))</f>
        <v>1720410</v>
      </c>
      <c r="P432" s="11" t="n">
        <f aca="false">N432-O432</f>
        <v>0</v>
      </c>
    </row>
    <row r="433" customFormat="false" ht="15" hidden="false" customHeight="false" outlineLevel="0" collapsed="false">
      <c r="A433" s="8" t="s">
        <v>39</v>
      </c>
      <c r="B433" s="8" t="s">
        <v>35</v>
      </c>
      <c r="C433" s="8" t="s">
        <v>54</v>
      </c>
      <c r="D433" s="21" t="n">
        <v>45922.4166666667</v>
      </c>
      <c r="E433" s="21" t="n">
        <v>45924.9166666667</v>
      </c>
      <c r="F433" s="22" t="n">
        <f aca="false">DATE(YEAR(E433),MONTH(E433),1)</f>
        <v>45901</v>
      </c>
      <c r="G433" s="23" t="n">
        <v>130227</v>
      </c>
      <c r="H433" s="8" t="s">
        <v>55</v>
      </c>
      <c r="I433" s="24" t="n">
        <v>2271.68</v>
      </c>
      <c r="J433" s="25" t="n">
        <f aca="false">Summary!$B$4</f>
        <v>1</v>
      </c>
      <c r="K433" s="11" t="n">
        <f aca="false">I433*J433*IF(A433="SILVER",Summary!$B$5,Summary!$B$6)</f>
        <v>227168</v>
      </c>
      <c r="L433" s="26" t="n">
        <v>1.959</v>
      </c>
      <c r="M433" s="27" t="n">
        <f aca="false">IF(K433&gt;0,1,0)</f>
        <v>1</v>
      </c>
      <c r="N433" s="11" t="n">
        <f aca="false">SUMIFS(K$2:K433,A$2:A433,A433,B$2:B433,B433)</f>
        <v>1947578</v>
      </c>
      <c r="O433" s="11" t="n">
        <f aca="false">MAX(0,_xlfn.MAXIFS(N$2:N433,A$2:A433,A433,B$2:B433,B433))</f>
        <v>1947578</v>
      </c>
      <c r="P433" s="11" t="n">
        <f aca="false">N433-O433</f>
        <v>0</v>
      </c>
    </row>
    <row r="434" customFormat="false" ht="15" hidden="false" customHeight="false" outlineLevel="0" collapsed="false">
      <c r="A434" s="8" t="s">
        <v>39</v>
      </c>
      <c r="B434" s="8" t="s">
        <v>35</v>
      </c>
      <c r="C434" s="8" t="s">
        <v>54</v>
      </c>
      <c r="D434" s="21" t="n">
        <v>45926.8333333333</v>
      </c>
      <c r="E434" s="21" t="n">
        <v>45930.6326388889</v>
      </c>
      <c r="F434" s="22" t="n">
        <f aca="false">DATE(YEAR(E434),MONTH(E434),1)</f>
        <v>45901</v>
      </c>
      <c r="G434" s="23" t="n">
        <v>133507</v>
      </c>
      <c r="H434" s="8" t="s">
        <v>55</v>
      </c>
      <c r="I434" s="24" t="n">
        <v>1226.13</v>
      </c>
      <c r="J434" s="25" t="n">
        <f aca="false">Summary!$B$4</f>
        <v>1</v>
      </c>
      <c r="K434" s="11" t="n">
        <f aca="false">I434*J434*IF(A434="SILVER",Summary!$B$5,Summary!$B$6)</f>
        <v>122613</v>
      </c>
      <c r="L434" s="26" t="n">
        <v>0.784</v>
      </c>
      <c r="M434" s="27" t="n">
        <f aca="false">IF(K434&gt;0,1,0)</f>
        <v>1</v>
      </c>
      <c r="N434" s="11" t="n">
        <f aca="false">SUMIFS(K$2:K434,A$2:A434,A434,B$2:B434,B434)</f>
        <v>2070191</v>
      </c>
      <c r="O434" s="11" t="n">
        <f aca="false">MAX(0,_xlfn.MAXIFS(N$2:N434,A$2:A434,A434,B$2:B434,B434))</f>
        <v>2070191</v>
      </c>
      <c r="P434" s="11" t="n">
        <f aca="false">N434-O434</f>
        <v>0</v>
      </c>
    </row>
    <row r="435" customFormat="false" ht="15" hidden="false" customHeight="false" outlineLevel="0" collapsed="false">
      <c r="A435" s="8" t="s">
        <v>39</v>
      </c>
      <c r="B435" s="8" t="s">
        <v>35</v>
      </c>
      <c r="C435" s="8" t="s">
        <v>54</v>
      </c>
      <c r="D435" s="21" t="n">
        <v>45931.4298611111</v>
      </c>
      <c r="E435" s="21" t="n">
        <v>45939.9583333333</v>
      </c>
      <c r="F435" s="22" t="n">
        <f aca="false">DATE(YEAR(E435),MONTH(E435),1)</f>
        <v>45931</v>
      </c>
      <c r="G435" s="23" t="n">
        <v>136485</v>
      </c>
      <c r="H435" s="8" t="s">
        <v>55</v>
      </c>
      <c r="I435" s="24" t="n">
        <v>2388.13</v>
      </c>
      <c r="J435" s="25" t="n">
        <f aca="false">Summary!$B$4</f>
        <v>1</v>
      </c>
      <c r="K435" s="11" t="n">
        <f aca="false">I435*J435*IF(A435="SILVER",Summary!$B$5,Summary!$B$6)</f>
        <v>238813</v>
      </c>
      <c r="L435" s="26" t="n">
        <v>1.703</v>
      </c>
      <c r="M435" s="27" t="n">
        <f aca="false">IF(K435&gt;0,1,0)</f>
        <v>1</v>
      </c>
      <c r="N435" s="11" t="n">
        <f aca="false">SUMIFS(K$2:K435,A$2:A435,A435,B$2:B435,B435)</f>
        <v>2309004</v>
      </c>
      <c r="O435" s="11" t="n">
        <f aca="false">MAX(0,_xlfn.MAXIFS(N$2:N435,A$2:A435,A435,B$2:B435,B435))</f>
        <v>2309004</v>
      </c>
      <c r="P435" s="11" t="n">
        <f aca="false">N435-O435</f>
        <v>0</v>
      </c>
    </row>
    <row r="436" customFormat="false" ht="15" hidden="false" customHeight="false" outlineLevel="0" collapsed="false">
      <c r="A436" s="8" t="s">
        <v>39</v>
      </c>
      <c r="B436" s="8" t="s">
        <v>35</v>
      </c>
      <c r="C436" s="8" t="s">
        <v>54</v>
      </c>
      <c r="D436" s="21" t="n">
        <v>45943.4166666667</v>
      </c>
      <c r="E436" s="21" t="n">
        <v>45947.8333333333</v>
      </c>
      <c r="F436" s="22" t="n">
        <f aca="false">DATE(YEAR(E436),MONTH(E436),1)</f>
        <v>45931</v>
      </c>
      <c r="G436" s="23" t="n">
        <v>141599</v>
      </c>
      <c r="H436" s="8" t="s">
        <v>55</v>
      </c>
      <c r="I436" s="24" t="n">
        <v>4896.85</v>
      </c>
      <c r="J436" s="25" t="n">
        <f aca="false">Summary!$B$4</f>
        <v>1</v>
      </c>
      <c r="K436" s="11" t="n">
        <f aca="false">I436*J436*IF(A436="SILVER",Summary!$B$5,Summary!$B$6)</f>
        <v>489685</v>
      </c>
      <c r="L436" s="26" t="n">
        <v>1.818</v>
      </c>
      <c r="M436" s="27" t="n">
        <f aca="false">IF(K436&gt;0,1,0)</f>
        <v>1</v>
      </c>
      <c r="N436" s="11" t="n">
        <f aca="false">SUMIFS(K$2:K436,A$2:A436,A436,B$2:B436,B436)</f>
        <v>2798689</v>
      </c>
      <c r="O436" s="11" t="n">
        <f aca="false">MAX(0,_xlfn.MAXIFS(N$2:N436,A$2:A436,A436,B$2:B436,B436))</f>
        <v>2798689</v>
      </c>
      <c r="P436" s="11" t="n">
        <f aca="false">N436-O436</f>
        <v>0</v>
      </c>
    </row>
    <row r="437" customFormat="false" ht="15" hidden="false" customHeight="false" outlineLevel="0" collapsed="false">
      <c r="A437" s="8" t="s">
        <v>39</v>
      </c>
      <c r="B437" s="8" t="s">
        <v>35</v>
      </c>
      <c r="C437" s="8" t="s">
        <v>54</v>
      </c>
      <c r="D437" s="21" t="n">
        <v>45950.875</v>
      </c>
      <c r="E437" s="21" t="n">
        <v>45952.75</v>
      </c>
      <c r="F437" s="22" t="n">
        <f aca="false">DATE(YEAR(E437),MONTH(E437),1)</f>
        <v>45931</v>
      </c>
      <c r="G437" s="23" t="n">
        <v>148676</v>
      </c>
      <c r="H437" s="8" t="s">
        <v>55</v>
      </c>
      <c r="I437" s="24" t="n">
        <v>-9051.17</v>
      </c>
      <c r="J437" s="25" t="n">
        <f aca="false">Summary!$B$4</f>
        <v>1</v>
      </c>
      <c r="K437" s="11" t="n">
        <f aca="false">I437*J437*IF(A437="SILVER",Summary!$B$5,Summary!$B$6)</f>
        <v>-905117</v>
      </c>
      <c r="L437" s="26" t="n">
        <v>-2.386</v>
      </c>
      <c r="M437" s="27" t="n">
        <f aca="false">IF(K437&gt;0,1,0)</f>
        <v>0</v>
      </c>
      <c r="N437" s="11" t="n">
        <f aca="false">SUMIFS(K$2:K437,A$2:A437,A437,B$2:B437,B437)</f>
        <v>1893572</v>
      </c>
      <c r="O437" s="11" t="n">
        <f aca="false">MAX(0,_xlfn.MAXIFS(N$2:N437,A$2:A437,A437,B$2:B437,B437))</f>
        <v>2798689</v>
      </c>
      <c r="P437" s="11" t="n">
        <f aca="false">N437-O437</f>
        <v>-905117</v>
      </c>
    </row>
    <row r="438" customFormat="false" ht="15" hidden="false" customHeight="false" outlineLevel="0" collapsed="false">
      <c r="A438" s="8" t="s">
        <v>39</v>
      </c>
      <c r="B438" s="8" t="s">
        <v>35</v>
      </c>
      <c r="C438" s="8" t="s">
        <v>56</v>
      </c>
      <c r="D438" s="21" t="n">
        <v>45965.875</v>
      </c>
      <c r="E438" s="21" t="n">
        <v>45971.4166666667</v>
      </c>
      <c r="F438" s="22" t="n">
        <f aca="false">DATE(YEAR(E438),MONTH(E438),1)</f>
        <v>45962</v>
      </c>
      <c r="G438" s="23" t="n">
        <v>138068</v>
      </c>
      <c r="H438" s="8" t="s">
        <v>55</v>
      </c>
      <c r="I438" s="24" t="n">
        <v>-2731.22</v>
      </c>
      <c r="J438" s="25" t="n">
        <f aca="false">Summary!$B$4</f>
        <v>1</v>
      </c>
      <c r="K438" s="11" t="n">
        <f aca="false">I438*J438*IF(A438="SILVER",Summary!$B$5,Summary!$B$6)</f>
        <v>-273122</v>
      </c>
      <c r="L438" s="26" t="n">
        <v>-1.417</v>
      </c>
      <c r="M438" s="27" t="n">
        <f aca="false">IF(K438&gt;0,1,0)</f>
        <v>0</v>
      </c>
      <c r="N438" s="11" t="n">
        <f aca="false">SUMIFS(K$2:K438,A$2:A438,A438,B$2:B438,B438)</f>
        <v>1620450</v>
      </c>
      <c r="O438" s="11" t="n">
        <f aca="false">MAX(0,_xlfn.MAXIFS(N$2:N438,A$2:A438,A438,B$2:B438,B438))</f>
        <v>2798689</v>
      </c>
      <c r="P438" s="11" t="n">
        <f aca="false">N438-O438</f>
        <v>-1178239</v>
      </c>
    </row>
    <row r="439" customFormat="false" ht="15" hidden="false" customHeight="false" outlineLevel="0" collapsed="false">
      <c r="A439" s="8" t="s">
        <v>39</v>
      </c>
      <c r="B439" s="8" t="s">
        <v>35</v>
      </c>
      <c r="C439" s="8" t="s">
        <v>56</v>
      </c>
      <c r="D439" s="21" t="n">
        <v>45975.5416666667</v>
      </c>
      <c r="E439" s="21" t="n">
        <v>45980.6666666667</v>
      </c>
      <c r="F439" s="22" t="n">
        <f aca="false">DATE(YEAR(E439),MONTH(E439),1)</f>
        <v>45962</v>
      </c>
      <c r="G439" s="23" t="n">
        <v>143953</v>
      </c>
      <c r="H439" s="8" t="s">
        <v>55</v>
      </c>
      <c r="I439" s="24" t="n">
        <v>1686.04</v>
      </c>
      <c r="J439" s="25" t="n">
        <f aca="false">Summary!$B$4</f>
        <v>1</v>
      </c>
      <c r="K439" s="11" t="n">
        <f aca="false">I439*J439*IF(A439="SILVER",Summary!$B$5,Summary!$B$6)</f>
        <v>168604</v>
      </c>
      <c r="L439" s="26" t="n">
        <v>0.721</v>
      </c>
      <c r="M439" s="27" t="n">
        <f aca="false">IF(K439&gt;0,1,0)</f>
        <v>1</v>
      </c>
      <c r="N439" s="11" t="n">
        <f aca="false">SUMIFS(K$2:K439,A$2:A439,A439,B$2:B439,B439)</f>
        <v>1789054</v>
      </c>
      <c r="O439" s="11" t="n">
        <f aca="false">MAX(0,_xlfn.MAXIFS(N$2:N439,A$2:A439,A439,B$2:B439,B439))</f>
        <v>2798689</v>
      </c>
      <c r="P439" s="11" t="n">
        <f aca="false">N439-O439</f>
        <v>-1009635</v>
      </c>
    </row>
    <row r="440" customFormat="false" ht="15" hidden="false" customHeight="false" outlineLevel="0" collapsed="false">
      <c r="A440" s="8" t="s">
        <v>39</v>
      </c>
      <c r="B440" s="8" t="s">
        <v>35</v>
      </c>
      <c r="C440" s="8" t="s">
        <v>56</v>
      </c>
      <c r="D440" s="21" t="n">
        <v>45982.5</v>
      </c>
      <c r="E440" s="21" t="n">
        <v>45982.9583333333</v>
      </c>
      <c r="F440" s="22" t="n">
        <f aca="false">DATE(YEAR(E440),MONTH(E440),1)</f>
        <v>45962</v>
      </c>
      <c r="G440" s="23" t="n">
        <v>140071</v>
      </c>
      <c r="H440" s="8" t="s">
        <v>55</v>
      </c>
      <c r="I440" s="24" t="n">
        <v>-2460.59</v>
      </c>
      <c r="J440" s="25" t="n">
        <f aca="false">Summary!$B$4</f>
        <v>1</v>
      </c>
      <c r="K440" s="11" t="n">
        <f aca="false">I440*J440*IF(A440="SILVER",Summary!$B$5,Summary!$B$6)</f>
        <v>-246059</v>
      </c>
      <c r="L440" s="26" t="n">
        <v>-0.9</v>
      </c>
      <c r="M440" s="27" t="n">
        <f aca="false">IF(K440&gt;0,1,0)</f>
        <v>0</v>
      </c>
      <c r="N440" s="11" t="n">
        <f aca="false">SUMIFS(K$2:K440,A$2:A440,A440,B$2:B440,B440)</f>
        <v>1542995</v>
      </c>
      <c r="O440" s="11" t="n">
        <f aca="false">MAX(0,_xlfn.MAXIFS(N$2:N440,A$2:A440,A440,B$2:B440,B440))</f>
        <v>2798689</v>
      </c>
      <c r="P440" s="11" t="n">
        <f aca="false">N440-O440</f>
        <v>-1255694</v>
      </c>
    </row>
    <row r="441" customFormat="false" ht="15" hidden="false" customHeight="false" outlineLevel="0" collapsed="false">
      <c r="A441" s="8" t="s">
        <v>39</v>
      </c>
      <c r="B441" s="8" t="s">
        <v>35</v>
      </c>
      <c r="C441" s="8" t="s">
        <v>56</v>
      </c>
      <c r="D441" s="21" t="n">
        <v>45994.3777777778</v>
      </c>
      <c r="E441" s="21" t="n">
        <v>45995.3993055556</v>
      </c>
      <c r="F441" s="22" t="n">
        <f aca="false">DATE(YEAR(E441),MONTH(E441),1)</f>
        <v>45992</v>
      </c>
      <c r="G441" s="23" t="n">
        <v>146440</v>
      </c>
      <c r="H441" s="8" t="s">
        <v>58</v>
      </c>
      <c r="I441" s="24" t="n">
        <v>-115.48</v>
      </c>
      <c r="J441" s="25" t="n">
        <f aca="false">Summary!$B$4</f>
        <v>1</v>
      </c>
      <c r="K441" s="11" t="n">
        <f aca="false">I441*J441*IF(A441="SILVER",Summary!$B$5,Summary!$B$6)</f>
        <v>-11548</v>
      </c>
      <c r="L441" s="26" t="n">
        <v>-11.067</v>
      </c>
      <c r="M441" s="27" t="n">
        <f aca="false">IF(K441&gt;0,1,0)</f>
        <v>0</v>
      </c>
      <c r="N441" s="11" t="n">
        <f aca="false">SUMIFS(K$2:K441,A$2:A441,A441,B$2:B441,B441)</f>
        <v>1531447</v>
      </c>
      <c r="O441" s="11" t="n">
        <f aca="false">MAX(0,_xlfn.MAXIFS(N$2:N441,A$2:A441,A441,B$2:B441,B441))</f>
        <v>2798689</v>
      </c>
      <c r="P441" s="11" t="n">
        <f aca="false">N441-O441</f>
        <v>-1267242</v>
      </c>
    </row>
    <row r="442" customFormat="false" ht="15" hidden="false" customHeight="false" outlineLevel="0" collapsed="false">
      <c r="A442" s="8" t="s">
        <v>39</v>
      </c>
      <c r="B442" s="8" t="s">
        <v>35</v>
      </c>
      <c r="C442" s="8" t="s">
        <v>54</v>
      </c>
      <c r="D442" s="21" t="n">
        <v>46002.5</v>
      </c>
      <c r="E442" s="21" t="n">
        <v>46003.9166666667</v>
      </c>
      <c r="F442" s="22" t="n">
        <f aca="false">DATE(YEAR(E442),MONTH(E442),1)</f>
        <v>45992</v>
      </c>
      <c r="G442" s="23" t="n">
        <v>147558</v>
      </c>
      <c r="H442" s="8" t="s">
        <v>55</v>
      </c>
      <c r="I442" s="24" t="n">
        <v>2612.6</v>
      </c>
      <c r="J442" s="25" t="n">
        <f aca="false">Summary!$B$4</f>
        <v>1</v>
      </c>
      <c r="K442" s="11" t="n">
        <f aca="false">I442*J442*IF(A442="SILVER",Summary!$B$5,Summary!$B$6)</f>
        <v>261260</v>
      </c>
      <c r="L442" s="26" t="n">
        <v>1.96</v>
      </c>
      <c r="M442" s="27" t="n">
        <f aca="false">IF(K442&gt;0,1,0)</f>
        <v>1</v>
      </c>
      <c r="N442" s="11" t="n">
        <f aca="false">SUMIFS(K$2:K442,A$2:A442,A442,B$2:B442,B442)</f>
        <v>1792707</v>
      </c>
      <c r="O442" s="11" t="n">
        <f aca="false">MAX(0,_xlfn.MAXIFS(N$2:N442,A$2:A442,A442,B$2:B442,B442))</f>
        <v>2798689</v>
      </c>
      <c r="P442" s="11" t="n">
        <f aca="false">N442-O442</f>
        <v>-1005982</v>
      </c>
    </row>
    <row r="443" customFormat="false" ht="15" hidden="false" customHeight="false" outlineLevel="0" collapsed="false">
      <c r="A443" s="8" t="s">
        <v>39</v>
      </c>
      <c r="B443" s="8" t="s">
        <v>35</v>
      </c>
      <c r="C443" s="8" t="s">
        <v>54</v>
      </c>
      <c r="D443" s="21" t="n">
        <v>46006.5</v>
      </c>
      <c r="E443" s="21" t="n">
        <v>46020.5416666667</v>
      </c>
      <c r="F443" s="22" t="n">
        <f aca="false">DATE(YEAR(E443),MONTH(E443),1)</f>
        <v>45992</v>
      </c>
      <c r="G443" s="23" t="n">
        <v>152296</v>
      </c>
      <c r="H443" s="8" t="s">
        <v>55</v>
      </c>
      <c r="I443" s="24" t="n">
        <v>2933.63</v>
      </c>
      <c r="J443" s="25" t="n">
        <f aca="false">Summary!$B$4</f>
        <v>1</v>
      </c>
      <c r="K443" s="11" t="n">
        <f aca="false">I443*J443*IF(A443="SILVER",Summary!$B$5,Summary!$B$6)</f>
        <v>293363</v>
      </c>
      <c r="L443" s="26" t="n">
        <v>1.132</v>
      </c>
      <c r="M443" s="27" t="n">
        <f aca="false">IF(K443&gt;0,1,0)</f>
        <v>1</v>
      </c>
      <c r="N443" s="11" t="n">
        <f aca="false">SUMIFS(K$2:K443,A$2:A443,A443,B$2:B443,B443)</f>
        <v>2086070</v>
      </c>
      <c r="O443" s="11" t="n">
        <f aca="false">MAX(0,_xlfn.MAXIFS(N$2:N443,A$2:A443,A443,B$2:B443,B443))</f>
        <v>2798689</v>
      </c>
      <c r="P443" s="11" t="n">
        <f aca="false">N443-O443</f>
        <v>-712619</v>
      </c>
    </row>
    <row r="444" customFormat="false" ht="15" hidden="false" customHeight="false" outlineLevel="0" collapsed="false">
      <c r="A444" s="8" t="s">
        <v>39</v>
      </c>
      <c r="B444" s="8" t="s">
        <v>35</v>
      </c>
      <c r="C444" s="8" t="s">
        <v>54</v>
      </c>
      <c r="D444" s="21" t="n">
        <v>46027.5</v>
      </c>
      <c r="E444" s="21" t="n">
        <v>46029.4708333333</v>
      </c>
      <c r="F444" s="22" t="n">
        <f aca="false">DATE(YEAR(E444),MONTH(E444),1)</f>
        <v>46023</v>
      </c>
      <c r="G444" s="23" t="n">
        <v>154626</v>
      </c>
      <c r="H444" s="8" t="s">
        <v>58</v>
      </c>
      <c r="I444" s="24" t="n">
        <v>200.03</v>
      </c>
      <c r="J444" s="25" t="n">
        <f aca="false">Summary!$B$4</f>
        <v>1</v>
      </c>
      <c r="K444" s="11" t="n">
        <f aca="false">I444*J444*IF(A444="SILVER",Summary!$B$5,Summary!$B$6)</f>
        <v>20003</v>
      </c>
      <c r="L444" s="26" t="n">
        <v>0.084</v>
      </c>
      <c r="M444" s="27" t="n">
        <f aca="false">IF(K444&gt;0,1,0)</f>
        <v>1</v>
      </c>
      <c r="N444" s="11" t="n">
        <f aca="false">SUMIFS(K$2:K444,A$2:A444,A444,B$2:B444,B444)</f>
        <v>2106073</v>
      </c>
      <c r="O444" s="11" t="n">
        <f aca="false">MAX(0,_xlfn.MAXIFS(N$2:N444,A$2:A444,A444,B$2:B444,B444))</f>
        <v>2798689</v>
      </c>
      <c r="P444" s="11" t="n">
        <f aca="false">N444-O444</f>
        <v>-692616</v>
      </c>
    </row>
    <row r="445" customFormat="false" ht="15" hidden="false" customHeight="false" outlineLevel="0" collapsed="false">
      <c r="A445" s="8" t="s">
        <v>39</v>
      </c>
      <c r="B445" s="8" t="s">
        <v>35</v>
      </c>
      <c r="C445" s="8" t="s">
        <v>54</v>
      </c>
      <c r="D445" s="21" t="n">
        <v>46031.5</v>
      </c>
      <c r="E445" s="21" t="n">
        <v>46043.875</v>
      </c>
      <c r="F445" s="22" t="n">
        <f aca="false">DATE(YEAR(E445),MONTH(E445),1)</f>
        <v>46023</v>
      </c>
      <c r="G445" s="23" t="n">
        <v>155371</v>
      </c>
      <c r="H445" s="8" t="s">
        <v>55</v>
      </c>
      <c r="I445" s="24" t="n">
        <v>15211.79</v>
      </c>
      <c r="J445" s="25" t="n">
        <f aca="false">Summary!$B$4</f>
        <v>1</v>
      </c>
      <c r="K445" s="11" t="n">
        <f aca="false">I445*J445*IF(A445="SILVER",Summary!$B$5,Summary!$B$6)</f>
        <v>1521179</v>
      </c>
      <c r="L445" s="26" t="n">
        <v>8.422</v>
      </c>
      <c r="M445" s="27" t="n">
        <f aca="false">IF(K445&gt;0,1,0)</f>
        <v>1</v>
      </c>
      <c r="N445" s="11" t="n">
        <f aca="false">SUMIFS(K$2:K445,A$2:A445,A445,B$2:B445,B445)</f>
        <v>3627252</v>
      </c>
      <c r="O445" s="11" t="n">
        <f aca="false">MAX(0,_xlfn.MAXIFS(N$2:N445,A$2:A445,A445,B$2:B445,B445))</f>
        <v>3627252</v>
      </c>
      <c r="P445" s="11" t="n">
        <f aca="false">N445-O445</f>
        <v>0</v>
      </c>
    </row>
    <row r="446" customFormat="false" ht="15" hidden="false" customHeight="false" outlineLevel="0" collapsed="false">
      <c r="A446" s="8" t="s">
        <v>39</v>
      </c>
      <c r="B446" s="8" t="s">
        <v>35</v>
      </c>
      <c r="C446" s="8" t="s">
        <v>54</v>
      </c>
      <c r="D446" s="21" t="n">
        <v>46045.375</v>
      </c>
      <c r="E446" s="21" t="n">
        <v>46051.8659722222</v>
      </c>
      <c r="F446" s="22" t="n">
        <f aca="false">DATE(YEAR(E446),MONTH(E446),1)</f>
        <v>46023</v>
      </c>
      <c r="G446" s="23" t="n">
        <v>175810</v>
      </c>
      <c r="H446" s="8" t="s">
        <v>58</v>
      </c>
      <c r="I446" s="24" t="n">
        <v>837.35</v>
      </c>
      <c r="J446" s="25" t="n">
        <f aca="false">Summary!$B$4</f>
        <v>1</v>
      </c>
      <c r="K446" s="11" t="n">
        <f aca="false">I446*J446*IF(A446="SILVER",Summary!$B$5,Summary!$B$6)</f>
        <v>83735</v>
      </c>
      <c r="L446" s="26" t="n">
        <v>0.095</v>
      </c>
      <c r="M446" s="27" t="n">
        <f aca="false">IF(K446&gt;0,1,0)</f>
        <v>1</v>
      </c>
      <c r="N446" s="11" t="n">
        <f aca="false">SUMIFS(K$2:K446,A$2:A446,A446,B$2:B446,B446)</f>
        <v>3710987</v>
      </c>
      <c r="O446" s="11" t="n">
        <f aca="false">MAX(0,_xlfn.MAXIFS(N$2:N446,A$2:A446,A446,B$2:B446,B446))</f>
        <v>3710987</v>
      </c>
      <c r="P446" s="11" t="n">
        <f aca="false">N446-O446</f>
        <v>0</v>
      </c>
    </row>
    <row r="447" customFormat="false" ht="15" hidden="false" customHeight="false" outlineLevel="0" collapsed="false">
      <c r="A447" s="8" t="s">
        <v>39</v>
      </c>
      <c r="B447" s="8" t="s">
        <v>35</v>
      </c>
      <c r="C447" s="8" t="s">
        <v>56</v>
      </c>
      <c r="D447" s="21" t="n">
        <v>46065.9166666667</v>
      </c>
      <c r="E447" s="21" t="n">
        <v>46071.875</v>
      </c>
      <c r="F447" s="22" t="n">
        <f aca="false">DATE(YEAR(E447),MONTH(E447),1)</f>
        <v>46054</v>
      </c>
      <c r="G447" s="23" t="n">
        <v>159927</v>
      </c>
      <c r="H447" s="8" t="s">
        <v>55</v>
      </c>
      <c r="I447" s="24" t="n">
        <v>-3464.98</v>
      </c>
      <c r="J447" s="25" t="n">
        <f aca="false">Summary!$B$4</f>
        <v>1</v>
      </c>
      <c r="K447" s="11" t="n">
        <f aca="false">I447*J447*IF(A447="SILVER",Summary!$B$5,Summary!$B$6)</f>
        <v>-346498</v>
      </c>
      <c r="L447" s="26" t="n">
        <v>-0.481</v>
      </c>
      <c r="M447" s="27" t="n">
        <f aca="false">IF(K447&gt;0,1,0)</f>
        <v>0</v>
      </c>
      <c r="N447" s="11" t="n">
        <f aca="false">SUMIFS(K$2:K447,A$2:A447,A447,B$2:B447,B447)</f>
        <v>3364489</v>
      </c>
      <c r="O447" s="11" t="n">
        <f aca="false">MAX(0,_xlfn.MAXIFS(N$2:N447,A$2:A447,A447,B$2:B447,B447))</f>
        <v>3710987</v>
      </c>
      <c r="P447" s="11" t="n">
        <f aca="false">N447-O447</f>
        <v>-346498</v>
      </c>
    </row>
    <row r="448" customFormat="false" ht="15" hidden="false" customHeight="false" outlineLevel="0" collapsed="false">
      <c r="A448" s="8" t="s">
        <v>39</v>
      </c>
      <c r="B448" s="8" t="s">
        <v>35</v>
      </c>
      <c r="C448" s="8" t="s">
        <v>56</v>
      </c>
      <c r="D448" s="21" t="n">
        <v>46084.75</v>
      </c>
      <c r="E448" s="21" t="n">
        <v>46085.6576388889</v>
      </c>
      <c r="F448" s="22" t="n">
        <f aca="false">DATE(YEAR(E448),MONTH(E448),1)</f>
        <v>46082</v>
      </c>
      <c r="G448" s="23" t="n">
        <v>171781</v>
      </c>
      <c r="H448" s="8" t="s">
        <v>58</v>
      </c>
      <c r="I448" s="24" t="n">
        <v>268.77</v>
      </c>
      <c r="J448" s="25" t="n">
        <f aca="false">Summary!$B$4</f>
        <v>1</v>
      </c>
      <c r="K448" s="11" t="n">
        <f aca="false">I448*J448*IF(A448="SILVER",Summary!$B$5,Summary!$B$6)</f>
        <v>26877</v>
      </c>
      <c r="L448" s="26" t="n">
        <v>0.086</v>
      </c>
      <c r="M448" s="27" t="n">
        <f aca="false">IF(K448&gt;0,1,0)</f>
        <v>1</v>
      </c>
      <c r="N448" s="11" t="n">
        <f aca="false">SUMIFS(K$2:K448,A$2:A448,A448,B$2:B448,B448)</f>
        <v>3391366</v>
      </c>
      <c r="O448" s="11" t="n">
        <f aca="false">MAX(0,_xlfn.MAXIFS(N$2:N448,A$2:A448,A448,B$2:B448,B448))</f>
        <v>3710987</v>
      </c>
      <c r="P448" s="11" t="n">
        <f aca="false">N448-O448</f>
        <v>-319621</v>
      </c>
    </row>
    <row r="449" customFormat="false" ht="15" hidden="false" customHeight="false" outlineLevel="0" collapsed="false">
      <c r="A449" s="8" t="s">
        <v>39</v>
      </c>
      <c r="B449" s="8" t="s">
        <v>35</v>
      </c>
      <c r="C449" s="8" t="s">
        <v>56</v>
      </c>
      <c r="D449" s="21" t="n">
        <v>46094.375</v>
      </c>
      <c r="E449" s="21" t="n">
        <v>46094.7284722222</v>
      </c>
      <c r="F449" s="22" t="n">
        <f aca="false">DATE(YEAR(E449),MONTH(E449),1)</f>
        <v>46082</v>
      </c>
      <c r="G449" s="23" t="n">
        <v>167752</v>
      </c>
      <c r="H449" s="8" t="s">
        <v>58</v>
      </c>
      <c r="I449" s="24" t="n">
        <v>191.74</v>
      </c>
      <c r="J449" s="25" t="n">
        <f aca="false">Summary!$B$4</f>
        <v>1</v>
      </c>
      <c r="K449" s="11" t="n">
        <f aca="false">I449*J449*IF(A449="SILVER",Summary!$B$5,Summary!$B$6)</f>
        <v>19174</v>
      </c>
      <c r="L449" s="26" t="n">
        <v>0.082</v>
      </c>
      <c r="M449" s="27" t="n">
        <f aca="false">IF(K449&gt;0,1,0)</f>
        <v>1</v>
      </c>
      <c r="N449" s="11" t="n">
        <f aca="false">SUMIFS(K$2:K449,A$2:A449,A449,B$2:B449,B449)</f>
        <v>3410540</v>
      </c>
      <c r="O449" s="11" t="n">
        <f aca="false">MAX(0,_xlfn.MAXIFS(N$2:N449,A$2:A449,A449,B$2:B449,B449))</f>
        <v>3710987</v>
      </c>
      <c r="P449" s="11" t="n">
        <f aca="false">N449-O449</f>
        <v>-300447</v>
      </c>
    </row>
    <row r="450" customFormat="false" ht="15" hidden="false" customHeight="false" outlineLevel="0" collapsed="false">
      <c r="A450" s="8" t="s">
        <v>39</v>
      </c>
      <c r="B450" s="8" t="s">
        <v>35</v>
      </c>
      <c r="C450" s="8" t="s">
        <v>56</v>
      </c>
      <c r="D450" s="21" t="n">
        <v>46104.4166666667</v>
      </c>
      <c r="E450" s="21" t="n">
        <v>46104.6916666667</v>
      </c>
      <c r="F450" s="22" t="n">
        <f aca="false">DATE(YEAR(E450),MONTH(E450),1)</f>
        <v>46082</v>
      </c>
      <c r="G450" s="23" t="n">
        <v>145176</v>
      </c>
      <c r="H450" s="8" t="s">
        <v>58</v>
      </c>
      <c r="I450" s="24" t="n">
        <v>708.42</v>
      </c>
      <c r="J450" s="25" t="n">
        <f aca="false">Summary!$B$4</f>
        <v>1</v>
      </c>
      <c r="K450" s="11" t="n">
        <f aca="false">I450*J450*IF(A450="SILVER",Summary!$B$5,Summary!$B$6)</f>
        <v>70842</v>
      </c>
      <c r="L450" s="26" t="n">
        <v>0.095</v>
      </c>
      <c r="M450" s="27" t="n">
        <f aca="false">IF(K450&gt;0,1,0)</f>
        <v>1</v>
      </c>
      <c r="N450" s="11" t="n">
        <f aca="false">SUMIFS(K$2:K450,A$2:A450,A450,B$2:B450,B450)</f>
        <v>3481382</v>
      </c>
      <c r="O450" s="11" t="n">
        <f aca="false">MAX(0,_xlfn.MAXIFS(N$2:N450,A$2:A450,A450,B$2:B450,B450))</f>
        <v>3710987</v>
      </c>
      <c r="P450" s="11" t="n">
        <f aca="false">N450-O450</f>
        <v>-229605</v>
      </c>
    </row>
    <row r="451" customFormat="false" ht="15" hidden="false" customHeight="false" outlineLevel="0" collapsed="false">
      <c r="A451" s="8" t="s">
        <v>39</v>
      </c>
      <c r="B451" s="8" t="s">
        <v>35</v>
      </c>
      <c r="C451" s="8" t="s">
        <v>56</v>
      </c>
      <c r="D451" s="21" t="n">
        <v>46114.4506944444</v>
      </c>
      <c r="E451" s="21" t="n">
        <v>46118.5645833333</v>
      </c>
      <c r="F451" s="22" t="n">
        <f aca="false">DATE(YEAR(E451),MONTH(E451),1)</f>
        <v>46113</v>
      </c>
      <c r="G451" s="23" t="n">
        <v>155504</v>
      </c>
      <c r="H451" s="8" t="s">
        <v>58</v>
      </c>
      <c r="I451" s="24" t="n">
        <v>221.96</v>
      </c>
      <c r="J451" s="25" t="n">
        <f aca="false">Summary!$B$4</f>
        <v>1</v>
      </c>
      <c r="K451" s="11" t="n">
        <f aca="false">I451*J451*IF(A451="SILVER",Summary!$B$5,Summary!$B$6)</f>
        <v>22196</v>
      </c>
      <c r="L451" s="26" t="n">
        <v>0.073</v>
      </c>
      <c r="M451" s="27" t="n">
        <f aca="false">IF(K451&gt;0,1,0)</f>
        <v>1</v>
      </c>
      <c r="N451" s="11" t="n">
        <f aca="false">SUMIFS(K$2:K451,A$2:A451,A451,B$2:B451,B451)</f>
        <v>3503578</v>
      </c>
      <c r="O451" s="11" t="n">
        <f aca="false">MAX(0,_xlfn.MAXIFS(N$2:N451,A$2:A451,A451,B$2:B451,B451))</f>
        <v>3710987</v>
      </c>
      <c r="P451" s="11" t="n">
        <f aca="false">N451-O451</f>
        <v>-207409</v>
      </c>
    </row>
    <row r="452" customFormat="false" ht="15" hidden="false" customHeight="false" outlineLevel="0" collapsed="false">
      <c r="A452" s="8" t="s">
        <v>39</v>
      </c>
      <c r="B452" s="8" t="s">
        <v>35</v>
      </c>
      <c r="C452" s="8" t="s">
        <v>56</v>
      </c>
      <c r="D452" s="21" t="n">
        <v>46129.5</v>
      </c>
      <c r="E452" s="21" t="n">
        <v>46129.7916666667</v>
      </c>
      <c r="F452" s="22" t="n">
        <f aca="false">DATE(YEAR(E452),MONTH(E452),1)</f>
        <v>46113</v>
      </c>
      <c r="G452" s="23" t="n">
        <v>156875</v>
      </c>
      <c r="H452" s="8" t="s">
        <v>55</v>
      </c>
      <c r="I452" s="24" t="n">
        <v>-2179.74</v>
      </c>
      <c r="J452" s="25" t="n">
        <f aca="false">Summary!$B$4</f>
        <v>1</v>
      </c>
      <c r="K452" s="11" t="n">
        <f aca="false">I452*J452*IF(A452="SILVER",Summary!$B$5,Summary!$B$6)</f>
        <v>-217974</v>
      </c>
      <c r="L452" s="26" t="n">
        <v>-0.977</v>
      </c>
      <c r="M452" s="27" t="n">
        <f aca="false">IF(K452&gt;0,1,0)</f>
        <v>0</v>
      </c>
      <c r="N452" s="11" t="n">
        <f aca="false">SUMIFS(K$2:K452,A$2:A452,A452,B$2:B452,B452)</f>
        <v>3285604</v>
      </c>
      <c r="O452" s="11" t="n">
        <f aca="false">MAX(0,_xlfn.MAXIFS(N$2:N452,A$2:A452,A452,B$2:B452,B452))</f>
        <v>3710987</v>
      </c>
      <c r="P452" s="11" t="n">
        <f aca="false">N452-O452</f>
        <v>-425383</v>
      </c>
    </row>
    <row r="453" customFormat="false" ht="15" hidden="false" customHeight="false" outlineLevel="0" collapsed="false">
      <c r="A453" s="8" t="s">
        <v>39</v>
      </c>
      <c r="B453" s="8" t="s">
        <v>35</v>
      </c>
      <c r="C453" s="8" t="s">
        <v>56</v>
      </c>
      <c r="D453" s="21" t="n">
        <v>46133.875</v>
      </c>
      <c r="E453" s="21" t="n">
        <v>46134.375</v>
      </c>
      <c r="F453" s="22" t="n">
        <f aca="false">DATE(YEAR(E453),MONTH(E453),1)</f>
        <v>46113</v>
      </c>
      <c r="G453" s="23" t="n">
        <v>156825</v>
      </c>
      <c r="H453" s="8" t="s">
        <v>58</v>
      </c>
      <c r="I453" s="24" t="n">
        <v>-805.57</v>
      </c>
      <c r="J453" s="25" t="n">
        <f aca="false">Summary!$B$4</f>
        <v>1</v>
      </c>
      <c r="K453" s="11" t="n">
        <f aca="false">I453*J453*IF(A453="SILVER",Summary!$B$5,Summary!$B$6)</f>
        <v>-80557</v>
      </c>
      <c r="L453" s="26" t="n">
        <v>-0.375</v>
      </c>
      <c r="M453" s="27" t="n">
        <f aca="false">IF(K453&gt;0,1,0)</f>
        <v>0</v>
      </c>
      <c r="N453" s="11" t="n">
        <f aca="false">SUMIFS(K$2:K453,A$2:A453,A453,B$2:B453,B453)</f>
        <v>3205047</v>
      </c>
      <c r="O453" s="11" t="n">
        <f aca="false">MAX(0,_xlfn.MAXIFS(N$2:N453,A$2:A453,A453,B$2:B453,B453))</f>
        <v>3710987</v>
      </c>
      <c r="P453" s="11" t="n">
        <f aca="false">N453-O453</f>
        <v>-505940</v>
      </c>
    </row>
    <row r="454" customFormat="false" ht="15" hidden="false" customHeight="false" outlineLevel="0" collapsed="false">
      <c r="A454" s="8" t="s">
        <v>39</v>
      </c>
      <c r="B454" s="8" t="s">
        <v>35</v>
      </c>
      <c r="C454" s="8" t="s">
        <v>56</v>
      </c>
      <c r="D454" s="21" t="n">
        <v>46146.6666666667</v>
      </c>
      <c r="E454" s="21" t="n">
        <v>46148.4166666667</v>
      </c>
      <c r="F454" s="22" t="n">
        <f aca="false">DATE(YEAR(E454),MONTH(E454),1)</f>
        <v>46143</v>
      </c>
      <c r="G454" s="23" t="n">
        <v>153637</v>
      </c>
      <c r="H454" s="8" t="s">
        <v>55</v>
      </c>
      <c r="I454" s="24" t="n">
        <v>-2625.13</v>
      </c>
      <c r="J454" s="25" t="n">
        <f aca="false">Summary!$B$4</f>
        <v>1</v>
      </c>
      <c r="K454" s="11" t="n">
        <f aca="false">I454*J454*IF(A454="SILVER",Summary!$B$5,Summary!$B$6)</f>
        <v>-262513</v>
      </c>
      <c r="L454" s="26" t="n">
        <v>-1</v>
      </c>
      <c r="M454" s="27" t="n">
        <f aca="false">IF(K454&gt;0,1,0)</f>
        <v>0</v>
      </c>
      <c r="N454" s="11" t="n">
        <f aca="false">SUMIFS(K$2:K454,A$2:A454,A454,B$2:B454,B454)</f>
        <v>2942534</v>
      </c>
      <c r="O454" s="11" t="n">
        <f aca="false">MAX(0,_xlfn.MAXIFS(N$2:N454,A$2:A454,A454,B$2:B454,B454))</f>
        <v>3710987</v>
      </c>
      <c r="P454" s="11" t="n">
        <f aca="false">N454-O454</f>
        <v>-768453</v>
      </c>
    </row>
    <row r="455" customFormat="false" ht="15" hidden="false" customHeight="false" outlineLevel="0" collapsed="false">
      <c r="A455" s="8" t="s">
        <v>39</v>
      </c>
      <c r="B455" s="8" t="s">
        <v>35</v>
      </c>
      <c r="C455" s="8" t="s">
        <v>54</v>
      </c>
      <c r="D455" s="21" t="n">
        <v>46170.9166666667</v>
      </c>
      <c r="E455" s="21" t="n">
        <v>46174.5868055556</v>
      </c>
      <c r="F455" s="22" t="n">
        <f aca="false">DATE(YEAR(E455),MONTH(E455),1)</f>
        <v>46174</v>
      </c>
      <c r="G455" s="23" t="n">
        <v>161012</v>
      </c>
      <c r="H455" s="8" t="s">
        <v>55</v>
      </c>
      <c r="I455" s="24" t="n">
        <v>-2398.11</v>
      </c>
      <c r="J455" s="25" t="n">
        <f aca="false">Summary!$B$4</f>
        <v>1</v>
      </c>
      <c r="K455" s="11" t="n">
        <f aca="false">I455*J455*IF(A455="SILVER",Summary!$B$5,Summary!$B$6)</f>
        <v>-239811</v>
      </c>
      <c r="L455" s="26" t="n">
        <v>-0.869</v>
      </c>
      <c r="M455" s="27" t="n">
        <f aca="false">IF(K455&gt;0,1,0)</f>
        <v>0</v>
      </c>
      <c r="N455" s="11" t="n">
        <f aca="false">SUMIFS(K$2:K455,A$2:A455,A455,B$2:B455,B455)</f>
        <v>2702723</v>
      </c>
      <c r="O455" s="11" t="n">
        <f aca="false">MAX(0,_xlfn.MAXIFS(N$2:N455,A$2:A455,A455,B$2:B455,B455))</f>
        <v>3710987</v>
      </c>
      <c r="P455" s="11" t="n">
        <f aca="false">N455-O455</f>
        <v>-1008264</v>
      </c>
    </row>
    <row r="456" customFormat="false" ht="15" hidden="false" customHeight="false" outlineLevel="0" collapsed="false">
      <c r="A456" s="8" t="s">
        <v>39</v>
      </c>
      <c r="B456" s="8" t="s">
        <v>35</v>
      </c>
      <c r="C456" s="8" t="s">
        <v>54</v>
      </c>
      <c r="D456" s="21" t="n">
        <v>46175.5583333333</v>
      </c>
      <c r="E456" s="21" t="n">
        <v>46178.625</v>
      </c>
      <c r="F456" s="22" t="n">
        <f aca="false">DATE(YEAR(E456),MONTH(E456),1)</f>
        <v>46174</v>
      </c>
      <c r="G456" s="23" t="n">
        <v>160132</v>
      </c>
      <c r="H456" s="8" t="s">
        <v>55</v>
      </c>
      <c r="I456" s="24" t="n">
        <v>-1918.03</v>
      </c>
      <c r="J456" s="25" t="n">
        <f aca="false">Summary!$B$4</f>
        <v>1</v>
      </c>
      <c r="K456" s="11" t="n">
        <f aca="false">I456*J456*IF(A456="SILVER",Summary!$B$5,Summary!$B$6)</f>
        <v>-191803</v>
      </c>
      <c r="L456" s="26" t="n">
        <v>-0.88</v>
      </c>
      <c r="M456" s="27" t="n">
        <f aca="false">IF(K456&gt;0,1,0)</f>
        <v>0</v>
      </c>
      <c r="N456" s="11" t="n">
        <f aca="false">SUMIFS(K$2:K456,A$2:A456,A456,B$2:B456,B456)</f>
        <v>2510920</v>
      </c>
      <c r="O456" s="11" t="n">
        <f aca="false">MAX(0,_xlfn.MAXIFS(N$2:N456,A$2:A456,A456,B$2:B456,B456))</f>
        <v>3710987</v>
      </c>
      <c r="P456" s="11" t="n">
        <f aca="false">N456-O456</f>
        <v>-1200067</v>
      </c>
    </row>
    <row r="457" customFormat="false" ht="15" hidden="false" customHeight="false" outlineLevel="0" collapsed="false">
      <c r="A457" s="8" t="s">
        <v>39</v>
      </c>
      <c r="B457" s="8" t="s">
        <v>35</v>
      </c>
      <c r="C457" s="8" t="s">
        <v>56</v>
      </c>
      <c r="D457" s="21" t="n">
        <v>46191.5006944445</v>
      </c>
      <c r="E457" s="21" t="n">
        <v>46195.6666666667</v>
      </c>
      <c r="F457" s="22" t="n">
        <f aca="false">DATE(YEAR(E457),MONTH(E457),1)</f>
        <v>46174</v>
      </c>
      <c r="G457" s="23" t="n">
        <v>154219</v>
      </c>
      <c r="H457" s="8" t="s">
        <v>55</v>
      </c>
      <c r="I457" s="24" t="n">
        <v>2424.93</v>
      </c>
      <c r="J457" s="25" t="n">
        <f aca="false">Summary!$B$4</f>
        <v>1</v>
      </c>
      <c r="K457" s="11" t="n">
        <f aca="false">I457*J457*IF(A457="SILVER",Summary!$B$5,Summary!$B$6)</f>
        <v>242493</v>
      </c>
      <c r="L457" s="26" t="n">
        <v>0.951</v>
      </c>
      <c r="M457" s="27" t="n">
        <f aca="false">IF(K457&gt;0,1,0)</f>
        <v>1</v>
      </c>
      <c r="N457" s="11" t="n">
        <f aca="false">SUMIFS(K$2:K457,A$2:A457,A457,B$2:B457,B457)</f>
        <v>2753413</v>
      </c>
      <c r="O457" s="11" t="n">
        <f aca="false">MAX(0,_xlfn.MAXIFS(N$2:N457,A$2:A457,A457,B$2:B457,B457))</f>
        <v>3710987</v>
      </c>
      <c r="P457" s="11" t="n">
        <f aca="false">N457-O457</f>
        <v>-957574</v>
      </c>
    </row>
    <row r="458" customFormat="false" ht="15" hidden="false" customHeight="false" outlineLevel="0" collapsed="false">
      <c r="A458" s="8" t="s">
        <v>39</v>
      </c>
      <c r="B458" s="8" t="s">
        <v>35</v>
      </c>
      <c r="C458" s="8" t="s">
        <v>56</v>
      </c>
      <c r="D458" s="21" t="n">
        <v>46196.5</v>
      </c>
      <c r="E458" s="21" t="n">
        <v>46204.7916666667</v>
      </c>
      <c r="F458" s="22" t="n">
        <f aca="false">DATE(YEAR(E458),MONTH(E458),1)</f>
        <v>46204</v>
      </c>
      <c r="G458" s="23" t="n">
        <v>148839</v>
      </c>
      <c r="H458" s="8" t="s">
        <v>55</v>
      </c>
      <c r="I458" s="24" t="n">
        <v>2609.02</v>
      </c>
      <c r="J458" s="25" t="n">
        <f aca="false">Summary!$B$4</f>
        <v>1</v>
      </c>
      <c r="K458" s="11" t="n">
        <f aca="false">I458*J458*IF(A458="SILVER",Summary!$B$5,Summary!$B$6)</f>
        <v>260902</v>
      </c>
      <c r="L458" s="26" t="n">
        <v>0.943</v>
      </c>
      <c r="M458" s="27" t="n">
        <f aca="false">IF(K458&gt;0,1,0)</f>
        <v>1</v>
      </c>
      <c r="N458" s="11" t="n">
        <f aca="false">SUMIFS(K$2:K458,A$2:A458,A458,B$2:B458,B458)</f>
        <v>3014315</v>
      </c>
      <c r="O458" s="11" t="n">
        <f aca="false">MAX(0,_xlfn.MAXIFS(N$2:N458,A$2:A458,A458,B$2:B458,B458))</f>
        <v>3710987</v>
      </c>
      <c r="P458" s="11" t="n">
        <f aca="false">N458-O458</f>
        <v>-696672</v>
      </c>
    </row>
    <row r="459" customFormat="false" ht="15" hidden="false" customHeight="false" outlineLevel="0" collapsed="false">
      <c r="A459" s="8" t="s">
        <v>39</v>
      </c>
      <c r="B459" s="8" t="s">
        <v>35</v>
      </c>
      <c r="C459" s="8" t="s">
        <v>56</v>
      </c>
      <c r="D459" s="21" t="n">
        <v>46210.625</v>
      </c>
      <c r="E459" s="21" t="n">
        <v>46212.5548611111</v>
      </c>
      <c r="F459" s="22" t="n">
        <f aca="false">DATE(YEAR(E459),MONTH(E459),1)</f>
        <v>46204</v>
      </c>
      <c r="G459" s="23" t="n">
        <v>147678</v>
      </c>
      <c r="H459" s="8" t="s">
        <v>58</v>
      </c>
      <c r="I459" s="24" t="n">
        <v>182</v>
      </c>
      <c r="J459" s="25" t="n">
        <f aca="false">Summary!$B$4</f>
        <v>1</v>
      </c>
      <c r="K459" s="11" t="n">
        <f aca="false">I459*J459*IF(A459="SILVER",Summary!$B$5,Summary!$B$6)</f>
        <v>18200</v>
      </c>
      <c r="L459" s="26" t="n">
        <v>0.082</v>
      </c>
      <c r="M459" s="27" t="n">
        <f aca="false">IF(K459&gt;0,1,0)</f>
        <v>1</v>
      </c>
      <c r="N459" s="11" t="n">
        <f aca="false">SUMIFS(K$2:K459,A$2:A459,A459,B$2:B459,B459)</f>
        <v>3032515</v>
      </c>
      <c r="O459" s="11" t="n">
        <f aca="false">MAX(0,_xlfn.MAXIFS(N$2:N459,A$2:A459,A459,B$2:B459,B459))</f>
        <v>3710987</v>
      </c>
      <c r="P459" s="11" t="n">
        <f aca="false">N459-O459</f>
        <v>-678472</v>
      </c>
    </row>
    <row r="460" customFormat="false" ht="15" hidden="false" customHeight="false" outlineLevel="0" collapsed="false">
      <c r="A460" s="8" t="s">
        <v>39</v>
      </c>
      <c r="B460" s="8" t="s">
        <v>35</v>
      </c>
      <c r="C460" s="8" t="s">
        <v>56</v>
      </c>
      <c r="D460" s="21" t="n">
        <v>46216.4173611111</v>
      </c>
      <c r="E460" s="21" t="n">
        <v>46217.75</v>
      </c>
      <c r="F460" s="22" t="n">
        <f aca="false">DATE(YEAR(E460),MONTH(E460),1)</f>
        <v>46204</v>
      </c>
      <c r="G460" s="23" t="n">
        <v>144749</v>
      </c>
      <c r="H460" s="8" t="s">
        <v>58</v>
      </c>
      <c r="I460" s="24" t="n">
        <v>174.2</v>
      </c>
      <c r="J460" s="25" t="n">
        <f aca="false">Summary!$B$4</f>
        <v>1</v>
      </c>
      <c r="K460" s="11" t="n">
        <f aca="false">I460*J460*IF(A460="SILVER",Summary!$B$5,Summary!$B$6)</f>
        <v>17420</v>
      </c>
      <c r="L460" s="26" t="n">
        <v>0.082</v>
      </c>
      <c r="M460" s="27" t="n">
        <f aca="false">IF(K460&gt;0,1,0)</f>
        <v>1</v>
      </c>
      <c r="N460" s="11" t="n">
        <f aca="false">SUMIFS(K$2:K460,A$2:A460,A460,B$2:B460,B460)</f>
        <v>3049935</v>
      </c>
      <c r="O460" s="11" t="n">
        <f aca="false">MAX(0,_xlfn.MAXIFS(N$2:N460,A$2:A460,A460,B$2:B460,B460))</f>
        <v>3710987</v>
      </c>
      <c r="P460" s="11" t="n">
        <f aca="false">N460-O460</f>
        <v>-661052</v>
      </c>
    </row>
    <row r="461" customFormat="false" ht="15" hidden="false" customHeight="false" outlineLevel="0" collapsed="false">
      <c r="A461" s="8" t="s">
        <v>39</v>
      </c>
      <c r="B461" s="8" t="s">
        <v>35</v>
      </c>
      <c r="C461" s="8" t="s">
        <v>56</v>
      </c>
      <c r="D461" s="21" t="n">
        <v>46219.9166666667</v>
      </c>
      <c r="E461" s="21" t="n">
        <v>46224.4166666667</v>
      </c>
      <c r="F461" s="22" t="n">
        <f aca="false">DATE(YEAR(E461),MONTH(E461),1)</f>
        <v>46204</v>
      </c>
      <c r="G461" s="23" t="n">
        <v>142949</v>
      </c>
      <c r="H461" s="8" t="s">
        <v>55</v>
      </c>
      <c r="I461" s="24" t="n">
        <v>-2028.26</v>
      </c>
      <c r="J461" s="25" t="n">
        <f aca="false">Summary!$B$4</f>
        <v>1</v>
      </c>
      <c r="K461" s="11" t="n">
        <f aca="false">I461*J461*IF(A461="SILVER",Summary!$B$5,Summary!$B$6)</f>
        <v>-202826</v>
      </c>
      <c r="L461" s="26" t="n">
        <v>-0.849</v>
      </c>
      <c r="M461" s="27" t="n">
        <f aca="false">IF(K461&gt;0,1,0)</f>
        <v>0</v>
      </c>
      <c r="N461" s="11" t="n">
        <f aca="false">SUMIFS(K$2:K461,A$2:A461,A461,B$2:B461,B461)</f>
        <v>2847109</v>
      </c>
      <c r="O461" s="11" t="n">
        <f aca="false">MAX(0,_xlfn.MAXIFS(N$2:N461,A$2:A461,A461,B$2:B461,B461))</f>
        <v>3710987</v>
      </c>
      <c r="P461" s="11" t="n">
        <f aca="false">N461-O461</f>
        <v>-863878</v>
      </c>
    </row>
    <row r="462" customFormat="false" ht="15" hidden="false" customHeight="false" outlineLevel="0" collapsed="false">
      <c r="A462" s="8" t="s">
        <v>39</v>
      </c>
      <c r="B462" s="8" t="s">
        <v>35</v>
      </c>
      <c r="C462" s="8" t="s">
        <v>56</v>
      </c>
      <c r="D462" s="21" t="n">
        <v>46226.625</v>
      </c>
      <c r="E462" s="21" t="n">
        <v>46230.3909722222</v>
      </c>
      <c r="F462" s="22" t="n">
        <f aca="false">DATE(YEAR(E462),MONTH(E462),1)</f>
        <v>46204</v>
      </c>
      <c r="G462" s="23" t="n">
        <v>146780</v>
      </c>
      <c r="H462" s="8" t="s">
        <v>58</v>
      </c>
      <c r="I462" s="24" t="n">
        <v>138.19</v>
      </c>
      <c r="J462" s="25" t="n">
        <f aca="false">Summary!$B$4</f>
        <v>1</v>
      </c>
      <c r="K462" s="11" t="n">
        <f aca="false">I462*J462*IF(A462="SILVER",Summary!$B$5,Summary!$B$6)</f>
        <v>13819</v>
      </c>
      <c r="L462" s="26" t="n">
        <v>0.077</v>
      </c>
      <c r="M462" s="27" t="n">
        <f aca="false">IF(K462&gt;0,1,0)</f>
        <v>1</v>
      </c>
      <c r="N462" s="11" t="n">
        <f aca="false">SUMIFS(K$2:K462,A$2:A462,A462,B$2:B462,B462)</f>
        <v>2860928</v>
      </c>
      <c r="O462" s="11" t="n">
        <f aca="false">MAX(0,_xlfn.MAXIFS(N$2:N462,A$2:A462,A462,B$2:B462,B462))</f>
        <v>3710987</v>
      </c>
      <c r="P462" s="11" t="n">
        <f aca="false">N462-O462</f>
        <v>-850059</v>
      </c>
    </row>
    <row r="463" customFormat="false" ht="15" hidden="false" customHeight="false" outlineLevel="0" collapsed="false">
      <c r="A463" s="8" t="s">
        <v>39</v>
      </c>
      <c r="B463" s="8" t="s">
        <v>35</v>
      </c>
      <c r="C463" s="8" t="s">
        <v>56</v>
      </c>
      <c r="D463" s="21" t="n">
        <v>46231.4166666667</v>
      </c>
      <c r="E463" s="21" t="n">
        <v>46232.9423611111</v>
      </c>
      <c r="F463" s="22" t="n">
        <f aca="false">DATE(YEAR(E463),MONTH(E463),1)</f>
        <v>46204</v>
      </c>
      <c r="G463" s="23" t="n">
        <v>144489</v>
      </c>
      <c r="H463" s="8" t="s">
        <v>58</v>
      </c>
      <c r="I463" s="24" t="n">
        <v>166.95</v>
      </c>
      <c r="J463" s="25" t="n">
        <f aca="false">Summary!$B$4</f>
        <v>1</v>
      </c>
      <c r="K463" s="11" t="n">
        <f aca="false">I463*J463*IF(A463="SILVER",Summary!$B$5,Summary!$B$6)</f>
        <v>16695</v>
      </c>
      <c r="L463" s="26" t="n">
        <v>0.081</v>
      </c>
      <c r="M463" s="27" t="n">
        <f aca="false">IF(K463&gt;0,1,0)</f>
        <v>1</v>
      </c>
      <c r="N463" s="11" t="n">
        <f aca="false">SUMIFS(K$2:K463,A$2:A463,A463,B$2:B463,B463)</f>
        <v>2877623</v>
      </c>
      <c r="O463" s="11" t="n">
        <f aca="false">MAX(0,_xlfn.MAXIFS(N$2:N463,A$2:A463,A463,B$2:B463,B463))</f>
        <v>3710987</v>
      </c>
      <c r="P463" s="11" t="n">
        <f aca="false">N463-O463</f>
        <v>-833364</v>
      </c>
    </row>
    <row r="464" customFormat="false" ht="15" hidden="false" customHeight="false" outlineLevel="0" collapsed="false">
      <c r="A464" s="8" t="s">
        <v>39</v>
      </c>
      <c r="B464" s="8" t="s">
        <v>35</v>
      </c>
      <c r="C464" s="8" t="s">
        <v>56</v>
      </c>
      <c r="D464" s="21" t="n">
        <v>46237.7993055556</v>
      </c>
      <c r="E464" s="21" t="n">
        <v>46239.3930555556</v>
      </c>
      <c r="F464" s="22" t="n">
        <f aca="false">DATE(YEAR(E464),MONTH(E464),1)</f>
        <v>46235</v>
      </c>
      <c r="G464" s="23" t="n">
        <v>143630</v>
      </c>
      <c r="H464" s="8" t="s">
        <v>55</v>
      </c>
      <c r="I464" s="24" t="n">
        <v>-2585.39</v>
      </c>
      <c r="J464" s="25" t="n">
        <f aca="false">Summary!$B$4</f>
        <v>1</v>
      </c>
      <c r="K464" s="11" t="n">
        <f aca="false">I464*J464*IF(A464="SILVER",Summary!$B$5,Summary!$B$6)</f>
        <v>-258539</v>
      </c>
      <c r="L464" s="26" t="n">
        <v>-1.37</v>
      </c>
      <c r="M464" s="27" t="n">
        <f aca="false">IF(K464&gt;0,1,0)</f>
        <v>0</v>
      </c>
      <c r="N464" s="11" t="n">
        <f aca="false">SUMIFS(K$2:K464,A$2:A464,A464,B$2:B464,B464)</f>
        <v>2619084</v>
      </c>
      <c r="O464" s="11" t="n">
        <f aca="false">MAX(0,_xlfn.MAXIFS(N$2:N464,A$2:A464,A464,B$2:B464,B464))</f>
        <v>3710987</v>
      </c>
      <c r="P464" s="11" t="n">
        <f aca="false">N464-O464</f>
        <v>-1091903</v>
      </c>
    </row>
    <row r="465" customFormat="false" ht="15" hidden="false" customHeight="false" outlineLevel="0" collapsed="false">
      <c r="A465" s="8" t="s">
        <v>39</v>
      </c>
      <c r="B465" s="8" t="s">
        <v>35</v>
      </c>
      <c r="C465" s="8" t="s">
        <v>54</v>
      </c>
      <c r="D465" s="21" t="n">
        <v>46248.8333333333</v>
      </c>
      <c r="E465" s="21" t="n">
        <v>46251.3756944445</v>
      </c>
      <c r="F465" s="22" t="n">
        <f aca="false">DATE(YEAR(E465),MONTH(E465),1)</f>
        <v>46235</v>
      </c>
      <c r="G465" s="23" t="n">
        <v>154700</v>
      </c>
      <c r="H465" s="8" t="s">
        <v>58</v>
      </c>
      <c r="I465" s="24" t="n">
        <v>159.03</v>
      </c>
      <c r="J465" s="25" t="n">
        <f aca="false">Summary!$B$4</f>
        <v>1</v>
      </c>
      <c r="K465" s="11" t="n">
        <f aca="false">I465*J465*IF(A465="SILVER",Summary!$B$5,Summary!$B$6)</f>
        <v>15903</v>
      </c>
      <c r="L465" s="26" t="n">
        <v>0.069</v>
      </c>
      <c r="M465" s="27" t="n">
        <f aca="false">IF(K465&gt;0,1,0)</f>
        <v>1</v>
      </c>
      <c r="N465" s="11" t="n">
        <f aca="false">SUMIFS(K$2:K465,A$2:A465,A465,B$2:B465,B465)</f>
        <v>2634987</v>
      </c>
      <c r="O465" s="11" t="n">
        <f aca="false">MAX(0,_xlfn.MAXIFS(N$2:N465,A$2:A465,A465,B$2:B465,B465))</f>
        <v>3710987</v>
      </c>
      <c r="P465" s="11" t="n">
        <f aca="false">N465-O465</f>
        <v>-1076000</v>
      </c>
    </row>
    <row r="466" customFormat="false" ht="15" hidden="false" customHeight="false" outlineLevel="0" collapsed="false">
      <c r="A466" s="8" t="s">
        <v>39</v>
      </c>
      <c r="B466" s="8" t="s">
        <v>35</v>
      </c>
      <c r="C466" s="8" t="s">
        <v>54</v>
      </c>
      <c r="D466" s="21" t="n">
        <v>46253.7916666667</v>
      </c>
      <c r="E466" s="21" t="n">
        <v>46260.7916666667</v>
      </c>
      <c r="F466" s="22" t="n">
        <f aca="false">DATE(YEAR(E466),MONTH(E466),1)</f>
        <v>46235</v>
      </c>
      <c r="G466" s="23" t="n">
        <v>157121</v>
      </c>
      <c r="H466" s="8" t="s">
        <v>55</v>
      </c>
      <c r="I466" s="24" t="n">
        <v>4739.11</v>
      </c>
      <c r="J466" s="25" t="n">
        <f aca="false">Summary!$B$4</f>
        <v>1</v>
      </c>
      <c r="K466" s="11" t="n">
        <f aca="false">I466*J466*IF(A466="SILVER",Summary!$B$5,Summary!$B$6)</f>
        <v>473911</v>
      </c>
      <c r="L466" s="26" t="n">
        <v>1.371</v>
      </c>
      <c r="M466" s="27" t="n">
        <f aca="false">IF(K466&gt;0,1,0)</f>
        <v>1</v>
      </c>
      <c r="N466" s="11" t="n">
        <f aca="false">SUMIFS(K$2:K466,A$2:A466,A466,B$2:B466,B466)</f>
        <v>3108898</v>
      </c>
      <c r="O466" s="11" t="n">
        <f aca="false">MAX(0,_xlfn.MAXIFS(N$2:N466,A$2:A466,A466,B$2:B466,B466))</f>
        <v>3710987</v>
      </c>
      <c r="P466" s="11" t="n">
        <f aca="false">N466-O466</f>
        <v>-602089</v>
      </c>
    </row>
    <row r="467" customFormat="false" ht="15" hidden="false" customHeight="false" outlineLevel="0" collapsed="false">
      <c r="A467" s="8" t="s">
        <v>39</v>
      </c>
      <c r="B467" s="8" t="s">
        <v>35</v>
      </c>
      <c r="C467" s="8" t="s">
        <v>56</v>
      </c>
      <c r="D467" s="21" t="n">
        <v>46269.7916666667</v>
      </c>
      <c r="E467" s="21" t="n">
        <v>46276.4694444445</v>
      </c>
      <c r="F467" s="22" t="n">
        <f aca="false">DATE(YEAR(E467),MONTH(E467),1)</f>
        <v>46266</v>
      </c>
      <c r="G467" s="23" t="n">
        <v>152540</v>
      </c>
      <c r="H467" s="8" t="s">
        <v>58</v>
      </c>
      <c r="I467" s="24" t="n">
        <v>323.17</v>
      </c>
      <c r="J467" s="25" t="n">
        <f aca="false">Summary!$B$4</f>
        <v>1</v>
      </c>
      <c r="K467" s="11" t="n">
        <f aca="false">I467*J467*IF(A467="SILVER",Summary!$B$5,Summary!$B$6)</f>
        <v>32317</v>
      </c>
      <c r="L467" s="26" t="n">
        <v>0.089</v>
      </c>
      <c r="M467" s="27" t="n">
        <f aca="false">IF(K467&gt;0,1,0)</f>
        <v>1</v>
      </c>
      <c r="N467" s="11" t="n">
        <f aca="false">SUMIFS(K$2:K467,A$2:A467,A467,B$2:B467,B467)</f>
        <v>3141215</v>
      </c>
      <c r="O467" s="11" t="n">
        <f aca="false">MAX(0,_xlfn.MAXIFS(N$2:N467,A$2:A467,A467,B$2:B467,B467))</f>
        <v>3710987</v>
      </c>
      <c r="P467" s="11" t="n">
        <f aca="false">N467-O467</f>
        <v>-569772</v>
      </c>
    </row>
    <row r="468" customFormat="false" ht="15" hidden="false" customHeight="false" outlineLevel="0" collapsed="false">
      <c r="A468" s="8" t="s">
        <v>39</v>
      </c>
      <c r="B468" s="8" t="s">
        <v>35</v>
      </c>
      <c r="C468" s="8" t="s">
        <v>56</v>
      </c>
      <c r="D468" s="21" t="n">
        <v>46287.5833333333</v>
      </c>
      <c r="E468" s="21" t="n">
        <v>46288.9784722222</v>
      </c>
      <c r="F468" s="22" t="n">
        <f aca="false">DATE(YEAR(E468),MONTH(E468),1)</f>
        <v>46266</v>
      </c>
      <c r="G468" s="23" t="n">
        <v>151850</v>
      </c>
      <c r="H468" s="8" t="s">
        <v>57</v>
      </c>
      <c r="I468" s="24" t="n">
        <v>449.67</v>
      </c>
      <c r="J468" s="25" t="n">
        <f aca="false">Summary!$B$4</f>
        <v>1</v>
      </c>
      <c r="K468" s="11" t="n">
        <f aca="false">I468*J468*IF(A468="SILVER",Summary!$B$5,Summary!$B$6)</f>
        <v>44967</v>
      </c>
      <c r="L468" s="26" t="n">
        <v>0.198</v>
      </c>
      <c r="M468" s="27" t="n">
        <f aca="false">IF(K468&gt;0,1,0)</f>
        <v>1</v>
      </c>
      <c r="N468" s="11" t="n">
        <f aca="false">SUMIFS(K$2:K468,A$2:A468,A468,B$2:B468,B468)</f>
        <v>3186182</v>
      </c>
      <c r="O468" s="11" t="n">
        <f aca="false">MAX(0,_xlfn.MAXIFS(N$2:N468,A$2:A468,A468,B$2:B468,B468))</f>
        <v>3710987</v>
      </c>
      <c r="P468" s="11" t="n">
        <f aca="false">N468-O468</f>
        <v>-524805</v>
      </c>
    </row>
    <row r="469" customFormat="false" ht="15" hidden="false" customHeight="false" outlineLevel="0" collapsed="false">
      <c r="A469" s="8" t="s">
        <v>39</v>
      </c>
      <c r="B469" s="8" t="s">
        <v>37</v>
      </c>
      <c r="C469" s="8" t="s">
        <v>54</v>
      </c>
      <c r="D469" s="21" t="n">
        <v>45693.3909722222</v>
      </c>
      <c r="E469" s="21" t="n">
        <v>45699.7708333333</v>
      </c>
      <c r="F469" s="22" t="n">
        <f aca="false">DATE(YEAR(E469),MONTH(E469),1)</f>
        <v>45689</v>
      </c>
      <c r="G469" s="23" t="n">
        <v>104684</v>
      </c>
      <c r="H469" s="8" t="s">
        <v>55</v>
      </c>
      <c r="I469" s="24" t="n">
        <v>869.09</v>
      </c>
      <c r="J469" s="25" t="n">
        <f aca="false">Summary!$B$4</f>
        <v>1</v>
      </c>
      <c r="K469" s="11" t="n">
        <f aca="false">I469*J469*IF(A469="SILVER",Summary!$B$5,Summary!$B$6)</f>
        <v>86909</v>
      </c>
      <c r="L469" s="26" t="n">
        <v>0.572</v>
      </c>
      <c r="M469" s="27" t="n">
        <f aca="false">IF(K469&gt;0,1,0)</f>
        <v>1</v>
      </c>
      <c r="N469" s="11" t="n">
        <f aca="false">SUMIFS(K$2:K469,A$2:A469,A469,B$2:B469,B469)</f>
        <v>86909</v>
      </c>
      <c r="O469" s="11" t="n">
        <f aca="false">MAX(0,_xlfn.MAXIFS(N$2:N469,A$2:A469,A469,B$2:B469,B469))</f>
        <v>86909</v>
      </c>
      <c r="P469" s="11" t="n">
        <f aca="false">N469-O469</f>
        <v>0</v>
      </c>
    </row>
    <row r="470" customFormat="false" ht="15" hidden="false" customHeight="false" outlineLevel="0" collapsed="false">
      <c r="A470" s="8" t="s">
        <v>39</v>
      </c>
      <c r="B470" s="8" t="s">
        <v>37</v>
      </c>
      <c r="C470" s="8" t="s">
        <v>54</v>
      </c>
      <c r="D470" s="21" t="n">
        <v>45701.4166666667</v>
      </c>
      <c r="E470" s="21" t="n">
        <v>45702.875</v>
      </c>
      <c r="F470" s="22" t="n">
        <f aca="false">DATE(YEAR(E470),MONTH(E470),1)</f>
        <v>45689</v>
      </c>
      <c r="G470" s="23" t="n">
        <v>106410</v>
      </c>
      <c r="H470" s="8" t="s">
        <v>55</v>
      </c>
      <c r="I470" s="24" t="n">
        <v>-896.08</v>
      </c>
      <c r="J470" s="25" t="n">
        <f aca="false">Summary!$B$4</f>
        <v>1</v>
      </c>
      <c r="K470" s="11" t="n">
        <f aca="false">I470*J470*IF(A470="SILVER",Summary!$B$5,Summary!$B$6)</f>
        <v>-89608</v>
      </c>
      <c r="L470" s="26" t="n">
        <v>-0.768</v>
      </c>
      <c r="M470" s="27" t="n">
        <f aca="false">IF(K470&gt;0,1,0)</f>
        <v>0</v>
      </c>
      <c r="N470" s="11" t="n">
        <f aca="false">SUMIFS(K$2:K470,A$2:A470,A470,B$2:B470,B470)</f>
        <v>-2699</v>
      </c>
      <c r="O470" s="11" t="n">
        <f aca="false">MAX(0,_xlfn.MAXIFS(N$2:N470,A$2:A470,A470,B$2:B470,B470))</f>
        <v>86909</v>
      </c>
      <c r="P470" s="11" t="n">
        <f aca="false">N470-O470</f>
        <v>-89608</v>
      </c>
    </row>
    <row r="471" customFormat="false" ht="15" hidden="false" customHeight="false" outlineLevel="0" collapsed="false">
      <c r="A471" s="8" t="s">
        <v>39</v>
      </c>
      <c r="B471" s="8" t="s">
        <v>37</v>
      </c>
      <c r="C471" s="8" t="s">
        <v>54</v>
      </c>
      <c r="D471" s="21" t="n">
        <v>45706.8333333333</v>
      </c>
      <c r="E471" s="21" t="n">
        <v>45707.9944444444</v>
      </c>
      <c r="F471" s="22" t="n">
        <f aca="false">DATE(YEAR(E471),MONTH(E471),1)</f>
        <v>45689</v>
      </c>
      <c r="G471" s="23" t="n">
        <v>106372</v>
      </c>
      <c r="H471" s="8" t="s">
        <v>58</v>
      </c>
      <c r="I471" s="24" t="n">
        <v>37.83</v>
      </c>
      <c r="J471" s="25" t="n">
        <f aca="false">Summary!$B$4</f>
        <v>1</v>
      </c>
      <c r="K471" s="11" t="n">
        <f aca="false">I471*J471*IF(A471="SILVER",Summary!$B$5,Summary!$B$6)</f>
        <v>3783</v>
      </c>
      <c r="L471" s="26" t="n">
        <v>0.056</v>
      </c>
      <c r="M471" s="27" t="n">
        <f aca="false">IF(K471&gt;0,1,0)</f>
        <v>1</v>
      </c>
      <c r="N471" s="11" t="n">
        <f aca="false">SUMIFS(K$2:K471,A$2:A471,A471,B$2:B471,B471)</f>
        <v>1084</v>
      </c>
      <c r="O471" s="11" t="n">
        <f aca="false">MAX(0,_xlfn.MAXIFS(N$2:N471,A$2:A471,A471,B$2:B471,B471))</f>
        <v>86909</v>
      </c>
      <c r="P471" s="11" t="n">
        <f aca="false">N471-O471</f>
        <v>-85825</v>
      </c>
    </row>
    <row r="472" customFormat="false" ht="15" hidden="false" customHeight="false" outlineLevel="0" collapsed="false">
      <c r="A472" s="8" t="s">
        <v>39</v>
      </c>
      <c r="B472" s="8" t="s">
        <v>37</v>
      </c>
      <c r="C472" s="8" t="s">
        <v>54</v>
      </c>
      <c r="D472" s="21" t="n">
        <v>45719.875</v>
      </c>
      <c r="E472" s="21" t="n">
        <v>45721.8055555556</v>
      </c>
      <c r="F472" s="22" t="n">
        <f aca="false">DATE(YEAR(E472),MONTH(E472),1)</f>
        <v>45717</v>
      </c>
      <c r="G472" s="23" t="n">
        <v>105861</v>
      </c>
      <c r="H472" s="8" t="s">
        <v>58</v>
      </c>
      <c r="I472" s="24" t="n">
        <v>81.24</v>
      </c>
      <c r="J472" s="25" t="n">
        <f aca="false">Summary!$B$4</f>
        <v>1</v>
      </c>
      <c r="K472" s="11" t="n">
        <f aca="false">I472*J472*IF(A472="SILVER",Summary!$B$5,Summary!$B$6)</f>
        <v>8124</v>
      </c>
      <c r="L472" s="26" t="n">
        <v>0.075</v>
      </c>
      <c r="M472" s="27" t="n">
        <f aca="false">IF(K472&gt;0,1,0)</f>
        <v>1</v>
      </c>
      <c r="N472" s="11" t="n">
        <f aca="false">SUMIFS(K$2:K472,A$2:A472,A472,B$2:B472,B472)</f>
        <v>9208</v>
      </c>
      <c r="O472" s="11" t="n">
        <f aca="false">MAX(0,_xlfn.MAXIFS(N$2:N472,A$2:A472,A472,B$2:B472,B472))</f>
        <v>86909</v>
      </c>
      <c r="P472" s="11" t="n">
        <f aca="false">N472-O472</f>
        <v>-77701</v>
      </c>
    </row>
    <row r="473" customFormat="false" ht="15" hidden="false" customHeight="false" outlineLevel="0" collapsed="false">
      <c r="A473" s="8" t="s">
        <v>39</v>
      </c>
      <c r="B473" s="8" t="s">
        <v>37</v>
      </c>
      <c r="C473" s="8" t="s">
        <v>54</v>
      </c>
      <c r="D473" s="21" t="n">
        <v>45723.8541666667</v>
      </c>
      <c r="E473" s="21" t="n">
        <v>45727.375</v>
      </c>
      <c r="F473" s="22" t="n">
        <f aca="false">DATE(YEAR(E473),MONTH(E473),1)</f>
        <v>45717</v>
      </c>
      <c r="G473" s="23" t="n">
        <v>106850</v>
      </c>
      <c r="H473" s="8" t="s">
        <v>55</v>
      </c>
      <c r="I473" s="24" t="n">
        <v>-712.17</v>
      </c>
      <c r="J473" s="25" t="n">
        <f aca="false">Summary!$B$4</f>
        <v>1</v>
      </c>
      <c r="K473" s="11" t="n">
        <f aca="false">I473*J473*IF(A473="SILVER",Summary!$B$5,Summary!$B$6)</f>
        <v>-71217</v>
      </c>
      <c r="L473" s="26" t="n">
        <v>-0.818</v>
      </c>
      <c r="M473" s="27" t="n">
        <f aca="false">IF(K473&gt;0,1,0)</f>
        <v>0</v>
      </c>
      <c r="N473" s="11" t="n">
        <f aca="false">SUMIFS(K$2:K473,A$2:A473,A473,B$2:B473,B473)</f>
        <v>-62009</v>
      </c>
      <c r="O473" s="11" t="n">
        <f aca="false">MAX(0,_xlfn.MAXIFS(N$2:N473,A$2:A473,A473,B$2:B473,B473))</f>
        <v>86909</v>
      </c>
      <c r="P473" s="11" t="n">
        <f aca="false">N473-O473</f>
        <v>-148918</v>
      </c>
    </row>
    <row r="474" customFormat="false" ht="15" hidden="false" customHeight="false" outlineLevel="0" collapsed="false">
      <c r="A474" s="8" t="s">
        <v>39</v>
      </c>
      <c r="B474" s="8" t="s">
        <v>37</v>
      </c>
      <c r="C474" s="8" t="s">
        <v>54</v>
      </c>
      <c r="D474" s="21" t="n">
        <v>45728.9166666667</v>
      </c>
      <c r="E474" s="21" t="n">
        <v>45737.4583333333</v>
      </c>
      <c r="F474" s="22" t="n">
        <f aca="false">DATE(YEAR(E474),MONTH(E474),1)</f>
        <v>45717</v>
      </c>
      <c r="G474" s="23" t="n">
        <v>107232</v>
      </c>
      <c r="H474" s="8" t="s">
        <v>55</v>
      </c>
      <c r="I474" s="24" t="n">
        <v>1602.5</v>
      </c>
      <c r="J474" s="25" t="n">
        <f aca="false">Summary!$B$4</f>
        <v>1</v>
      </c>
      <c r="K474" s="11" t="n">
        <f aca="false">I474*J474*IF(A474="SILVER",Summary!$B$5,Summary!$B$6)</f>
        <v>160250</v>
      </c>
      <c r="L474" s="26" t="n">
        <v>1.669</v>
      </c>
      <c r="M474" s="27" t="n">
        <f aca="false">IF(K474&gt;0,1,0)</f>
        <v>1</v>
      </c>
      <c r="N474" s="11" t="n">
        <f aca="false">SUMIFS(K$2:K474,A$2:A474,A474,B$2:B474,B474)</f>
        <v>98241</v>
      </c>
      <c r="O474" s="11" t="n">
        <f aca="false">MAX(0,_xlfn.MAXIFS(N$2:N474,A$2:A474,A474,B$2:B474,B474))</f>
        <v>98241</v>
      </c>
      <c r="P474" s="11" t="n">
        <f aca="false">N474-O474</f>
        <v>0</v>
      </c>
    </row>
    <row r="475" customFormat="false" ht="15" hidden="false" customHeight="false" outlineLevel="0" collapsed="false">
      <c r="A475" s="8" t="s">
        <v>39</v>
      </c>
      <c r="B475" s="8" t="s">
        <v>37</v>
      </c>
      <c r="C475" s="8" t="s">
        <v>54</v>
      </c>
      <c r="D475" s="21" t="n">
        <v>45743.4166666667</v>
      </c>
      <c r="E475" s="21" t="n">
        <v>45750.6861111111</v>
      </c>
      <c r="F475" s="22" t="n">
        <f aca="false">DATE(YEAR(E475),MONTH(E475),1)</f>
        <v>45748</v>
      </c>
      <c r="G475" s="23" t="n">
        <v>108663</v>
      </c>
      <c r="H475" s="8" t="s">
        <v>55</v>
      </c>
      <c r="I475" s="24" t="n">
        <v>1771.18</v>
      </c>
      <c r="J475" s="25" t="n">
        <f aca="false">Summary!$B$4</f>
        <v>1</v>
      </c>
      <c r="K475" s="11" t="n">
        <f aca="false">I475*J475*IF(A475="SILVER",Summary!$B$5,Summary!$B$6)</f>
        <v>177118</v>
      </c>
      <c r="L475" s="26" t="n">
        <v>2.007</v>
      </c>
      <c r="M475" s="27" t="n">
        <f aca="false">IF(K475&gt;0,1,0)</f>
        <v>1</v>
      </c>
      <c r="N475" s="11" t="n">
        <f aca="false">SUMIFS(K$2:K475,A$2:A475,A475,B$2:B475,B475)</f>
        <v>275359</v>
      </c>
      <c r="O475" s="11" t="n">
        <f aca="false">MAX(0,_xlfn.MAXIFS(N$2:N475,A$2:A475,A475,B$2:B475,B475))</f>
        <v>275359</v>
      </c>
      <c r="P475" s="11" t="n">
        <f aca="false">N475-O475</f>
        <v>0</v>
      </c>
    </row>
    <row r="476" customFormat="false" ht="15" hidden="false" customHeight="false" outlineLevel="0" collapsed="false">
      <c r="A476" s="8" t="s">
        <v>39</v>
      </c>
      <c r="B476" s="8" t="s">
        <v>37</v>
      </c>
      <c r="C476" s="8" t="s">
        <v>54</v>
      </c>
      <c r="D476" s="21" t="n">
        <v>45750.8618055556</v>
      </c>
      <c r="E476" s="21" t="n">
        <v>45751.8173611111</v>
      </c>
      <c r="F476" s="22" t="n">
        <f aca="false">DATE(YEAR(E476),MONTH(E476),1)</f>
        <v>45748</v>
      </c>
      <c r="G476" s="23" t="n">
        <v>111162</v>
      </c>
      <c r="H476" s="8" t="s">
        <v>55</v>
      </c>
      <c r="I476" s="24" t="n">
        <v>-1827.97</v>
      </c>
      <c r="J476" s="25" t="n">
        <f aca="false">Summary!$B$4</f>
        <v>1</v>
      </c>
      <c r="K476" s="11" t="n">
        <f aca="false">I476*J476*IF(A476="SILVER",Summary!$B$5,Summary!$B$6)</f>
        <v>-182797</v>
      </c>
      <c r="L476" s="26" t="n">
        <v>-1.17</v>
      </c>
      <c r="M476" s="27" t="n">
        <f aca="false">IF(K476&gt;0,1,0)</f>
        <v>0</v>
      </c>
      <c r="N476" s="11" t="n">
        <f aca="false">SUMIFS(K$2:K476,A$2:A476,A476,B$2:B476,B476)</f>
        <v>92562</v>
      </c>
      <c r="O476" s="11" t="n">
        <f aca="false">MAX(0,_xlfn.MAXIFS(N$2:N476,A$2:A476,A476,B$2:B476,B476))</f>
        <v>275359</v>
      </c>
      <c r="P476" s="11" t="n">
        <f aca="false">N476-O476</f>
        <v>-182797</v>
      </c>
    </row>
    <row r="477" customFormat="false" ht="15" hidden="false" customHeight="false" outlineLevel="0" collapsed="false">
      <c r="A477" s="8" t="s">
        <v>39</v>
      </c>
      <c r="B477" s="8" t="s">
        <v>37</v>
      </c>
      <c r="C477" s="8" t="s">
        <v>54</v>
      </c>
      <c r="D477" s="21" t="n">
        <v>45756.5208333333</v>
      </c>
      <c r="E477" s="21" t="n">
        <v>45764.8541666667</v>
      </c>
      <c r="F477" s="22" t="n">
        <f aca="false">DATE(YEAR(E477),MONTH(E477),1)</f>
        <v>45748</v>
      </c>
      <c r="G477" s="23" t="n">
        <v>110538</v>
      </c>
      <c r="H477" s="8" t="s">
        <v>55</v>
      </c>
      <c r="I477" s="24" t="n">
        <v>5085.61</v>
      </c>
      <c r="J477" s="25" t="n">
        <f aca="false">Summary!$B$4</f>
        <v>1</v>
      </c>
      <c r="K477" s="11" t="n">
        <f aca="false">I477*J477*IF(A477="SILVER",Summary!$B$5,Summary!$B$6)</f>
        <v>508561</v>
      </c>
      <c r="L477" s="26" t="n">
        <v>2.554</v>
      </c>
      <c r="M477" s="27" t="n">
        <f aca="false">IF(K477&gt;0,1,0)</f>
        <v>1</v>
      </c>
      <c r="N477" s="11" t="n">
        <f aca="false">SUMIFS(K$2:K477,A$2:A477,A477,B$2:B477,B477)</f>
        <v>601123</v>
      </c>
      <c r="O477" s="11" t="n">
        <f aca="false">MAX(0,_xlfn.MAXIFS(N$2:N477,A$2:A477,A477,B$2:B477,B477))</f>
        <v>601123</v>
      </c>
      <c r="P477" s="11" t="n">
        <f aca="false">N477-O477</f>
        <v>0</v>
      </c>
    </row>
    <row r="478" customFormat="false" ht="15" hidden="false" customHeight="false" outlineLevel="0" collapsed="false">
      <c r="A478" s="8" t="s">
        <v>39</v>
      </c>
      <c r="B478" s="8" t="s">
        <v>37</v>
      </c>
      <c r="C478" s="8" t="s">
        <v>54</v>
      </c>
      <c r="D478" s="21" t="n">
        <v>45768.3958333333</v>
      </c>
      <c r="E478" s="21" t="n">
        <v>45769.9166666667</v>
      </c>
      <c r="F478" s="22" t="n">
        <f aca="false">DATE(YEAR(E478),MONTH(E478),1)</f>
        <v>45748</v>
      </c>
      <c r="G478" s="23" t="n">
        <v>117716</v>
      </c>
      <c r="H478" s="8" t="s">
        <v>55</v>
      </c>
      <c r="I478" s="24" t="n">
        <v>307.66</v>
      </c>
      <c r="J478" s="25" t="n">
        <f aca="false">Summary!$B$4</f>
        <v>1</v>
      </c>
      <c r="K478" s="11" t="n">
        <f aca="false">I478*J478*IF(A478="SILVER",Summary!$B$5,Summary!$B$6)</f>
        <v>30766</v>
      </c>
      <c r="L478" s="26" t="n">
        <v>0.168</v>
      </c>
      <c r="M478" s="27" t="n">
        <f aca="false">IF(K478&gt;0,1,0)</f>
        <v>1</v>
      </c>
      <c r="N478" s="11" t="n">
        <f aca="false">SUMIFS(K$2:K478,A$2:A478,A478,B$2:B478,B478)</f>
        <v>631889</v>
      </c>
      <c r="O478" s="11" t="n">
        <f aca="false">MAX(0,_xlfn.MAXIFS(N$2:N478,A$2:A478,A478,B$2:B478,B478))</f>
        <v>631889</v>
      </c>
      <c r="P478" s="11" t="n">
        <f aca="false">N478-O478</f>
        <v>0</v>
      </c>
    </row>
    <row r="479" customFormat="false" ht="15" hidden="false" customHeight="false" outlineLevel="0" collapsed="false">
      <c r="A479" s="8" t="s">
        <v>39</v>
      </c>
      <c r="B479" s="8" t="s">
        <v>37</v>
      </c>
      <c r="C479" s="8" t="s">
        <v>54</v>
      </c>
      <c r="D479" s="21" t="n">
        <v>45775.9166666667</v>
      </c>
      <c r="E479" s="21" t="n">
        <v>45777.5833333333</v>
      </c>
      <c r="F479" s="22" t="n">
        <f aca="false">DATE(YEAR(E479),MONTH(E479),1)</f>
        <v>45748</v>
      </c>
      <c r="G479" s="23" t="n">
        <v>116972</v>
      </c>
      <c r="H479" s="8" t="s">
        <v>55</v>
      </c>
      <c r="I479" s="24" t="n">
        <v>-1529.01</v>
      </c>
      <c r="J479" s="25" t="n">
        <f aca="false">Summary!$B$4</f>
        <v>1</v>
      </c>
      <c r="K479" s="11" t="n">
        <f aca="false">I479*J479*IF(A479="SILVER",Summary!$B$5,Summary!$B$6)</f>
        <v>-152901</v>
      </c>
      <c r="L479" s="26" t="n">
        <v>-0.915</v>
      </c>
      <c r="M479" s="27" t="n">
        <f aca="false">IF(K479&gt;0,1,0)</f>
        <v>0</v>
      </c>
      <c r="N479" s="11" t="n">
        <f aca="false">SUMIFS(K$2:K479,A$2:A479,A479,B$2:B479,B479)</f>
        <v>478988</v>
      </c>
      <c r="O479" s="11" t="n">
        <f aca="false">MAX(0,_xlfn.MAXIFS(N$2:N479,A$2:A479,A479,B$2:B479,B479))</f>
        <v>631889</v>
      </c>
      <c r="P479" s="11" t="n">
        <f aca="false">N479-O479</f>
        <v>-152901</v>
      </c>
    </row>
    <row r="480" customFormat="false" ht="15" hidden="false" customHeight="false" outlineLevel="0" collapsed="false">
      <c r="A480" s="8" t="s">
        <v>39</v>
      </c>
      <c r="B480" s="8" t="s">
        <v>37</v>
      </c>
      <c r="C480" s="8" t="s">
        <v>54</v>
      </c>
      <c r="D480" s="21" t="n">
        <v>45782.6666666667</v>
      </c>
      <c r="E480" s="21" t="n">
        <v>45785.5</v>
      </c>
      <c r="F480" s="22" t="n">
        <f aca="false">DATE(YEAR(E480),MONTH(E480),1)</f>
        <v>45778</v>
      </c>
      <c r="G480" s="23" t="n">
        <v>115737</v>
      </c>
      <c r="H480" s="8" t="s">
        <v>55</v>
      </c>
      <c r="I480" s="24" t="n">
        <v>1277.95</v>
      </c>
      <c r="J480" s="25" t="n">
        <f aca="false">Summary!$B$4</f>
        <v>1</v>
      </c>
      <c r="K480" s="11" t="n">
        <f aca="false">I480*J480*IF(A480="SILVER",Summary!$B$5,Summary!$B$6)</f>
        <v>127795</v>
      </c>
      <c r="L480" s="26" t="n">
        <v>0.726</v>
      </c>
      <c r="M480" s="27" t="n">
        <f aca="false">IF(K480&gt;0,1,0)</f>
        <v>1</v>
      </c>
      <c r="N480" s="11" t="n">
        <f aca="false">SUMIFS(K$2:K480,A$2:A480,A480,B$2:B480,B480)</f>
        <v>606783</v>
      </c>
      <c r="O480" s="11" t="n">
        <f aca="false">MAX(0,_xlfn.MAXIFS(N$2:N480,A$2:A480,A480,B$2:B480,B480))</f>
        <v>631889</v>
      </c>
      <c r="P480" s="11" t="n">
        <f aca="false">N480-O480</f>
        <v>-25106</v>
      </c>
    </row>
    <row r="481" customFormat="false" ht="15" hidden="false" customHeight="false" outlineLevel="0" collapsed="false">
      <c r="A481" s="8" t="s">
        <v>39</v>
      </c>
      <c r="B481" s="8" t="s">
        <v>37</v>
      </c>
      <c r="C481" s="8" t="s">
        <v>54</v>
      </c>
      <c r="D481" s="21" t="n">
        <v>45792.8333333333</v>
      </c>
      <c r="E481" s="21" t="n">
        <v>45793.7291666667</v>
      </c>
      <c r="F481" s="22" t="n">
        <f aca="false">DATE(YEAR(E481),MONTH(E481),1)</f>
        <v>45778</v>
      </c>
      <c r="G481" s="23" t="n">
        <v>113948</v>
      </c>
      <c r="H481" s="8" t="s">
        <v>55</v>
      </c>
      <c r="I481" s="24" t="n">
        <v>-1014.46</v>
      </c>
      <c r="J481" s="25" t="n">
        <f aca="false">Summary!$B$4</f>
        <v>1</v>
      </c>
      <c r="K481" s="11" t="n">
        <f aca="false">I481*J481*IF(A481="SILVER",Summary!$B$5,Summary!$B$6)</f>
        <v>-101446</v>
      </c>
      <c r="L481" s="26" t="n">
        <v>-0.547</v>
      </c>
      <c r="M481" s="27" t="n">
        <f aca="false">IF(K481&gt;0,1,0)</f>
        <v>0</v>
      </c>
      <c r="N481" s="11" t="n">
        <f aca="false">SUMIFS(K$2:K481,A$2:A481,A481,B$2:B481,B481)</f>
        <v>505337</v>
      </c>
      <c r="O481" s="11" t="n">
        <f aca="false">MAX(0,_xlfn.MAXIFS(N$2:N481,A$2:A481,A481,B$2:B481,B481))</f>
        <v>631889</v>
      </c>
      <c r="P481" s="11" t="n">
        <f aca="false">N481-O481</f>
        <v>-126552</v>
      </c>
    </row>
    <row r="482" customFormat="false" ht="15" hidden="false" customHeight="false" outlineLevel="0" collapsed="false">
      <c r="A482" s="8" t="s">
        <v>39</v>
      </c>
      <c r="B482" s="8" t="s">
        <v>37</v>
      </c>
      <c r="C482" s="8" t="s">
        <v>54</v>
      </c>
      <c r="D482" s="21" t="n">
        <v>45796.6041666667</v>
      </c>
      <c r="E482" s="21" t="n">
        <v>45804.5625</v>
      </c>
      <c r="F482" s="22" t="n">
        <f aca="false">DATE(YEAR(E482),MONTH(E482),1)</f>
        <v>45778</v>
      </c>
      <c r="G482" s="23" t="n">
        <v>114907</v>
      </c>
      <c r="H482" s="8" t="s">
        <v>55</v>
      </c>
      <c r="I482" s="24" t="n">
        <v>1401.11</v>
      </c>
      <c r="J482" s="25" t="n">
        <f aca="false">Summary!$B$4</f>
        <v>1</v>
      </c>
      <c r="K482" s="11" t="n">
        <f aca="false">I482*J482*IF(A482="SILVER",Summary!$B$5,Summary!$B$6)</f>
        <v>140111</v>
      </c>
      <c r="L482" s="26" t="n">
        <v>0.773</v>
      </c>
      <c r="M482" s="27" t="n">
        <f aca="false">IF(K482&gt;0,1,0)</f>
        <v>1</v>
      </c>
      <c r="N482" s="11" t="n">
        <f aca="false">SUMIFS(K$2:K482,A$2:A482,A482,B$2:B482,B482)</f>
        <v>645448</v>
      </c>
      <c r="O482" s="11" t="n">
        <f aca="false">MAX(0,_xlfn.MAXIFS(N$2:N482,A$2:A482,A482,B$2:B482,B482))</f>
        <v>645448</v>
      </c>
      <c r="P482" s="11" t="n">
        <f aca="false">N482-O482</f>
        <v>0</v>
      </c>
    </row>
    <row r="483" customFormat="false" ht="15" hidden="false" customHeight="false" outlineLevel="0" collapsed="false">
      <c r="A483" s="8" t="s">
        <v>39</v>
      </c>
      <c r="B483" s="8" t="s">
        <v>37</v>
      </c>
      <c r="C483" s="8" t="s">
        <v>54</v>
      </c>
      <c r="D483" s="21" t="n">
        <v>45806.8958333333</v>
      </c>
      <c r="E483" s="21" t="n">
        <v>45807.8125</v>
      </c>
      <c r="F483" s="22" t="n">
        <f aca="false">DATE(YEAR(E483),MONTH(E483),1)</f>
        <v>45778</v>
      </c>
      <c r="G483" s="23" t="n">
        <v>116737</v>
      </c>
      <c r="H483" s="8" t="s">
        <v>55</v>
      </c>
      <c r="I483" s="24" t="n">
        <v>-1119.01</v>
      </c>
      <c r="J483" s="25" t="n">
        <f aca="false">Summary!$B$4</f>
        <v>1</v>
      </c>
      <c r="K483" s="11" t="n">
        <f aca="false">I483*J483*IF(A483="SILVER",Summary!$B$5,Summary!$B$6)</f>
        <v>-111901</v>
      </c>
      <c r="L483" s="26" t="n">
        <v>-1.025</v>
      </c>
      <c r="M483" s="27" t="n">
        <f aca="false">IF(K483&gt;0,1,0)</f>
        <v>0</v>
      </c>
      <c r="N483" s="11" t="n">
        <f aca="false">SUMIFS(K$2:K483,A$2:A483,A483,B$2:B483,B483)</f>
        <v>533547</v>
      </c>
      <c r="O483" s="11" t="n">
        <f aca="false">MAX(0,_xlfn.MAXIFS(N$2:N483,A$2:A483,A483,B$2:B483,B483))</f>
        <v>645448</v>
      </c>
      <c r="P483" s="11" t="n">
        <f aca="false">N483-O483</f>
        <v>-111901</v>
      </c>
    </row>
    <row r="484" customFormat="false" ht="15" hidden="false" customHeight="false" outlineLevel="0" collapsed="false">
      <c r="A484" s="8" t="s">
        <v>39</v>
      </c>
      <c r="B484" s="8" t="s">
        <v>37</v>
      </c>
      <c r="C484" s="8" t="s">
        <v>54</v>
      </c>
      <c r="D484" s="21" t="n">
        <v>45810.5263888889</v>
      </c>
      <c r="E484" s="21" t="n">
        <v>45813.9520833333</v>
      </c>
      <c r="F484" s="22" t="n">
        <f aca="false">DATE(YEAR(E484),MONTH(E484),1)</f>
        <v>45809</v>
      </c>
      <c r="G484" s="23" t="n">
        <v>117490</v>
      </c>
      <c r="H484" s="8" t="s">
        <v>55</v>
      </c>
      <c r="I484" s="24" t="n">
        <v>612.72</v>
      </c>
      <c r="J484" s="25" t="n">
        <f aca="false">Summary!$B$4</f>
        <v>1</v>
      </c>
      <c r="K484" s="11" t="n">
        <f aca="false">I484*J484*IF(A484="SILVER",Summary!$B$5,Summary!$B$6)</f>
        <v>61272</v>
      </c>
      <c r="L484" s="26" t="n">
        <v>0.392</v>
      </c>
      <c r="M484" s="27" t="n">
        <f aca="false">IF(K484&gt;0,1,0)</f>
        <v>1</v>
      </c>
      <c r="N484" s="11" t="n">
        <f aca="false">SUMIFS(K$2:K484,A$2:A484,A484,B$2:B484,B484)</f>
        <v>594819</v>
      </c>
      <c r="O484" s="11" t="n">
        <f aca="false">MAX(0,_xlfn.MAXIFS(N$2:N484,A$2:A484,A484,B$2:B484,B484))</f>
        <v>645448</v>
      </c>
      <c r="P484" s="11" t="n">
        <f aca="false">N484-O484</f>
        <v>-50629</v>
      </c>
    </row>
    <row r="485" customFormat="false" ht="15" hidden="false" customHeight="false" outlineLevel="0" collapsed="false">
      <c r="A485" s="8" t="s">
        <v>39</v>
      </c>
      <c r="B485" s="8" t="s">
        <v>37</v>
      </c>
      <c r="C485" s="8" t="s">
        <v>54</v>
      </c>
      <c r="D485" s="21" t="n">
        <v>45820.3958333333</v>
      </c>
      <c r="E485" s="21" t="n">
        <v>45824.8125</v>
      </c>
      <c r="F485" s="22" t="n">
        <f aca="false">DATE(YEAR(E485),MONTH(E485),1)</f>
        <v>45809</v>
      </c>
      <c r="G485" s="23" t="n">
        <v>117854</v>
      </c>
      <c r="H485" s="8" t="s">
        <v>55</v>
      </c>
      <c r="I485" s="24" t="n">
        <v>984.31</v>
      </c>
      <c r="J485" s="25" t="n">
        <f aca="false">Summary!$B$4</f>
        <v>1</v>
      </c>
      <c r="K485" s="11" t="n">
        <f aca="false">I485*J485*IF(A485="SILVER",Summary!$B$5,Summary!$B$6)</f>
        <v>98431</v>
      </c>
      <c r="L485" s="26" t="n">
        <v>0.627</v>
      </c>
      <c r="M485" s="27" t="n">
        <f aca="false">IF(K485&gt;0,1,0)</f>
        <v>1</v>
      </c>
      <c r="N485" s="11" t="n">
        <f aca="false">SUMIFS(K$2:K485,A$2:A485,A485,B$2:B485,B485)</f>
        <v>693250</v>
      </c>
      <c r="O485" s="11" t="n">
        <f aca="false">MAX(0,_xlfn.MAXIFS(N$2:N485,A$2:A485,A485,B$2:B485,B485))</f>
        <v>693250</v>
      </c>
      <c r="P485" s="11" t="n">
        <f aca="false">N485-O485</f>
        <v>0</v>
      </c>
    </row>
    <row r="486" customFormat="false" ht="15" hidden="false" customHeight="false" outlineLevel="0" collapsed="false">
      <c r="A486" s="8" t="s">
        <v>39</v>
      </c>
      <c r="B486" s="8" t="s">
        <v>37</v>
      </c>
      <c r="C486" s="8" t="s">
        <v>54</v>
      </c>
      <c r="D486" s="21" t="n">
        <v>45831.7083333333</v>
      </c>
      <c r="E486" s="21" t="n">
        <v>45832.3958333333</v>
      </c>
      <c r="F486" s="22" t="n">
        <f aca="false">DATE(YEAR(E486),MONTH(E486),1)</f>
        <v>45809</v>
      </c>
      <c r="G486" s="23" t="n">
        <v>119463</v>
      </c>
      <c r="H486" s="8" t="s">
        <v>55</v>
      </c>
      <c r="I486" s="24" t="n">
        <v>-1394.77</v>
      </c>
      <c r="J486" s="25" t="n">
        <f aca="false">Summary!$B$4</f>
        <v>1</v>
      </c>
      <c r="K486" s="11" t="n">
        <f aca="false">I486*J486*IF(A486="SILVER",Summary!$B$5,Summary!$B$6)</f>
        <v>-139477</v>
      </c>
      <c r="L486" s="26" t="n">
        <v>-1.393</v>
      </c>
      <c r="M486" s="27" t="n">
        <f aca="false">IF(K486&gt;0,1,0)</f>
        <v>0</v>
      </c>
      <c r="N486" s="11" t="n">
        <f aca="false">SUMIFS(K$2:K486,A$2:A486,A486,B$2:B486,B486)</f>
        <v>553773</v>
      </c>
      <c r="O486" s="11" t="n">
        <f aca="false">MAX(0,_xlfn.MAXIFS(N$2:N486,A$2:A486,A486,B$2:B486,B486))</f>
        <v>693250</v>
      </c>
      <c r="P486" s="11" t="n">
        <f aca="false">N486-O486</f>
        <v>-139477</v>
      </c>
    </row>
    <row r="487" customFormat="false" ht="15" hidden="false" customHeight="false" outlineLevel="0" collapsed="false">
      <c r="A487" s="8" t="s">
        <v>39</v>
      </c>
      <c r="B487" s="8" t="s">
        <v>37</v>
      </c>
      <c r="C487" s="8" t="s">
        <v>54</v>
      </c>
      <c r="D487" s="21" t="n">
        <v>45839.3958333333</v>
      </c>
      <c r="E487" s="21" t="n">
        <v>45841.7548611111</v>
      </c>
      <c r="F487" s="22" t="n">
        <f aca="false">DATE(YEAR(E487),MONTH(E487),1)</f>
        <v>45839</v>
      </c>
      <c r="G487" s="23" t="n">
        <v>116592</v>
      </c>
      <c r="H487" s="8" t="s">
        <v>58</v>
      </c>
      <c r="I487" s="24" t="n">
        <v>83.67</v>
      </c>
      <c r="J487" s="25" t="n">
        <f aca="false">Summary!$B$4</f>
        <v>1</v>
      </c>
      <c r="K487" s="11" t="n">
        <f aca="false">I487*J487*IF(A487="SILVER",Summary!$B$5,Summary!$B$6)</f>
        <v>8367</v>
      </c>
      <c r="L487" s="26" t="n">
        <v>0.074</v>
      </c>
      <c r="M487" s="27" t="n">
        <f aca="false">IF(K487&gt;0,1,0)</f>
        <v>1</v>
      </c>
      <c r="N487" s="11" t="n">
        <f aca="false">SUMIFS(K$2:K487,A$2:A487,A487,B$2:B487,B487)</f>
        <v>562140</v>
      </c>
      <c r="O487" s="11" t="n">
        <f aca="false">MAX(0,_xlfn.MAXIFS(N$2:N487,A$2:A487,A487,B$2:B487,B487))</f>
        <v>693250</v>
      </c>
      <c r="P487" s="11" t="n">
        <f aca="false">N487-O487</f>
        <v>-131110</v>
      </c>
    </row>
    <row r="488" customFormat="false" ht="15" hidden="false" customHeight="false" outlineLevel="0" collapsed="false">
      <c r="A488" s="8" t="s">
        <v>39</v>
      </c>
      <c r="B488" s="8" t="s">
        <v>37</v>
      </c>
      <c r="C488" s="8" t="s">
        <v>54</v>
      </c>
      <c r="D488" s="21" t="n">
        <v>45845.9583333333</v>
      </c>
      <c r="E488" s="21" t="n">
        <v>45846.8541666667</v>
      </c>
      <c r="F488" s="22" t="n">
        <f aca="false">DATE(YEAR(E488),MONTH(E488),1)</f>
        <v>45839</v>
      </c>
      <c r="G488" s="23" t="n">
        <v>117172</v>
      </c>
      <c r="H488" s="8" t="s">
        <v>55</v>
      </c>
      <c r="I488" s="24" t="n">
        <v>-1078.35</v>
      </c>
      <c r="J488" s="25" t="n">
        <f aca="false">Summary!$B$4</f>
        <v>1</v>
      </c>
      <c r="K488" s="11" t="n">
        <f aca="false">I488*J488*IF(A488="SILVER",Summary!$B$5,Summary!$B$6)</f>
        <v>-107835</v>
      </c>
      <c r="L488" s="26" t="n">
        <v>-1.25</v>
      </c>
      <c r="M488" s="27" t="n">
        <f aca="false">IF(K488&gt;0,1,0)</f>
        <v>0</v>
      </c>
      <c r="N488" s="11" t="n">
        <f aca="false">SUMIFS(K$2:K488,A$2:A488,A488,B$2:B488,B488)</f>
        <v>454305</v>
      </c>
      <c r="O488" s="11" t="n">
        <f aca="false">MAX(0,_xlfn.MAXIFS(N$2:N488,A$2:A488,A488,B$2:B488,B488))</f>
        <v>693250</v>
      </c>
      <c r="P488" s="11" t="n">
        <f aca="false">N488-O488</f>
        <v>-238945</v>
      </c>
    </row>
    <row r="489" customFormat="false" ht="15" hidden="false" customHeight="false" outlineLevel="0" collapsed="false">
      <c r="A489" s="8" t="s">
        <v>39</v>
      </c>
      <c r="B489" s="8" t="s">
        <v>37</v>
      </c>
      <c r="C489" s="8" t="s">
        <v>54</v>
      </c>
      <c r="D489" s="21" t="n">
        <v>45848.6041666667</v>
      </c>
      <c r="E489" s="21" t="n">
        <v>45853.7916666667</v>
      </c>
      <c r="F489" s="22" t="n">
        <f aca="false">DATE(YEAR(E489),MONTH(E489),1)</f>
        <v>45839</v>
      </c>
      <c r="G489" s="23" t="n">
        <v>116793</v>
      </c>
      <c r="H489" s="8" t="s">
        <v>55</v>
      </c>
      <c r="I489" s="24" t="n">
        <v>463.57</v>
      </c>
      <c r="J489" s="25" t="n">
        <f aca="false">Summary!$B$4</f>
        <v>1</v>
      </c>
      <c r="K489" s="11" t="n">
        <f aca="false">I489*J489*IF(A489="SILVER",Summary!$B$5,Summary!$B$6)</f>
        <v>46357</v>
      </c>
      <c r="L489" s="26" t="n">
        <v>0.508</v>
      </c>
      <c r="M489" s="27" t="n">
        <f aca="false">IF(K489&gt;0,1,0)</f>
        <v>1</v>
      </c>
      <c r="N489" s="11" t="n">
        <f aca="false">SUMIFS(K$2:K489,A$2:A489,A489,B$2:B489,B489)</f>
        <v>500662</v>
      </c>
      <c r="O489" s="11" t="n">
        <f aca="false">MAX(0,_xlfn.MAXIFS(N$2:N489,A$2:A489,A489,B$2:B489,B489))</f>
        <v>693250</v>
      </c>
      <c r="P489" s="11" t="n">
        <f aca="false">N489-O489</f>
        <v>-192588</v>
      </c>
    </row>
    <row r="490" customFormat="false" ht="15" hidden="false" customHeight="false" outlineLevel="0" collapsed="false">
      <c r="A490" s="8" t="s">
        <v>39</v>
      </c>
      <c r="B490" s="8" t="s">
        <v>37</v>
      </c>
      <c r="C490" s="8" t="s">
        <v>54</v>
      </c>
      <c r="D490" s="21" t="n">
        <v>45856.7291666667</v>
      </c>
      <c r="E490" s="21" t="n">
        <v>45861.9166666667</v>
      </c>
      <c r="F490" s="22" t="n">
        <f aca="false">DATE(YEAR(E490),MONTH(E490),1)</f>
        <v>45839</v>
      </c>
      <c r="G490" s="23" t="n">
        <v>117928</v>
      </c>
      <c r="H490" s="8" t="s">
        <v>55</v>
      </c>
      <c r="I490" s="24" t="n">
        <v>1225.27</v>
      </c>
      <c r="J490" s="25" t="n">
        <f aca="false">Summary!$B$4</f>
        <v>1</v>
      </c>
      <c r="K490" s="11" t="n">
        <f aca="false">I490*J490*IF(A490="SILVER",Summary!$B$5,Summary!$B$6)</f>
        <v>122527</v>
      </c>
      <c r="L490" s="26" t="n">
        <v>1.502</v>
      </c>
      <c r="M490" s="27" t="n">
        <f aca="false">IF(K490&gt;0,1,0)</f>
        <v>1</v>
      </c>
      <c r="N490" s="11" t="n">
        <f aca="false">SUMIFS(K$2:K490,A$2:A490,A490,B$2:B490,B490)</f>
        <v>623189</v>
      </c>
      <c r="O490" s="11" t="n">
        <f aca="false">MAX(0,_xlfn.MAXIFS(N$2:N490,A$2:A490,A490,B$2:B490,B490))</f>
        <v>693250</v>
      </c>
      <c r="P490" s="11" t="n">
        <f aca="false">N490-O490</f>
        <v>-70061</v>
      </c>
    </row>
    <row r="491" customFormat="false" ht="15" hidden="false" customHeight="false" outlineLevel="0" collapsed="false">
      <c r="A491" s="8" t="s">
        <v>39</v>
      </c>
      <c r="B491" s="8" t="s">
        <v>37</v>
      </c>
      <c r="C491" s="8" t="s">
        <v>54</v>
      </c>
      <c r="D491" s="21" t="n">
        <v>45868.3958333333</v>
      </c>
      <c r="E491" s="21" t="n">
        <v>45868.7993055556</v>
      </c>
      <c r="F491" s="22" t="n">
        <f aca="false">DATE(YEAR(E491),MONTH(E491),1)</f>
        <v>45839</v>
      </c>
      <c r="G491" s="23" t="n">
        <v>118204</v>
      </c>
      <c r="H491" s="8" t="s">
        <v>58</v>
      </c>
      <c r="I491" s="24" t="n">
        <v>49.34</v>
      </c>
      <c r="J491" s="25" t="n">
        <f aca="false">Summary!$B$4</f>
        <v>1</v>
      </c>
      <c r="K491" s="11" t="n">
        <f aca="false">I491*J491*IF(A491="SILVER",Summary!$B$5,Summary!$B$6)</f>
        <v>4934</v>
      </c>
      <c r="L491" s="26" t="n">
        <v>0.057</v>
      </c>
      <c r="M491" s="27" t="n">
        <f aca="false">IF(K491&gt;0,1,0)</f>
        <v>1</v>
      </c>
      <c r="N491" s="11" t="n">
        <f aca="false">SUMIFS(K$2:K491,A$2:A491,A491,B$2:B491,B491)</f>
        <v>628123</v>
      </c>
      <c r="O491" s="11" t="n">
        <f aca="false">MAX(0,_xlfn.MAXIFS(N$2:N491,A$2:A491,A491,B$2:B491,B491))</f>
        <v>693250</v>
      </c>
      <c r="P491" s="11" t="n">
        <f aca="false">N491-O491</f>
        <v>-65127</v>
      </c>
    </row>
    <row r="492" customFormat="false" ht="15" hidden="false" customHeight="false" outlineLevel="0" collapsed="false">
      <c r="A492" s="8" t="s">
        <v>39</v>
      </c>
      <c r="B492" s="8" t="s">
        <v>37</v>
      </c>
      <c r="C492" s="8" t="s">
        <v>54</v>
      </c>
      <c r="D492" s="21" t="n">
        <v>45870.7784722222</v>
      </c>
      <c r="E492" s="21" t="n">
        <v>45874.7201388889</v>
      </c>
      <c r="F492" s="22" t="n">
        <f aca="false">DATE(YEAR(E492),MONTH(E492),1)</f>
        <v>45870</v>
      </c>
      <c r="G492" s="23" t="n">
        <v>118943</v>
      </c>
      <c r="H492" s="8" t="s">
        <v>55</v>
      </c>
      <c r="I492" s="24" t="n">
        <v>885.15</v>
      </c>
      <c r="J492" s="25" t="n">
        <f aca="false">Summary!$B$4</f>
        <v>1</v>
      </c>
      <c r="K492" s="11" t="n">
        <f aca="false">I492*J492*IF(A492="SILVER",Summary!$B$5,Summary!$B$6)</f>
        <v>88515</v>
      </c>
      <c r="L492" s="26" t="n">
        <v>0.546</v>
      </c>
      <c r="M492" s="27" t="n">
        <f aca="false">IF(K492&gt;0,1,0)</f>
        <v>1</v>
      </c>
      <c r="N492" s="11" t="n">
        <f aca="false">SUMIFS(K$2:K492,A$2:A492,A492,B$2:B492,B492)</f>
        <v>716638</v>
      </c>
      <c r="O492" s="11" t="n">
        <f aca="false">MAX(0,_xlfn.MAXIFS(N$2:N492,A$2:A492,A492,B$2:B492,B492))</f>
        <v>716638</v>
      </c>
      <c r="P492" s="11" t="n">
        <f aca="false">N492-O492</f>
        <v>0</v>
      </c>
    </row>
    <row r="493" customFormat="false" ht="15" hidden="false" customHeight="false" outlineLevel="0" collapsed="false">
      <c r="A493" s="8" t="s">
        <v>39</v>
      </c>
      <c r="B493" s="8" t="s">
        <v>37</v>
      </c>
      <c r="C493" s="8" t="s">
        <v>54</v>
      </c>
      <c r="D493" s="21" t="n">
        <v>45874.9583333333</v>
      </c>
      <c r="E493" s="21" t="n">
        <v>45875.5861111111</v>
      </c>
      <c r="F493" s="22" t="n">
        <f aca="false">DATE(YEAR(E493),MONTH(E493),1)</f>
        <v>45870</v>
      </c>
      <c r="G493" s="23" t="n">
        <v>120618</v>
      </c>
      <c r="H493" s="8" t="s">
        <v>58</v>
      </c>
      <c r="I493" s="24" t="n">
        <v>74.84</v>
      </c>
      <c r="J493" s="25" t="n">
        <f aca="false">Summary!$B$4</f>
        <v>1</v>
      </c>
      <c r="K493" s="11" t="n">
        <f aca="false">I493*J493*IF(A493="SILVER",Summary!$B$5,Summary!$B$6)</f>
        <v>7484</v>
      </c>
      <c r="L493" s="26" t="n">
        <v>0.071</v>
      </c>
      <c r="M493" s="27" t="n">
        <f aca="false">IF(K493&gt;0,1,0)</f>
        <v>1</v>
      </c>
      <c r="N493" s="11" t="n">
        <f aca="false">SUMIFS(K$2:K493,A$2:A493,A493,B$2:B493,B493)</f>
        <v>724122</v>
      </c>
      <c r="O493" s="11" t="n">
        <f aca="false">MAX(0,_xlfn.MAXIFS(N$2:N493,A$2:A493,A493,B$2:B493,B493))</f>
        <v>724122</v>
      </c>
      <c r="P493" s="11" t="n">
        <f aca="false">N493-O493</f>
        <v>0</v>
      </c>
    </row>
    <row r="494" customFormat="false" ht="15" hidden="false" customHeight="false" outlineLevel="0" collapsed="false">
      <c r="A494" s="8" t="s">
        <v>39</v>
      </c>
      <c r="B494" s="8" t="s">
        <v>37</v>
      </c>
      <c r="C494" s="8" t="s">
        <v>54</v>
      </c>
      <c r="D494" s="21" t="n">
        <v>45875.8541666667</v>
      </c>
      <c r="E494" s="21" t="n">
        <v>45876.6770833333</v>
      </c>
      <c r="F494" s="22" t="n">
        <f aca="false">DATE(YEAR(E494),MONTH(E494),1)</f>
        <v>45870</v>
      </c>
      <c r="G494" s="23" t="n">
        <v>121213</v>
      </c>
      <c r="H494" s="8" t="s">
        <v>58</v>
      </c>
      <c r="I494" s="24" t="n">
        <v>81.96</v>
      </c>
      <c r="J494" s="25" t="n">
        <f aca="false">Summary!$B$4</f>
        <v>1</v>
      </c>
      <c r="K494" s="11" t="n">
        <f aca="false">I494*J494*IF(A494="SILVER",Summary!$B$5,Summary!$B$6)</f>
        <v>8196</v>
      </c>
      <c r="L494" s="26" t="n">
        <v>0.073</v>
      </c>
      <c r="M494" s="27" t="n">
        <f aca="false">IF(K494&gt;0,1,0)</f>
        <v>1</v>
      </c>
      <c r="N494" s="11" t="n">
        <f aca="false">SUMIFS(K$2:K494,A$2:A494,A494,B$2:B494,B494)</f>
        <v>732318</v>
      </c>
      <c r="O494" s="11" t="n">
        <f aca="false">MAX(0,_xlfn.MAXIFS(N$2:N494,A$2:A494,A494,B$2:B494,B494))</f>
        <v>732318</v>
      </c>
      <c r="P494" s="11" t="n">
        <f aca="false">N494-O494</f>
        <v>0</v>
      </c>
    </row>
    <row r="495" customFormat="false" ht="15" hidden="false" customHeight="false" outlineLevel="0" collapsed="false">
      <c r="A495" s="8" t="s">
        <v>39</v>
      </c>
      <c r="B495" s="8" t="s">
        <v>37</v>
      </c>
      <c r="C495" s="8" t="s">
        <v>54</v>
      </c>
      <c r="D495" s="21" t="n">
        <v>45890.6458333333</v>
      </c>
      <c r="E495" s="21" t="n">
        <v>45904.3958333333</v>
      </c>
      <c r="F495" s="22" t="n">
        <f aca="false">DATE(YEAR(E495),MONTH(E495),1)</f>
        <v>45901</v>
      </c>
      <c r="G495" s="23" t="n">
        <v>119147</v>
      </c>
      <c r="H495" s="8" t="s">
        <v>55</v>
      </c>
      <c r="I495" s="24" t="n">
        <v>6399.48</v>
      </c>
      <c r="J495" s="25" t="n">
        <f aca="false">Summary!$B$4</f>
        <v>1</v>
      </c>
      <c r="K495" s="11" t="n">
        <f aca="false">I495*J495*IF(A495="SILVER",Summary!$B$5,Summary!$B$6)</f>
        <v>639948</v>
      </c>
      <c r="L495" s="26" t="n">
        <v>8.336</v>
      </c>
      <c r="M495" s="27" t="n">
        <f aca="false">IF(K495&gt;0,1,0)</f>
        <v>1</v>
      </c>
      <c r="N495" s="11" t="n">
        <f aca="false">SUMIFS(K$2:K495,A$2:A495,A495,B$2:B495,B495)</f>
        <v>1372266</v>
      </c>
      <c r="O495" s="11" t="n">
        <f aca="false">MAX(0,_xlfn.MAXIFS(N$2:N495,A$2:A495,A495,B$2:B495,B495))</f>
        <v>1372266</v>
      </c>
      <c r="P495" s="11" t="n">
        <f aca="false">N495-O495</f>
        <v>0</v>
      </c>
    </row>
    <row r="496" customFormat="false" ht="15" hidden="false" customHeight="false" outlineLevel="0" collapsed="false">
      <c r="A496" s="8" t="s">
        <v>39</v>
      </c>
      <c r="B496" s="8" t="s">
        <v>37</v>
      </c>
      <c r="C496" s="8" t="s">
        <v>54</v>
      </c>
      <c r="D496" s="21" t="n">
        <v>45905.7708333333</v>
      </c>
      <c r="E496" s="21" t="n">
        <v>45917.4381944445</v>
      </c>
      <c r="F496" s="22" t="n">
        <f aca="false">DATE(YEAR(E496),MONTH(E496),1)</f>
        <v>45901</v>
      </c>
      <c r="G496" s="23" t="n">
        <v>127249</v>
      </c>
      <c r="H496" s="8" t="s">
        <v>55</v>
      </c>
      <c r="I496" s="24" t="n">
        <v>2226.28</v>
      </c>
      <c r="J496" s="25" t="n">
        <f aca="false">Summary!$B$4</f>
        <v>1</v>
      </c>
      <c r="K496" s="11" t="n">
        <f aca="false">I496*J496*IF(A496="SILVER",Summary!$B$5,Summary!$B$6)</f>
        <v>222628</v>
      </c>
      <c r="L496" s="26" t="n">
        <v>1.482</v>
      </c>
      <c r="M496" s="27" t="n">
        <f aca="false">IF(K496&gt;0,1,0)</f>
        <v>1</v>
      </c>
      <c r="N496" s="11" t="n">
        <f aca="false">SUMIFS(K$2:K496,A$2:A496,A496,B$2:B496,B496)</f>
        <v>1594894</v>
      </c>
      <c r="O496" s="11" t="n">
        <f aca="false">MAX(0,_xlfn.MAXIFS(N$2:N496,A$2:A496,A496,B$2:B496,B496))</f>
        <v>1594894</v>
      </c>
      <c r="P496" s="11" t="n">
        <f aca="false">N496-O496</f>
        <v>0</v>
      </c>
    </row>
    <row r="497" customFormat="false" ht="15" hidden="false" customHeight="false" outlineLevel="0" collapsed="false">
      <c r="A497" s="8" t="s">
        <v>39</v>
      </c>
      <c r="B497" s="8" t="s">
        <v>37</v>
      </c>
      <c r="C497" s="8" t="s">
        <v>54</v>
      </c>
      <c r="D497" s="21" t="n">
        <v>45922.3958333333</v>
      </c>
      <c r="E497" s="21" t="n">
        <v>45924.9375</v>
      </c>
      <c r="F497" s="22" t="n">
        <f aca="false">DATE(YEAR(E497),MONTH(E497),1)</f>
        <v>45901</v>
      </c>
      <c r="G497" s="23" t="n">
        <v>130292</v>
      </c>
      <c r="H497" s="8" t="s">
        <v>55</v>
      </c>
      <c r="I497" s="24" t="n">
        <v>2013.69</v>
      </c>
      <c r="J497" s="25" t="n">
        <f aca="false">Summary!$B$4</f>
        <v>1</v>
      </c>
      <c r="K497" s="11" t="n">
        <f aca="false">I497*J497*IF(A497="SILVER",Summary!$B$5,Summary!$B$6)</f>
        <v>201369</v>
      </c>
      <c r="L497" s="26" t="n">
        <v>1.511</v>
      </c>
      <c r="M497" s="27" t="n">
        <f aca="false">IF(K497&gt;0,1,0)</f>
        <v>1</v>
      </c>
      <c r="N497" s="11" t="n">
        <f aca="false">SUMIFS(K$2:K497,A$2:A497,A497,B$2:B497,B497)</f>
        <v>1796263</v>
      </c>
      <c r="O497" s="11" t="n">
        <f aca="false">MAX(0,_xlfn.MAXIFS(N$2:N497,A$2:A497,A497,B$2:B497,B497))</f>
        <v>1796263</v>
      </c>
      <c r="P497" s="11" t="n">
        <f aca="false">N497-O497</f>
        <v>0</v>
      </c>
    </row>
    <row r="498" customFormat="false" ht="15" hidden="false" customHeight="false" outlineLevel="0" collapsed="false">
      <c r="A498" s="8" t="s">
        <v>39</v>
      </c>
      <c r="B498" s="8" t="s">
        <v>37</v>
      </c>
      <c r="C498" s="8" t="s">
        <v>54</v>
      </c>
      <c r="D498" s="21" t="n">
        <v>45926.8333333333</v>
      </c>
      <c r="E498" s="21" t="n">
        <v>45930.6326388889</v>
      </c>
      <c r="F498" s="22" t="n">
        <f aca="false">DATE(YEAR(E498),MONTH(E498),1)</f>
        <v>45901</v>
      </c>
      <c r="G498" s="23" t="n">
        <v>133507</v>
      </c>
      <c r="H498" s="8" t="s">
        <v>55</v>
      </c>
      <c r="I498" s="24" t="n">
        <v>1226.13</v>
      </c>
      <c r="J498" s="25" t="n">
        <f aca="false">Summary!$B$4</f>
        <v>1</v>
      </c>
      <c r="K498" s="11" t="n">
        <f aca="false">I498*J498*IF(A498="SILVER",Summary!$B$5,Summary!$B$6)</f>
        <v>122613</v>
      </c>
      <c r="L498" s="26" t="n">
        <v>0.803</v>
      </c>
      <c r="M498" s="27" t="n">
        <f aca="false">IF(K498&gt;0,1,0)</f>
        <v>1</v>
      </c>
      <c r="N498" s="11" t="n">
        <f aca="false">SUMIFS(K$2:K498,A$2:A498,A498,B$2:B498,B498)</f>
        <v>1918876</v>
      </c>
      <c r="O498" s="11" t="n">
        <f aca="false">MAX(0,_xlfn.MAXIFS(N$2:N498,A$2:A498,A498,B$2:B498,B498))</f>
        <v>1918876</v>
      </c>
      <c r="P498" s="11" t="n">
        <f aca="false">N498-O498</f>
        <v>0</v>
      </c>
    </row>
    <row r="499" customFormat="false" ht="15" hidden="false" customHeight="false" outlineLevel="0" collapsed="false">
      <c r="A499" s="8" t="s">
        <v>39</v>
      </c>
      <c r="B499" s="8" t="s">
        <v>37</v>
      </c>
      <c r="C499" s="8" t="s">
        <v>54</v>
      </c>
      <c r="D499" s="21" t="n">
        <v>45931.3993055556</v>
      </c>
      <c r="E499" s="21" t="n">
        <v>45939.9375</v>
      </c>
      <c r="F499" s="22" t="n">
        <f aca="false">DATE(YEAR(E499),MONTH(E499),1)</f>
        <v>45931</v>
      </c>
      <c r="G499" s="23" t="n">
        <v>136674</v>
      </c>
      <c r="H499" s="8" t="s">
        <v>55</v>
      </c>
      <c r="I499" s="24" t="n">
        <v>2522.03</v>
      </c>
      <c r="J499" s="25" t="n">
        <f aca="false">Summary!$B$4</f>
        <v>1</v>
      </c>
      <c r="K499" s="11" t="n">
        <f aca="false">I499*J499*IF(A499="SILVER",Summary!$B$5,Summary!$B$6)</f>
        <v>252203</v>
      </c>
      <c r="L499" s="26" t="n">
        <v>1.365</v>
      </c>
      <c r="M499" s="27" t="n">
        <f aca="false">IF(K499&gt;0,1,0)</f>
        <v>1</v>
      </c>
      <c r="N499" s="11" t="n">
        <f aca="false">SUMIFS(K$2:K499,A$2:A499,A499,B$2:B499,B499)</f>
        <v>2171079</v>
      </c>
      <c r="O499" s="11" t="n">
        <f aca="false">MAX(0,_xlfn.MAXIFS(N$2:N499,A$2:A499,A499,B$2:B499,B499))</f>
        <v>2171079</v>
      </c>
      <c r="P499" s="11" t="n">
        <f aca="false">N499-O499</f>
        <v>0</v>
      </c>
    </row>
    <row r="500" customFormat="false" ht="15" hidden="false" customHeight="false" outlineLevel="0" collapsed="false">
      <c r="A500" s="8" t="s">
        <v>39</v>
      </c>
      <c r="B500" s="8" t="s">
        <v>37</v>
      </c>
      <c r="C500" s="8" t="s">
        <v>54</v>
      </c>
      <c r="D500" s="21" t="n">
        <v>45943.3958333333</v>
      </c>
      <c r="E500" s="21" t="n">
        <v>45947.8333333333</v>
      </c>
      <c r="F500" s="22" t="n">
        <f aca="false">DATE(YEAR(E500),MONTH(E500),1)</f>
        <v>45931</v>
      </c>
      <c r="G500" s="23" t="n">
        <v>141509</v>
      </c>
      <c r="H500" s="8" t="s">
        <v>55</v>
      </c>
      <c r="I500" s="24" t="n">
        <v>4986.86</v>
      </c>
      <c r="J500" s="25" t="n">
        <f aca="false">Summary!$B$4</f>
        <v>1</v>
      </c>
      <c r="K500" s="11" t="n">
        <f aca="false">I500*J500*IF(A500="SILVER",Summary!$B$5,Summary!$B$6)</f>
        <v>498686</v>
      </c>
      <c r="L500" s="26" t="n">
        <v>1.59</v>
      </c>
      <c r="M500" s="27" t="n">
        <f aca="false">IF(K500&gt;0,1,0)</f>
        <v>1</v>
      </c>
      <c r="N500" s="11" t="n">
        <f aca="false">SUMIFS(K$2:K500,A$2:A500,A500,B$2:B500,B500)</f>
        <v>2669765</v>
      </c>
      <c r="O500" s="11" t="n">
        <f aca="false">MAX(0,_xlfn.MAXIFS(N$2:N500,A$2:A500,A500,B$2:B500,B500))</f>
        <v>2669765</v>
      </c>
      <c r="P500" s="11" t="n">
        <f aca="false">N500-O500</f>
        <v>0</v>
      </c>
    </row>
    <row r="501" customFormat="false" ht="15" hidden="false" customHeight="false" outlineLevel="0" collapsed="false">
      <c r="A501" s="8" t="s">
        <v>39</v>
      </c>
      <c r="B501" s="8" t="s">
        <v>37</v>
      </c>
      <c r="C501" s="8" t="s">
        <v>54</v>
      </c>
      <c r="D501" s="21" t="n">
        <v>45951.5729166667</v>
      </c>
      <c r="E501" s="21" t="n">
        <v>45951.5736111111</v>
      </c>
      <c r="F501" s="22" t="n">
        <f aca="false">DATE(YEAR(E501),MONTH(E501),1)</f>
        <v>45931</v>
      </c>
      <c r="G501" s="23" t="n">
        <v>146520</v>
      </c>
      <c r="H501" s="8" t="s">
        <v>58</v>
      </c>
      <c r="I501" s="24" t="n">
        <v>-305.9</v>
      </c>
      <c r="J501" s="25" t="n">
        <f aca="false">Summary!$B$4</f>
        <v>1</v>
      </c>
      <c r="K501" s="11" t="n">
        <f aca="false">I501*J501*IF(A501="SILVER",Summary!$B$5,Summary!$B$6)</f>
        <v>-30590</v>
      </c>
      <c r="L501" s="26" t="n">
        <v>-0.321</v>
      </c>
      <c r="M501" s="27" t="n">
        <f aca="false">IF(K501&gt;0,1,0)</f>
        <v>0</v>
      </c>
      <c r="N501" s="11" t="n">
        <f aca="false">SUMIFS(K$2:K501,A$2:A501,A501,B$2:B501,B501)</f>
        <v>2639175</v>
      </c>
      <c r="O501" s="11" t="n">
        <f aca="false">MAX(0,_xlfn.MAXIFS(N$2:N501,A$2:A501,A501,B$2:B501,B501))</f>
        <v>2669765</v>
      </c>
      <c r="P501" s="11" t="n">
        <f aca="false">N501-O501</f>
        <v>-30590</v>
      </c>
    </row>
    <row r="502" customFormat="false" ht="15" hidden="false" customHeight="false" outlineLevel="0" collapsed="false">
      <c r="A502" s="8" t="s">
        <v>39</v>
      </c>
      <c r="B502" s="8" t="s">
        <v>37</v>
      </c>
      <c r="C502" s="8" t="s">
        <v>54</v>
      </c>
      <c r="D502" s="21" t="n">
        <v>45959.6458333333</v>
      </c>
      <c r="E502" s="21" t="n">
        <v>45965.8333333333</v>
      </c>
      <c r="F502" s="22" t="n">
        <f aca="false">DATE(YEAR(E502),MONTH(E502),1)</f>
        <v>45962</v>
      </c>
      <c r="G502" s="23" t="n">
        <v>139741</v>
      </c>
      <c r="H502" s="8" t="s">
        <v>55</v>
      </c>
      <c r="I502" s="24" t="n">
        <v>-1581.12</v>
      </c>
      <c r="J502" s="25" t="n">
        <f aca="false">Summary!$B$4</f>
        <v>1</v>
      </c>
      <c r="K502" s="11" t="n">
        <f aca="false">I502*J502*IF(A502="SILVER",Summary!$B$5,Summary!$B$6)</f>
        <v>-158112</v>
      </c>
      <c r="L502" s="26" t="n">
        <v>-0.578</v>
      </c>
      <c r="M502" s="27" t="n">
        <f aca="false">IF(K502&gt;0,1,0)</f>
        <v>0</v>
      </c>
      <c r="N502" s="11" t="n">
        <f aca="false">SUMIFS(K$2:K502,A$2:A502,A502,B$2:B502,B502)</f>
        <v>2481063</v>
      </c>
      <c r="O502" s="11" t="n">
        <f aca="false">MAX(0,_xlfn.MAXIFS(N$2:N502,A$2:A502,A502,B$2:B502,B502))</f>
        <v>2669765</v>
      </c>
      <c r="P502" s="11" t="n">
        <f aca="false">N502-O502</f>
        <v>-188702</v>
      </c>
    </row>
    <row r="503" customFormat="false" ht="15" hidden="false" customHeight="false" outlineLevel="0" collapsed="false">
      <c r="A503" s="8" t="s">
        <v>39</v>
      </c>
      <c r="B503" s="8" t="s">
        <v>37</v>
      </c>
      <c r="C503" s="8" t="s">
        <v>54</v>
      </c>
      <c r="D503" s="21" t="n">
        <v>45971.3958333333</v>
      </c>
      <c r="E503" s="21" t="n">
        <v>45975.5416666667</v>
      </c>
      <c r="F503" s="22" t="n">
        <f aca="false">DATE(YEAR(E503),MONTH(E503),1)</f>
        <v>45962</v>
      </c>
      <c r="G503" s="23" t="n">
        <v>140575</v>
      </c>
      <c r="H503" s="8" t="s">
        <v>55</v>
      </c>
      <c r="I503" s="24" t="n">
        <v>3343.21</v>
      </c>
      <c r="J503" s="25" t="n">
        <f aca="false">Summary!$B$4</f>
        <v>1</v>
      </c>
      <c r="K503" s="11" t="n">
        <f aca="false">I503*J503*IF(A503="SILVER",Summary!$B$5,Summary!$B$6)</f>
        <v>334321</v>
      </c>
      <c r="L503" s="26" t="n">
        <v>1.571</v>
      </c>
      <c r="M503" s="27" t="n">
        <f aca="false">IF(K503&gt;0,1,0)</f>
        <v>1</v>
      </c>
      <c r="N503" s="11" t="n">
        <f aca="false">SUMIFS(K$2:K503,A$2:A503,A503,B$2:B503,B503)</f>
        <v>2815384</v>
      </c>
      <c r="O503" s="11" t="n">
        <f aca="false">MAX(0,_xlfn.MAXIFS(N$2:N503,A$2:A503,A503,B$2:B503,B503))</f>
        <v>2815384</v>
      </c>
      <c r="P503" s="11" t="n">
        <f aca="false">N503-O503</f>
        <v>0</v>
      </c>
    </row>
    <row r="504" customFormat="false" ht="15" hidden="false" customHeight="false" outlineLevel="0" collapsed="false">
      <c r="A504" s="8" t="s">
        <v>39</v>
      </c>
      <c r="B504" s="8" t="s">
        <v>37</v>
      </c>
      <c r="C504" s="8" t="s">
        <v>54</v>
      </c>
      <c r="D504" s="21" t="n">
        <v>45980.6458333333</v>
      </c>
      <c r="E504" s="21" t="n">
        <v>45982.5</v>
      </c>
      <c r="F504" s="22" t="n">
        <f aca="false">DATE(YEAR(E504),MONTH(E504),1)</f>
        <v>45962</v>
      </c>
      <c r="G504" s="23" t="n">
        <v>142355</v>
      </c>
      <c r="H504" s="8" t="s">
        <v>55</v>
      </c>
      <c r="I504" s="24" t="n">
        <v>-2318.58</v>
      </c>
      <c r="J504" s="25" t="n">
        <f aca="false">Summary!$B$4</f>
        <v>1</v>
      </c>
      <c r="K504" s="11" t="n">
        <f aca="false">I504*J504*IF(A504="SILVER",Summary!$B$5,Summary!$B$6)</f>
        <v>-231858</v>
      </c>
      <c r="L504" s="26" t="n">
        <v>-0.914</v>
      </c>
      <c r="M504" s="27" t="n">
        <f aca="false">IF(K504&gt;0,1,0)</f>
        <v>0</v>
      </c>
      <c r="N504" s="11" t="n">
        <f aca="false">SUMIFS(K$2:K504,A$2:A504,A504,B$2:B504,B504)</f>
        <v>2583526</v>
      </c>
      <c r="O504" s="11" t="n">
        <f aca="false">MAX(0,_xlfn.MAXIFS(N$2:N504,A$2:A504,A504,B$2:B504,B504))</f>
        <v>2815384</v>
      </c>
      <c r="P504" s="11" t="n">
        <f aca="false">N504-O504</f>
        <v>-231858</v>
      </c>
    </row>
    <row r="505" customFormat="false" ht="15" hidden="false" customHeight="false" outlineLevel="0" collapsed="false">
      <c r="A505" s="8" t="s">
        <v>39</v>
      </c>
      <c r="B505" s="8" t="s">
        <v>37</v>
      </c>
      <c r="C505" s="8" t="s">
        <v>54</v>
      </c>
      <c r="D505" s="21" t="n">
        <v>45982.9375</v>
      </c>
      <c r="E505" s="21" t="n">
        <v>46000.4791666667</v>
      </c>
      <c r="F505" s="22" t="n">
        <f aca="false">DATE(YEAR(E505),MONTH(E505),1)</f>
        <v>45992</v>
      </c>
      <c r="G505" s="23" t="n">
        <v>142858</v>
      </c>
      <c r="H505" s="8" t="s">
        <v>55</v>
      </c>
      <c r="I505" s="24" t="n">
        <v>3322.75</v>
      </c>
      <c r="J505" s="25" t="n">
        <f aca="false">Summary!$B$4</f>
        <v>1</v>
      </c>
      <c r="K505" s="11" t="n">
        <f aca="false">I505*J505*IF(A505="SILVER",Summary!$B$5,Summary!$B$6)</f>
        <v>332275</v>
      </c>
      <c r="L505" s="26" t="n">
        <v>1.184</v>
      </c>
      <c r="M505" s="27" t="n">
        <f aca="false">IF(K505&gt;0,1,0)</f>
        <v>1</v>
      </c>
      <c r="N505" s="11" t="n">
        <f aca="false">SUMIFS(K$2:K505,A$2:A505,A505,B$2:B505,B505)</f>
        <v>2915801</v>
      </c>
      <c r="O505" s="11" t="n">
        <f aca="false">MAX(0,_xlfn.MAXIFS(N$2:N505,A$2:A505,A505,B$2:B505,B505))</f>
        <v>2915801</v>
      </c>
      <c r="P505" s="11" t="n">
        <f aca="false">N505-O505</f>
        <v>0</v>
      </c>
    </row>
    <row r="506" customFormat="false" ht="15" hidden="false" customHeight="false" outlineLevel="0" collapsed="false">
      <c r="A506" s="8" t="s">
        <v>39</v>
      </c>
      <c r="B506" s="8" t="s">
        <v>37</v>
      </c>
      <c r="C506" s="8" t="s">
        <v>54</v>
      </c>
      <c r="D506" s="21" t="n">
        <v>46002.5625</v>
      </c>
      <c r="E506" s="21" t="n">
        <v>46003.9375</v>
      </c>
      <c r="F506" s="22" t="n">
        <f aca="false">DATE(YEAR(E506),MONTH(E506),1)</f>
        <v>45992</v>
      </c>
      <c r="G506" s="23" t="n">
        <v>147719</v>
      </c>
      <c r="H506" s="8" t="s">
        <v>55</v>
      </c>
      <c r="I506" s="24" t="n">
        <v>2192.62</v>
      </c>
      <c r="J506" s="25" t="n">
        <f aca="false">Summary!$B$4</f>
        <v>1</v>
      </c>
      <c r="K506" s="11" t="n">
        <f aca="false">I506*J506*IF(A506="SILVER",Summary!$B$5,Summary!$B$6)</f>
        <v>219262</v>
      </c>
      <c r="L506" s="26" t="n">
        <v>1.642</v>
      </c>
      <c r="M506" s="27" t="n">
        <f aca="false">IF(K506&gt;0,1,0)</f>
        <v>1</v>
      </c>
      <c r="N506" s="11" t="n">
        <f aca="false">SUMIFS(K$2:K506,A$2:A506,A506,B$2:B506,B506)</f>
        <v>3135063</v>
      </c>
      <c r="O506" s="11" t="n">
        <f aca="false">MAX(0,_xlfn.MAXIFS(N$2:N506,A$2:A506,A506,B$2:B506,B506))</f>
        <v>3135063</v>
      </c>
      <c r="P506" s="11" t="n">
        <f aca="false">N506-O506</f>
        <v>0</v>
      </c>
    </row>
    <row r="507" customFormat="false" ht="15" hidden="false" customHeight="false" outlineLevel="0" collapsed="false">
      <c r="A507" s="8" t="s">
        <v>39</v>
      </c>
      <c r="B507" s="8" t="s">
        <v>37</v>
      </c>
      <c r="C507" s="8" t="s">
        <v>54</v>
      </c>
      <c r="D507" s="21" t="n">
        <v>46013.4166666667</v>
      </c>
      <c r="E507" s="21" t="n">
        <v>46014.875</v>
      </c>
      <c r="F507" s="22" t="n">
        <f aca="false">DATE(YEAR(E507),MONTH(E507),1)</f>
        <v>45992</v>
      </c>
      <c r="G507" s="23" t="n">
        <v>152374</v>
      </c>
      <c r="H507" s="8" t="s">
        <v>55</v>
      </c>
      <c r="I507" s="24" t="n">
        <v>1386.76</v>
      </c>
      <c r="J507" s="25" t="n">
        <f aca="false">Summary!$B$4</f>
        <v>1</v>
      </c>
      <c r="K507" s="11" t="n">
        <f aca="false">I507*J507*IF(A507="SILVER",Summary!$B$5,Summary!$B$6)</f>
        <v>138676</v>
      </c>
      <c r="L507" s="26" t="n">
        <v>0.768</v>
      </c>
      <c r="M507" s="27" t="n">
        <f aca="false">IF(K507&gt;0,1,0)</f>
        <v>1</v>
      </c>
      <c r="N507" s="11" t="n">
        <f aca="false">SUMIFS(K$2:K507,A$2:A507,A507,B$2:B507,B507)</f>
        <v>3273739</v>
      </c>
      <c r="O507" s="11" t="n">
        <f aca="false">MAX(0,_xlfn.MAXIFS(N$2:N507,A$2:A507,A507,B$2:B507,B507))</f>
        <v>3273739</v>
      </c>
      <c r="P507" s="11" t="n">
        <f aca="false">N507-O507</f>
        <v>0</v>
      </c>
    </row>
    <row r="508" customFormat="false" ht="15" hidden="false" customHeight="false" outlineLevel="0" collapsed="false">
      <c r="A508" s="8" t="s">
        <v>39</v>
      </c>
      <c r="B508" s="8" t="s">
        <v>37</v>
      </c>
      <c r="C508" s="8" t="s">
        <v>54</v>
      </c>
      <c r="D508" s="21" t="n">
        <v>46017.3958333333</v>
      </c>
      <c r="E508" s="21" t="n">
        <v>46020.5</v>
      </c>
      <c r="F508" s="22" t="n">
        <f aca="false">DATE(YEAR(E508),MONTH(E508),1)</f>
        <v>45992</v>
      </c>
      <c r="G508" s="23" t="n">
        <v>155798</v>
      </c>
      <c r="H508" s="8" t="s">
        <v>58</v>
      </c>
      <c r="I508" s="24" t="n">
        <v>165.71</v>
      </c>
      <c r="J508" s="25" t="n">
        <f aca="false">Summary!$B$4</f>
        <v>1</v>
      </c>
      <c r="K508" s="11" t="n">
        <f aca="false">I508*J508*IF(A508="SILVER",Summary!$B$5,Summary!$B$6)</f>
        <v>16571</v>
      </c>
      <c r="L508" s="26" t="n">
        <v>0.081</v>
      </c>
      <c r="M508" s="27" t="n">
        <f aca="false">IF(K508&gt;0,1,0)</f>
        <v>1</v>
      </c>
      <c r="N508" s="11" t="n">
        <f aca="false">SUMIFS(K$2:K508,A$2:A508,A508,B$2:B508,B508)</f>
        <v>3290310</v>
      </c>
      <c r="O508" s="11" t="n">
        <f aca="false">MAX(0,_xlfn.MAXIFS(N$2:N508,A$2:A508,A508,B$2:B508,B508))</f>
        <v>3290310</v>
      </c>
      <c r="P508" s="11" t="n">
        <f aca="false">N508-O508</f>
        <v>0</v>
      </c>
    </row>
    <row r="509" customFormat="false" ht="15" hidden="false" customHeight="false" outlineLevel="0" collapsed="false">
      <c r="A509" s="8" t="s">
        <v>39</v>
      </c>
      <c r="B509" s="8" t="s">
        <v>37</v>
      </c>
      <c r="C509" s="8" t="s">
        <v>54</v>
      </c>
      <c r="D509" s="21" t="n">
        <v>46027.4583333333</v>
      </c>
      <c r="E509" s="21" t="n">
        <v>46029.7770833333</v>
      </c>
      <c r="F509" s="22" t="n">
        <f aca="false">DATE(YEAR(E509),MONTH(E509),1)</f>
        <v>46023</v>
      </c>
      <c r="G509" s="23" t="n">
        <v>154242</v>
      </c>
      <c r="H509" s="8" t="s">
        <v>58</v>
      </c>
      <c r="I509" s="24" t="n">
        <v>149.6</v>
      </c>
      <c r="J509" s="25" t="n">
        <f aca="false">Summary!$B$4</f>
        <v>1</v>
      </c>
      <c r="K509" s="11" t="n">
        <f aca="false">I509*J509*IF(A509="SILVER",Summary!$B$5,Summary!$B$6)</f>
        <v>14960</v>
      </c>
      <c r="L509" s="26" t="n">
        <v>0.08</v>
      </c>
      <c r="M509" s="27" t="n">
        <f aca="false">IF(K509&gt;0,1,0)</f>
        <v>1</v>
      </c>
      <c r="N509" s="11" t="n">
        <f aca="false">SUMIFS(K$2:K509,A$2:A509,A509,B$2:B509,B509)</f>
        <v>3305270</v>
      </c>
      <c r="O509" s="11" t="n">
        <f aca="false">MAX(0,_xlfn.MAXIFS(N$2:N509,A$2:A509,A509,B$2:B509,B509))</f>
        <v>3305270</v>
      </c>
      <c r="P509" s="11" t="n">
        <f aca="false">N509-O509</f>
        <v>0</v>
      </c>
    </row>
    <row r="510" customFormat="false" ht="15" hidden="false" customHeight="false" outlineLevel="0" collapsed="false">
      <c r="A510" s="8" t="s">
        <v>39</v>
      </c>
      <c r="B510" s="8" t="s">
        <v>37</v>
      </c>
      <c r="C510" s="8" t="s">
        <v>54</v>
      </c>
      <c r="D510" s="21" t="n">
        <v>46031.5</v>
      </c>
      <c r="E510" s="21" t="n">
        <v>46043.8541666667</v>
      </c>
      <c r="F510" s="22" t="n">
        <f aca="false">DATE(YEAR(E510),MONTH(E510),1)</f>
        <v>46023</v>
      </c>
      <c r="G510" s="23" t="n">
        <v>155371</v>
      </c>
      <c r="H510" s="8" t="s">
        <v>55</v>
      </c>
      <c r="I510" s="24" t="n">
        <v>14860.82</v>
      </c>
      <c r="J510" s="25" t="n">
        <f aca="false">Summary!$B$4</f>
        <v>1</v>
      </c>
      <c r="K510" s="11" t="n">
        <f aca="false">I510*J510*IF(A510="SILVER",Summary!$B$5,Summary!$B$6)</f>
        <v>1486082</v>
      </c>
      <c r="L510" s="26" t="n">
        <v>8.422</v>
      </c>
      <c r="M510" s="27" t="n">
        <f aca="false">IF(K510&gt;0,1,0)</f>
        <v>1</v>
      </c>
      <c r="N510" s="11" t="n">
        <f aca="false">SUMIFS(K$2:K510,A$2:A510,A510,B$2:B510,B510)</f>
        <v>4791352</v>
      </c>
      <c r="O510" s="11" t="n">
        <f aca="false">MAX(0,_xlfn.MAXIFS(N$2:N510,A$2:A510,A510,B$2:B510,B510))</f>
        <v>4791352</v>
      </c>
      <c r="P510" s="11" t="n">
        <f aca="false">N510-O510</f>
        <v>0</v>
      </c>
    </row>
    <row r="511" customFormat="false" ht="15" hidden="false" customHeight="false" outlineLevel="0" collapsed="false">
      <c r="A511" s="8" t="s">
        <v>39</v>
      </c>
      <c r="B511" s="8" t="s">
        <v>37</v>
      </c>
      <c r="C511" s="8" t="s">
        <v>54</v>
      </c>
      <c r="D511" s="21" t="n">
        <v>46045.375</v>
      </c>
      <c r="E511" s="21" t="n">
        <v>46051.8659722222</v>
      </c>
      <c r="F511" s="22" t="n">
        <f aca="false">DATE(YEAR(E511),MONTH(E511),1)</f>
        <v>46023</v>
      </c>
      <c r="G511" s="23" t="n">
        <v>175810</v>
      </c>
      <c r="H511" s="8" t="s">
        <v>58</v>
      </c>
      <c r="I511" s="24" t="n">
        <v>876.92</v>
      </c>
      <c r="J511" s="25" t="n">
        <f aca="false">Summary!$B$4</f>
        <v>1</v>
      </c>
      <c r="K511" s="11" t="n">
        <f aca="false">I511*J511*IF(A511="SILVER",Summary!$B$5,Summary!$B$6)</f>
        <v>87692</v>
      </c>
      <c r="L511" s="26" t="n">
        <v>0.095</v>
      </c>
      <c r="M511" s="27" t="n">
        <f aca="false">IF(K511&gt;0,1,0)</f>
        <v>1</v>
      </c>
      <c r="N511" s="11" t="n">
        <f aca="false">SUMIFS(K$2:K511,A$2:A511,A511,B$2:B511,B511)</f>
        <v>4879044</v>
      </c>
      <c r="O511" s="11" t="n">
        <f aca="false">MAX(0,_xlfn.MAXIFS(N$2:N511,A$2:A511,A511,B$2:B511,B511))</f>
        <v>4879044</v>
      </c>
      <c r="P511" s="11" t="n">
        <f aca="false">N511-O511</f>
        <v>0</v>
      </c>
    </row>
    <row r="512" customFormat="false" ht="15" hidden="false" customHeight="false" outlineLevel="0" collapsed="false">
      <c r="A512" s="8" t="s">
        <v>39</v>
      </c>
      <c r="B512" s="8" t="s">
        <v>37</v>
      </c>
      <c r="C512" s="8" t="s">
        <v>56</v>
      </c>
      <c r="D512" s="21" t="n">
        <v>46055.5006944445</v>
      </c>
      <c r="E512" s="21" t="n">
        <v>46062.8958333333</v>
      </c>
      <c r="F512" s="22" t="n">
        <f aca="false">DATE(YEAR(E512),MONTH(E512),1)</f>
        <v>46054</v>
      </c>
      <c r="G512" s="23" t="n">
        <v>150621</v>
      </c>
      <c r="H512" s="8" t="s">
        <v>55</v>
      </c>
      <c r="I512" s="24" t="n">
        <v>-15305.85</v>
      </c>
      <c r="J512" s="25" t="n">
        <f aca="false">Summary!$B$4</f>
        <v>1</v>
      </c>
      <c r="K512" s="11" t="n">
        <f aca="false">I512*J512*IF(A512="SILVER",Summary!$B$5,Summary!$B$6)</f>
        <v>-1530585</v>
      </c>
      <c r="L512" s="26" t="n">
        <v>-0.808</v>
      </c>
      <c r="M512" s="27" t="n">
        <f aca="false">IF(K512&gt;0,1,0)</f>
        <v>0</v>
      </c>
      <c r="N512" s="11" t="n">
        <f aca="false">SUMIFS(K$2:K512,A$2:A512,A512,B$2:B512,B512)</f>
        <v>3348459</v>
      </c>
      <c r="O512" s="11" t="n">
        <f aca="false">MAX(0,_xlfn.MAXIFS(N$2:N512,A$2:A512,A512,B$2:B512,B512))</f>
        <v>4879044</v>
      </c>
      <c r="P512" s="11" t="n">
        <f aca="false">N512-O512</f>
        <v>-1530585</v>
      </c>
    </row>
    <row r="513" customFormat="false" ht="15" hidden="false" customHeight="false" outlineLevel="0" collapsed="false">
      <c r="A513" s="8" t="s">
        <v>39</v>
      </c>
      <c r="B513" s="8" t="s">
        <v>37</v>
      </c>
      <c r="C513" s="8" t="s">
        <v>56</v>
      </c>
      <c r="D513" s="21" t="n">
        <v>46065.9166666667</v>
      </c>
      <c r="E513" s="21" t="n">
        <v>46071.8541666667</v>
      </c>
      <c r="F513" s="22" t="n">
        <f aca="false">DATE(YEAR(E513),MONTH(E513),1)</f>
        <v>46054</v>
      </c>
      <c r="G513" s="23" t="n">
        <v>159927</v>
      </c>
      <c r="H513" s="8" t="s">
        <v>55</v>
      </c>
      <c r="I513" s="24" t="n">
        <v>-3089.94</v>
      </c>
      <c r="J513" s="25" t="n">
        <f aca="false">Summary!$B$4</f>
        <v>1</v>
      </c>
      <c r="K513" s="11" t="n">
        <f aca="false">I513*J513*IF(A513="SILVER",Summary!$B$5,Summary!$B$6)</f>
        <v>-308994</v>
      </c>
      <c r="L513" s="26" t="n">
        <v>-0.428</v>
      </c>
      <c r="M513" s="27" t="n">
        <f aca="false">IF(K513&gt;0,1,0)</f>
        <v>0</v>
      </c>
      <c r="N513" s="11" t="n">
        <f aca="false">SUMIFS(K$2:K513,A$2:A513,A513,B$2:B513,B513)</f>
        <v>3039465</v>
      </c>
      <c r="O513" s="11" t="n">
        <f aca="false">MAX(0,_xlfn.MAXIFS(N$2:N513,A$2:A513,A513,B$2:B513,B513))</f>
        <v>4879044</v>
      </c>
      <c r="P513" s="11" t="n">
        <f aca="false">N513-O513</f>
        <v>-1839579</v>
      </c>
    </row>
    <row r="514" customFormat="false" ht="15" hidden="false" customHeight="false" outlineLevel="0" collapsed="false">
      <c r="A514" s="8" t="s">
        <v>39</v>
      </c>
      <c r="B514" s="8" t="s">
        <v>37</v>
      </c>
      <c r="C514" s="8" t="s">
        <v>56</v>
      </c>
      <c r="D514" s="21" t="n">
        <v>46079.875</v>
      </c>
      <c r="E514" s="21" t="n">
        <v>46080.7916666667</v>
      </c>
      <c r="F514" s="22" t="n">
        <f aca="false">DATE(YEAR(E514),MONTH(E514),1)</f>
        <v>46054</v>
      </c>
      <c r="G514" s="23" t="n">
        <v>166093</v>
      </c>
      <c r="H514" s="8" t="s">
        <v>55</v>
      </c>
      <c r="I514" s="24" t="n">
        <v>-3083.03</v>
      </c>
      <c r="J514" s="25" t="n">
        <f aca="false">Summary!$B$4</f>
        <v>1</v>
      </c>
      <c r="K514" s="11" t="n">
        <f aca="false">I514*J514*IF(A514="SILVER",Summary!$B$5,Summary!$B$6)</f>
        <v>-308303</v>
      </c>
      <c r="L514" s="26" t="n">
        <v>-1.252</v>
      </c>
      <c r="M514" s="27" t="n">
        <f aca="false">IF(K514&gt;0,1,0)</f>
        <v>0</v>
      </c>
      <c r="N514" s="11" t="n">
        <f aca="false">SUMIFS(K$2:K514,A$2:A514,A514,B$2:B514,B514)</f>
        <v>2731162</v>
      </c>
      <c r="O514" s="11" t="n">
        <f aca="false">MAX(0,_xlfn.MAXIFS(N$2:N514,A$2:A514,A514,B$2:B514,B514))</f>
        <v>4879044</v>
      </c>
      <c r="P514" s="11" t="n">
        <f aca="false">N514-O514</f>
        <v>-2147882</v>
      </c>
    </row>
    <row r="515" customFormat="false" ht="15" hidden="false" customHeight="false" outlineLevel="0" collapsed="false">
      <c r="A515" s="8" t="s">
        <v>39</v>
      </c>
      <c r="B515" s="8" t="s">
        <v>37</v>
      </c>
      <c r="C515" s="8" t="s">
        <v>56</v>
      </c>
      <c r="D515" s="21" t="n">
        <v>46083.9375</v>
      </c>
      <c r="E515" s="21" t="n">
        <v>46091.7916666667</v>
      </c>
      <c r="F515" s="22" t="n">
        <f aca="false">DATE(YEAR(E515),MONTH(E515),1)</f>
        <v>46082</v>
      </c>
      <c r="G515" s="23" t="n">
        <v>173221</v>
      </c>
      <c r="H515" s="8" t="s">
        <v>55</v>
      </c>
      <c r="I515" s="24" t="n">
        <v>2646.1</v>
      </c>
      <c r="J515" s="25" t="n">
        <f aca="false">Summary!$B$4</f>
        <v>1</v>
      </c>
      <c r="K515" s="11" t="n">
        <f aca="false">I515*J515*IF(A515="SILVER",Summary!$B$5,Summary!$B$6)</f>
        <v>264610</v>
      </c>
      <c r="L515" s="26" t="n">
        <v>0.543</v>
      </c>
      <c r="M515" s="27" t="n">
        <f aca="false">IF(K515&gt;0,1,0)</f>
        <v>1</v>
      </c>
      <c r="N515" s="11" t="n">
        <f aca="false">SUMIFS(K$2:K515,A$2:A515,A515,B$2:B515,B515)</f>
        <v>2995772</v>
      </c>
      <c r="O515" s="11" t="n">
        <f aca="false">MAX(0,_xlfn.MAXIFS(N$2:N515,A$2:A515,A515,B$2:B515,B515))</f>
        <v>4879044</v>
      </c>
      <c r="P515" s="11" t="n">
        <f aca="false">N515-O515</f>
        <v>-1883272</v>
      </c>
    </row>
    <row r="516" customFormat="false" ht="15" hidden="false" customHeight="false" outlineLevel="0" collapsed="false">
      <c r="A516" s="8" t="s">
        <v>39</v>
      </c>
      <c r="B516" s="8" t="s">
        <v>37</v>
      </c>
      <c r="C516" s="8" t="s">
        <v>56</v>
      </c>
      <c r="D516" s="21" t="n">
        <v>46093.9583333333</v>
      </c>
      <c r="E516" s="21" t="n">
        <v>46094.7291666667</v>
      </c>
      <c r="F516" s="22" t="n">
        <f aca="false">DATE(YEAR(E516),MONTH(E516),1)</f>
        <v>46082</v>
      </c>
      <c r="G516" s="23" t="n">
        <v>167951</v>
      </c>
      <c r="H516" s="8" t="s">
        <v>58</v>
      </c>
      <c r="I516" s="24" t="n">
        <v>199.97</v>
      </c>
      <c r="J516" s="25" t="n">
        <f aca="false">Summary!$B$4</f>
        <v>1</v>
      </c>
      <c r="K516" s="11" t="n">
        <f aca="false">I516*J516*IF(A516="SILVER",Summary!$B$5,Summary!$B$6)</f>
        <v>19997</v>
      </c>
      <c r="L516" s="26" t="n">
        <v>0.083</v>
      </c>
      <c r="M516" s="27" t="n">
        <f aca="false">IF(K516&gt;0,1,0)</f>
        <v>1</v>
      </c>
      <c r="N516" s="11" t="n">
        <f aca="false">SUMIFS(K$2:K516,A$2:A516,A516,B$2:B516,B516)</f>
        <v>3015769</v>
      </c>
      <c r="O516" s="11" t="n">
        <f aca="false">MAX(0,_xlfn.MAXIFS(N$2:N516,A$2:A516,A516,B$2:B516,B516))</f>
        <v>4879044</v>
      </c>
      <c r="P516" s="11" t="n">
        <f aca="false">N516-O516</f>
        <v>-1863275</v>
      </c>
    </row>
    <row r="517" customFormat="false" ht="15" hidden="false" customHeight="false" outlineLevel="0" collapsed="false">
      <c r="A517" s="8" t="s">
        <v>39</v>
      </c>
      <c r="B517" s="8" t="s">
        <v>37</v>
      </c>
      <c r="C517" s="8" t="s">
        <v>56</v>
      </c>
      <c r="D517" s="21" t="n">
        <v>46094.8541666667</v>
      </c>
      <c r="E517" s="21" t="n">
        <v>46104.7708333333</v>
      </c>
      <c r="F517" s="22" t="n">
        <f aca="false">DATE(YEAR(E517),MONTH(E517),1)</f>
        <v>46082</v>
      </c>
      <c r="G517" s="23" t="n">
        <v>165751</v>
      </c>
      <c r="H517" s="8" t="s">
        <v>55</v>
      </c>
      <c r="I517" s="24" t="n">
        <v>16860.02</v>
      </c>
      <c r="J517" s="25" t="n">
        <f aca="false">Summary!$B$4</f>
        <v>1</v>
      </c>
      <c r="K517" s="11" t="n">
        <f aca="false">I517*J517*IF(A517="SILVER",Summary!$B$5,Summary!$B$6)</f>
        <v>1686002</v>
      </c>
      <c r="L517" s="26" t="n">
        <v>5.261</v>
      </c>
      <c r="M517" s="27" t="n">
        <f aca="false">IF(K517&gt;0,1,0)</f>
        <v>1</v>
      </c>
      <c r="N517" s="11" t="n">
        <f aca="false">SUMIFS(K$2:K517,A$2:A517,A517,B$2:B517,B517)</f>
        <v>4701771</v>
      </c>
      <c r="O517" s="11" t="n">
        <f aca="false">MAX(0,_xlfn.MAXIFS(N$2:N517,A$2:A517,A517,B$2:B517,B517))</f>
        <v>4879044</v>
      </c>
      <c r="P517" s="11" t="n">
        <f aca="false">N517-O517</f>
        <v>-177273</v>
      </c>
    </row>
    <row r="518" customFormat="false" ht="15" hidden="false" customHeight="false" outlineLevel="0" collapsed="false">
      <c r="A518" s="8" t="s">
        <v>39</v>
      </c>
      <c r="B518" s="8" t="s">
        <v>37</v>
      </c>
      <c r="C518" s="8" t="s">
        <v>56</v>
      </c>
      <c r="D518" s="21" t="n">
        <v>46107.9375</v>
      </c>
      <c r="E518" s="21" t="n">
        <v>46108.875</v>
      </c>
      <c r="F518" s="22" t="n">
        <f aca="false">DATE(YEAR(E518),MONTH(E518),1)</f>
        <v>46082</v>
      </c>
      <c r="G518" s="23" t="n">
        <v>147231</v>
      </c>
      <c r="H518" s="8" t="s">
        <v>55</v>
      </c>
      <c r="I518" s="24" t="n">
        <v>-5719.53</v>
      </c>
      <c r="J518" s="25" t="n">
        <f aca="false">Summary!$B$4</f>
        <v>1</v>
      </c>
      <c r="K518" s="11" t="n">
        <f aca="false">I518*J518*IF(A518="SILVER",Summary!$B$5,Summary!$B$6)</f>
        <v>-571953</v>
      </c>
      <c r="L518" s="26" t="n">
        <v>-1.114</v>
      </c>
      <c r="M518" s="27" t="n">
        <f aca="false">IF(K518&gt;0,1,0)</f>
        <v>0</v>
      </c>
      <c r="N518" s="11" t="n">
        <f aca="false">SUMIFS(K$2:K518,A$2:A518,A518,B$2:B518,B518)</f>
        <v>4129818</v>
      </c>
      <c r="O518" s="11" t="n">
        <f aca="false">MAX(0,_xlfn.MAXIFS(N$2:N518,A$2:A518,A518,B$2:B518,B518))</f>
        <v>4879044</v>
      </c>
      <c r="P518" s="11" t="n">
        <f aca="false">N518-O518</f>
        <v>-749226</v>
      </c>
    </row>
    <row r="519" customFormat="false" ht="15" hidden="false" customHeight="false" outlineLevel="0" collapsed="false">
      <c r="A519" s="8" t="s">
        <v>39</v>
      </c>
      <c r="B519" s="8" t="s">
        <v>37</v>
      </c>
      <c r="C519" s="8" t="s">
        <v>56</v>
      </c>
      <c r="D519" s="21" t="n">
        <v>46114.3965277778</v>
      </c>
      <c r="E519" s="21" t="n">
        <v>46118.5555555556</v>
      </c>
      <c r="F519" s="22" t="n">
        <f aca="false">DATE(YEAR(E519),MONTH(E519),1)</f>
        <v>46113</v>
      </c>
      <c r="G519" s="23" t="n">
        <v>155000</v>
      </c>
      <c r="H519" s="8" t="s">
        <v>58</v>
      </c>
      <c r="I519" s="24" t="n">
        <v>285.07</v>
      </c>
      <c r="J519" s="25" t="n">
        <f aca="false">Summary!$B$4</f>
        <v>1</v>
      </c>
      <c r="K519" s="11" t="n">
        <f aca="false">I519*J519*IF(A519="SILVER",Summary!$B$5,Summary!$B$6)</f>
        <v>28507</v>
      </c>
      <c r="L519" s="26" t="n">
        <v>0.069</v>
      </c>
      <c r="M519" s="27" t="n">
        <f aca="false">IF(K519&gt;0,1,0)</f>
        <v>1</v>
      </c>
      <c r="N519" s="11" t="n">
        <f aca="false">SUMIFS(K$2:K519,A$2:A519,A519,B$2:B519,B519)</f>
        <v>4158325</v>
      </c>
      <c r="O519" s="11" t="n">
        <f aca="false">MAX(0,_xlfn.MAXIFS(N$2:N519,A$2:A519,A519,B$2:B519,B519))</f>
        <v>4879044</v>
      </c>
      <c r="P519" s="11" t="n">
        <f aca="false">N519-O519</f>
        <v>-720719</v>
      </c>
    </row>
    <row r="520" customFormat="false" ht="15" hidden="false" customHeight="false" outlineLevel="0" collapsed="false">
      <c r="A520" s="8" t="s">
        <v>39</v>
      </c>
      <c r="B520" s="8" t="s">
        <v>37</v>
      </c>
      <c r="C520" s="8" t="s">
        <v>56</v>
      </c>
      <c r="D520" s="21" t="n">
        <v>46119.4583333333</v>
      </c>
      <c r="E520" s="21" t="n">
        <v>46120.3958333333</v>
      </c>
      <c r="F520" s="22" t="n">
        <f aca="false">DATE(YEAR(E520),MONTH(E520),1)</f>
        <v>46113</v>
      </c>
      <c r="G520" s="23" t="n">
        <v>153764</v>
      </c>
      <c r="H520" s="8" t="s">
        <v>55</v>
      </c>
      <c r="I520" s="24" t="n">
        <v>-4038.3</v>
      </c>
      <c r="J520" s="25" t="n">
        <f aca="false">Summary!$B$4</f>
        <v>1</v>
      </c>
      <c r="K520" s="11" t="n">
        <f aca="false">I520*J520*IF(A520="SILVER",Summary!$B$5,Summary!$B$6)</f>
        <v>-403830</v>
      </c>
      <c r="L520" s="26" t="n">
        <v>-1.011</v>
      </c>
      <c r="M520" s="27" t="n">
        <f aca="false">IF(K520&gt;0,1,0)</f>
        <v>0</v>
      </c>
      <c r="N520" s="11" t="n">
        <f aca="false">SUMIFS(K$2:K520,A$2:A520,A520,B$2:B520,B520)</f>
        <v>3754495</v>
      </c>
      <c r="O520" s="11" t="n">
        <f aca="false">MAX(0,_xlfn.MAXIFS(N$2:N520,A$2:A520,A520,B$2:B520,B520))</f>
        <v>4879044</v>
      </c>
      <c r="P520" s="11" t="n">
        <f aca="false">N520-O520</f>
        <v>-1124549</v>
      </c>
    </row>
    <row r="521" customFormat="false" ht="15" hidden="false" customHeight="false" outlineLevel="0" collapsed="false">
      <c r="A521" s="8" t="s">
        <v>39</v>
      </c>
      <c r="B521" s="8" t="s">
        <v>37</v>
      </c>
      <c r="C521" s="8" t="s">
        <v>56</v>
      </c>
      <c r="D521" s="21" t="n">
        <v>46129.5</v>
      </c>
      <c r="E521" s="21" t="n">
        <v>46129.8125</v>
      </c>
      <c r="F521" s="22" t="n">
        <f aca="false">DATE(YEAR(E521),MONTH(E521),1)</f>
        <v>46113</v>
      </c>
      <c r="G521" s="23" t="n">
        <v>156875</v>
      </c>
      <c r="H521" s="8" t="s">
        <v>55</v>
      </c>
      <c r="I521" s="24" t="n">
        <v>-2621.79</v>
      </c>
      <c r="J521" s="25" t="n">
        <f aca="false">Summary!$B$4</f>
        <v>1</v>
      </c>
      <c r="K521" s="11" t="n">
        <f aca="false">I521*J521*IF(A521="SILVER",Summary!$B$5,Summary!$B$6)</f>
        <v>-262179</v>
      </c>
      <c r="L521" s="26" t="n">
        <v>-1.236</v>
      </c>
      <c r="M521" s="27" t="n">
        <f aca="false">IF(K521&gt;0,1,0)</f>
        <v>0</v>
      </c>
      <c r="N521" s="11" t="n">
        <f aca="false">SUMIFS(K$2:K521,A$2:A521,A521,B$2:B521,B521)</f>
        <v>3492316</v>
      </c>
      <c r="O521" s="11" t="n">
        <f aca="false">MAX(0,_xlfn.MAXIFS(N$2:N521,A$2:A521,A521,B$2:B521,B521))</f>
        <v>4879044</v>
      </c>
      <c r="P521" s="11" t="n">
        <f aca="false">N521-O521</f>
        <v>-1386728</v>
      </c>
    </row>
    <row r="522" customFormat="false" ht="15" hidden="false" customHeight="false" outlineLevel="0" collapsed="false">
      <c r="A522" s="8" t="s">
        <v>39</v>
      </c>
      <c r="B522" s="8" t="s">
        <v>37</v>
      </c>
      <c r="C522" s="8" t="s">
        <v>56</v>
      </c>
      <c r="D522" s="21" t="n">
        <v>46133.8541666667</v>
      </c>
      <c r="E522" s="21" t="n">
        <v>46136.7027777778</v>
      </c>
      <c r="F522" s="22" t="n">
        <f aca="false">DATE(YEAR(E522),MONTH(E522),1)</f>
        <v>46113</v>
      </c>
      <c r="G522" s="23" t="n">
        <v>156656</v>
      </c>
      <c r="H522" s="8" t="s">
        <v>58</v>
      </c>
      <c r="I522" s="24" t="n">
        <v>210.36</v>
      </c>
      <c r="J522" s="25" t="n">
        <f aca="false">Summary!$B$4</f>
        <v>1</v>
      </c>
      <c r="K522" s="11" t="n">
        <f aca="false">I522*J522*IF(A522="SILVER",Summary!$B$5,Summary!$B$6)</f>
        <v>21036</v>
      </c>
      <c r="L522" s="26" t="n">
        <v>0.084</v>
      </c>
      <c r="M522" s="27" t="n">
        <f aca="false">IF(K522&gt;0,1,0)</f>
        <v>1</v>
      </c>
      <c r="N522" s="11" t="n">
        <f aca="false">SUMIFS(K$2:K522,A$2:A522,A522,B$2:B522,B522)</f>
        <v>3513352</v>
      </c>
      <c r="O522" s="11" t="n">
        <f aca="false">MAX(0,_xlfn.MAXIFS(N$2:N522,A$2:A522,A522,B$2:B522,B522))</f>
        <v>4879044</v>
      </c>
      <c r="P522" s="11" t="n">
        <f aca="false">N522-O522</f>
        <v>-1365692</v>
      </c>
    </row>
    <row r="523" customFormat="false" ht="15" hidden="false" customHeight="false" outlineLevel="0" collapsed="false">
      <c r="A523" s="8" t="s">
        <v>39</v>
      </c>
      <c r="B523" s="8" t="s">
        <v>37</v>
      </c>
      <c r="C523" s="8" t="s">
        <v>56</v>
      </c>
      <c r="D523" s="21" t="n">
        <v>46139.7708333333</v>
      </c>
      <c r="E523" s="21" t="n">
        <v>46142.5208333333</v>
      </c>
      <c r="F523" s="22" t="n">
        <f aca="false">DATE(YEAR(E523),MONTH(E523),1)</f>
        <v>46113</v>
      </c>
      <c r="G523" s="23" t="n">
        <v>156255</v>
      </c>
      <c r="H523" s="8" t="s">
        <v>55</v>
      </c>
      <c r="I523" s="24" t="n">
        <v>1174.72</v>
      </c>
      <c r="J523" s="25" t="n">
        <f aca="false">Summary!$B$4</f>
        <v>1</v>
      </c>
      <c r="K523" s="11" t="n">
        <f aca="false">I523*J523*IF(A523="SILVER",Summary!$B$5,Summary!$B$6)</f>
        <v>117472</v>
      </c>
      <c r="L523" s="26" t="n">
        <v>0.745</v>
      </c>
      <c r="M523" s="27" t="n">
        <f aca="false">IF(K523&gt;0,1,0)</f>
        <v>1</v>
      </c>
      <c r="N523" s="11" t="n">
        <f aca="false">SUMIFS(K$2:K523,A$2:A523,A523,B$2:B523,B523)</f>
        <v>3630824</v>
      </c>
      <c r="O523" s="11" t="n">
        <f aca="false">MAX(0,_xlfn.MAXIFS(N$2:N523,A$2:A523,A523,B$2:B523,B523))</f>
        <v>4879044</v>
      </c>
      <c r="P523" s="11" t="n">
        <f aca="false">N523-O523</f>
        <v>-1248220</v>
      </c>
    </row>
    <row r="524" customFormat="false" ht="15" hidden="false" customHeight="false" outlineLevel="0" collapsed="false">
      <c r="A524" s="8" t="s">
        <v>39</v>
      </c>
      <c r="B524" s="8" t="s">
        <v>37</v>
      </c>
      <c r="C524" s="8" t="s">
        <v>56</v>
      </c>
      <c r="D524" s="21" t="n">
        <v>46146.8958333333</v>
      </c>
      <c r="E524" s="21" t="n">
        <v>46148.3958333333</v>
      </c>
      <c r="F524" s="22" t="n">
        <f aca="false">DATE(YEAR(E524),MONTH(E524),1)</f>
        <v>46143</v>
      </c>
      <c r="G524" s="23" t="n">
        <v>153421</v>
      </c>
      <c r="H524" s="8" t="s">
        <v>55</v>
      </c>
      <c r="I524" s="24" t="n">
        <v>-2574.09</v>
      </c>
      <c r="J524" s="25" t="n">
        <f aca="false">Summary!$B$4</f>
        <v>1</v>
      </c>
      <c r="K524" s="11" t="n">
        <f aca="false">I524*J524*IF(A524="SILVER",Summary!$B$5,Summary!$B$6)</f>
        <v>-257409</v>
      </c>
      <c r="L524" s="26" t="n">
        <v>-0.893</v>
      </c>
      <c r="M524" s="27" t="n">
        <f aca="false">IF(K524&gt;0,1,0)</f>
        <v>0</v>
      </c>
      <c r="N524" s="11" t="n">
        <f aca="false">SUMIFS(K$2:K524,A$2:A524,A524,B$2:B524,B524)</f>
        <v>3373415</v>
      </c>
      <c r="O524" s="11" t="n">
        <f aca="false">MAX(0,_xlfn.MAXIFS(N$2:N524,A$2:A524,A524,B$2:B524,B524))</f>
        <v>4879044</v>
      </c>
      <c r="P524" s="11" t="n">
        <f aca="false">N524-O524</f>
        <v>-1505629</v>
      </c>
    </row>
    <row r="525" customFormat="false" ht="15" hidden="false" customHeight="false" outlineLevel="0" collapsed="false">
      <c r="A525" s="8" t="s">
        <v>39</v>
      </c>
      <c r="B525" s="8" t="s">
        <v>37</v>
      </c>
      <c r="C525" s="8" t="s">
        <v>56</v>
      </c>
      <c r="D525" s="21" t="n">
        <v>46157.4583333333</v>
      </c>
      <c r="E525" s="21" t="n">
        <v>46160.5423611111</v>
      </c>
      <c r="F525" s="22" t="n">
        <f aca="false">DATE(YEAR(E525),MONTH(E525),1)</f>
        <v>46143</v>
      </c>
      <c r="G525" s="23" t="n">
        <v>163855</v>
      </c>
      <c r="H525" s="8" t="s">
        <v>58</v>
      </c>
      <c r="I525" s="24" t="n">
        <v>251.37</v>
      </c>
      <c r="J525" s="25" t="n">
        <f aca="false">Summary!$B$4</f>
        <v>1</v>
      </c>
      <c r="K525" s="11" t="n">
        <f aca="false">I525*J525*IF(A525="SILVER",Summary!$B$5,Summary!$B$6)</f>
        <v>25137</v>
      </c>
      <c r="L525" s="26" t="n">
        <v>0.086</v>
      </c>
      <c r="M525" s="27" t="n">
        <f aca="false">IF(K525&gt;0,1,0)</f>
        <v>1</v>
      </c>
      <c r="N525" s="11" t="n">
        <f aca="false">SUMIFS(K$2:K525,A$2:A525,A525,B$2:B525,B525)</f>
        <v>3398552</v>
      </c>
      <c r="O525" s="11" t="n">
        <f aca="false">MAX(0,_xlfn.MAXIFS(N$2:N525,A$2:A525,A525,B$2:B525,B525))</f>
        <v>4879044</v>
      </c>
      <c r="P525" s="11" t="n">
        <f aca="false">N525-O525</f>
        <v>-1480492</v>
      </c>
    </row>
    <row r="526" customFormat="false" ht="15" hidden="false" customHeight="false" outlineLevel="0" collapsed="false">
      <c r="A526" s="8" t="s">
        <v>39</v>
      </c>
      <c r="B526" s="8" t="s">
        <v>37</v>
      </c>
      <c r="C526" s="8" t="s">
        <v>56</v>
      </c>
      <c r="D526" s="21" t="n">
        <v>46161.7916666667</v>
      </c>
      <c r="E526" s="21" t="n">
        <v>46162.5222222222</v>
      </c>
      <c r="F526" s="22" t="n">
        <f aca="false">DATE(YEAR(E526),MONTH(E526),1)</f>
        <v>46143</v>
      </c>
      <c r="G526" s="23" t="n">
        <v>163255</v>
      </c>
      <c r="H526" s="8" t="s">
        <v>58</v>
      </c>
      <c r="I526" s="24" t="n">
        <v>148.66</v>
      </c>
      <c r="J526" s="25" t="n">
        <f aca="false">Summary!$B$4</f>
        <v>1</v>
      </c>
      <c r="K526" s="11" t="n">
        <f aca="false">I526*J526*IF(A526="SILVER",Summary!$B$5,Summary!$B$6)</f>
        <v>14866</v>
      </c>
      <c r="L526" s="26" t="n">
        <v>0.078</v>
      </c>
      <c r="M526" s="27" t="n">
        <f aca="false">IF(K526&gt;0,1,0)</f>
        <v>1</v>
      </c>
      <c r="N526" s="11" t="n">
        <f aca="false">SUMIFS(K$2:K526,A$2:A526,A526,B$2:B526,B526)</f>
        <v>3413418</v>
      </c>
      <c r="O526" s="11" t="n">
        <f aca="false">MAX(0,_xlfn.MAXIFS(N$2:N526,A$2:A526,A526,B$2:B526,B526))</f>
        <v>4879044</v>
      </c>
      <c r="P526" s="11" t="n">
        <f aca="false">N526-O526</f>
        <v>-1465626</v>
      </c>
    </row>
    <row r="527" customFormat="false" ht="15" hidden="false" customHeight="false" outlineLevel="0" collapsed="false">
      <c r="A527" s="8" t="s">
        <v>39</v>
      </c>
      <c r="B527" s="8" t="s">
        <v>37</v>
      </c>
      <c r="C527" s="8" t="s">
        <v>56</v>
      </c>
      <c r="D527" s="21" t="n">
        <v>46163.75</v>
      </c>
      <c r="E527" s="21" t="n">
        <v>46170.875</v>
      </c>
      <c r="F527" s="22" t="n">
        <f aca="false">DATE(YEAR(E527),MONTH(E527),1)</f>
        <v>46143</v>
      </c>
      <c r="G527" s="23" t="n">
        <v>163205</v>
      </c>
      <c r="H527" s="8" t="s">
        <v>55</v>
      </c>
      <c r="I527" s="24" t="n">
        <v>2628.48</v>
      </c>
      <c r="J527" s="25" t="n">
        <f aca="false">Summary!$B$4</f>
        <v>1</v>
      </c>
      <c r="K527" s="11" t="n">
        <f aca="false">I527*J527*IF(A527="SILVER",Summary!$B$5,Summary!$B$6)</f>
        <v>262848</v>
      </c>
      <c r="L527" s="26" t="n">
        <v>1.364</v>
      </c>
      <c r="M527" s="27" t="n">
        <f aca="false">IF(K527&gt;0,1,0)</f>
        <v>1</v>
      </c>
      <c r="N527" s="11" t="n">
        <f aca="false">SUMIFS(K$2:K527,A$2:A527,A527,B$2:B527,B527)</f>
        <v>3676266</v>
      </c>
      <c r="O527" s="11" t="n">
        <f aca="false">MAX(0,_xlfn.MAXIFS(N$2:N527,A$2:A527,A527,B$2:B527,B527))</f>
        <v>4879044</v>
      </c>
      <c r="P527" s="11" t="n">
        <f aca="false">N527-O527</f>
        <v>-1202778</v>
      </c>
    </row>
    <row r="528" customFormat="false" ht="15" hidden="false" customHeight="false" outlineLevel="0" collapsed="false">
      <c r="A528" s="8" t="s">
        <v>39</v>
      </c>
      <c r="B528" s="8" t="s">
        <v>37</v>
      </c>
      <c r="C528" s="8" t="s">
        <v>56</v>
      </c>
      <c r="D528" s="21" t="n">
        <v>46174.7923611111</v>
      </c>
      <c r="E528" s="21" t="n">
        <v>46175.5583333333</v>
      </c>
      <c r="F528" s="22" t="n">
        <f aca="false">DATE(YEAR(E528),MONTH(E528),1)</f>
        <v>46174</v>
      </c>
      <c r="G528" s="23" t="n">
        <v>158083</v>
      </c>
      <c r="H528" s="8" t="s">
        <v>55</v>
      </c>
      <c r="I528" s="24" t="n">
        <v>-2089.98</v>
      </c>
      <c r="J528" s="25" t="n">
        <f aca="false">Summary!$B$4</f>
        <v>1</v>
      </c>
      <c r="K528" s="11" t="n">
        <f aca="false">I528*J528*IF(A528="SILVER",Summary!$B$5,Summary!$B$6)</f>
        <v>-208998</v>
      </c>
      <c r="L528" s="26" t="n">
        <v>-0.745</v>
      </c>
      <c r="M528" s="27" t="n">
        <f aca="false">IF(K528&gt;0,1,0)</f>
        <v>0</v>
      </c>
      <c r="N528" s="11" t="n">
        <f aca="false">SUMIFS(K$2:K528,A$2:A528,A528,B$2:B528,B528)</f>
        <v>3467268</v>
      </c>
      <c r="O528" s="11" t="n">
        <f aca="false">MAX(0,_xlfn.MAXIFS(N$2:N528,A$2:A528,A528,B$2:B528,B528))</f>
        <v>4879044</v>
      </c>
      <c r="P528" s="11" t="n">
        <f aca="false">N528-O528</f>
        <v>-1411776</v>
      </c>
    </row>
    <row r="529" customFormat="false" ht="15" hidden="false" customHeight="false" outlineLevel="0" collapsed="false">
      <c r="A529" s="8" t="s">
        <v>39</v>
      </c>
      <c r="B529" s="8" t="s">
        <v>37</v>
      </c>
      <c r="C529" s="8" t="s">
        <v>56</v>
      </c>
      <c r="D529" s="21" t="n">
        <v>46178.68125</v>
      </c>
      <c r="E529" s="21" t="n">
        <v>46185.5833333333</v>
      </c>
      <c r="F529" s="22" t="n">
        <f aca="false">DATE(YEAR(E529),MONTH(E529),1)</f>
        <v>46174</v>
      </c>
      <c r="G529" s="23" t="n">
        <v>158655</v>
      </c>
      <c r="H529" s="8" t="s">
        <v>55</v>
      </c>
      <c r="I529" s="24" t="n">
        <v>5609.5</v>
      </c>
      <c r="J529" s="25" t="n">
        <f aca="false">Summary!$B$4</f>
        <v>1</v>
      </c>
      <c r="K529" s="11" t="n">
        <f aca="false">I529*J529*IF(A529="SILVER",Summary!$B$5,Summary!$B$6)</f>
        <v>560950</v>
      </c>
      <c r="L529" s="26" t="n">
        <v>4.009</v>
      </c>
      <c r="M529" s="27" t="n">
        <f aca="false">IF(K529&gt;0,1,0)</f>
        <v>1</v>
      </c>
      <c r="N529" s="11" t="n">
        <f aca="false">SUMIFS(K$2:K529,A$2:A529,A529,B$2:B529,B529)</f>
        <v>4028218</v>
      </c>
      <c r="O529" s="11" t="n">
        <f aca="false">MAX(0,_xlfn.MAXIFS(N$2:N529,A$2:A529,A529,B$2:B529,B529))</f>
        <v>4879044</v>
      </c>
      <c r="P529" s="11" t="n">
        <f aca="false">N529-O529</f>
        <v>-850826</v>
      </c>
    </row>
    <row r="530" customFormat="false" ht="15" hidden="false" customHeight="false" outlineLevel="0" collapsed="false">
      <c r="A530" s="8" t="s">
        <v>39</v>
      </c>
      <c r="B530" s="8" t="s">
        <v>37</v>
      </c>
      <c r="C530" s="8" t="s">
        <v>56</v>
      </c>
      <c r="D530" s="21" t="n">
        <v>46191.5006944445</v>
      </c>
      <c r="E530" s="21" t="n">
        <v>46199.8958333333</v>
      </c>
      <c r="F530" s="22" t="n">
        <f aca="false">DATE(YEAR(E530),MONTH(E530),1)</f>
        <v>46174</v>
      </c>
      <c r="G530" s="23" t="n">
        <v>154219</v>
      </c>
      <c r="H530" s="8" t="s">
        <v>55</v>
      </c>
      <c r="I530" s="24" t="n">
        <v>6906.38</v>
      </c>
      <c r="J530" s="25" t="n">
        <f aca="false">Summary!$B$4</f>
        <v>1</v>
      </c>
      <c r="K530" s="11" t="n">
        <f aca="false">I530*J530*IF(A530="SILVER",Summary!$B$5,Summary!$B$6)</f>
        <v>690638</v>
      </c>
      <c r="L530" s="26" t="n">
        <v>2.78</v>
      </c>
      <c r="M530" s="27" t="n">
        <f aca="false">IF(K530&gt;0,1,0)</f>
        <v>1</v>
      </c>
      <c r="N530" s="11" t="n">
        <f aca="false">SUMIFS(K$2:K530,A$2:A530,A530,B$2:B530,B530)</f>
        <v>4718856</v>
      </c>
      <c r="O530" s="11" t="n">
        <f aca="false">MAX(0,_xlfn.MAXIFS(N$2:N530,A$2:A530,A530,B$2:B530,B530))</f>
        <v>4879044</v>
      </c>
      <c r="P530" s="11" t="n">
        <f aca="false">N530-O530</f>
        <v>-160188</v>
      </c>
    </row>
    <row r="531" customFormat="false" ht="15" hidden="false" customHeight="false" outlineLevel="0" collapsed="false">
      <c r="A531" s="8" t="s">
        <v>39</v>
      </c>
      <c r="B531" s="8" t="s">
        <v>37</v>
      </c>
      <c r="C531" s="8" t="s">
        <v>56</v>
      </c>
      <c r="D531" s="21" t="n">
        <v>46203.3958333333</v>
      </c>
      <c r="E531" s="21" t="n">
        <v>46203.8333333333</v>
      </c>
      <c r="F531" s="22" t="n">
        <f aca="false">DATE(YEAR(E531),MONTH(E531),1)</f>
        <v>46174</v>
      </c>
      <c r="G531" s="23" t="n">
        <v>143384</v>
      </c>
      <c r="H531" s="8" t="s">
        <v>55</v>
      </c>
      <c r="I531" s="24" t="n">
        <v>-2704.42</v>
      </c>
      <c r="J531" s="25" t="n">
        <f aca="false">Summary!$B$4</f>
        <v>1</v>
      </c>
      <c r="K531" s="11" t="n">
        <f aca="false">I531*J531*IF(A531="SILVER",Summary!$B$5,Summary!$B$6)</f>
        <v>-270442</v>
      </c>
      <c r="L531" s="26" t="n">
        <v>-1.021</v>
      </c>
      <c r="M531" s="27" t="n">
        <f aca="false">IF(K531&gt;0,1,0)</f>
        <v>0</v>
      </c>
      <c r="N531" s="11" t="n">
        <f aca="false">SUMIFS(K$2:K531,A$2:A531,A531,B$2:B531,B531)</f>
        <v>4448414</v>
      </c>
      <c r="O531" s="11" t="n">
        <f aca="false">MAX(0,_xlfn.MAXIFS(N$2:N531,A$2:A531,A531,B$2:B531,B531))</f>
        <v>4879044</v>
      </c>
      <c r="P531" s="11" t="n">
        <f aca="false">N531-O531</f>
        <v>-430630</v>
      </c>
    </row>
    <row r="532" customFormat="false" ht="15" hidden="false" customHeight="false" outlineLevel="0" collapsed="false">
      <c r="A532" s="8" t="s">
        <v>39</v>
      </c>
      <c r="B532" s="8" t="s">
        <v>37</v>
      </c>
      <c r="C532" s="8" t="s">
        <v>56</v>
      </c>
      <c r="D532" s="21" t="n">
        <v>46210.4791666667</v>
      </c>
      <c r="E532" s="21" t="n">
        <v>46212.9180555556</v>
      </c>
      <c r="F532" s="22" t="n">
        <f aca="false">DATE(YEAR(E532),MONTH(E532),1)</f>
        <v>46204</v>
      </c>
      <c r="G532" s="23" t="n">
        <v>148192</v>
      </c>
      <c r="H532" s="8" t="s">
        <v>58</v>
      </c>
      <c r="I532" s="24" t="n">
        <v>157.97</v>
      </c>
      <c r="J532" s="25" t="n">
        <f aca="false">Summary!$B$4</f>
        <v>1</v>
      </c>
      <c r="K532" s="11" t="n">
        <f aca="false">I532*J532*IF(A532="SILVER",Summary!$B$5,Summary!$B$6)</f>
        <v>15797</v>
      </c>
      <c r="L532" s="26" t="n">
        <v>0.08</v>
      </c>
      <c r="M532" s="27" t="n">
        <f aca="false">IF(K532&gt;0,1,0)</f>
        <v>1</v>
      </c>
      <c r="N532" s="11" t="n">
        <f aca="false">SUMIFS(K$2:K532,A$2:A532,A532,B$2:B532,B532)</f>
        <v>4464211</v>
      </c>
      <c r="O532" s="11" t="n">
        <f aca="false">MAX(0,_xlfn.MAXIFS(N$2:N532,A$2:A532,A532,B$2:B532,B532))</f>
        <v>4879044</v>
      </c>
      <c r="P532" s="11" t="n">
        <f aca="false">N532-O532</f>
        <v>-414833</v>
      </c>
    </row>
    <row r="533" customFormat="false" ht="15" hidden="false" customHeight="false" outlineLevel="0" collapsed="false">
      <c r="A533" s="8" t="s">
        <v>39</v>
      </c>
      <c r="B533" s="8" t="s">
        <v>37</v>
      </c>
      <c r="C533" s="8" t="s">
        <v>56</v>
      </c>
      <c r="D533" s="21" t="n">
        <v>46213.5625</v>
      </c>
      <c r="E533" s="21" t="n">
        <v>46217.7708333333</v>
      </c>
      <c r="F533" s="22" t="n">
        <f aca="false">DATE(YEAR(E533),MONTH(E533),1)</f>
        <v>46204</v>
      </c>
      <c r="G533" s="23" t="n">
        <v>146949</v>
      </c>
      <c r="H533" s="8" t="s">
        <v>55</v>
      </c>
      <c r="I533" s="24" t="n">
        <v>1721.31</v>
      </c>
      <c r="J533" s="25" t="n">
        <f aca="false">Summary!$B$4</f>
        <v>1</v>
      </c>
      <c r="K533" s="11" t="n">
        <f aca="false">I533*J533*IF(A533="SILVER",Summary!$B$5,Summary!$B$6)</f>
        <v>172131</v>
      </c>
      <c r="L533" s="26" t="n">
        <v>1.632</v>
      </c>
      <c r="M533" s="27" t="n">
        <f aca="false">IF(K533&gt;0,1,0)</f>
        <v>1</v>
      </c>
      <c r="N533" s="11" t="n">
        <f aca="false">SUMIFS(K$2:K533,A$2:A533,A533,B$2:B533,B533)</f>
        <v>4636342</v>
      </c>
      <c r="O533" s="11" t="n">
        <f aca="false">MAX(0,_xlfn.MAXIFS(N$2:N533,A$2:A533,A533,B$2:B533,B533))</f>
        <v>4879044</v>
      </c>
      <c r="P533" s="11" t="n">
        <f aca="false">N533-O533</f>
        <v>-242702</v>
      </c>
    </row>
    <row r="534" customFormat="false" ht="15" hidden="false" customHeight="false" outlineLevel="0" collapsed="false">
      <c r="A534" s="8" t="s">
        <v>39</v>
      </c>
      <c r="B534" s="8" t="s">
        <v>37</v>
      </c>
      <c r="C534" s="8" t="s">
        <v>56</v>
      </c>
      <c r="D534" s="21" t="n">
        <v>46220.375</v>
      </c>
      <c r="E534" s="21" t="n">
        <v>46223.7291666667</v>
      </c>
      <c r="F534" s="22" t="n">
        <f aca="false">DATE(YEAR(E534),MONTH(E534),1)</f>
        <v>46204</v>
      </c>
      <c r="G534" s="23" t="n">
        <v>143315</v>
      </c>
      <c r="H534" s="8" t="s">
        <v>55</v>
      </c>
      <c r="I534" s="24" t="n">
        <v>-1402.23</v>
      </c>
      <c r="J534" s="25" t="n">
        <f aca="false">Summary!$B$4</f>
        <v>1</v>
      </c>
      <c r="K534" s="11" t="n">
        <f aca="false">I534*J534*IF(A534="SILVER",Summary!$B$5,Summary!$B$6)</f>
        <v>-140223</v>
      </c>
      <c r="L534" s="26" t="n">
        <v>-0.76</v>
      </c>
      <c r="M534" s="27" t="n">
        <f aca="false">IF(K534&gt;0,1,0)</f>
        <v>0</v>
      </c>
      <c r="N534" s="11" t="n">
        <f aca="false">SUMIFS(K$2:K534,A$2:A534,A534,B$2:B534,B534)</f>
        <v>4496119</v>
      </c>
      <c r="O534" s="11" t="n">
        <f aca="false">MAX(0,_xlfn.MAXIFS(N$2:N534,A$2:A534,A534,B$2:B534,B534))</f>
        <v>4879044</v>
      </c>
      <c r="P534" s="11" t="n">
        <f aca="false">N534-O534</f>
        <v>-382925</v>
      </c>
    </row>
    <row r="535" customFormat="false" ht="15" hidden="false" customHeight="false" outlineLevel="0" collapsed="false">
      <c r="A535" s="8" t="s">
        <v>39</v>
      </c>
      <c r="B535" s="8" t="s">
        <v>37</v>
      </c>
      <c r="C535" s="8" t="s">
        <v>56</v>
      </c>
      <c r="D535" s="21" t="n">
        <v>46226.625</v>
      </c>
      <c r="E535" s="21" t="n">
        <v>46230.3909722222</v>
      </c>
      <c r="F535" s="22" t="n">
        <f aca="false">DATE(YEAR(E535),MONTH(E535),1)</f>
        <v>46204</v>
      </c>
      <c r="G535" s="23" t="n">
        <v>146780</v>
      </c>
      <c r="H535" s="8" t="s">
        <v>58</v>
      </c>
      <c r="I535" s="24" t="n">
        <v>134.88</v>
      </c>
      <c r="J535" s="25" t="n">
        <f aca="false">Summary!$B$4</f>
        <v>1</v>
      </c>
      <c r="K535" s="11" t="n">
        <f aca="false">I535*J535*IF(A535="SILVER",Summary!$B$5,Summary!$B$6)</f>
        <v>13488</v>
      </c>
      <c r="L535" s="26" t="n">
        <v>0.078</v>
      </c>
      <c r="M535" s="27" t="n">
        <f aca="false">IF(K535&gt;0,1,0)</f>
        <v>1</v>
      </c>
      <c r="N535" s="11" t="n">
        <f aca="false">SUMIFS(K$2:K535,A$2:A535,A535,B$2:B535,B535)</f>
        <v>4509607</v>
      </c>
      <c r="O535" s="11" t="n">
        <f aca="false">MAX(0,_xlfn.MAXIFS(N$2:N535,A$2:A535,A535,B$2:B535,B535))</f>
        <v>4879044</v>
      </c>
      <c r="P535" s="11" t="n">
        <f aca="false">N535-O535</f>
        <v>-369437</v>
      </c>
    </row>
    <row r="536" customFormat="false" ht="15" hidden="false" customHeight="false" outlineLevel="0" collapsed="false">
      <c r="A536" s="8" t="s">
        <v>39</v>
      </c>
      <c r="B536" s="8" t="s">
        <v>37</v>
      </c>
      <c r="C536" s="8" t="s">
        <v>56</v>
      </c>
      <c r="D536" s="21" t="n">
        <v>46231.3958333333</v>
      </c>
      <c r="E536" s="21" t="n">
        <v>46231.8868055556</v>
      </c>
      <c r="F536" s="22" t="n">
        <f aca="false">DATE(YEAR(E536),MONTH(E536),1)</f>
        <v>46204</v>
      </c>
      <c r="G536" s="23" t="n">
        <v>144791</v>
      </c>
      <c r="H536" s="8" t="s">
        <v>58</v>
      </c>
      <c r="I536" s="24" t="n">
        <v>141.58</v>
      </c>
      <c r="J536" s="25" t="n">
        <f aca="false">Summary!$B$4</f>
        <v>1</v>
      </c>
      <c r="K536" s="11" t="n">
        <f aca="false">I536*J536*IF(A536="SILVER",Summary!$B$5,Summary!$B$6)</f>
        <v>14158</v>
      </c>
      <c r="L536" s="26" t="n">
        <v>0.074</v>
      </c>
      <c r="M536" s="27" t="n">
        <f aca="false">IF(K536&gt;0,1,0)</f>
        <v>1</v>
      </c>
      <c r="N536" s="11" t="n">
        <f aca="false">SUMIFS(K$2:K536,A$2:A536,A536,B$2:B536,B536)</f>
        <v>4523765</v>
      </c>
      <c r="O536" s="11" t="n">
        <f aca="false">MAX(0,_xlfn.MAXIFS(N$2:N536,A$2:A536,A536,B$2:B536,B536))</f>
        <v>4879044</v>
      </c>
      <c r="P536" s="11" t="n">
        <f aca="false">N536-O536</f>
        <v>-355279</v>
      </c>
    </row>
    <row r="537" customFormat="false" ht="15" hidden="false" customHeight="false" outlineLevel="0" collapsed="false">
      <c r="A537" s="8" t="s">
        <v>39</v>
      </c>
      <c r="B537" s="8" t="s">
        <v>37</v>
      </c>
      <c r="C537" s="8" t="s">
        <v>56</v>
      </c>
      <c r="D537" s="21" t="n">
        <v>46232.8125</v>
      </c>
      <c r="E537" s="21" t="n">
        <v>46233.3958333333</v>
      </c>
      <c r="F537" s="22" t="n">
        <f aca="false">DATE(YEAR(E537),MONTH(E537),1)</f>
        <v>46204</v>
      </c>
      <c r="G537" s="23" t="n">
        <v>143547</v>
      </c>
      <c r="H537" s="8" t="s">
        <v>55</v>
      </c>
      <c r="I537" s="24" t="n">
        <v>-1360.31</v>
      </c>
      <c r="J537" s="25" t="n">
        <f aca="false">Summary!$B$4</f>
        <v>1</v>
      </c>
      <c r="K537" s="11" t="n">
        <f aca="false">I537*J537*IF(A537="SILVER",Summary!$B$5,Summary!$B$6)</f>
        <v>-136031</v>
      </c>
      <c r="L537" s="26" t="n">
        <v>-0.896</v>
      </c>
      <c r="M537" s="27" t="n">
        <f aca="false">IF(K537&gt;0,1,0)</f>
        <v>0</v>
      </c>
      <c r="N537" s="11" t="n">
        <f aca="false">SUMIFS(K$2:K537,A$2:A537,A537,B$2:B537,B537)</f>
        <v>4387734</v>
      </c>
      <c r="O537" s="11" t="n">
        <f aca="false">MAX(0,_xlfn.MAXIFS(N$2:N537,A$2:A537,A537,B$2:B537,B537))</f>
        <v>4879044</v>
      </c>
      <c r="P537" s="11" t="n">
        <f aca="false">N537-O537</f>
        <v>-491310</v>
      </c>
    </row>
    <row r="538" customFormat="false" ht="15" hidden="false" customHeight="false" outlineLevel="0" collapsed="false">
      <c r="A538" s="8" t="s">
        <v>39</v>
      </c>
      <c r="B538" s="8" t="s">
        <v>37</v>
      </c>
      <c r="C538" s="8" t="s">
        <v>56</v>
      </c>
      <c r="D538" s="21" t="n">
        <v>46237.7993055556</v>
      </c>
      <c r="E538" s="21" t="n">
        <v>46238.8236111111</v>
      </c>
      <c r="F538" s="22" t="n">
        <f aca="false">DATE(YEAR(E538),MONTH(E538),1)</f>
        <v>46235</v>
      </c>
      <c r="G538" s="23" t="n">
        <v>143630</v>
      </c>
      <c r="H538" s="8" t="s">
        <v>55</v>
      </c>
      <c r="I538" s="24" t="n">
        <v>-1703.36</v>
      </c>
      <c r="J538" s="25" t="n">
        <f aca="false">Summary!$B$4</f>
        <v>1</v>
      </c>
      <c r="K538" s="11" t="n">
        <f aca="false">I538*J538*IF(A538="SILVER",Summary!$B$5,Summary!$B$6)</f>
        <v>-170336</v>
      </c>
      <c r="L538" s="26" t="n">
        <v>-0.918</v>
      </c>
      <c r="M538" s="27" t="n">
        <f aca="false">IF(K538&gt;0,1,0)</f>
        <v>0</v>
      </c>
      <c r="N538" s="11" t="n">
        <f aca="false">SUMIFS(K$2:K538,A$2:A538,A538,B$2:B538,B538)</f>
        <v>4217398</v>
      </c>
      <c r="O538" s="11" t="n">
        <f aca="false">MAX(0,_xlfn.MAXIFS(N$2:N538,A$2:A538,A538,B$2:B538,B538))</f>
        <v>4879044</v>
      </c>
      <c r="P538" s="11" t="n">
        <f aca="false">N538-O538</f>
        <v>-661646</v>
      </c>
    </row>
    <row r="539" customFormat="false" ht="15" hidden="false" customHeight="false" outlineLevel="0" collapsed="false">
      <c r="A539" s="8" t="s">
        <v>39</v>
      </c>
      <c r="B539" s="8" t="s">
        <v>37</v>
      </c>
      <c r="C539" s="8" t="s">
        <v>56</v>
      </c>
      <c r="D539" s="21" t="n">
        <v>46248.3958333333</v>
      </c>
      <c r="E539" s="21" t="n">
        <v>46248.8958333333</v>
      </c>
      <c r="F539" s="22" t="n">
        <f aca="false">DATE(YEAR(E539),MONTH(E539),1)</f>
        <v>46235</v>
      </c>
      <c r="G539" s="23" t="n">
        <v>152310</v>
      </c>
      <c r="H539" s="8" t="s">
        <v>55</v>
      </c>
      <c r="I539" s="24" t="n">
        <v>-2570.71</v>
      </c>
      <c r="J539" s="25" t="n">
        <f aca="false">Summary!$B$4</f>
        <v>1</v>
      </c>
      <c r="K539" s="11" t="n">
        <f aca="false">I539*J539*IF(A539="SILVER",Summary!$B$5,Summary!$B$6)</f>
        <v>-257071</v>
      </c>
      <c r="L539" s="26" t="n">
        <v>-0.846</v>
      </c>
      <c r="M539" s="27" t="n">
        <f aca="false">IF(K539&gt;0,1,0)</f>
        <v>0</v>
      </c>
      <c r="N539" s="11" t="n">
        <f aca="false">SUMIFS(K$2:K539,A$2:A539,A539,B$2:B539,B539)</f>
        <v>3960327</v>
      </c>
      <c r="O539" s="11" t="n">
        <f aca="false">MAX(0,_xlfn.MAXIFS(N$2:N539,A$2:A539,A539,B$2:B539,B539))</f>
        <v>4879044</v>
      </c>
      <c r="P539" s="11" t="n">
        <f aca="false">N539-O539</f>
        <v>-918717</v>
      </c>
    </row>
    <row r="540" customFormat="false" ht="15" hidden="false" customHeight="false" outlineLevel="0" collapsed="false">
      <c r="A540" s="8" t="s">
        <v>39</v>
      </c>
      <c r="B540" s="8" t="s">
        <v>37</v>
      </c>
      <c r="C540" s="8" t="s">
        <v>56</v>
      </c>
      <c r="D540" s="21" t="n">
        <v>46253.4166666667</v>
      </c>
      <c r="E540" s="21" t="n">
        <v>46253.7708333333</v>
      </c>
      <c r="F540" s="22" t="n">
        <f aca="false">DATE(YEAR(E540),MONTH(E540),1)</f>
        <v>46235</v>
      </c>
      <c r="G540" s="23" t="n">
        <v>153889</v>
      </c>
      <c r="H540" s="8" t="s">
        <v>55</v>
      </c>
      <c r="I540" s="24" t="n">
        <v>-2705.05</v>
      </c>
      <c r="J540" s="25" t="n">
        <f aca="false">Summary!$B$4</f>
        <v>1</v>
      </c>
      <c r="K540" s="11" t="n">
        <f aca="false">I540*J540*IF(A540="SILVER",Summary!$B$5,Summary!$B$6)</f>
        <v>-270505</v>
      </c>
      <c r="L540" s="26" t="n">
        <v>-1.287</v>
      </c>
      <c r="M540" s="27" t="n">
        <f aca="false">IF(K540&gt;0,1,0)</f>
        <v>0</v>
      </c>
      <c r="N540" s="11" t="n">
        <f aca="false">SUMIFS(K$2:K540,A$2:A540,A540,B$2:B540,B540)</f>
        <v>3689822</v>
      </c>
      <c r="O540" s="11" t="n">
        <f aca="false">MAX(0,_xlfn.MAXIFS(N$2:N540,A$2:A540,A540,B$2:B540,B540))</f>
        <v>4879044</v>
      </c>
      <c r="P540" s="11" t="n">
        <f aca="false">N540-O540</f>
        <v>-1189222</v>
      </c>
    </row>
    <row r="541" customFormat="false" ht="15" hidden="false" customHeight="false" outlineLevel="0" collapsed="false">
      <c r="A541" s="8" t="s">
        <v>39</v>
      </c>
      <c r="B541" s="8" t="s">
        <v>37</v>
      </c>
      <c r="C541" s="8" t="s">
        <v>54</v>
      </c>
      <c r="D541" s="21" t="n">
        <v>46254.3958333333</v>
      </c>
      <c r="E541" s="21" t="n">
        <v>46260.8541666667</v>
      </c>
      <c r="F541" s="22" t="n">
        <f aca="false">DATE(YEAR(E541),MONTH(E541),1)</f>
        <v>46235</v>
      </c>
      <c r="G541" s="23" t="n">
        <v>158622</v>
      </c>
      <c r="H541" s="8" t="s">
        <v>55</v>
      </c>
      <c r="I541" s="24" t="n">
        <v>2886.98</v>
      </c>
      <c r="J541" s="25" t="n">
        <f aca="false">Summary!$B$4</f>
        <v>1</v>
      </c>
      <c r="K541" s="11" t="n">
        <f aca="false">I541*J541*IF(A541="SILVER",Summary!$B$5,Summary!$B$6)</f>
        <v>288698</v>
      </c>
      <c r="L541" s="26" t="n">
        <v>0.984</v>
      </c>
      <c r="M541" s="27" t="n">
        <f aca="false">IF(K541&gt;0,1,0)</f>
        <v>1</v>
      </c>
      <c r="N541" s="11" t="n">
        <f aca="false">SUMIFS(K$2:K541,A$2:A541,A541,B$2:B541,B541)</f>
        <v>3978520</v>
      </c>
      <c r="O541" s="11" t="n">
        <f aca="false">MAX(0,_xlfn.MAXIFS(N$2:N541,A$2:A541,A541,B$2:B541,B541))</f>
        <v>4879044</v>
      </c>
      <c r="P541" s="11" t="n">
        <f aca="false">N541-O541</f>
        <v>-900524</v>
      </c>
    </row>
    <row r="542" customFormat="false" ht="15" hidden="false" customHeight="false" outlineLevel="0" collapsed="false">
      <c r="A542" s="8" t="s">
        <v>39</v>
      </c>
      <c r="B542" s="8" t="s">
        <v>37</v>
      </c>
      <c r="C542" s="8" t="s">
        <v>54</v>
      </c>
      <c r="D542" s="21" t="n">
        <v>46268.3958333333</v>
      </c>
      <c r="E542" s="21" t="n">
        <v>46269.75</v>
      </c>
      <c r="F542" s="22" t="n">
        <f aca="false">DATE(YEAR(E542),MONTH(E542),1)</f>
        <v>46266</v>
      </c>
      <c r="G542" s="23" t="n">
        <v>153803</v>
      </c>
      <c r="H542" s="8" t="s">
        <v>58</v>
      </c>
      <c r="I542" s="24" t="n">
        <v>279.62</v>
      </c>
      <c r="J542" s="25" t="n">
        <f aca="false">Summary!$B$4</f>
        <v>1</v>
      </c>
      <c r="K542" s="11" t="n">
        <f aca="false">I542*J542*IF(A542="SILVER",Summary!$B$5,Summary!$B$6)</f>
        <v>27962</v>
      </c>
      <c r="L542" s="26" t="n">
        <v>0.087</v>
      </c>
      <c r="M542" s="27" t="n">
        <f aca="false">IF(K542&gt;0,1,0)</f>
        <v>1</v>
      </c>
      <c r="N542" s="11" t="n">
        <f aca="false">SUMIFS(K$2:K542,A$2:A542,A542,B$2:B542,B542)</f>
        <v>4006482</v>
      </c>
      <c r="O542" s="11" t="n">
        <f aca="false">MAX(0,_xlfn.MAXIFS(N$2:N542,A$2:A542,A542,B$2:B542,B542))</f>
        <v>4879044</v>
      </c>
      <c r="P542" s="11" t="n">
        <f aca="false">N542-O542</f>
        <v>-872562</v>
      </c>
    </row>
    <row r="543" customFormat="false" ht="15" hidden="false" customHeight="false" outlineLevel="0" collapsed="false">
      <c r="A543" s="8" t="s">
        <v>39</v>
      </c>
      <c r="B543" s="8" t="s">
        <v>37</v>
      </c>
      <c r="C543" s="8" t="s">
        <v>54</v>
      </c>
      <c r="D543" s="21" t="n">
        <v>46282.375</v>
      </c>
      <c r="E543" s="21" t="n">
        <v>46287.5625</v>
      </c>
      <c r="F543" s="22" t="n">
        <f aca="false">DATE(YEAR(E543),MONTH(E543),1)</f>
        <v>46266</v>
      </c>
      <c r="G543" s="23" t="n">
        <v>150513</v>
      </c>
      <c r="H543" s="8" t="s">
        <v>55</v>
      </c>
      <c r="I543" s="24" t="n">
        <v>1311.52</v>
      </c>
      <c r="J543" s="25" t="n">
        <f aca="false">Summary!$B$4</f>
        <v>1</v>
      </c>
      <c r="K543" s="11" t="n">
        <f aca="false">I543*J543*IF(A543="SILVER",Summary!$B$5,Summary!$B$6)</f>
        <v>131152</v>
      </c>
      <c r="L543" s="26" t="n">
        <v>37.52</v>
      </c>
      <c r="M543" s="27" t="n">
        <f aca="false">IF(K543&gt;0,1,0)</f>
        <v>1</v>
      </c>
      <c r="N543" s="11" t="n">
        <f aca="false">SUMIFS(K$2:K543,A$2:A543,A543,B$2:B543,B543)</f>
        <v>4137634</v>
      </c>
      <c r="O543" s="11" t="n">
        <f aca="false">MAX(0,_xlfn.MAXIFS(N$2:N543,A$2:A543,A543,B$2:B543,B543))</f>
        <v>4879044</v>
      </c>
      <c r="P543" s="11" t="n">
        <f aca="false">N543-O543</f>
        <v>-741410</v>
      </c>
    </row>
  </sheetData>
  <autoFilter ref="A1:P5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5" min="2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5" t="s">
        <v>60</v>
      </c>
    </row>
    <row r="3" customFormat="false" ht="30" hidden="false" customHeight="true" outlineLevel="0" collapsed="false">
      <c r="A3" s="6" t="s">
        <v>61</v>
      </c>
      <c r="B3" s="6" t="s">
        <v>62</v>
      </c>
      <c r="C3" s="6"/>
      <c r="D3" s="6"/>
      <c r="E3" s="6"/>
      <c r="F3" s="6" t="s">
        <v>63</v>
      </c>
      <c r="G3" s="6"/>
      <c r="H3" s="6"/>
      <c r="I3" s="6"/>
      <c r="J3" s="6" t="s">
        <v>64</v>
      </c>
      <c r="K3" s="6"/>
      <c r="L3" s="6"/>
      <c r="M3" s="6"/>
      <c r="N3" s="6" t="s">
        <v>65</v>
      </c>
      <c r="O3" s="6"/>
      <c r="P3" s="6"/>
      <c r="Q3" s="6"/>
      <c r="R3" s="6" t="s">
        <v>66</v>
      </c>
      <c r="S3" s="6"/>
      <c r="T3" s="6"/>
      <c r="U3" s="6"/>
      <c r="V3" s="6" t="s">
        <v>67</v>
      </c>
      <c r="W3" s="6"/>
      <c r="X3" s="6"/>
      <c r="Y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68</v>
      </c>
      <c r="F4" s="28" t="s">
        <v>12</v>
      </c>
      <c r="G4" s="28" t="s">
        <v>14</v>
      </c>
      <c r="H4" s="28" t="s">
        <v>15</v>
      </c>
      <c r="I4" s="28" t="s">
        <v>68</v>
      </c>
      <c r="J4" s="28" t="s">
        <v>12</v>
      </c>
      <c r="K4" s="28" t="s">
        <v>14</v>
      </c>
      <c r="L4" s="28" t="s">
        <v>15</v>
      </c>
      <c r="M4" s="28" t="s">
        <v>68</v>
      </c>
      <c r="N4" s="28" t="s">
        <v>12</v>
      </c>
      <c r="O4" s="28" t="s">
        <v>14</v>
      </c>
      <c r="P4" s="28" t="s">
        <v>15</v>
      </c>
      <c r="Q4" s="28" t="s">
        <v>68</v>
      </c>
      <c r="R4" s="28" t="s">
        <v>12</v>
      </c>
      <c r="S4" s="28" t="s">
        <v>14</v>
      </c>
      <c r="T4" s="28" t="s">
        <v>15</v>
      </c>
      <c r="U4" s="28" t="s">
        <v>68</v>
      </c>
      <c r="V4" s="28" t="s">
        <v>12</v>
      </c>
      <c r="W4" s="28" t="s">
        <v>14</v>
      </c>
      <c r="X4" s="28" t="s">
        <v>15</v>
      </c>
      <c r="Y4" s="28" t="s">
        <v>68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COUNTIFS(Trades!$A$2:$A$543,"SILVER",Trades!$B$2:$B$543,"V0",Trades!$F$2:$F$543,$A5)</f>
        <v>2</v>
      </c>
      <c r="C5" s="10" t="n">
        <f aca="false">IF(B5=0,"",COUNTIFS(Trades!$A$2:$A$543,"SILVER",Trades!$B$2:$B$543,"V0",Trades!$F$2:$F$543,$A5,Trades!$M$2:$M$543,1)/B5)</f>
        <v>0</v>
      </c>
      <c r="D5" s="11" t="n">
        <f aca="false">SUMIFS(Trades!$K$2:$K$543,Trades!$A$2:$A$543,"SILVER",Trades!$B$2:$B$543,"V0",Trades!$F$2:$F$543,$A5)</f>
        <v>-79423.2</v>
      </c>
      <c r="E5" s="11" t="n">
        <f aca="false">D5</f>
        <v>-79423.2</v>
      </c>
      <c r="F5" s="9" t="n">
        <f aca="false">COUNTIFS(Trades!$A$2:$A$543,"SILVER",Trades!$B$2:$B$543,"V1",Trades!$F$2:$F$543,$A5)</f>
        <v>0</v>
      </c>
      <c r="G5" s="10" t="str">
        <f aca="false">IF(F5=0,"",COUNTIFS(Trades!$A$2:$A$543,"SILVER",Trades!$B$2:$B$543,"V1",Trades!$F$2:$F$543,$A5,Trades!$M$2:$M$543,1)/F5)</f>
        <v/>
      </c>
      <c r="H5" s="11" t="n">
        <f aca="false">SUMIFS(Trades!$K$2:$K$543,Trades!$A$2:$A$543,"SILVER",Trades!$B$2:$B$543,"V1",Trades!$F$2:$F$543,$A5)</f>
        <v>0</v>
      </c>
      <c r="I5" s="11" t="n">
        <f aca="false">H5</f>
        <v>0</v>
      </c>
      <c r="J5" s="9" t="n">
        <f aca="false">COUNTIFS(Trades!$A$2:$A$543,"SILVER",Trades!$B$2:$B$543,"W8",Trades!$F$2:$F$543,$A5)</f>
        <v>0</v>
      </c>
      <c r="K5" s="10" t="str">
        <f aca="false">IF(J5=0,"",COUNTIFS(Trades!$A$2:$A$543,"SILVER",Trades!$B$2:$B$543,"W8",Trades!$F$2:$F$543,$A5,Trades!$M$2:$M$543,1)/J5)</f>
        <v/>
      </c>
      <c r="L5" s="11" t="n">
        <f aca="false">SUMIFS(Trades!$K$2:$K$543,Trades!$A$2:$A$543,"SILVER",Trades!$B$2:$B$543,"W8",Trades!$F$2:$F$543,$A5)</f>
        <v>0</v>
      </c>
      <c r="M5" s="11" t="n">
        <f aca="false">L5</f>
        <v>0</v>
      </c>
      <c r="N5" s="9" t="n">
        <f aca="false">COUNTIFS(Trades!$A$2:$A$543,"SILVER",Trades!$B$2:$B$543,"W8C",Trades!$F$2:$F$543,$A5)</f>
        <v>0</v>
      </c>
      <c r="O5" s="10" t="str">
        <f aca="false">IF(N5=0,"",COUNTIFS(Trades!$A$2:$A$543,"SILVER",Trades!$B$2:$B$543,"W8C",Trades!$F$2:$F$543,$A5,Trades!$M$2:$M$543,1)/N5)</f>
        <v/>
      </c>
      <c r="P5" s="11" t="n">
        <f aca="false">SUMIFS(Trades!$K$2:$K$543,Trades!$A$2:$A$543,"SILVER",Trades!$B$2:$B$543,"W8C",Trades!$F$2:$F$543,$A5)</f>
        <v>0</v>
      </c>
      <c r="Q5" s="11" t="n">
        <f aca="false">P5</f>
        <v>0</v>
      </c>
      <c r="R5" s="9" t="n">
        <f aca="false">COUNTIFS(Trades!$A$2:$A$543,"SILVER",Trades!$B$2:$B$543,"T6",Trades!$F$2:$F$543,$A5)</f>
        <v>0</v>
      </c>
      <c r="S5" s="10" t="str">
        <f aca="false">IF(R5=0,"",COUNTIFS(Trades!$A$2:$A$543,"SILVER",Trades!$B$2:$B$543,"T6",Trades!$F$2:$F$543,$A5,Trades!$M$2:$M$543,1)/R5)</f>
        <v/>
      </c>
      <c r="T5" s="11" t="n">
        <f aca="false">SUMIFS(Trades!$K$2:$K$543,Trades!$A$2:$A$543,"SILVER",Trades!$B$2:$B$543,"T6",Trades!$F$2:$F$543,$A5)</f>
        <v>0</v>
      </c>
      <c r="U5" s="11" t="n">
        <f aca="false">T5</f>
        <v>0</v>
      </c>
      <c r="V5" s="9" t="n">
        <f aca="false">COUNTIFS(Trades!$A$2:$A$543,"SILVER",Trades!$B$2:$B$543,"T7",Trades!$F$2:$F$543,$A5)</f>
        <v>0</v>
      </c>
      <c r="W5" s="10" t="str">
        <f aca="false">IF(V5=0,"",COUNTIFS(Trades!$A$2:$A$543,"SILVER",Trades!$B$2:$B$543,"T7",Trades!$F$2:$F$543,$A5,Trades!$M$2:$M$543,1)/V5)</f>
        <v/>
      </c>
      <c r="X5" s="11" t="n">
        <f aca="false">SUMIFS(Trades!$K$2:$K$543,Trades!$A$2:$A$543,"SILVER",Trades!$B$2:$B$543,"T7",Trades!$F$2:$F$543,$A5)</f>
        <v>0</v>
      </c>
      <c r="Y5" s="11" t="n">
        <f aca="false">X5</f>
        <v>0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COUNTIFS(Trades!$A$2:$A$543,"SILVER",Trades!$B$2:$B$543,"V0",Trades!$F$2:$F$543,$A6)</f>
        <v>3</v>
      </c>
      <c r="C6" s="10" t="n">
        <f aca="false">IF(B6=0,"",COUNTIFS(Trades!$A$2:$A$543,"SILVER",Trades!$B$2:$B$543,"V0",Trades!$F$2:$F$543,$A6,Trades!$M$2:$M$543,1)/B6)</f>
        <v>0.333333333333333</v>
      </c>
      <c r="D6" s="11" t="n">
        <f aca="false">SUMIFS(Trades!$K$2:$K$543,Trades!$A$2:$A$543,"SILVER",Trades!$B$2:$B$543,"V0",Trades!$F$2:$F$543,$A6)</f>
        <v>-93862.8</v>
      </c>
      <c r="E6" s="11" t="n">
        <f aca="false">E5+D6</f>
        <v>-173286</v>
      </c>
      <c r="F6" s="9" t="n">
        <f aca="false">COUNTIFS(Trades!$A$2:$A$543,"SILVER",Trades!$B$2:$B$543,"V1",Trades!$F$2:$F$543,$A6)</f>
        <v>1</v>
      </c>
      <c r="G6" s="10" t="n">
        <f aca="false">IF(F6=0,"",COUNTIFS(Trades!$A$2:$A$543,"SILVER",Trades!$B$2:$B$543,"V1",Trades!$F$2:$F$543,$A6,Trades!$M$2:$M$543,1)/F6)</f>
        <v>0</v>
      </c>
      <c r="H6" s="11" t="n">
        <f aca="false">SUMIFS(Trades!$K$2:$K$543,Trades!$A$2:$A$543,"SILVER",Trades!$B$2:$B$543,"V1",Trades!$F$2:$F$543,$A6)</f>
        <v>-92219.1</v>
      </c>
      <c r="I6" s="11" t="n">
        <f aca="false">I5+H6</f>
        <v>-92219.1</v>
      </c>
      <c r="J6" s="9" t="n">
        <f aca="false">COUNTIFS(Trades!$A$2:$A$543,"SILVER",Trades!$B$2:$B$543,"W8",Trades!$F$2:$F$543,$A6)</f>
        <v>1</v>
      </c>
      <c r="K6" s="10" t="n">
        <f aca="false">IF(J6=0,"",COUNTIFS(Trades!$A$2:$A$543,"SILVER",Trades!$B$2:$B$543,"W8",Trades!$F$2:$F$543,$A6,Trades!$M$2:$M$543,1)/J6)</f>
        <v>0</v>
      </c>
      <c r="L6" s="11" t="n">
        <f aca="false">SUMIFS(Trades!$K$2:$K$543,Trades!$A$2:$A$543,"SILVER",Trades!$B$2:$B$543,"W8",Trades!$F$2:$F$543,$A6)</f>
        <v>-92219.1</v>
      </c>
      <c r="M6" s="11" t="n">
        <f aca="false">M5+L6</f>
        <v>-92219.1</v>
      </c>
      <c r="N6" s="9" t="n">
        <f aca="false">COUNTIFS(Trades!$A$2:$A$543,"SILVER",Trades!$B$2:$B$543,"W8C",Trades!$F$2:$F$543,$A6)</f>
        <v>0</v>
      </c>
      <c r="O6" s="10" t="str">
        <f aca="false">IF(N6=0,"",COUNTIFS(Trades!$A$2:$A$543,"SILVER",Trades!$B$2:$B$543,"W8C",Trades!$F$2:$F$543,$A6,Trades!$M$2:$M$543,1)/N6)</f>
        <v/>
      </c>
      <c r="P6" s="11" t="n">
        <f aca="false">SUMIFS(Trades!$K$2:$K$543,Trades!$A$2:$A$543,"SILVER",Trades!$B$2:$B$543,"W8C",Trades!$F$2:$F$543,$A6)</f>
        <v>0</v>
      </c>
      <c r="Q6" s="11" t="n">
        <f aca="false">Q5+P6</f>
        <v>0</v>
      </c>
      <c r="R6" s="9" t="n">
        <f aca="false">COUNTIFS(Trades!$A$2:$A$543,"SILVER",Trades!$B$2:$B$543,"T6",Trades!$F$2:$F$543,$A6)</f>
        <v>3</v>
      </c>
      <c r="S6" s="10" t="n">
        <f aca="false">IF(R6=0,"",COUNTIFS(Trades!$A$2:$A$543,"SILVER",Trades!$B$2:$B$543,"T6",Trades!$F$2:$F$543,$A6,Trades!$M$2:$M$543,1)/R6)</f>
        <v>0.666666666666667</v>
      </c>
      <c r="T6" s="11" t="n">
        <f aca="false">SUMIFS(Trades!$K$2:$K$543,Trades!$A$2:$A$543,"SILVER",Trades!$B$2:$B$543,"T6",Trades!$F$2:$F$543,$A6)</f>
        <v>-28711.2</v>
      </c>
      <c r="U6" s="11" t="n">
        <f aca="false">U5+T6</f>
        <v>-28711.2</v>
      </c>
      <c r="V6" s="9" t="n">
        <f aca="false">COUNTIFS(Trades!$A$2:$A$543,"SILVER",Trades!$B$2:$B$543,"T7",Trades!$F$2:$F$543,$A6)</f>
        <v>4</v>
      </c>
      <c r="W6" s="10" t="n">
        <f aca="false">IF(V6=0,"",COUNTIFS(Trades!$A$2:$A$543,"SILVER",Trades!$B$2:$B$543,"T7",Trades!$F$2:$F$543,$A6,Trades!$M$2:$M$543,1)/V6)</f>
        <v>1</v>
      </c>
      <c r="X6" s="11" t="n">
        <f aca="false">SUMIFS(Trades!$K$2:$K$543,Trades!$A$2:$A$543,"SILVER",Trades!$B$2:$B$543,"T7",Trades!$F$2:$F$543,$A6)</f>
        <v>19050.3</v>
      </c>
      <c r="Y6" s="11" t="n">
        <f aca="false">Y5+X6</f>
        <v>19050.3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COUNTIFS(Trades!$A$2:$A$543,"SILVER",Trades!$B$2:$B$543,"V0",Trades!$F$2:$F$543,$A7)</f>
        <v>3</v>
      </c>
      <c r="C7" s="10" t="n">
        <f aca="false">IF(B7=0,"",COUNTIFS(Trades!$A$2:$A$543,"SILVER",Trades!$B$2:$B$543,"V0",Trades!$F$2:$F$543,$A7,Trades!$M$2:$M$543,1)/B7)</f>
        <v>0.666666666666667</v>
      </c>
      <c r="D7" s="11" t="n">
        <f aca="false">SUMIFS(Trades!$K$2:$K$543,Trades!$A$2:$A$543,"SILVER",Trades!$B$2:$B$543,"V0",Trades!$F$2:$F$543,$A7)</f>
        <v>42534.6</v>
      </c>
      <c r="E7" s="11" t="n">
        <f aca="false">E6+D7</f>
        <v>-130751.4</v>
      </c>
      <c r="F7" s="9" t="n">
        <f aca="false">COUNTIFS(Trades!$A$2:$A$543,"SILVER",Trades!$B$2:$B$543,"V1",Trades!$F$2:$F$543,$A7)</f>
        <v>2</v>
      </c>
      <c r="G7" s="10" t="n">
        <f aca="false">IF(F7=0,"",COUNTIFS(Trades!$A$2:$A$543,"SILVER",Trades!$B$2:$B$543,"V1",Trades!$F$2:$F$543,$A7,Trades!$M$2:$M$543,1)/F7)</f>
        <v>0.5</v>
      </c>
      <c r="H7" s="11" t="n">
        <f aca="false">SUMIFS(Trades!$K$2:$K$543,Trades!$A$2:$A$543,"SILVER",Trades!$B$2:$B$543,"V1",Trades!$F$2:$F$543,$A7)</f>
        <v>-9058.5</v>
      </c>
      <c r="I7" s="11" t="n">
        <f aca="false">I6+H7</f>
        <v>-101277.6</v>
      </c>
      <c r="J7" s="9" t="n">
        <f aca="false">COUNTIFS(Trades!$A$2:$A$543,"SILVER",Trades!$B$2:$B$543,"W8",Trades!$F$2:$F$543,$A7)</f>
        <v>2</v>
      </c>
      <c r="K7" s="10" t="n">
        <f aca="false">IF(J7=0,"",COUNTIFS(Trades!$A$2:$A$543,"SILVER",Trades!$B$2:$B$543,"W8",Trades!$F$2:$F$543,$A7,Trades!$M$2:$M$543,1)/J7)</f>
        <v>1</v>
      </c>
      <c r="L7" s="11" t="n">
        <f aca="false">SUMIFS(Trades!$K$2:$K$543,Trades!$A$2:$A$543,"SILVER",Trades!$B$2:$B$543,"W8",Trades!$F$2:$F$543,$A7)</f>
        <v>21321.3</v>
      </c>
      <c r="M7" s="11" t="n">
        <f aca="false">M6+L7</f>
        <v>-70897.8</v>
      </c>
      <c r="N7" s="9" t="n">
        <f aca="false">COUNTIFS(Trades!$A$2:$A$543,"SILVER",Trades!$B$2:$B$543,"W8C",Trades!$F$2:$F$543,$A7)</f>
        <v>2</v>
      </c>
      <c r="O7" s="10" t="n">
        <f aca="false">IF(N7=0,"",COUNTIFS(Trades!$A$2:$A$543,"SILVER",Trades!$B$2:$B$543,"W8C",Trades!$F$2:$F$543,$A7,Trades!$M$2:$M$543,1)/N7)</f>
        <v>1</v>
      </c>
      <c r="P7" s="11" t="n">
        <f aca="false">SUMIFS(Trades!$K$2:$K$543,Trades!$A$2:$A$543,"SILVER",Trades!$B$2:$B$543,"W8C",Trades!$F$2:$F$543,$A7)</f>
        <v>15062.4</v>
      </c>
      <c r="Q7" s="11" t="n">
        <f aca="false">Q6+P7</f>
        <v>15062.4</v>
      </c>
      <c r="R7" s="9" t="n">
        <f aca="false">COUNTIFS(Trades!$A$2:$A$543,"SILVER",Trades!$B$2:$B$543,"T6",Trades!$F$2:$F$543,$A7)</f>
        <v>3</v>
      </c>
      <c r="S7" s="10" t="n">
        <f aca="false">IF(R7=0,"",COUNTIFS(Trades!$A$2:$A$543,"SILVER",Trades!$B$2:$B$543,"T6",Trades!$F$2:$F$543,$A7,Trades!$M$2:$M$543,1)/R7)</f>
        <v>1</v>
      </c>
      <c r="T7" s="11" t="n">
        <f aca="false">SUMIFS(Trades!$K$2:$K$543,Trades!$A$2:$A$543,"SILVER",Trades!$B$2:$B$543,"T6",Trades!$F$2:$F$543,$A7)</f>
        <v>57892.2</v>
      </c>
      <c r="U7" s="11" t="n">
        <f aca="false">U6+T7</f>
        <v>29181</v>
      </c>
      <c r="V7" s="9" t="n">
        <f aca="false">COUNTIFS(Trades!$A$2:$A$543,"SILVER",Trades!$B$2:$B$543,"T7",Trades!$F$2:$F$543,$A7)</f>
        <v>4</v>
      </c>
      <c r="W7" s="10" t="n">
        <f aca="false">IF(V7=0,"",COUNTIFS(Trades!$A$2:$A$543,"SILVER",Trades!$B$2:$B$543,"T7",Trades!$F$2:$F$543,$A7,Trades!$M$2:$M$543,1)/V7)</f>
        <v>0.5</v>
      </c>
      <c r="X7" s="11" t="n">
        <f aca="false">SUMIFS(Trades!$K$2:$K$543,Trades!$A$2:$A$543,"SILVER",Trades!$B$2:$B$543,"T7",Trades!$F$2:$F$543,$A7)</f>
        <v>-60510.6</v>
      </c>
      <c r="Y7" s="11" t="n">
        <f aca="false">Y6+X7</f>
        <v>-41460.3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COUNTIFS(Trades!$A$2:$A$543,"SILVER",Trades!$B$2:$B$543,"V0",Trades!$F$2:$F$543,$A8)</f>
        <v>3</v>
      </c>
      <c r="C8" s="10" t="n">
        <f aca="false">IF(B8=0,"",COUNTIFS(Trades!$A$2:$A$543,"SILVER",Trades!$B$2:$B$543,"V0",Trades!$F$2:$F$543,$A8,Trades!$M$2:$M$543,1)/B8)</f>
        <v>0.666666666666667</v>
      </c>
      <c r="D8" s="11" t="n">
        <f aca="false">SUMIFS(Trades!$K$2:$K$543,Trades!$A$2:$A$543,"SILVER",Trades!$B$2:$B$543,"V0",Trades!$F$2:$F$543,$A8)</f>
        <v>224826.3</v>
      </c>
      <c r="E8" s="11" t="n">
        <f aca="false">E7+D8</f>
        <v>94074.9</v>
      </c>
      <c r="F8" s="9" t="n">
        <f aca="false">COUNTIFS(Trades!$A$2:$A$543,"SILVER",Trades!$B$2:$B$543,"V1",Trades!$F$2:$F$543,$A8)</f>
        <v>1</v>
      </c>
      <c r="G8" s="10" t="n">
        <f aca="false">IF(F8=0,"",COUNTIFS(Trades!$A$2:$A$543,"SILVER",Trades!$B$2:$B$543,"V1",Trades!$F$2:$F$543,$A8,Trades!$M$2:$M$543,1)/F8)</f>
        <v>1</v>
      </c>
      <c r="H8" s="11" t="n">
        <f aca="false">SUMIFS(Trades!$K$2:$K$543,Trades!$A$2:$A$543,"SILVER",Trades!$B$2:$B$543,"V1",Trades!$F$2:$F$543,$A8)</f>
        <v>194663.7</v>
      </c>
      <c r="I8" s="11" t="n">
        <f aca="false">I7+H8</f>
        <v>93386.1</v>
      </c>
      <c r="J8" s="9" t="n">
        <f aca="false">COUNTIFS(Trades!$A$2:$A$543,"SILVER",Trades!$B$2:$B$543,"W8",Trades!$F$2:$F$543,$A8)</f>
        <v>1</v>
      </c>
      <c r="K8" s="10" t="n">
        <f aca="false">IF(J8=0,"",COUNTIFS(Trades!$A$2:$A$543,"SILVER",Trades!$B$2:$B$543,"W8",Trades!$F$2:$F$543,$A8,Trades!$M$2:$M$543,1)/J8)</f>
        <v>1</v>
      </c>
      <c r="L8" s="11" t="n">
        <f aca="false">SUMIFS(Trades!$K$2:$K$543,Trades!$A$2:$A$543,"SILVER",Trades!$B$2:$B$543,"W8",Trades!$F$2:$F$543,$A8)</f>
        <v>194663.7</v>
      </c>
      <c r="M8" s="11" t="n">
        <f aca="false">M7+L8</f>
        <v>123765.9</v>
      </c>
      <c r="N8" s="9" t="n">
        <f aca="false">COUNTIFS(Trades!$A$2:$A$543,"SILVER",Trades!$B$2:$B$543,"W8C",Trades!$F$2:$F$543,$A8)</f>
        <v>0</v>
      </c>
      <c r="O8" s="10" t="str">
        <f aca="false">IF(N8=0,"",COUNTIFS(Trades!$A$2:$A$543,"SILVER",Trades!$B$2:$B$543,"W8C",Trades!$F$2:$F$543,$A8,Trades!$M$2:$M$543,1)/N8)</f>
        <v/>
      </c>
      <c r="P8" s="11" t="n">
        <f aca="false">SUMIFS(Trades!$K$2:$K$543,Trades!$A$2:$A$543,"SILVER",Trades!$B$2:$B$543,"W8C",Trades!$F$2:$F$543,$A8)</f>
        <v>0</v>
      </c>
      <c r="Q8" s="11" t="n">
        <f aca="false">Q7+P8</f>
        <v>15062.4</v>
      </c>
      <c r="R8" s="9" t="n">
        <f aca="false">COUNTIFS(Trades!$A$2:$A$543,"SILVER",Trades!$B$2:$B$543,"T6",Trades!$F$2:$F$543,$A8)</f>
        <v>2</v>
      </c>
      <c r="S8" s="10" t="n">
        <f aca="false">IF(R8=0,"",COUNTIFS(Trades!$A$2:$A$543,"SILVER",Trades!$B$2:$B$543,"T6",Trades!$F$2:$F$543,$A8,Trades!$M$2:$M$543,1)/R8)</f>
        <v>0</v>
      </c>
      <c r="T8" s="11" t="n">
        <f aca="false">SUMIFS(Trades!$K$2:$K$543,Trades!$A$2:$A$543,"SILVER",Trades!$B$2:$B$543,"T6",Trades!$F$2:$F$543,$A8)</f>
        <v>-119112</v>
      </c>
      <c r="U8" s="11" t="n">
        <f aca="false">U7+T8</f>
        <v>-89931</v>
      </c>
      <c r="V8" s="9" t="n">
        <f aca="false">COUNTIFS(Trades!$A$2:$A$543,"SILVER",Trades!$B$2:$B$543,"T7",Trades!$F$2:$F$543,$A8)</f>
        <v>3</v>
      </c>
      <c r="W8" s="10" t="n">
        <f aca="false">IF(V8=0,"",COUNTIFS(Trades!$A$2:$A$543,"SILVER",Trades!$B$2:$B$543,"T7",Trades!$F$2:$F$543,$A8,Trades!$M$2:$M$543,1)/V8)</f>
        <v>0.333333333333333</v>
      </c>
      <c r="X8" s="11" t="n">
        <f aca="false">SUMIFS(Trades!$K$2:$K$543,Trades!$A$2:$A$543,"SILVER",Trades!$B$2:$B$543,"T7",Trades!$F$2:$F$543,$A8)</f>
        <v>139572.9</v>
      </c>
      <c r="Y8" s="11" t="n">
        <f aca="false">Y7+X8</f>
        <v>98112.6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COUNTIFS(Trades!$A$2:$A$543,"SILVER",Trades!$B$2:$B$543,"V0",Trades!$F$2:$F$543,$A9)</f>
        <v>4</v>
      </c>
      <c r="C9" s="10" t="n">
        <f aca="false">IF(B9=0,"",COUNTIFS(Trades!$A$2:$A$543,"SILVER",Trades!$B$2:$B$543,"V0",Trades!$F$2:$F$543,$A9,Trades!$M$2:$M$543,1)/B9)</f>
        <v>0</v>
      </c>
      <c r="D9" s="11" t="n">
        <f aca="false">SUMIFS(Trades!$K$2:$K$543,Trades!$A$2:$A$543,"SILVER",Trades!$B$2:$B$543,"V0",Trades!$F$2:$F$543,$A9)</f>
        <v>-238361.4</v>
      </c>
      <c r="E9" s="11" t="n">
        <f aca="false">E8+D9</f>
        <v>-144286.5</v>
      </c>
      <c r="F9" s="9" t="n">
        <f aca="false">COUNTIFS(Trades!$A$2:$A$543,"SILVER",Trades!$B$2:$B$543,"V1",Trades!$F$2:$F$543,$A9)</f>
        <v>2</v>
      </c>
      <c r="G9" s="10" t="n">
        <f aca="false">IF(F9=0,"",COUNTIFS(Trades!$A$2:$A$543,"SILVER",Trades!$B$2:$B$543,"V1",Trades!$F$2:$F$543,$A9,Trades!$M$2:$M$543,1)/F9)</f>
        <v>0</v>
      </c>
      <c r="H9" s="11" t="n">
        <f aca="false">SUMIFS(Trades!$K$2:$K$543,Trades!$A$2:$A$543,"SILVER",Trades!$B$2:$B$543,"V1",Trades!$F$2:$F$543,$A9)</f>
        <v>-127134.3</v>
      </c>
      <c r="I9" s="11" t="n">
        <f aca="false">I8+H9</f>
        <v>-33748.2</v>
      </c>
      <c r="J9" s="9" t="n">
        <f aca="false">COUNTIFS(Trades!$A$2:$A$543,"SILVER",Trades!$B$2:$B$543,"W8",Trades!$F$2:$F$543,$A9)</f>
        <v>2</v>
      </c>
      <c r="K9" s="10" t="n">
        <f aca="false">IF(J9=0,"",COUNTIFS(Trades!$A$2:$A$543,"SILVER",Trades!$B$2:$B$543,"W8",Trades!$F$2:$F$543,$A9,Trades!$M$2:$M$543,1)/J9)</f>
        <v>0.5</v>
      </c>
      <c r="L9" s="11" t="n">
        <f aca="false">SUMIFS(Trades!$K$2:$K$543,Trades!$A$2:$A$543,"SILVER",Trades!$B$2:$B$543,"W8",Trades!$F$2:$F$543,$A9)</f>
        <v>-79947.9</v>
      </c>
      <c r="M9" s="11" t="n">
        <f aca="false">M8+L9</f>
        <v>43818</v>
      </c>
      <c r="N9" s="9" t="n">
        <f aca="false">COUNTIFS(Trades!$A$2:$A$543,"SILVER",Trades!$B$2:$B$543,"W8C",Trades!$F$2:$F$543,$A9)</f>
        <v>1</v>
      </c>
      <c r="O9" s="10" t="n">
        <f aca="false">IF(N9=0,"",COUNTIFS(Trades!$A$2:$A$543,"SILVER",Trades!$B$2:$B$543,"W8C",Trades!$F$2:$F$543,$A9,Trades!$M$2:$M$543,1)/N9)</f>
        <v>1</v>
      </c>
      <c r="P9" s="11" t="n">
        <f aca="false">SUMIFS(Trades!$K$2:$K$543,Trades!$A$2:$A$543,"SILVER",Trades!$B$2:$B$543,"W8C",Trades!$F$2:$F$543,$A9)</f>
        <v>7236</v>
      </c>
      <c r="Q9" s="11" t="n">
        <f aca="false">Q8+P9</f>
        <v>22298.4</v>
      </c>
      <c r="R9" s="9" t="n">
        <f aca="false">COUNTIFS(Trades!$A$2:$A$543,"SILVER",Trades!$B$2:$B$543,"T6",Trades!$F$2:$F$543,$A9)</f>
        <v>2</v>
      </c>
      <c r="S9" s="10" t="n">
        <f aca="false">IF(R9=0,"",COUNTIFS(Trades!$A$2:$A$543,"SILVER",Trades!$B$2:$B$543,"T6",Trades!$F$2:$F$543,$A9,Trades!$M$2:$M$543,1)/R9)</f>
        <v>1</v>
      </c>
      <c r="T9" s="11" t="n">
        <f aca="false">SUMIFS(Trades!$K$2:$K$543,Trades!$A$2:$A$543,"SILVER",Trades!$B$2:$B$543,"T6",Trades!$F$2:$F$543,$A9)</f>
        <v>31165.8</v>
      </c>
      <c r="U9" s="11" t="n">
        <f aca="false">U8+T9</f>
        <v>-58765.2</v>
      </c>
      <c r="V9" s="9" t="n">
        <f aca="false">COUNTIFS(Trades!$A$2:$A$543,"SILVER",Trades!$B$2:$B$543,"T7",Trades!$F$2:$F$543,$A9)</f>
        <v>3</v>
      </c>
      <c r="W9" s="10" t="n">
        <f aca="false">IF(V9=0,"",COUNTIFS(Trades!$A$2:$A$543,"SILVER",Trades!$B$2:$B$543,"T7",Trades!$F$2:$F$543,$A9,Trades!$M$2:$M$543,1)/V9)</f>
        <v>0.666666666666667</v>
      </c>
      <c r="X9" s="11" t="n">
        <f aca="false">SUMIFS(Trades!$K$2:$K$543,Trades!$A$2:$A$543,"SILVER",Trades!$B$2:$B$543,"T7",Trades!$F$2:$F$543,$A9)</f>
        <v>-46257.3</v>
      </c>
      <c r="Y9" s="11" t="n">
        <f aca="false">Y8+X9</f>
        <v>51855.3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COUNTIFS(Trades!$A$2:$A$543,"SILVER",Trades!$B$2:$B$543,"V0",Trades!$F$2:$F$543,$A10)</f>
        <v>2</v>
      </c>
      <c r="C10" s="10" t="n">
        <f aca="false">IF(B10=0,"",COUNTIFS(Trades!$A$2:$A$543,"SILVER",Trades!$B$2:$B$543,"V0",Trades!$F$2:$F$543,$A10,Trades!$M$2:$M$543,1)/B10)</f>
        <v>0.5</v>
      </c>
      <c r="D10" s="11" t="n">
        <f aca="false">SUMIFS(Trades!$K$2:$K$543,Trades!$A$2:$A$543,"SILVER",Trades!$B$2:$B$543,"V0",Trades!$F$2:$F$543,$A10)</f>
        <v>108684.9</v>
      </c>
      <c r="E10" s="11" t="n">
        <f aca="false">E9+D10</f>
        <v>-35601.6</v>
      </c>
      <c r="F10" s="9" t="n">
        <f aca="false">COUNTIFS(Trades!$A$2:$A$543,"SILVER",Trades!$B$2:$B$543,"V1",Trades!$F$2:$F$543,$A10)</f>
        <v>1</v>
      </c>
      <c r="G10" s="10" t="n">
        <f aca="false">IF(F10=0,"",COUNTIFS(Trades!$A$2:$A$543,"SILVER",Trades!$B$2:$B$543,"V1",Trades!$F$2:$F$543,$A10,Trades!$M$2:$M$543,1)/F10)</f>
        <v>0</v>
      </c>
      <c r="H10" s="11" t="n">
        <f aca="false">SUMIFS(Trades!$K$2:$K$543,Trades!$A$2:$A$543,"SILVER",Trades!$B$2:$B$543,"V1",Trades!$F$2:$F$543,$A10)</f>
        <v>-80329.2</v>
      </c>
      <c r="I10" s="11" t="n">
        <f aca="false">I9+H10</f>
        <v>-114077.4</v>
      </c>
      <c r="J10" s="9" t="n">
        <f aca="false">COUNTIFS(Trades!$A$2:$A$543,"SILVER",Trades!$B$2:$B$543,"W8",Trades!$F$2:$F$543,$A10)</f>
        <v>1</v>
      </c>
      <c r="K10" s="10" t="n">
        <f aca="false">IF(J10=0,"",COUNTIFS(Trades!$A$2:$A$543,"SILVER",Trades!$B$2:$B$543,"W8",Trades!$F$2:$F$543,$A10,Trades!$M$2:$M$543,1)/J10)</f>
        <v>0</v>
      </c>
      <c r="L10" s="11" t="n">
        <f aca="false">SUMIFS(Trades!$K$2:$K$543,Trades!$A$2:$A$543,"SILVER",Trades!$B$2:$B$543,"W8",Trades!$F$2:$F$543,$A10)</f>
        <v>-80329.2</v>
      </c>
      <c r="M10" s="11" t="n">
        <f aca="false">M9+L10</f>
        <v>-36511.2</v>
      </c>
      <c r="N10" s="9" t="n">
        <f aca="false">COUNTIFS(Trades!$A$2:$A$543,"SILVER",Trades!$B$2:$B$543,"W8C",Trades!$F$2:$F$543,$A10)</f>
        <v>0</v>
      </c>
      <c r="O10" s="10" t="str">
        <f aca="false">IF(N10=0,"",COUNTIFS(Trades!$A$2:$A$543,"SILVER",Trades!$B$2:$B$543,"W8C",Trades!$F$2:$F$543,$A10,Trades!$M$2:$M$543,1)/N10)</f>
        <v/>
      </c>
      <c r="P10" s="11" t="n">
        <f aca="false">SUMIFS(Trades!$K$2:$K$543,Trades!$A$2:$A$543,"SILVER",Trades!$B$2:$B$543,"W8C",Trades!$F$2:$F$543,$A10)</f>
        <v>0</v>
      </c>
      <c r="Q10" s="11" t="n">
        <f aca="false">Q9+P10</f>
        <v>22298.4</v>
      </c>
      <c r="R10" s="9" t="n">
        <f aca="false">COUNTIFS(Trades!$A$2:$A$543,"SILVER",Trades!$B$2:$B$543,"T6",Trades!$F$2:$F$543,$A10)</f>
        <v>3</v>
      </c>
      <c r="S10" s="10" t="n">
        <f aca="false">IF(R10=0,"",COUNTIFS(Trades!$A$2:$A$543,"SILVER",Trades!$B$2:$B$543,"T6",Trades!$F$2:$F$543,$A10,Trades!$M$2:$M$543,1)/R10)</f>
        <v>0.666666666666667</v>
      </c>
      <c r="T10" s="11" t="n">
        <f aca="false">SUMIFS(Trades!$K$2:$K$543,Trades!$A$2:$A$543,"SILVER",Trades!$B$2:$B$543,"T6",Trades!$F$2:$F$543,$A10)</f>
        <v>-71605.5</v>
      </c>
      <c r="U10" s="11" t="n">
        <f aca="false">U9+T10</f>
        <v>-130370.7</v>
      </c>
      <c r="V10" s="9" t="n">
        <f aca="false">COUNTIFS(Trades!$A$2:$A$543,"SILVER",Trades!$B$2:$B$543,"T7",Trades!$F$2:$F$543,$A10)</f>
        <v>4</v>
      </c>
      <c r="W10" s="10" t="n">
        <f aca="false">IF(V10=0,"",COUNTIFS(Trades!$A$2:$A$543,"SILVER",Trades!$B$2:$B$543,"T7",Trades!$F$2:$F$543,$A10,Trades!$M$2:$M$543,1)/V10)</f>
        <v>0.75</v>
      </c>
      <c r="X10" s="11" t="n">
        <f aca="false">SUMIFS(Trades!$K$2:$K$543,Trades!$A$2:$A$543,"SILVER",Trades!$B$2:$B$543,"T7",Trades!$F$2:$F$543,$A10)</f>
        <v>-25314.9</v>
      </c>
      <c r="Y10" s="11" t="n">
        <f aca="false">Y9+X10</f>
        <v>26540.4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COUNTIFS(Trades!$A$2:$A$543,"SILVER",Trades!$B$2:$B$543,"V0",Trades!$F$2:$F$543,$A11)</f>
        <v>4</v>
      </c>
      <c r="C11" s="10" t="n">
        <f aca="false">IF(B11=0,"",COUNTIFS(Trades!$A$2:$A$543,"SILVER",Trades!$B$2:$B$543,"V0",Trades!$F$2:$F$543,$A11,Trades!$M$2:$M$543,1)/B11)</f>
        <v>0.25</v>
      </c>
      <c r="D11" s="11" t="n">
        <f aca="false">SUMIFS(Trades!$K$2:$K$543,Trades!$A$2:$A$543,"SILVER",Trades!$B$2:$B$543,"V0",Trades!$F$2:$F$543,$A11)</f>
        <v>-46191.6</v>
      </c>
      <c r="E11" s="11" t="n">
        <f aca="false">E10+D11</f>
        <v>-81793.2</v>
      </c>
      <c r="F11" s="9" t="n">
        <f aca="false">COUNTIFS(Trades!$A$2:$A$543,"SILVER",Trades!$B$2:$B$543,"V1",Trades!$F$2:$F$543,$A11)</f>
        <v>2</v>
      </c>
      <c r="G11" s="10" t="n">
        <f aca="false">IF(F11=0,"",COUNTIFS(Trades!$A$2:$A$543,"SILVER",Trades!$B$2:$B$543,"V1",Trades!$F$2:$F$543,$A11,Trades!$M$2:$M$543,1)/F11)</f>
        <v>0.5</v>
      </c>
      <c r="H11" s="11" t="n">
        <f aca="false">SUMIFS(Trades!$K$2:$K$543,Trades!$A$2:$A$543,"SILVER",Trades!$B$2:$B$543,"V1",Trades!$F$2:$F$543,$A11)</f>
        <v>78843.9</v>
      </c>
      <c r="I11" s="11" t="n">
        <f aca="false">I10+H11</f>
        <v>-35233.5</v>
      </c>
      <c r="J11" s="9" t="n">
        <f aca="false">COUNTIFS(Trades!$A$2:$A$543,"SILVER",Trades!$B$2:$B$543,"W8",Trades!$F$2:$F$543,$A11)</f>
        <v>2</v>
      </c>
      <c r="K11" s="10" t="n">
        <f aca="false">IF(J11=0,"",COUNTIFS(Trades!$A$2:$A$543,"SILVER",Trades!$B$2:$B$543,"W8",Trades!$F$2:$F$543,$A11,Trades!$M$2:$M$543,1)/J11)</f>
        <v>1</v>
      </c>
      <c r="L11" s="11" t="n">
        <f aca="false">SUMIFS(Trades!$K$2:$K$543,Trades!$A$2:$A$543,"SILVER",Trades!$B$2:$B$543,"W8",Trades!$F$2:$F$543,$A11)</f>
        <v>111582</v>
      </c>
      <c r="M11" s="11" t="n">
        <f aca="false">M10+L11</f>
        <v>75070.8000000001</v>
      </c>
      <c r="N11" s="9" t="n">
        <f aca="false">COUNTIFS(Trades!$A$2:$A$543,"SILVER",Trades!$B$2:$B$543,"W8C",Trades!$F$2:$F$543,$A11)</f>
        <v>1</v>
      </c>
      <c r="O11" s="10" t="n">
        <f aca="false">IF(N11=0,"",COUNTIFS(Trades!$A$2:$A$543,"SILVER",Trades!$B$2:$B$543,"W8C",Trades!$F$2:$F$543,$A11,Trades!$M$2:$M$543,1)/N11)</f>
        <v>1</v>
      </c>
      <c r="P11" s="11" t="n">
        <f aca="false">SUMIFS(Trades!$K$2:$K$543,Trades!$A$2:$A$543,"SILVER",Trades!$B$2:$B$543,"W8C",Trades!$F$2:$F$543,$A11)</f>
        <v>5556</v>
      </c>
      <c r="Q11" s="11" t="n">
        <f aca="false">Q10+P11</f>
        <v>27854.4</v>
      </c>
      <c r="R11" s="9" t="n">
        <f aca="false">COUNTIFS(Trades!$A$2:$A$543,"SILVER",Trades!$B$2:$B$543,"T6",Trades!$F$2:$F$543,$A11)</f>
        <v>2</v>
      </c>
      <c r="S11" s="10" t="n">
        <f aca="false">IF(R11=0,"",COUNTIFS(Trades!$A$2:$A$543,"SILVER",Trades!$B$2:$B$543,"T6",Trades!$F$2:$F$543,$A11,Trades!$M$2:$M$543,1)/R11)</f>
        <v>1</v>
      </c>
      <c r="T11" s="11" t="n">
        <f aca="false">SUMIFS(Trades!$K$2:$K$543,Trades!$A$2:$A$543,"SILVER",Trades!$B$2:$B$543,"T6",Trades!$F$2:$F$543,$A11)</f>
        <v>47561.7</v>
      </c>
      <c r="U11" s="11" t="n">
        <f aca="false">U10+T11</f>
        <v>-82809</v>
      </c>
      <c r="V11" s="9" t="n">
        <f aca="false">COUNTIFS(Trades!$A$2:$A$543,"SILVER",Trades!$B$2:$B$543,"T7",Trades!$F$2:$F$543,$A11)</f>
        <v>4</v>
      </c>
      <c r="W11" s="10" t="n">
        <f aca="false">IF(V11=0,"",COUNTIFS(Trades!$A$2:$A$543,"SILVER",Trades!$B$2:$B$543,"T7",Trades!$F$2:$F$543,$A11,Trades!$M$2:$M$543,1)/V11)</f>
        <v>1</v>
      </c>
      <c r="X11" s="11" t="n">
        <f aca="false">SUMIFS(Trades!$K$2:$K$543,Trades!$A$2:$A$543,"SILVER",Trades!$B$2:$B$543,"T7",Trades!$F$2:$F$543,$A11)</f>
        <v>95882.7</v>
      </c>
      <c r="Y11" s="11" t="n">
        <f aca="false">Y10+X11</f>
        <v>122423.1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COUNTIFS(Trades!$A$2:$A$543,"SILVER",Trades!$B$2:$B$543,"V0",Trades!$F$2:$F$543,$A12)</f>
        <v>3</v>
      </c>
      <c r="C12" s="10" t="n">
        <f aca="false">IF(B12=0,"",COUNTIFS(Trades!$A$2:$A$543,"SILVER",Trades!$B$2:$B$543,"V0",Trades!$F$2:$F$543,$A12,Trades!$M$2:$M$543,1)/B12)</f>
        <v>1</v>
      </c>
      <c r="D12" s="11" t="n">
        <f aca="false">SUMIFS(Trades!$K$2:$K$543,Trades!$A$2:$A$543,"SILVER",Trades!$B$2:$B$543,"V0",Trades!$F$2:$F$543,$A12)</f>
        <v>61602.3</v>
      </c>
      <c r="E12" s="11" t="n">
        <f aca="false">E11+D12</f>
        <v>-20190.9</v>
      </c>
      <c r="F12" s="9" t="n">
        <f aca="false">COUNTIFS(Trades!$A$2:$A$543,"SILVER",Trades!$B$2:$B$543,"V1",Trades!$F$2:$F$543,$A12)</f>
        <v>1</v>
      </c>
      <c r="G12" s="10" t="n">
        <f aca="false">IF(F12=0,"",COUNTIFS(Trades!$A$2:$A$543,"SILVER",Trades!$B$2:$B$543,"V1",Trades!$F$2:$F$543,$A12,Trades!$M$2:$M$543,1)/F12)</f>
        <v>1</v>
      </c>
      <c r="H12" s="11" t="n">
        <f aca="false">SUMIFS(Trades!$K$2:$K$543,Trades!$A$2:$A$543,"SILVER",Trades!$B$2:$B$543,"V1",Trades!$F$2:$F$543,$A12)</f>
        <v>25665</v>
      </c>
      <c r="I12" s="11" t="n">
        <f aca="false">I11+H12</f>
        <v>-9568.49999999996</v>
      </c>
      <c r="J12" s="9" t="n">
        <f aca="false">COUNTIFS(Trades!$A$2:$A$543,"SILVER",Trades!$B$2:$B$543,"W8",Trades!$F$2:$F$543,$A12)</f>
        <v>1</v>
      </c>
      <c r="K12" s="10" t="n">
        <f aca="false">IF(J12=0,"",COUNTIFS(Trades!$A$2:$A$543,"SILVER",Trades!$B$2:$B$543,"W8",Trades!$F$2:$F$543,$A12,Trades!$M$2:$M$543,1)/J12)</f>
        <v>1</v>
      </c>
      <c r="L12" s="11" t="n">
        <f aca="false">SUMIFS(Trades!$K$2:$K$543,Trades!$A$2:$A$543,"SILVER",Trades!$B$2:$B$543,"W8",Trades!$F$2:$F$543,$A12)</f>
        <v>25665</v>
      </c>
      <c r="M12" s="11" t="n">
        <f aca="false">M11+L12</f>
        <v>100735.8</v>
      </c>
      <c r="N12" s="9" t="n">
        <f aca="false">COUNTIFS(Trades!$A$2:$A$543,"SILVER",Trades!$B$2:$B$543,"W8C",Trades!$F$2:$F$543,$A12)</f>
        <v>0</v>
      </c>
      <c r="O12" s="10" t="str">
        <f aca="false">IF(N12=0,"",COUNTIFS(Trades!$A$2:$A$543,"SILVER",Trades!$B$2:$B$543,"W8C",Trades!$F$2:$F$543,$A12,Trades!$M$2:$M$543,1)/N12)</f>
        <v/>
      </c>
      <c r="P12" s="11" t="n">
        <f aca="false">SUMIFS(Trades!$K$2:$K$543,Trades!$A$2:$A$543,"SILVER",Trades!$B$2:$B$543,"W8C",Trades!$F$2:$F$543,$A12)</f>
        <v>0</v>
      </c>
      <c r="Q12" s="11" t="n">
        <f aca="false">Q11+P12</f>
        <v>27854.4</v>
      </c>
      <c r="R12" s="9" t="n">
        <f aca="false">COUNTIFS(Trades!$A$2:$A$543,"SILVER",Trades!$B$2:$B$543,"T6",Trades!$F$2:$F$543,$A12)</f>
        <v>2</v>
      </c>
      <c r="S12" s="10" t="n">
        <f aca="false">IF(R12=0,"",COUNTIFS(Trades!$A$2:$A$543,"SILVER",Trades!$B$2:$B$543,"T6",Trades!$F$2:$F$543,$A12,Trades!$M$2:$M$543,1)/R12)</f>
        <v>0.5</v>
      </c>
      <c r="T12" s="11" t="n">
        <f aca="false">SUMIFS(Trades!$K$2:$K$543,Trades!$A$2:$A$543,"SILVER",Trades!$B$2:$B$543,"T6",Trades!$F$2:$F$543,$A12)</f>
        <v>34249.5</v>
      </c>
      <c r="U12" s="11" t="n">
        <f aca="false">U11+T12</f>
        <v>-48559.5</v>
      </c>
      <c r="V12" s="9" t="n">
        <f aca="false">COUNTIFS(Trades!$A$2:$A$543,"SILVER",Trades!$B$2:$B$543,"T7",Trades!$F$2:$F$543,$A12)</f>
        <v>2</v>
      </c>
      <c r="W12" s="10" t="n">
        <f aca="false">IF(V12=0,"",COUNTIFS(Trades!$A$2:$A$543,"SILVER",Trades!$B$2:$B$543,"T7",Trades!$F$2:$F$543,$A12,Trades!$M$2:$M$543,1)/V12)</f>
        <v>0.5</v>
      </c>
      <c r="X12" s="11" t="n">
        <f aca="false">SUMIFS(Trades!$K$2:$K$543,Trades!$A$2:$A$543,"SILVER",Trades!$B$2:$B$543,"T7",Trades!$F$2:$F$543,$A12)</f>
        <v>24951</v>
      </c>
      <c r="Y12" s="11" t="n">
        <f aca="false">Y11+X12</f>
        <v>147374.1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COUNTIFS(Trades!$A$2:$A$543,"SILVER",Trades!$B$2:$B$543,"V0",Trades!$F$2:$F$543,$A13)</f>
        <v>4</v>
      </c>
      <c r="C13" s="10" t="n">
        <f aca="false">IF(B13=0,"",COUNTIFS(Trades!$A$2:$A$543,"SILVER",Trades!$B$2:$B$543,"V0",Trades!$F$2:$F$543,$A13,Trades!$M$2:$M$543,1)/B13)</f>
        <v>0.25</v>
      </c>
      <c r="D13" s="11" t="n">
        <f aca="false">SUMIFS(Trades!$K$2:$K$543,Trades!$A$2:$A$543,"SILVER",Trades!$B$2:$B$543,"V0",Trades!$F$2:$F$543,$A13)</f>
        <v>4593.60000000001</v>
      </c>
      <c r="E13" s="11" t="n">
        <f aca="false">E12+D13</f>
        <v>-15597.2999999999</v>
      </c>
      <c r="F13" s="9" t="n">
        <f aca="false">COUNTIFS(Trades!$A$2:$A$543,"SILVER",Trades!$B$2:$B$543,"V1",Trades!$F$2:$F$543,$A13)</f>
        <v>2</v>
      </c>
      <c r="G13" s="10" t="n">
        <f aca="false">IF(F13=0,"",COUNTIFS(Trades!$A$2:$A$543,"SILVER",Trades!$B$2:$B$543,"V1",Trades!$F$2:$F$543,$A13,Trades!$M$2:$M$543,1)/F13)</f>
        <v>0.5</v>
      </c>
      <c r="H13" s="11" t="n">
        <f aca="false">SUMIFS(Trades!$K$2:$K$543,Trades!$A$2:$A$543,"SILVER",Trades!$B$2:$B$543,"V1",Trades!$F$2:$F$543,$A13)</f>
        <v>207210.6</v>
      </c>
      <c r="I13" s="11" t="n">
        <f aca="false">I12+H13</f>
        <v>197642.1</v>
      </c>
      <c r="J13" s="9" t="n">
        <f aca="false">COUNTIFS(Trades!$A$2:$A$543,"SILVER",Trades!$B$2:$B$543,"W8",Trades!$F$2:$F$543,$A13)</f>
        <v>2</v>
      </c>
      <c r="K13" s="10" t="n">
        <f aca="false">IF(J13=0,"",COUNTIFS(Trades!$A$2:$A$543,"SILVER",Trades!$B$2:$B$543,"W8",Trades!$F$2:$F$543,$A13,Trades!$M$2:$M$543,1)/J13)</f>
        <v>1</v>
      </c>
      <c r="L13" s="11" t="n">
        <f aca="false">SUMIFS(Trades!$K$2:$K$543,Trades!$A$2:$A$543,"SILVER",Trades!$B$2:$B$543,"W8",Trades!$F$2:$F$543,$A13)</f>
        <v>247830.6</v>
      </c>
      <c r="M13" s="11" t="n">
        <f aca="false">M12+L13</f>
        <v>348566.4</v>
      </c>
      <c r="N13" s="9" t="n">
        <f aca="false">COUNTIFS(Trades!$A$2:$A$543,"SILVER",Trades!$B$2:$B$543,"W8C",Trades!$F$2:$F$543,$A13)</f>
        <v>2</v>
      </c>
      <c r="O13" s="10" t="n">
        <f aca="false">IF(N13=0,"",COUNTIFS(Trades!$A$2:$A$543,"SILVER",Trades!$B$2:$B$543,"W8C",Trades!$F$2:$F$543,$A13,Trades!$M$2:$M$543,1)/N13)</f>
        <v>1</v>
      </c>
      <c r="P13" s="11" t="n">
        <f aca="false">SUMIFS(Trades!$K$2:$K$543,Trades!$A$2:$A$543,"SILVER",Trades!$B$2:$B$543,"W8C",Trades!$F$2:$F$543,$A13)</f>
        <v>245173.8</v>
      </c>
      <c r="Q13" s="11" t="n">
        <f aca="false">Q12+P13</f>
        <v>273028.2</v>
      </c>
      <c r="R13" s="9" t="n">
        <f aca="false">COUNTIFS(Trades!$A$2:$A$543,"SILVER",Trades!$B$2:$B$543,"T6",Trades!$F$2:$F$543,$A13)</f>
        <v>4</v>
      </c>
      <c r="S13" s="10" t="n">
        <f aca="false">IF(R13=0,"",COUNTIFS(Trades!$A$2:$A$543,"SILVER",Trades!$B$2:$B$543,"T6",Trades!$F$2:$F$543,$A13,Trades!$M$2:$M$543,1)/R13)</f>
        <v>0.75</v>
      </c>
      <c r="T13" s="11" t="n">
        <f aca="false">SUMIFS(Trades!$K$2:$K$543,Trades!$A$2:$A$543,"SILVER",Trades!$B$2:$B$543,"T6",Trades!$F$2:$F$543,$A13)</f>
        <v>593900.1</v>
      </c>
      <c r="U13" s="11" t="n">
        <f aca="false">U12+T13</f>
        <v>545340.6</v>
      </c>
      <c r="V13" s="9" t="n">
        <f aca="false">COUNTIFS(Trades!$A$2:$A$543,"SILVER",Trades!$B$2:$B$543,"T7",Trades!$F$2:$F$543,$A13)</f>
        <v>4</v>
      </c>
      <c r="W13" s="10" t="n">
        <f aca="false">IF(V13=0,"",COUNTIFS(Trades!$A$2:$A$543,"SILVER",Trades!$B$2:$B$543,"T7",Trades!$F$2:$F$543,$A13,Trades!$M$2:$M$543,1)/V13)</f>
        <v>0.75</v>
      </c>
      <c r="X13" s="11" t="n">
        <f aca="false">SUMIFS(Trades!$K$2:$K$543,Trades!$A$2:$A$543,"SILVER",Trades!$B$2:$B$543,"T7",Trades!$F$2:$F$543,$A13)</f>
        <v>598068.9</v>
      </c>
      <c r="Y13" s="11" t="n">
        <f aca="false">Y12+X13</f>
        <v>745443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COUNTIFS(Trades!$A$2:$A$543,"SILVER",Trades!$B$2:$B$543,"V0",Trades!$F$2:$F$543,$A14)</f>
        <v>4</v>
      </c>
      <c r="C14" s="10" t="n">
        <f aca="false">IF(B14=0,"",COUNTIFS(Trades!$A$2:$A$543,"SILVER",Trades!$B$2:$B$543,"V0",Trades!$F$2:$F$543,$A14,Trades!$M$2:$M$543,1)/B14)</f>
        <v>0.75</v>
      </c>
      <c r="D14" s="11" t="n">
        <f aca="false">SUMIFS(Trades!$K$2:$K$543,Trades!$A$2:$A$543,"SILVER",Trades!$B$2:$B$543,"V0",Trades!$F$2:$F$543,$A14)</f>
        <v>823170.3</v>
      </c>
      <c r="E14" s="11" t="n">
        <f aca="false">E13+D14</f>
        <v>807573</v>
      </c>
      <c r="F14" s="9" t="n">
        <f aca="false">COUNTIFS(Trades!$A$2:$A$543,"SILVER",Trades!$B$2:$B$543,"V1",Trades!$F$2:$F$543,$A14)</f>
        <v>2</v>
      </c>
      <c r="G14" s="10" t="n">
        <f aca="false">IF(F14=0,"",COUNTIFS(Trades!$A$2:$A$543,"SILVER",Trades!$B$2:$B$543,"V1",Trades!$F$2:$F$543,$A14,Trades!$M$2:$M$543,1)/F14)</f>
        <v>1</v>
      </c>
      <c r="H14" s="11" t="n">
        <f aca="false">SUMIFS(Trades!$K$2:$K$543,Trades!$A$2:$A$543,"SILVER",Trades!$B$2:$B$543,"V1",Trades!$F$2:$F$543,$A14)</f>
        <v>693718.2</v>
      </c>
      <c r="I14" s="11" t="n">
        <f aca="false">I13+H14</f>
        <v>891360.3</v>
      </c>
      <c r="J14" s="9" t="n">
        <f aca="false">COUNTIFS(Trades!$A$2:$A$543,"SILVER",Trades!$B$2:$B$543,"W8",Trades!$F$2:$F$543,$A14)</f>
        <v>2</v>
      </c>
      <c r="K14" s="10" t="n">
        <f aca="false">IF(J14=0,"",COUNTIFS(Trades!$A$2:$A$543,"SILVER",Trades!$B$2:$B$543,"W8",Trades!$F$2:$F$543,$A14,Trades!$M$2:$M$543,1)/J14)</f>
        <v>1</v>
      </c>
      <c r="L14" s="11" t="n">
        <f aca="false">SUMIFS(Trades!$K$2:$K$543,Trades!$A$2:$A$543,"SILVER",Trades!$B$2:$B$543,"W8",Trades!$F$2:$F$543,$A14)</f>
        <v>502412.1</v>
      </c>
      <c r="M14" s="11" t="n">
        <f aca="false">M13+L14</f>
        <v>850978.5</v>
      </c>
      <c r="N14" s="9" t="n">
        <f aca="false">COUNTIFS(Trades!$A$2:$A$543,"SILVER",Trades!$B$2:$B$543,"W8C",Trades!$F$2:$F$543,$A14)</f>
        <v>0</v>
      </c>
      <c r="O14" s="10" t="str">
        <f aca="false">IF(N14=0,"",COUNTIFS(Trades!$A$2:$A$543,"SILVER",Trades!$B$2:$B$543,"W8C",Trades!$F$2:$F$543,$A14,Trades!$M$2:$M$543,1)/N14)</f>
        <v/>
      </c>
      <c r="P14" s="11" t="n">
        <f aca="false">SUMIFS(Trades!$K$2:$K$543,Trades!$A$2:$A$543,"SILVER",Trades!$B$2:$B$543,"W8C",Trades!$F$2:$F$543,$A14)</f>
        <v>0</v>
      </c>
      <c r="Q14" s="11" t="n">
        <f aca="false">Q13+P14</f>
        <v>273028.2</v>
      </c>
      <c r="R14" s="9" t="n">
        <f aca="false">COUNTIFS(Trades!$A$2:$A$543,"SILVER",Trades!$B$2:$B$543,"T6",Trades!$F$2:$F$543,$A14)</f>
        <v>2</v>
      </c>
      <c r="S14" s="10" t="n">
        <f aca="false">IF(R14=0,"",COUNTIFS(Trades!$A$2:$A$543,"SILVER",Trades!$B$2:$B$543,"T6",Trades!$F$2:$F$543,$A14,Trades!$M$2:$M$543,1)/R14)</f>
        <v>1</v>
      </c>
      <c r="T14" s="11" t="n">
        <f aca="false">SUMIFS(Trades!$K$2:$K$543,Trades!$A$2:$A$543,"SILVER",Trades!$B$2:$B$543,"T6",Trades!$F$2:$F$543,$A14)</f>
        <v>305488.5</v>
      </c>
      <c r="U14" s="11" t="n">
        <f aca="false">U13+T14</f>
        <v>850829.1</v>
      </c>
      <c r="V14" s="9" t="n">
        <f aca="false">COUNTIFS(Trades!$A$2:$A$543,"SILVER",Trades!$B$2:$B$543,"T7",Trades!$F$2:$F$543,$A14)</f>
        <v>4</v>
      </c>
      <c r="W14" s="10" t="n">
        <f aca="false">IF(V14=0,"",COUNTIFS(Trades!$A$2:$A$543,"SILVER",Trades!$B$2:$B$543,"T7",Trades!$F$2:$F$543,$A14,Trades!$M$2:$M$543,1)/V14)</f>
        <v>1</v>
      </c>
      <c r="X14" s="11" t="n">
        <f aca="false">SUMIFS(Trades!$K$2:$K$543,Trades!$A$2:$A$543,"SILVER",Trades!$B$2:$B$543,"T7",Trades!$F$2:$F$543,$A14)</f>
        <v>362802.9</v>
      </c>
      <c r="Y14" s="11" t="n">
        <f aca="false">Y13+X14</f>
        <v>1108245.9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COUNTIFS(Trades!$A$2:$A$543,"SILVER",Trades!$B$2:$B$543,"V0",Trades!$F$2:$F$543,$A15)</f>
        <v>2</v>
      </c>
      <c r="C15" s="10" t="n">
        <f aca="false">IF(B15=0,"",COUNTIFS(Trades!$A$2:$A$543,"SILVER",Trades!$B$2:$B$543,"V0",Trades!$F$2:$F$543,$A15,Trades!$M$2:$M$543,1)/B15)</f>
        <v>0.5</v>
      </c>
      <c r="D15" s="11" t="n">
        <f aca="false">SUMIFS(Trades!$K$2:$K$543,Trades!$A$2:$A$543,"SILVER",Trades!$B$2:$B$543,"V0",Trades!$F$2:$F$543,$A15)</f>
        <v>218063.4</v>
      </c>
      <c r="E15" s="11" t="n">
        <f aca="false">E14+D15</f>
        <v>1025636.4</v>
      </c>
      <c r="F15" s="9" t="n">
        <f aca="false">COUNTIFS(Trades!$A$2:$A$543,"SILVER",Trades!$B$2:$B$543,"V1",Trades!$F$2:$F$543,$A15)</f>
        <v>1</v>
      </c>
      <c r="G15" s="10" t="n">
        <f aca="false">IF(F15=0,"",COUNTIFS(Trades!$A$2:$A$543,"SILVER",Trades!$B$2:$B$543,"V1",Trades!$F$2:$F$543,$A15,Trades!$M$2:$M$543,1)/F15)</f>
        <v>1</v>
      </c>
      <c r="H15" s="11" t="n">
        <f aca="false">SUMIFS(Trades!$K$2:$K$543,Trades!$A$2:$A$543,"SILVER",Trades!$B$2:$B$543,"V1",Trades!$F$2:$F$543,$A15)</f>
        <v>271572.9</v>
      </c>
      <c r="I15" s="11" t="n">
        <f aca="false">I14+H15</f>
        <v>1162933.2</v>
      </c>
      <c r="J15" s="9" t="n">
        <f aca="false">COUNTIFS(Trades!$A$2:$A$543,"SILVER",Trades!$B$2:$B$543,"W8",Trades!$F$2:$F$543,$A15)</f>
        <v>1</v>
      </c>
      <c r="K15" s="10" t="n">
        <f aca="false">IF(J15=0,"",COUNTIFS(Trades!$A$2:$A$543,"SILVER",Trades!$B$2:$B$543,"W8",Trades!$F$2:$F$543,$A15,Trades!$M$2:$M$543,1)/J15)</f>
        <v>1</v>
      </c>
      <c r="L15" s="11" t="n">
        <f aca="false">SUMIFS(Trades!$K$2:$K$543,Trades!$A$2:$A$543,"SILVER",Trades!$B$2:$B$543,"W8",Trades!$F$2:$F$543,$A15)</f>
        <v>271572.9</v>
      </c>
      <c r="M15" s="11" t="n">
        <f aca="false">M14+L15</f>
        <v>1122551.4</v>
      </c>
      <c r="N15" s="9" t="n">
        <f aca="false">COUNTIFS(Trades!$A$2:$A$543,"SILVER",Trades!$B$2:$B$543,"W8C",Trades!$F$2:$F$543,$A15)</f>
        <v>1</v>
      </c>
      <c r="O15" s="10" t="n">
        <f aca="false">IF(N15=0,"",COUNTIFS(Trades!$A$2:$A$543,"SILVER",Trades!$B$2:$B$543,"W8C",Trades!$F$2:$F$543,$A15,Trades!$M$2:$M$543,1)/N15)</f>
        <v>1</v>
      </c>
      <c r="P15" s="11" t="n">
        <f aca="false">SUMIFS(Trades!$K$2:$K$543,Trades!$A$2:$A$543,"SILVER",Trades!$B$2:$B$543,"W8C",Trades!$F$2:$F$543,$A15)</f>
        <v>258881.7</v>
      </c>
      <c r="Q15" s="11" t="n">
        <f aca="false">Q14+P15</f>
        <v>531909.9</v>
      </c>
      <c r="R15" s="9" t="n">
        <f aca="false">COUNTIFS(Trades!$A$2:$A$543,"SILVER",Trades!$B$2:$B$543,"T6",Trades!$F$2:$F$543,$A15)</f>
        <v>2</v>
      </c>
      <c r="S15" s="10" t="n">
        <f aca="false">IF(R15=0,"",COUNTIFS(Trades!$A$2:$A$543,"SILVER",Trades!$B$2:$B$543,"T6",Trades!$F$2:$F$543,$A15,Trades!$M$2:$M$543,1)/R15)</f>
        <v>0</v>
      </c>
      <c r="T15" s="11" t="n">
        <f aca="false">SUMIFS(Trades!$K$2:$K$543,Trades!$A$2:$A$543,"SILVER",Trades!$B$2:$B$543,"T6",Trades!$F$2:$F$543,$A15)</f>
        <v>-231587.4</v>
      </c>
      <c r="U15" s="11" t="n">
        <f aca="false">U14+T15</f>
        <v>619241.7</v>
      </c>
      <c r="V15" s="9" t="n">
        <f aca="false">COUNTIFS(Trades!$A$2:$A$543,"SILVER",Trades!$B$2:$B$543,"T7",Trades!$F$2:$F$543,$A15)</f>
        <v>3</v>
      </c>
      <c r="W15" s="10" t="n">
        <f aca="false">IF(V15=0,"",COUNTIFS(Trades!$A$2:$A$543,"SILVER",Trades!$B$2:$B$543,"T7",Trades!$F$2:$F$543,$A15,Trades!$M$2:$M$543,1)/V15)</f>
        <v>1</v>
      </c>
      <c r="X15" s="11" t="n">
        <f aca="false">SUMIFS(Trades!$K$2:$K$543,Trades!$A$2:$A$543,"SILVER",Trades!$B$2:$B$543,"T7",Trades!$F$2:$F$543,$A15)</f>
        <v>364507.8</v>
      </c>
      <c r="Y15" s="11" t="n">
        <f aca="false">Y14+X15</f>
        <v>1472753.7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COUNTIFS(Trades!$A$2:$A$543,"SILVER",Trades!$B$2:$B$543,"V0",Trades!$F$2:$F$543,$A16)</f>
        <v>4</v>
      </c>
      <c r="C16" s="10" t="n">
        <f aca="false">IF(B16=0,"",COUNTIFS(Trades!$A$2:$A$543,"SILVER",Trades!$B$2:$B$543,"V0",Trades!$F$2:$F$543,$A16,Trades!$M$2:$M$543,1)/B16)</f>
        <v>0.5</v>
      </c>
      <c r="D16" s="11" t="n">
        <f aca="false">SUMIFS(Trades!$K$2:$K$543,Trades!$A$2:$A$543,"SILVER",Trades!$B$2:$B$543,"V0",Trades!$F$2:$F$543,$A16)</f>
        <v>692823.3</v>
      </c>
      <c r="E16" s="11" t="n">
        <f aca="false">E15+D16</f>
        <v>1718459.7</v>
      </c>
      <c r="F16" s="9" t="n">
        <f aca="false">COUNTIFS(Trades!$A$2:$A$543,"SILVER",Trades!$B$2:$B$543,"V1",Trades!$F$2:$F$543,$A16)</f>
        <v>2</v>
      </c>
      <c r="G16" s="10" t="n">
        <f aca="false">IF(F16=0,"",COUNTIFS(Trades!$A$2:$A$543,"SILVER",Trades!$B$2:$B$543,"V1",Trades!$F$2:$F$543,$A16,Trades!$M$2:$M$543,1)/F16)</f>
        <v>1</v>
      </c>
      <c r="H16" s="11" t="n">
        <f aca="false">SUMIFS(Trades!$K$2:$K$543,Trades!$A$2:$A$543,"SILVER",Trades!$B$2:$B$543,"V1",Trades!$F$2:$F$543,$A16)</f>
        <v>1534785.9</v>
      </c>
      <c r="I16" s="11" t="n">
        <f aca="false">I15+H16</f>
        <v>2697719.1</v>
      </c>
      <c r="J16" s="9" t="n">
        <f aca="false">COUNTIFS(Trades!$A$2:$A$543,"SILVER",Trades!$B$2:$B$543,"W8",Trades!$F$2:$F$543,$A16)</f>
        <v>2</v>
      </c>
      <c r="K16" s="10" t="n">
        <f aca="false">IF(J16=0,"",COUNTIFS(Trades!$A$2:$A$543,"SILVER",Trades!$B$2:$B$543,"W8",Trades!$F$2:$F$543,$A16,Trades!$M$2:$M$543,1)/J16)</f>
        <v>1</v>
      </c>
      <c r="L16" s="11" t="n">
        <f aca="false">SUMIFS(Trades!$K$2:$K$543,Trades!$A$2:$A$543,"SILVER",Trades!$B$2:$B$543,"W8",Trades!$F$2:$F$543,$A16)</f>
        <v>1534785.9</v>
      </c>
      <c r="M16" s="11" t="n">
        <f aca="false">M15+L16</f>
        <v>2657337.3</v>
      </c>
      <c r="N16" s="9" t="n">
        <f aca="false">COUNTIFS(Trades!$A$2:$A$543,"SILVER",Trades!$B$2:$B$543,"W8C",Trades!$F$2:$F$543,$A16)</f>
        <v>1</v>
      </c>
      <c r="O16" s="10" t="n">
        <f aca="false">IF(N16=0,"",COUNTIFS(Trades!$A$2:$A$543,"SILVER",Trades!$B$2:$B$543,"W8C",Trades!$F$2:$F$543,$A16,Trades!$M$2:$M$543,1)/N16)</f>
        <v>1</v>
      </c>
      <c r="P16" s="11" t="n">
        <f aca="false">SUMIFS(Trades!$K$2:$K$543,Trades!$A$2:$A$543,"SILVER",Trades!$B$2:$B$543,"W8C",Trades!$F$2:$F$543,$A16)</f>
        <v>646464.9</v>
      </c>
      <c r="Q16" s="11" t="n">
        <f aca="false">Q15+P16</f>
        <v>1178374.8</v>
      </c>
      <c r="R16" s="9" t="n">
        <f aca="false">COUNTIFS(Trades!$A$2:$A$543,"SILVER",Trades!$B$2:$B$543,"T6",Trades!$F$2:$F$543,$A16)</f>
        <v>3</v>
      </c>
      <c r="S16" s="10" t="n">
        <f aca="false">IF(R16=0,"",COUNTIFS(Trades!$A$2:$A$543,"SILVER",Trades!$B$2:$B$543,"T6",Trades!$F$2:$F$543,$A16,Trades!$M$2:$M$543,1)/R16)</f>
        <v>0.666666666666667</v>
      </c>
      <c r="T16" s="11" t="n">
        <f aca="false">SUMIFS(Trades!$K$2:$K$543,Trades!$A$2:$A$543,"SILVER",Trades!$B$2:$B$543,"T6",Trades!$F$2:$F$543,$A16)</f>
        <v>2109762</v>
      </c>
      <c r="U16" s="11" t="n">
        <f aca="false">U15+T16</f>
        <v>2729003.7</v>
      </c>
      <c r="V16" s="9" t="n">
        <f aca="false">COUNTIFS(Trades!$A$2:$A$543,"SILVER",Trades!$B$2:$B$543,"T7",Trades!$F$2:$F$543,$A16)</f>
        <v>3</v>
      </c>
      <c r="W16" s="10" t="n">
        <f aca="false">IF(V16=0,"",COUNTIFS(Trades!$A$2:$A$543,"SILVER",Trades!$B$2:$B$543,"T7",Trades!$F$2:$F$543,$A16,Trades!$M$2:$M$543,1)/V16)</f>
        <v>0.666666666666667</v>
      </c>
      <c r="X16" s="11" t="n">
        <f aca="false">SUMIFS(Trades!$K$2:$K$543,Trades!$A$2:$A$543,"SILVER",Trades!$B$2:$B$543,"T7",Trades!$F$2:$F$543,$A16)</f>
        <v>1527627.6</v>
      </c>
      <c r="Y16" s="11" t="n">
        <f aca="false">Y15+X16</f>
        <v>3000381.3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COUNTIFS(Trades!$A$2:$A$543,"SILVER",Trades!$B$2:$B$543,"V0",Trades!$F$2:$F$543,$A17)</f>
        <v>5</v>
      </c>
      <c r="C17" s="10" t="n">
        <f aca="false">IF(B17=0,"",COUNTIFS(Trades!$A$2:$A$543,"SILVER",Trades!$B$2:$B$543,"V0",Trades!$F$2:$F$543,$A17,Trades!$M$2:$M$543,1)/B17)</f>
        <v>0.6</v>
      </c>
      <c r="D17" s="11" t="n">
        <f aca="false">SUMIFS(Trades!$K$2:$K$543,Trades!$A$2:$A$543,"SILVER",Trades!$B$2:$B$543,"V0",Trades!$F$2:$F$543,$A17)</f>
        <v>-86237.6999999998</v>
      </c>
      <c r="E17" s="11" t="n">
        <f aca="false">E16+D17</f>
        <v>1632222</v>
      </c>
      <c r="F17" s="9" t="n">
        <f aca="false">COUNTIFS(Trades!$A$2:$A$543,"SILVER",Trades!$B$2:$B$543,"V1",Trades!$F$2:$F$543,$A17)</f>
        <v>3</v>
      </c>
      <c r="G17" s="10" t="n">
        <f aca="false">IF(F17=0,"",COUNTIFS(Trades!$A$2:$A$543,"SILVER",Trades!$B$2:$B$543,"V1",Trades!$F$2:$F$543,$A17,Trades!$M$2:$M$543,1)/F17)</f>
        <v>1</v>
      </c>
      <c r="H17" s="11" t="n">
        <f aca="false">SUMIFS(Trades!$K$2:$K$543,Trades!$A$2:$A$543,"SILVER",Trades!$B$2:$B$543,"V1",Trades!$F$2:$F$543,$A17)</f>
        <v>1803102.9</v>
      </c>
      <c r="I17" s="11" t="n">
        <f aca="false">I16+H17</f>
        <v>4500822</v>
      </c>
      <c r="J17" s="9" t="n">
        <f aca="false">COUNTIFS(Trades!$A$2:$A$543,"SILVER",Trades!$B$2:$B$543,"W8",Trades!$F$2:$F$543,$A17)</f>
        <v>3</v>
      </c>
      <c r="K17" s="10" t="n">
        <f aca="false">IF(J17=0,"",COUNTIFS(Trades!$A$2:$A$543,"SILVER",Trades!$B$2:$B$543,"W8",Trades!$F$2:$F$543,$A17,Trades!$M$2:$M$543,1)/J17)</f>
        <v>1</v>
      </c>
      <c r="L17" s="11" t="n">
        <f aca="false">SUMIFS(Trades!$K$2:$K$543,Trades!$A$2:$A$543,"SILVER",Trades!$B$2:$B$543,"W8",Trades!$F$2:$F$543,$A17)</f>
        <v>1691348.4</v>
      </c>
      <c r="M17" s="11" t="n">
        <f aca="false">M16+L17</f>
        <v>4348685.7</v>
      </c>
      <c r="N17" s="9" t="n">
        <f aca="false">COUNTIFS(Trades!$A$2:$A$543,"SILVER",Trades!$B$2:$B$543,"W8C",Trades!$F$2:$F$543,$A17)</f>
        <v>1</v>
      </c>
      <c r="O17" s="10" t="n">
        <f aca="false">IF(N17=0,"",COUNTIFS(Trades!$A$2:$A$543,"SILVER",Trades!$B$2:$B$543,"W8C",Trades!$F$2:$F$543,$A17,Trades!$M$2:$M$543,1)/N17)</f>
        <v>1</v>
      </c>
      <c r="P17" s="11" t="n">
        <f aca="false">SUMIFS(Trades!$K$2:$K$543,Trades!$A$2:$A$543,"SILVER",Trades!$B$2:$B$543,"W8C",Trades!$F$2:$F$543,$A17)</f>
        <v>1529008.2</v>
      </c>
      <c r="Q17" s="11" t="n">
        <f aca="false">Q16+P17</f>
        <v>2707383</v>
      </c>
      <c r="R17" s="9" t="n">
        <f aca="false">COUNTIFS(Trades!$A$2:$A$543,"SILVER",Trades!$B$2:$B$543,"T6",Trades!$F$2:$F$543,$A17)</f>
        <v>3</v>
      </c>
      <c r="S17" s="10" t="n">
        <f aca="false">IF(R17=0,"",COUNTIFS(Trades!$A$2:$A$543,"SILVER",Trades!$B$2:$B$543,"T6",Trades!$F$2:$F$543,$A17,Trades!$M$2:$M$543,1)/R17)</f>
        <v>1</v>
      </c>
      <c r="T17" s="11" t="n">
        <f aca="false">SUMIFS(Trades!$K$2:$K$543,Trades!$A$2:$A$543,"SILVER",Trades!$B$2:$B$543,"T6",Trades!$F$2:$F$543,$A17)</f>
        <v>3074079</v>
      </c>
      <c r="U17" s="11" t="n">
        <f aca="false">U16+T17</f>
        <v>5803082.7</v>
      </c>
      <c r="V17" s="9" t="n">
        <f aca="false">COUNTIFS(Trades!$A$2:$A$543,"SILVER",Trades!$B$2:$B$543,"T7",Trades!$F$2:$F$543,$A17)</f>
        <v>3</v>
      </c>
      <c r="W17" s="10" t="n">
        <f aca="false">IF(V17=0,"",COUNTIFS(Trades!$A$2:$A$543,"SILVER",Trades!$B$2:$B$543,"T7",Trades!$F$2:$F$543,$A17,Trades!$M$2:$M$543,1)/V17)</f>
        <v>1</v>
      </c>
      <c r="X17" s="11" t="n">
        <f aca="false">SUMIFS(Trades!$K$2:$K$543,Trades!$A$2:$A$543,"SILVER",Trades!$B$2:$B$543,"T7",Trades!$F$2:$F$543,$A17)</f>
        <v>3048620.7</v>
      </c>
      <c r="Y17" s="11" t="n">
        <f aca="false">Y16+X17</f>
        <v>6049002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COUNTIFS(Trades!$A$2:$A$543,"SILVER",Trades!$B$2:$B$543,"V0",Trades!$F$2:$F$543,$A18)</f>
        <v>1</v>
      </c>
      <c r="C18" s="10" t="n">
        <f aca="false">IF(B18=0,"",COUNTIFS(Trades!$A$2:$A$543,"SILVER",Trades!$B$2:$B$543,"V0",Trades!$F$2:$F$543,$A18,Trades!$M$2:$M$543,1)/B18)</f>
        <v>1</v>
      </c>
      <c r="D18" s="11" t="n">
        <f aca="false">SUMIFS(Trades!$K$2:$K$543,Trades!$A$2:$A$543,"SILVER",Trades!$B$2:$B$543,"V0",Trades!$F$2:$F$543,$A18)</f>
        <v>3432137.1</v>
      </c>
      <c r="E18" s="11" t="n">
        <f aca="false">E17+D18</f>
        <v>5064359.1</v>
      </c>
      <c r="F18" s="9" t="n">
        <f aca="false">COUNTIFS(Trades!$A$2:$A$543,"SILVER",Trades!$B$2:$B$543,"V1",Trades!$F$2:$F$543,$A18)</f>
        <v>0</v>
      </c>
      <c r="G18" s="10" t="str">
        <f aca="false">IF(F18=0,"",COUNTIFS(Trades!$A$2:$A$543,"SILVER",Trades!$B$2:$B$543,"V1",Trades!$F$2:$F$543,$A18,Trades!$M$2:$M$543,1)/F18)</f>
        <v/>
      </c>
      <c r="H18" s="11" t="n">
        <f aca="false">SUMIFS(Trades!$K$2:$K$543,Trades!$A$2:$A$543,"SILVER",Trades!$B$2:$B$543,"V1",Trades!$F$2:$F$543,$A18)</f>
        <v>0</v>
      </c>
      <c r="I18" s="11" t="n">
        <f aca="false">I17+H18</f>
        <v>4500822</v>
      </c>
      <c r="J18" s="9" t="n">
        <f aca="false">COUNTIFS(Trades!$A$2:$A$543,"SILVER",Trades!$B$2:$B$543,"W8",Trades!$F$2:$F$543,$A18)</f>
        <v>0</v>
      </c>
      <c r="K18" s="10" t="str">
        <f aca="false">IF(J18=0,"",COUNTIFS(Trades!$A$2:$A$543,"SILVER",Trades!$B$2:$B$543,"W8",Trades!$F$2:$F$543,$A18,Trades!$M$2:$M$543,1)/J18)</f>
        <v/>
      </c>
      <c r="L18" s="11" t="n">
        <f aca="false">SUMIFS(Trades!$K$2:$K$543,Trades!$A$2:$A$543,"SILVER",Trades!$B$2:$B$543,"W8",Trades!$F$2:$F$543,$A18)</f>
        <v>0</v>
      </c>
      <c r="M18" s="11" t="n">
        <f aca="false">M17+L18</f>
        <v>4348685.7</v>
      </c>
      <c r="N18" s="9" t="n">
        <f aca="false">COUNTIFS(Trades!$A$2:$A$543,"SILVER",Trades!$B$2:$B$543,"W8C",Trades!$F$2:$F$543,$A18)</f>
        <v>0</v>
      </c>
      <c r="O18" s="10" t="str">
        <f aca="false">IF(N18=0,"",COUNTIFS(Trades!$A$2:$A$543,"SILVER",Trades!$B$2:$B$543,"W8C",Trades!$F$2:$F$543,$A18,Trades!$M$2:$M$543,1)/N18)</f>
        <v/>
      </c>
      <c r="P18" s="11" t="n">
        <f aca="false">SUMIFS(Trades!$K$2:$K$543,Trades!$A$2:$A$543,"SILVER",Trades!$B$2:$B$543,"W8C",Trades!$F$2:$F$543,$A18)</f>
        <v>0</v>
      </c>
      <c r="Q18" s="11" t="n">
        <f aca="false">Q17+P18</f>
        <v>2707383</v>
      </c>
      <c r="R18" s="9" t="n">
        <f aca="false">COUNTIFS(Trades!$A$2:$A$543,"SILVER",Trades!$B$2:$B$543,"T6",Trades!$F$2:$F$543,$A18)</f>
        <v>2</v>
      </c>
      <c r="S18" s="10" t="n">
        <f aca="false">IF(R18=0,"",COUNTIFS(Trades!$A$2:$A$543,"SILVER",Trades!$B$2:$B$543,"T6",Trades!$F$2:$F$543,$A18,Trades!$M$2:$M$543,1)/R18)</f>
        <v>0.5</v>
      </c>
      <c r="T18" s="11" t="n">
        <f aca="false">SUMIFS(Trades!$K$2:$K$543,Trades!$A$2:$A$543,"SILVER",Trades!$B$2:$B$543,"T6",Trades!$F$2:$F$543,$A18)</f>
        <v>-263768.7</v>
      </c>
      <c r="U18" s="11" t="n">
        <f aca="false">U17+T18</f>
        <v>5539314</v>
      </c>
      <c r="V18" s="9" t="n">
        <f aca="false">COUNTIFS(Trades!$A$2:$A$543,"SILVER",Trades!$B$2:$B$543,"T7",Trades!$F$2:$F$543,$A18)</f>
        <v>5</v>
      </c>
      <c r="W18" s="10" t="n">
        <f aca="false">IF(V18=0,"",COUNTIFS(Trades!$A$2:$A$543,"SILVER",Trades!$B$2:$B$543,"T7",Trades!$F$2:$F$543,$A18,Trades!$M$2:$M$543,1)/V18)</f>
        <v>0.6</v>
      </c>
      <c r="X18" s="11" t="n">
        <f aca="false">SUMIFS(Trades!$K$2:$K$543,Trades!$A$2:$A$543,"SILVER",Trades!$B$2:$B$543,"T7",Trades!$F$2:$F$543,$A18)</f>
        <v>-776022</v>
      </c>
      <c r="Y18" s="11" t="n">
        <f aca="false">Y17+X18</f>
        <v>5272980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COUNTIFS(Trades!$A$2:$A$543,"SILVER",Trades!$B$2:$B$543,"V0",Trades!$F$2:$F$543,$A19)</f>
        <v>4</v>
      </c>
      <c r="C19" s="10" t="n">
        <f aca="false">IF(B19=0,"",COUNTIFS(Trades!$A$2:$A$543,"SILVER",Trades!$B$2:$B$543,"V0",Trades!$F$2:$F$543,$A19,Trades!$M$2:$M$543,1)/B19)</f>
        <v>0.75</v>
      </c>
      <c r="D19" s="11" t="n">
        <f aca="false">SUMIFS(Trades!$K$2:$K$543,Trades!$A$2:$A$543,"SILVER",Trades!$B$2:$B$543,"V0",Trades!$F$2:$F$543,$A19)</f>
        <v>983074.2</v>
      </c>
      <c r="E19" s="11" t="n">
        <f aca="false">E18+D19</f>
        <v>6047433.3</v>
      </c>
      <c r="F19" s="9" t="n">
        <f aca="false">COUNTIFS(Trades!$A$2:$A$543,"SILVER",Trades!$B$2:$B$543,"V1",Trades!$F$2:$F$543,$A19)</f>
        <v>2</v>
      </c>
      <c r="G19" s="10" t="n">
        <f aca="false">IF(F19=0,"",COUNTIFS(Trades!$A$2:$A$543,"SILVER",Trades!$B$2:$B$543,"V1",Trades!$F$2:$F$543,$A19,Trades!$M$2:$M$543,1)/F19)</f>
        <v>1</v>
      </c>
      <c r="H19" s="11" t="n">
        <f aca="false">SUMIFS(Trades!$K$2:$K$543,Trades!$A$2:$A$543,"SILVER",Trades!$B$2:$B$543,"V1",Trades!$F$2:$F$543,$A19)</f>
        <v>857501.4</v>
      </c>
      <c r="I19" s="11" t="n">
        <f aca="false">I18+H19</f>
        <v>5358323.4</v>
      </c>
      <c r="J19" s="9" t="n">
        <f aca="false">COUNTIFS(Trades!$A$2:$A$543,"SILVER",Trades!$B$2:$B$543,"W8",Trades!$F$2:$F$543,$A19)</f>
        <v>2</v>
      </c>
      <c r="K19" s="10" t="n">
        <f aca="false">IF(J19=0,"",COUNTIFS(Trades!$A$2:$A$543,"SILVER",Trades!$B$2:$B$543,"W8",Trades!$F$2:$F$543,$A19,Trades!$M$2:$M$543,1)/J19)</f>
        <v>1</v>
      </c>
      <c r="L19" s="11" t="n">
        <f aca="false">SUMIFS(Trades!$K$2:$K$543,Trades!$A$2:$A$543,"SILVER",Trades!$B$2:$B$543,"W8",Trades!$F$2:$F$543,$A19)</f>
        <v>106562.7</v>
      </c>
      <c r="M19" s="11" t="n">
        <f aca="false">M18+L19</f>
        <v>4455248.4</v>
      </c>
      <c r="N19" s="9" t="n">
        <f aca="false">COUNTIFS(Trades!$A$2:$A$543,"SILVER",Trades!$B$2:$B$543,"W8C",Trades!$F$2:$F$543,$A19)</f>
        <v>1</v>
      </c>
      <c r="O19" s="10" t="n">
        <f aca="false">IF(N19=0,"",COUNTIFS(Trades!$A$2:$A$543,"SILVER",Trades!$B$2:$B$543,"W8C",Trades!$F$2:$F$543,$A19,Trades!$M$2:$M$543,1)/N19)</f>
        <v>1</v>
      </c>
      <c r="P19" s="11" t="n">
        <f aca="false">SUMIFS(Trades!$K$2:$K$543,Trades!$A$2:$A$543,"SILVER",Trades!$B$2:$B$543,"W8C",Trades!$F$2:$F$543,$A19)</f>
        <v>14418.3</v>
      </c>
      <c r="Q19" s="11" t="n">
        <f aca="false">Q18+P19</f>
        <v>2721801.3</v>
      </c>
      <c r="R19" s="9" t="n">
        <f aca="false">COUNTIFS(Trades!$A$2:$A$543,"SILVER",Trades!$B$2:$B$543,"T6",Trades!$F$2:$F$543,$A19)</f>
        <v>5</v>
      </c>
      <c r="S19" s="10" t="n">
        <f aca="false">IF(R19=0,"",COUNTIFS(Trades!$A$2:$A$543,"SILVER",Trades!$B$2:$B$543,"T6",Trades!$F$2:$F$543,$A19,Trades!$M$2:$M$543,1)/R19)</f>
        <v>0.8</v>
      </c>
      <c r="T19" s="11" t="n">
        <f aca="false">SUMIFS(Trades!$K$2:$K$543,Trades!$A$2:$A$543,"SILVER",Trades!$B$2:$B$543,"T6",Trades!$F$2:$F$543,$A19)</f>
        <v>-35208</v>
      </c>
      <c r="U19" s="11" t="n">
        <f aca="false">U18+T19</f>
        <v>5504106</v>
      </c>
      <c r="V19" s="9" t="n">
        <f aca="false">COUNTIFS(Trades!$A$2:$A$543,"SILVER",Trades!$B$2:$B$543,"T7",Trades!$F$2:$F$543,$A19)</f>
        <v>6</v>
      </c>
      <c r="W19" s="10" t="n">
        <f aca="false">IF(V19=0,"",COUNTIFS(Trades!$A$2:$A$543,"SILVER",Trades!$B$2:$B$543,"T7",Trades!$F$2:$F$543,$A19,Trades!$M$2:$M$543,1)/V19)</f>
        <v>0.833333333333333</v>
      </c>
      <c r="X19" s="11" t="n">
        <f aca="false">SUMIFS(Trades!$K$2:$K$543,Trades!$A$2:$A$543,"SILVER",Trades!$B$2:$B$543,"T7",Trades!$F$2:$F$543,$A19)</f>
        <v>288692.4</v>
      </c>
      <c r="Y19" s="11" t="n">
        <f aca="false">Y18+X19</f>
        <v>5561672.4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COUNTIFS(Trades!$A$2:$A$543,"SILVER",Trades!$B$2:$B$543,"V0",Trades!$F$2:$F$543,$A20)</f>
        <v>3</v>
      </c>
      <c r="C20" s="10" t="n">
        <f aca="false">IF(B20=0,"",COUNTIFS(Trades!$A$2:$A$543,"SILVER",Trades!$B$2:$B$543,"V0",Trades!$F$2:$F$543,$A20,Trades!$M$2:$M$543,1)/B20)</f>
        <v>0.333333333333333</v>
      </c>
      <c r="D20" s="11" t="n">
        <f aca="false">SUMIFS(Trades!$K$2:$K$543,Trades!$A$2:$A$543,"SILVER",Trades!$B$2:$B$543,"V0",Trades!$F$2:$F$543,$A20)</f>
        <v>-795427.2</v>
      </c>
      <c r="E20" s="11" t="n">
        <f aca="false">E19+D20</f>
        <v>5252006.1</v>
      </c>
      <c r="F20" s="9" t="n">
        <f aca="false">COUNTIFS(Trades!$A$2:$A$543,"SILVER",Trades!$B$2:$B$543,"V1",Trades!$F$2:$F$543,$A20)</f>
        <v>1</v>
      </c>
      <c r="G20" s="10" t="n">
        <f aca="false">IF(F20=0,"",COUNTIFS(Trades!$A$2:$A$543,"SILVER",Trades!$B$2:$B$543,"V1",Trades!$F$2:$F$543,$A20,Trades!$M$2:$M$543,1)/F20)</f>
        <v>0</v>
      </c>
      <c r="H20" s="11" t="n">
        <f aca="false">SUMIFS(Trades!$K$2:$K$543,Trades!$A$2:$A$543,"SILVER",Trades!$B$2:$B$543,"V1",Trades!$F$2:$F$543,$A20)</f>
        <v>-528600.9</v>
      </c>
      <c r="I20" s="11" t="n">
        <f aca="false">I19+H20</f>
        <v>4829722.5</v>
      </c>
      <c r="J20" s="9" t="n">
        <f aca="false">COUNTIFS(Trades!$A$2:$A$543,"SILVER",Trades!$B$2:$B$543,"W8",Trades!$F$2:$F$543,$A20)</f>
        <v>2</v>
      </c>
      <c r="K20" s="10" t="n">
        <f aca="false">IF(J20=0,"",COUNTIFS(Trades!$A$2:$A$543,"SILVER",Trades!$B$2:$B$543,"W8",Trades!$F$2:$F$543,$A20,Trades!$M$2:$M$543,1)/J20)</f>
        <v>0.5</v>
      </c>
      <c r="L20" s="11" t="n">
        <f aca="false">SUMIFS(Trades!$K$2:$K$543,Trades!$A$2:$A$543,"SILVER",Trades!$B$2:$B$543,"W8",Trades!$F$2:$F$543,$A20)</f>
        <v>-493147.5</v>
      </c>
      <c r="M20" s="11" t="n">
        <f aca="false">M19+L20</f>
        <v>3962100.9</v>
      </c>
      <c r="N20" s="9" t="n">
        <f aca="false">COUNTIFS(Trades!$A$2:$A$543,"SILVER",Trades!$B$2:$B$543,"W8C",Trades!$F$2:$F$543,$A20)</f>
        <v>1</v>
      </c>
      <c r="O20" s="10" t="n">
        <f aca="false">IF(N20=0,"",COUNTIFS(Trades!$A$2:$A$543,"SILVER",Trades!$B$2:$B$543,"W8C",Trades!$F$2:$F$543,$A20,Trades!$M$2:$M$543,1)/N20)</f>
        <v>1</v>
      </c>
      <c r="P20" s="11" t="n">
        <f aca="false">SUMIFS(Trades!$K$2:$K$543,Trades!$A$2:$A$543,"SILVER",Trades!$B$2:$B$543,"W8C",Trades!$F$2:$F$543,$A20)</f>
        <v>32382</v>
      </c>
      <c r="Q20" s="11" t="n">
        <f aca="false">Q19+P20</f>
        <v>2754183.3</v>
      </c>
      <c r="R20" s="9" t="n">
        <f aca="false">COUNTIFS(Trades!$A$2:$A$543,"SILVER",Trades!$B$2:$B$543,"T6",Trades!$F$2:$F$543,$A20)</f>
        <v>3</v>
      </c>
      <c r="S20" s="10" t="n">
        <f aca="false">IF(R20=0,"",COUNTIFS(Trades!$A$2:$A$543,"SILVER",Trades!$B$2:$B$543,"T6",Trades!$F$2:$F$543,$A20,Trades!$M$2:$M$543,1)/R20)</f>
        <v>0.333333333333333</v>
      </c>
      <c r="T20" s="11" t="n">
        <f aca="false">SUMIFS(Trades!$K$2:$K$543,Trades!$A$2:$A$543,"SILVER",Trades!$B$2:$B$543,"T6",Trades!$F$2:$F$543,$A20)</f>
        <v>-376678.5</v>
      </c>
      <c r="U20" s="11" t="n">
        <f aca="false">U19+T20</f>
        <v>5127427.5</v>
      </c>
      <c r="V20" s="9" t="n">
        <f aca="false">COUNTIFS(Trades!$A$2:$A$543,"SILVER",Trades!$B$2:$B$543,"T7",Trades!$F$2:$F$543,$A20)</f>
        <v>3</v>
      </c>
      <c r="W20" s="10" t="n">
        <f aca="false">IF(V20=0,"",COUNTIFS(Trades!$A$2:$A$543,"SILVER",Trades!$B$2:$B$543,"T7",Trades!$F$2:$F$543,$A20,Trades!$M$2:$M$543,1)/V20)</f>
        <v>0.333333333333333</v>
      </c>
      <c r="X20" s="11" t="n">
        <f aca="false">SUMIFS(Trades!$K$2:$K$543,Trades!$A$2:$A$543,"SILVER",Trades!$B$2:$B$543,"T7",Trades!$F$2:$F$543,$A20)</f>
        <v>-214258.5</v>
      </c>
      <c r="Y20" s="11" t="n">
        <f aca="false">Y19+X20</f>
        <v>5347413.9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COUNTIFS(Trades!$A$2:$A$543,"SILVER",Trades!$B$2:$B$543,"V0",Trades!$F$2:$F$543,$A21)</f>
        <v>4</v>
      </c>
      <c r="C21" s="10" t="n">
        <f aca="false">IF(B21=0,"",COUNTIFS(Trades!$A$2:$A$543,"SILVER",Trades!$B$2:$B$543,"V0",Trades!$F$2:$F$543,$A21,Trades!$M$2:$M$543,1)/B21)</f>
        <v>0.25</v>
      </c>
      <c r="D21" s="11" t="n">
        <f aca="false">SUMIFS(Trades!$K$2:$K$543,Trades!$A$2:$A$543,"SILVER",Trades!$B$2:$B$543,"V0",Trades!$F$2:$F$543,$A21)</f>
        <v>54006</v>
      </c>
      <c r="E21" s="11" t="n">
        <f aca="false">E20+D21</f>
        <v>5306012.1</v>
      </c>
      <c r="F21" s="9" t="n">
        <f aca="false">COUNTIFS(Trades!$A$2:$A$543,"SILVER",Trades!$B$2:$B$543,"V1",Trades!$F$2:$F$543,$A21)</f>
        <v>2</v>
      </c>
      <c r="G21" s="10" t="n">
        <f aca="false">IF(F21=0,"",COUNTIFS(Trades!$A$2:$A$543,"SILVER",Trades!$B$2:$B$543,"V1",Trades!$F$2:$F$543,$A21,Trades!$M$2:$M$543,1)/F21)</f>
        <v>0</v>
      </c>
      <c r="H21" s="11" t="n">
        <f aca="false">SUMIFS(Trades!$K$2:$K$543,Trades!$A$2:$A$543,"SILVER",Trades!$B$2:$B$543,"V1",Trades!$F$2:$F$543,$A21)</f>
        <v>-376413</v>
      </c>
      <c r="I21" s="11" t="n">
        <f aca="false">I20+H21</f>
        <v>4453309.5</v>
      </c>
      <c r="J21" s="9" t="n">
        <f aca="false">COUNTIFS(Trades!$A$2:$A$543,"SILVER",Trades!$B$2:$B$543,"W8",Trades!$F$2:$F$543,$A21)</f>
        <v>1</v>
      </c>
      <c r="K21" s="10" t="n">
        <f aca="false">IF(J21=0,"",COUNTIFS(Trades!$A$2:$A$543,"SILVER",Trades!$B$2:$B$543,"W8",Trades!$F$2:$F$543,$A21,Trades!$M$2:$M$543,1)/J21)</f>
        <v>0</v>
      </c>
      <c r="L21" s="11" t="n">
        <f aca="false">SUMIFS(Trades!$K$2:$K$543,Trades!$A$2:$A$543,"SILVER",Trades!$B$2:$B$543,"W8",Trades!$F$2:$F$543,$A21)</f>
        <v>-310073.7</v>
      </c>
      <c r="M21" s="11" t="n">
        <f aca="false">M20+L21</f>
        <v>3652027.2</v>
      </c>
      <c r="N21" s="9" t="n">
        <f aca="false">COUNTIFS(Trades!$A$2:$A$543,"SILVER",Trades!$B$2:$B$543,"W8C",Trades!$F$2:$F$543,$A21)</f>
        <v>1</v>
      </c>
      <c r="O21" s="10" t="n">
        <f aca="false">IF(N21=0,"",COUNTIFS(Trades!$A$2:$A$543,"SILVER",Trades!$B$2:$B$543,"W8C",Trades!$F$2:$F$543,$A21,Trades!$M$2:$M$543,1)/N21)</f>
        <v>1</v>
      </c>
      <c r="P21" s="11" t="n">
        <f aca="false">SUMIFS(Trades!$K$2:$K$543,Trades!$A$2:$A$543,"SILVER",Trades!$B$2:$B$543,"W8C",Trades!$F$2:$F$543,$A21)</f>
        <v>60112.8</v>
      </c>
      <c r="Q21" s="11" t="n">
        <f aca="false">Q20+P21</f>
        <v>2814296.1</v>
      </c>
      <c r="R21" s="9" t="n">
        <f aca="false">COUNTIFS(Trades!$A$2:$A$543,"SILVER",Trades!$B$2:$B$543,"T6",Trades!$F$2:$F$543,$A21)</f>
        <v>1</v>
      </c>
      <c r="S21" s="10" t="n">
        <f aca="false">IF(R21=0,"",COUNTIFS(Trades!$A$2:$A$543,"SILVER",Trades!$B$2:$B$543,"T6",Trades!$F$2:$F$543,$A21,Trades!$M$2:$M$543,1)/R21)</f>
        <v>0</v>
      </c>
      <c r="T21" s="11" t="n">
        <f aca="false">SUMIFS(Trades!$K$2:$K$543,Trades!$A$2:$A$543,"SILVER",Trades!$B$2:$B$543,"T6",Trades!$F$2:$F$543,$A21)</f>
        <v>-1732.5</v>
      </c>
      <c r="U21" s="11" t="n">
        <f aca="false">U20+T21</f>
        <v>5125695</v>
      </c>
      <c r="V21" s="9" t="n">
        <f aca="false">COUNTIFS(Trades!$A$2:$A$543,"SILVER",Trades!$B$2:$B$543,"T7",Trades!$F$2:$F$543,$A21)</f>
        <v>1</v>
      </c>
      <c r="W21" s="10" t="n">
        <f aca="false">IF(V21=0,"",COUNTIFS(Trades!$A$2:$A$543,"SILVER",Trades!$B$2:$B$543,"T7",Trades!$F$2:$F$543,$A21,Trades!$M$2:$M$543,1)/V21)</f>
        <v>0</v>
      </c>
      <c r="X21" s="11" t="n">
        <f aca="false">SUMIFS(Trades!$K$2:$K$543,Trades!$A$2:$A$543,"SILVER",Trades!$B$2:$B$543,"T7",Trades!$F$2:$F$543,$A21)</f>
        <v>-1732.5</v>
      </c>
      <c r="Y21" s="11" t="n">
        <f aca="false">Y20+X21</f>
        <v>5345681.4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COUNTIFS(Trades!$A$2:$A$543,"SILVER",Trades!$B$2:$B$543,"V0",Trades!$F$2:$F$543,$A22)</f>
        <v>3</v>
      </c>
      <c r="C22" s="10" t="n">
        <f aca="false">IF(B22=0,"",COUNTIFS(Trades!$A$2:$A$543,"SILVER",Trades!$B$2:$B$543,"V0",Trades!$F$2:$F$543,$A22,Trades!$M$2:$M$543,1)/B22)</f>
        <v>0.666666666666667</v>
      </c>
      <c r="D22" s="11" t="n">
        <f aca="false">SUMIFS(Trades!$K$2:$K$543,Trades!$A$2:$A$543,"SILVER",Trades!$B$2:$B$543,"V0",Trades!$F$2:$F$543,$A22)</f>
        <v>1114066.8</v>
      </c>
      <c r="E22" s="11" t="n">
        <f aca="false">E21+D22</f>
        <v>6420078.9</v>
      </c>
      <c r="F22" s="9" t="n">
        <f aca="false">COUNTIFS(Trades!$A$2:$A$543,"SILVER",Trades!$B$2:$B$543,"V1",Trades!$F$2:$F$543,$A22)</f>
        <v>2</v>
      </c>
      <c r="G22" s="10" t="n">
        <f aca="false">IF(F22=0,"",COUNTIFS(Trades!$A$2:$A$543,"SILVER",Trades!$B$2:$B$543,"V1",Trades!$F$2:$F$543,$A22,Trades!$M$2:$M$543,1)/F22)</f>
        <v>1</v>
      </c>
      <c r="H22" s="11" t="n">
        <f aca="false">SUMIFS(Trades!$K$2:$K$543,Trades!$A$2:$A$543,"SILVER",Trades!$B$2:$B$543,"V1",Trades!$F$2:$F$543,$A22)</f>
        <v>1423870.2</v>
      </c>
      <c r="I22" s="11" t="n">
        <f aca="false">I21+H22</f>
        <v>5877179.7</v>
      </c>
      <c r="J22" s="9" t="n">
        <f aca="false">COUNTIFS(Trades!$A$2:$A$543,"SILVER",Trades!$B$2:$B$543,"W8",Trades!$F$2:$F$543,$A22)</f>
        <v>2</v>
      </c>
      <c r="K22" s="10" t="n">
        <f aca="false">IF(J22=0,"",COUNTIFS(Trades!$A$2:$A$543,"SILVER",Trades!$B$2:$B$543,"W8",Trades!$F$2:$F$543,$A22,Trades!$M$2:$M$543,1)/J22)</f>
        <v>1</v>
      </c>
      <c r="L22" s="11" t="n">
        <f aca="false">SUMIFS(Trades!$K$2:$K$543,Trades!$A$2:$A$543,"SILVER",Trades!$B$2:$B$543,"W8",Trades!$F$2:$F$543,$A22)</f>
        <v>1423870.2</v>
      </c>
      <c r="M22" s="11" t="n">
        <f aca="false">M21+L22</f>
        <v>5075897.4</v>
      </c>
      <c r="N22" s="9" t="n">
        <f aca="false">COUNTIFS(Trades!$A$2:$A$543,"SILVER",Trades!$B$2:$B$543,"W8C",Trades!$F$2:$F$543,$A22)</f>
        <v>1</v>
      </c>
      <c r="O22" s="10" t="n">
        <f aca="false">IF(N22=0,"",COUNTIFS(Trades!$A$2:$A$543,"SILVER",Trades!$B$2:$B$543,"W8C",Trades!$F$2:$F$543,$A22,Trades!$M$2:$M$543,1)/N22)</f>
        <v>1</v>
      </c>
      <c r="P22" s="11" t="n">
        <f aca="false">SUMIFS(Trades!$K$2:$K$543,Trades!$A$2:$A$543,"SILVER",Trades!$B$2:$B$543,"W8C",Trades!$F$2:$F$543,$A22)</f>
        <v>452472.3</v>
      </c>
      <c r="Q22" s="11" t="n">
        <f aca="false">Q21+P22</f>
        <v>3266768.4</v>
      </c>
      <c r="R22" s="9" t="n">
        <f aca="false">COUNTIFS(Trades!$A$2:$A$543,"SILVER",Trades!$B$2:$B$543,"T6",Trades!$F$2:$F$543,$A22)</f>
        <v>3</v>
      </c>
      <c r="S22" s="10" t="n">
        <f aca="false">IF(R22=0,"",COUNTIFS(Trades!$A$2:$A$543,"SILVER",Trades!$B$2:$B$543,"T6",Trades!$F$2:$F$543,$A22,Trades!$M$2:$M$543,1)/R22)</f>
        <v>0.666666666666667</v>
      </c>
      <c r="T22" s="11" t="n">
        <f aca="false">SUMIFS(Trades!$K$2:$K$543,Trades!$A$2:$A$543,"SILVER",Trades!$B$2:$B$543,"T6",Trades!$F$2:$F$543,$A22)</f>
        <v>251982</v>
      </c>
      <c r="U22" s="11" t="n">
        <f aca="false">U21+T22</f>
        <v>5377677</v>
      </c>
      <c r="V22" s="9" t="n">
        <f aca="false">COUNTIFS(Trades!$A$2:$A$543,"SILVER",Trades!$B$2:$B$543,"T7",Trades!$F$2:$F$543,$A22)</f>
        <v>4</v>
      </c>
      <c r="W22" s="10" t="n">
        <f aca="false">IF(V22=0,"",COUNTIFS(Trades!$A$2:$A$543,"SILVER",Trades!$B$2:$B$543,"T7",Trades!$F$2:$F$543,$A22,Trades!$M$2:$M$543,1)/V22)</f>
        <v>1</v>
      </c>
      <c r="X22" s="11" t="n">
        <f aca="false">SUMIFS(Trades!$K$2:$K$543,Trades!$A$2:$A$543,"SILVER",Trades!$B$2:$B$543,"T7",Trades!$F$2:$F$543,$A22)</f>
        <v>1574881.2</v>
      </c>
      <c r="Y22" s="11" t="n">
        <f aca="false">Y21+X22</f>
        <v>6920562.6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COUNTIFS(Trades!$A$2:$A$543,"SILVER",Trades!$B$2:$B$543,"V0",Trades!$F$2:$F$543,$A23)</f>
        <v>3</v>
      </c>
      <c r="C23" s="10" t="n">
        <f aca="false">IF(B23=0,"",COUNTIFS(Trades!$A$2:$A$543,"SILVER",Trades!$B$2:$B$543,"V0",Trades!$F$2:$F$543,$A23,Trades!$M$2:$M$543,1)/B23)</f>
        <v>0.666666666666667</v>
      </c>
      <c r="D23" s="11" t="n">
        <f aca="false">SUMIFS(Trades!$K$2:$K$543,Trades!$A$2:$A$543,"SILVER",Trades!$B$2:$B$543,"V0",Trades!$F$2:$F$543,$A23)</f>
        <v>205354.5</v>
      </c>
      <c r="E23" s="11" t="n">
        <f aca="false">E22+D23</f>
        <v>6625433.4</v>
      </c>
      <c r="F23" s="9" t="n">
        <f aca="false">COUNTIFS(Trades!$A$2:$A$543,"SILVER",Trades!$B$2:$B$543,"V1",Trades!$F$2:$F$543,$A23)</f>
        <v>1</v>
      </c>
      <c r="G23" s="10" t="n">
        <f aca="false">IF(F23=0,"",COUNTIFS(Trades!$A$2:$A$543,"SILVER",Trades!$B$2:$B$543,"V1",Trades!$F$2:$F$543,$A23,Trades!$M$2:$M$543,1)/F23)</f>
        <v>1</v>
      </c>
      <c r="H23" s="11" t="n">
        <f aca="false">SUMIFS(Trades!$K$2:$K$543,Trades!$A$2:$A$543,"SILVER",Trades!$B$2:$B$543,"V1",Trades!$F$2:$F$543,$A23)</f>
        <v>208014.6</v>
      </c>
      <c r="I23" s="11" t="n">
        <f aca="false">I22+H23</f>
        <v>6085194.3</v>
      </c>
      <c r="J23" s="9" t="n">
        <f aca="false">COUNTIFS(Trades!$A$2:$A$543,"SILVER",Trades!$B$2:$B$543,"W8",Trades!$F$2:$F$543,$A23)</f>
        <v>2</v>
      </c>
      <c r="K23" s="10" t="n">
        <f aca="false">IF(J23=0,"",COUNTIFS(Trades!$A$2:$A$543,"SILVER",Trades!$B$2:$B$543,"W8",Trades!$F$2:$F$543,$A23,Trades!$M$2:$M$543,1)/J23)</f>
        <v>1</v>
      </c>
      <c r="L23" s="11" t="n">
        <f aca="false">SUMIFS(Trades!$K$2:$K$543,Trades!$A$2:$A$543,"SILVER",Trades!$B$2:$B$543,"W8",Trades!$F$2:$F$543,$A23)</f>
        <v>228819.6</v>
      </c>
      <c r="M23" s="11" t="n">
        <f aca="false">M22+L23</f>
        <v>5304717</v>
      </c>
      <c r="N23" s="9" t="n">
        <f aca="false">COUNTIFS(Trades!$A$2:$A$543,"SILVER",Trades!$B$2:$B$543,"W8C",Trades!$F$2:$F$543,$A23)</f>
        <v>1</v>
      </c>
      <c r="O23" s="10" t="n">
        <f aca="false">IF(N23=0,"",COUNTIFS(Trades!$A$2:$A$543,"SILVER",Trades!$B$2:$B$543,"W8C",Trades!$F$2:$F$543,$A23,Trades!$M$2:$M$543,1)/N23)</f>
        <v>1</v>
      </c>
      <c r="P23" s="11" t="n">
        <f aca="false">SUMIFS(Trades!$K$2:$K$543,Trades!$A$2:$A$543,"SILVER",Trades!$B$2:$B$543,"W8C",Trades!$F$2:$F$543,$A23)</f>
        <v>198175.5</v>
      </c>
      <c r="Q23" s="11" t="n">
        <f aca="false">Q22+P23</f>
        <v>3464943.9</v>
      </c>
      <c r="R23" s="9" t="n">
        <f aca="false">COUNTIFS(Trades!$A$2:$A$543,"SILVER",Trades!$B$2:$B$543,"T6",Trades!$F$2:$F$543,$A23)</f>
        <v>4</v>
      </c>
      <c r="S23" s="10" t="n">
        <f aca="false">IF(R23=0,"",COUNTIFS(Trades!$A$2:$A$543,"SILVER",Trades!$B$2:$B$543,"T6",Trades!$F$2:$F$543,$A23,Trades!$M$2:$M$543,1)/R23)</f>
        <v>0.5</v>
      </c>
      <c r="T23" s="11" t="n">
        <f aca="false">SUMIFS(Trades!$K$2:$K$543,Trades!$A$2:$A$543,"SILVER",Trades!$B$2:$B$543,"T6",Trades!$F$2:$F$543,$A23)</f>
        <v>134931.9</v>
      </c>
      <c r="U23" s="11" t="n">
        <f aca="false">U22+T23</f>
        <v>5512608.9</v>
      </c>
      <c r="V23" s="9" t="n">
        <f aca="false">COUNTIFS(Trades!$A$2:$A$543,"SILVER",Trades!$B$2:$B$543,"T7",Trades!$F$2:$F$543,$A23)</f>
        <v>4</v>
      </c>
      <c r="W23" s="10" t="n">
        <f aca="false">IF(V23=0,"",COUNTIFS(Trades!$A$2:$A$543,"SILVER",Trades!$B$2:$B$543,"T7",Trades!$F$2:$F$543,$A23,Trades!$M$2:$M$543,1)/V23)</f>
        <v>0.5</v>
      </c>
      <c r="X23" s="11" t="n">
        <f aca="false">SUMIFS(Trades!$K$2:$K$543,Trades!$A$2:$A$543,"SILVER",Trades!$B$2:$B$543,"T7",Trades!$F$2:$F$543,$A23)</f>
        <v>163688.1</v>
      </c>
      <c r="Y23" s="11" t="n">
        <f aca="false">Y22+X23</f>
        <v>7084250.7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COUNTIFS(Trades!$A$2:$A$543,"SILVER",Trades!$B$2:$B$543,"V0",Trades!$F$2:$F$543,$A24)</f>
        <v>4</v>
      </c>
      <c r="C24" s="10" t="n">
        <f aca="false">IF(B24=0,"",COUNTIFS(Trades!$A$2:$A$543,"SILVER",Trades!$B$2:$B$543,"V0",Trades!$F$2:$F$543,$A24,Trades!$M$2:$M$543,1)/B24)</f>
        <v>0.5</v>
      </c>
      <c r="D24" s="11" t="n">
        <f aca="false">SUMIFS(Trades!$K$2:$K$543,Trades!$A$2:$A$543,"SILVER",Trades!$B$2:$B$543,"V0",Trades!$F$2:$F$543,$A24)</f>
        <v>-6679.79999999999</v>
      </c>
      <c r="E24" s="11" t="n">
        <f aca="false">E23+D24</f>
        <v>6618753.6</v>
      </c>
      <c r="F24" s="9" t="n">
        <f aca="false">COUNTIFS(Trades!$A$2:$A$543,"SILVER",Trades!$B$2:$B$543,"V1",Trades!$F$2:$F$543,$A24)</f>
        <v>2</v>
      </c>
      <c r="G24" s="10" t="n">
        <f aca="false">IF(F24=0,"",COUNTIFS(Trades!$A$2:$A$543,"SILVER",Trades!$B$2:$B$543,"V1",Trades!$F$2:$F$543,$A24,Trades!$M$2:$M$543,1)/F24)</f>
        <v>0</v>
      </c>
      <c r="H24" s="11" t="n">
        <f aca="false">SUMIFS(Trades!$K$2:$K$543,Trades!$A$2:$A$543,"SILVER",Trades!$B$2:$B$543,"V1",Trades!$F$2:$F$543,$A24)</f>
        <v>-346046.4</v>
      </c>
      <c r="I24" s="11" t="n">
        <f aca="false">I23+H24</f>
        <v>5739147.9</v>
      </c>
      <c r="J24" s="9" t="n">
        <f aca="false">COUNTIFS(Trades!$A$2:$A$543,"SILVER",Trades!$B$2:$B$543,"W8",Trades!$F$2:$F$543,$A24)</f>
        <v>2</v>
      </c>
      <c r="K24" s="10" t="n">
        <f aca="false">IF(J24=0,"",COUNTIFS(Trades!$A$2:$A$543,"SILVER",Trades!$B$2:$B$543,"W8",Trades!$F$2:$F$543,$A24,Trades!$M$2:$M$543,1)/J24)</f>
        <v>0.5</v>
      </c>
      <c r="L24" s="11" t="n">
        <f aca="false">SUMIFS(Trades!$K$2:$K$543,Trades!$A$2:$A$543,"SILVER",Trades!$B$2:$B$543,"W8",Trades!$F$2:$F$543,$A24)</f>
        <v>-210161.4</v>
      </c>
      <c r="M24" s="11" t="n">
        <f aca="false">M23+L24</f>
        <v>5094555.6</v>
      </c>
      <c r="N24" s="9" t="n">
        <f aca="false">COUNTIFS(Trades!$A$2:$A$543,"SILVER",Trades!$B$2:$B$543,"W8C",Trades!$F$2:$F$543,$A24)</f>
        <v>0</v>
      </c>
      <c r="O24" s="10" t="str">
        <f aca="false">IF(N24=0,"",COUNTIFS(Trades!$A$2:$A$543,"SILVER",Trades!$B$2:$B$543,"W8C",Trades!$F$2:$F$543,$A24,Trades!$M$2:$M$543,1)/N24)</f>
        <v/>
      </c>
      <c r="P24" s="11" t="n">
        <f aca="false">SUMIFS(Trades!$K$2:$K$543,Trades!$A$2:$A$543,"SILVER",Trades!$B$2:$B$543,"W8C",Trades!$F$2:$F$543,$A24)</f>
        <v>0</v>
      </c>
      <c r="Q24" s="11" t="n">
        <f aca="false">Q23+P24</f>
        <v>3464943.9</v>
      </c>
      <c r="R24" s="9" t="n">
        <f aca="false">COUNTIFS(Trades!$A$2:$A$543,"SILVER",Trades!$B$2:$B$543,"T6",Trades!$F$2:$F$543,$A24)</f>
        <v>3</v>
      </c>
      <c r="S24" s="10" t="n">
        <f aca="false">IF(R24=0,"",COUNTIFS(Trades!$A$2:$A$543,"SILVER",Trades!$B$2:$B$543,"T6",Trades!$F$2:$F$543,$A24,Trades!$M$2:$M$543,1)/R24)</f>
        <v>0.333333333333333</v>
      </c>
      <c r="T24" s="11" t="n">
        <f aca="false">SUMIFS(Trades!$K$2:$K$543,Trades!$A$2:$A$543,"SILVER",Trades!$B$2:$B$543,"T6",Trades!$F$2:$F$543,$A24)</f>
        <v>-318262.8</v>
      </c>
      <c r="U24" s="11" t="n">
        <f aca="false">U23+T24</f>
        <v>5194346.1</v>
      </c>
      <c r="V24" s="9" t="n">
        <f aca="false">COUNTIFS(Trades!$A$2:$A$543,"SILVER",Trades!$B$2:$B$543,"T7",Trades!$F$2:$F$543,$A24)</f>
        <v>5</v>
      </c>
      <c r="W24" s="10" t="n">
        <f aca="false">IF(V24=0,"",COUNTIFS(Trades!$A$2:$A$543,"SILVER",Trades!$B$2:$B$543,"T7",Trades!$F$2:$F$543,$A24,Trades!$M$2:$M$543,1)/V24)</f>
        <v>0.4</v>
      </c>
      <c r="X24" s="11" t="n">
        <f aca="false">SUMIFS(Trades!$K$2:$K$543,Trades!$A$2:$A$543,"SILVER",Trades!$B$2:$B$543,"T7",Trades!$F$2:$F$543,$A24)</f>
        <v>-343100.4</v>
      </c>
      <c r="Y24" s="11" t="n">
        <f aca="false">Y23+X24</f>
        <v>6741150.3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COUNTIFS(Trades!$A$2:$A$543,"SILVER",Trades!$B$2:$B$543,"V0",Trades!$F$2:$F$543,$A25)</f>
        <v>4</v>
      </c>
      <c r="C25" s="10" t="n">
        <f aca="false">IF(B25=0,"",COUNTIFS(Trades!$A$2:$A$543,"SILVER",Trades!$B$2:$B$543,"V0",Trades!$F$2:$F$543,$A25,Trades!$M$2:$M$543,1)/B25)</f>
        <v>0.25</v>
      </c>
      <c r="D25" s="11" t="n">
        <f aca="false">SUMIFS(Trades!$K$2:$K$543,Trades!$A$2:$A$543,"SILVER",Trades!$B$2:$B$543,"V0",Trades!$F$2:$F$543,$A25)</f>
        <v>-240175.5</v>
      </c>
      <c r="E25" s="11" t="n">
        <f aca="false">E24+D25</f>
        <v>6378578.1</v>
      </c>
      <c r="F25" s="9" t="n">
        <f aca="false">COUNTIFS(Trades!$A$2:$A$543,"SILVER",Trades!$B$2:$B$543,"V1",Trades!$F$2:$F$543,$A25)</f>
        <v>2</v>
      </c>
      <c r="G25" s="10" t="n">
        <f aca="false">IF(F25=0,"",COUNTIFS(Trades!$A$2:$A$543,"SILVER",Trades!$B$2:$B$543,"V1",Trades!$F$2:$F$543,$A25,Trades!$M$2:$M$543,1)/F25)</f>
        <v>0.5</v>
      </c>
      <c r="H25" s="11" t="n">
        <f aca="false">SUMIFS(Trades!$K$2:$K$543,Trades!$A$2:$A$543,"SILVER",Trades!$B$2:$B$543,"V1",Trades!$F$2:$F$543,$A25)</f>
        <v>54327.9</v>
      </c>
      <c r="I25" s="11" t="n">
        <f aca="false">I24+H25</f>
        <v>5793475.8</v>
      </c>
      <c r="J25" s="9" t="n">
        <f aca="false">COUNTIFS(Trades!$A$2:$A$543,"SILVER",Trades!$B$2:$B$543,"W8",Trades!$F$2:$F$543,$A25)</f>
        <v>1</v>
      </c>
      <c r="K25" s="10" t="n">
        <f aca="false">IF(J25=0,"",COUNTIFS(Trades!$A$2:$A$543,"SILVER",Trades!$B$2:$B$543,"W8",Trades!$F$2:$F$543,$A25,Trades!$M$2:$M$543,1)/J25)</f>
        <v>0</v>
      </c>
      <c r="L25" s="11" t="n">
        <f aca="false">SUMIFS(Trades!$K$2:$K$543,Trades!$A$2:$A$543,"SILVER",Trades!$B$2:$B$543,"W8",Trades!$F$2:$F$543,$A25)</f>
        <v>-21840.3</v>
      </c>
      <c r="M25" s="11" t="n">
        <f aca="false">M24+L25</f>
        <v>5072715.3</v>
      </c>
      <c r="N25" s="9" t="n">
        <f aca="false">COUNTIFS(Trades!$A$2:$A$543,"SILVER",Trades!$B$2:$B$543,"W8C",Trades!$F$2:$F$543,$A25)</f>
        <v>2</v>
      </c>
      <c r="O25" s="10" t="n">
        <f aca="false">IF(N25=0,"",COUNTIFS(Trades!$A$2:$A$543,"SILVER",Trades!$B$2:$B$543,"W8C",Trades!$F$2:$F$543,$A25,Trades!$M$2:$M$543,1)/N25)</f>
        <v>0.5</v>
      </c>
      <c r="P25" s="11" t="n">
        <f aca="false">SUMIFS(Trades!$K$2:$K$543,Trades!$A$2:$A$543,"SILVER",Trades!$B$2:$B$543,"W8C",Trades!$F$2:$F$543,$A25)</f>
        <v>-148735.5</v>
      </c>
      <c r="Q25" s="11" t="n">
        <f aca="false">Q24+P25</f>
        <v>3316208.4</v>
      </c>
      <c r="R25" s="9" t="n">
        <f aca="false">COUNTIFS(Trades!$A$2:$A$543,"SILVER",Trades!$B$2:$B$543,"T6",Trades!$F$2:$F$543,$A25)</f>
        <v>3</v>
      </c>
      <c r="S25" s="10" t="n">
        <f aca="false">IF(R25=0,"",COUNTIFS(Trades!$A$2:$A$543,"SILVER",Trades!$B$2:$B$543,"T6",Trades!$F$2:$F$543,$A25,Trades!$M$2:$M$543,1)/R25)</f>
        <v>1</v>
      </c>
      <c r="T25" s="11" t="n">
        <f aca="false">SUMIFS(Trades!$K$2:$K$543,Trades!$A$2:$A$543,"SILVER",Trades!$B$2:$B$543,"T6",Trades!$F$2:$F$543,$A25)</f>
        <v>50516.1</v>
      </c>
      <c r="U25" s="11" t="n">
        <f aca="false">U24+T25</f>
        <v>5244862.2</v>
      </c>
      <c r="V25" s="9" t="n">
        <f aca="false">COUNTIFS(Trades!$A$2:$A$543,"SILVER",Trades!$B$2:$B$543,"T7",Trades!$F$2:$F$543,$A25)</f>
        <v>4</v>
      </c>
      <c r="W25" s="10" t="n">
        <f aca="false">IF(V25=0,"",COUNTIFS(Trades!$A$2:$A$543,"SILVER",Trades!$B$2:$B$543,"T7",Trades!$F$2:$F$543,$A25,Trades!$M$2:$M$543,1)/V25)</f>
        <v>0.75</v>
      </c>
      <c r="X25" s="11" t="n">
        <f aca="false">SUMIFS(Trades!$K$2:$K$543,Trades!$A$2:$A$543,"SILVER",Trades!$B$2:$B$543,"T7",Trades!$F$2:$F$543,$A25)</f>
        <v>-61281.6</v>
      </c>
      <c r="Y25" s="11" t="n">
        <f aca="false">Y24+X25</f>
        <v>6679868.7</v>
      </c>
    </row>
    <row r="27" customFormat="false" ht="15" hidden="false" customHeight="false" outlineLevel="0" collapsed="false">
      <c r="A27" s="30" t="s">
        <v>69</v>
      </c>
      <c r="B27" s="31" t="n">
        <f aca="false">SUMIFS(B$5:B$25,$A$5:$A$25,"&gt;="&amp;DATE(2025,1,1),$A$5:$A$25,"&lt;"&amp;DATE(2026,1,1))</f>
        <v>38</v>
      </c>
      <c r="C27" s="32" t="n">
        <f aca="false">IF(B27=0,"",COUNTIFS(Trades!$A$2:$A$543,"SILVER",Trades!$B$2:$B$543,"V0",Trades!$E$2:$E$543,"&gt;="&amp;DATE(2025,1,1),Trades!$E$2:$E$543,"&lt;"&amp;DATE(2026,1,1),Trades!$M$2:$M$543,1)/B27)</f>
        <v>0.447368421052632</v>
      </c>
      <c r="D27" s="33" t="n">
        <f aca="false">SUMIFS(D$5:D$25,$A$5:$A$25,"&gt;="&amp;DATE(2025,1,1),$A$5:$A$25,"&lt;"&amp;DATE(2026,1,1))</f>
        <v>1718459.7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IF(F27=0,"",COUNTIFS(Trades!$A$2:$A$543,"SILVER",Trades!$B$2:$B$543,"V1",Trades!$E$2:$E$543,"&gt;="&amp;DATE(2025,1,1),Trades!$E$2:$E$543,"&lt;"&amp;DATE(2026,1,1),Trades!$M$2:$M$543,1)/F27)</f>
        <v>0.588235294117647</v>
      </c>
      <c r="H27" s="33" t="n">
        <f aca="false">SUMIFS(H$5:H$25,$A$5:$A$25,"&gt;="&amp;DATE(2025,1,1),$A$5:$A$25,"&lt;"&amp;DATE(2026,1,1))</f>
        <v>2697719.1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IF(J27=0,"",COUNTIFS(Trades!$A$2:$A$543,"SILVER",Trades!$B$2:$B$543,"W8",Trades!$E$2:$E$543,"&gt;="&amp;DATE(2025,1,1),Trades!$E$2:$E$543,"&lt;"&amp;DATE(2026,1,1),Trades!$M$2:$M$543,1)/J27)</f>
        <v>0.823529411764706</v>
      </c>
      <c r="L27" s="33" t="n">
        <f aca="false">SUMIFS(L$5:L$25,$A$5:$A$25,"&gt;="&amp;DATE(2025,1,1),$A$5:$A$25,"&lt;"&amp;DATE(2026,1,1))</f>
        <v>2657337.3</v>
      </c>
      <c r="M27" s="33"/>
      <c r="N27" s="31" t="n">
        <f aca="false">SUMIFS(N$5:N$25,$A$5:$A$25,"&gt;="&amp;DATE(2025,1,1),$A$5:$A$25,"&lt;"&amp;DATE(2026,1,1))</f>
        <v>8</v>
      </c>
      <c r="O27" s="32" t="n">
        <f aca="false">IF(N27=0,"",COUNTIFS(Trades!$A$2:$A$543,"SILVER",Trades!$B$2:$B$543,"W8C",Trades!$E$2:$E$543,"&gt;="&amp;DATE(2025,1,1),Trades!$E$2:$E$543,"&lt;"&amp;DATE(2026,1,1),Trades!$M$2:$M$543,1)/N27)</f>
        <v>1</v>
      </c>
      <c r="P27" s="33" t="n">
        <f aca="false">SUMIFS(P$5:P$25,$A$5:$A$25,"&gt;="&amp;DATE(2025,1,1),$A$5:$A$25,"&lt;"&amp;DATE(2026,1,1))</f>
        <v>1178374.8</v>
      </c>
      <c r="Q27" s="33"/>
      <c r="R27" s="31" t="n">
        <f aca="false">SUMIFS(R$5:R$25,$A$5:$A$25,"&gt;="&amp;DATE(2025,1,1),$A$5:$A$25,"&lt;"&amp;DATE(2026,1,1))</f>
        <v>28</v>
      </c>
      <c r="S27" s="32" t="n">
        <f aca="false">IF(R27=0,"",COUNTIFS(Trades!$A$2:$A$543,"SILVER",Trades!$B$2:$B$543,"T6",Trades!$E$2:$E$543,"&gt;="&amp;DATE(2025,1,1),Trades!$E$2:$E$543,"&lt;"&amp;DATE(2026,1,1),Trades!$M$2:$M$543,1)/R27)</f>
        <v>0.678571428571429</v>
      </c>
      <c r="T27" s="33" t="n">
        <f aca="false">SUMIFS(T$5:T$25,$A$5:$A$25,"&gt;="&amp;DATE(2025,1,1),$A$5:$A$25,"&lt;"&amp;DATE(2026,1,1))</f>
        <v>2729003.7</v>
      </c>
      <c r="U27" s="33"/>
      <c r="V27" s="31" t="n">
        <f aca="false">SUMIFS(V$5:V$25,$A$5:$A$25,"&gt;="&amp;DATE(2025,1,1),$A$5:$A$25,"&lt;"&amp;DATE(2026,1,1))</f>
        <v>38</v>
      </c>
      <c r="W27" s="32" t="n">
        <f aca="false">IF(V27=0,"",COUNTIFS(Trades!$A$2:$A$543,"SILVER",Trades!$B$2:$B$543,"T7",Trades!$E$2:$E$543,"&gt;="&amp;DATE(2025,1,1),Trades!$E$2:$E$543,"&lt;"&amp;DATE(2026,1,1),Trades!$M$2:$M$543,1)/V27)</f>
        <v>0.763157894736842</v>
      </c>
      <c r="X27" s="33" t="n">
        <f aca="false">SUMIFS(X$5:X$25,$A$5:$A$25,"&gt;="&amp;DATE(2025,1,1),$A$5:$A$25,"&lt;"&amp;DATE(2026,1,1))</f>
        <v>3000381.3</v>
      </c>
      <c r="Y27" s="33"/>
    </row>
    <row r="28" customFormat="false" ht="15" hidden="false" customHeight="false" outlineLevel="0" collapsed="false">
      <c r="A28" s="30" t="s">
        <v>70</v>
      </c>
      <c r="B28" s="31" t="n">
        <f aca="false">SUMIFS(B$5:B$25,$A$5:$A$25,"&gt;="&amp;DATE(2026,1,1),$A$5:$A$25,"&lt;"&amp;DATE(2027,1,1))</f>
        <v>31</v>
      </c>
      <c r="C28" s="32" t="n">
        <f aca="false">IF(B28=0,"",COUNTIFS(Trades!$A$2:$A$543,"SILVER",Trades!$B$2:$B$543,"V0",Trades!$E$2:$E$543,"&gt;="&amp;DATE(2026,1,1),Trades!$E$2:$E$543,"&lt;"&amp;DATE(2027,1,1),Trades!$M$2:$M$543,1)/B28)</f>
        <v>0.516129032258065</v>
      </c>
      <c r="D28" s="33" t="n">
        <f aca="false">SUMIFS(D$5:D$25,$A$5:$A$25,"&gt;="&amp;DATE(2026,1,1),$A$5:$A$25,"&lt;"&amp;DATE(2027,1,1))</f>
        <v>4660118.4</v>
      </c>
      <c r="E28" s="33"/>
      <c r="F28" s="31" t="n">
        <f aca="false">SUMIFS(F$5:F$25,$A$5:$A$25,"&gt;="&amp;DATE(2026,1,1),$A$5:$A$25,"&lt;"&amp;DATE(2027,1,1))</f>
        <v>15</v>
      </c>
      <c r="G28" s="32" t="n">
        <f aca="false">IF(F28=0,"",COUNTIFS(Trades!$A$2:$A$543,"SILVER",Trades!$B$2:$B$543,"V1",Trades!$E$2:$E$543,"&gt;="&amp;DATE(2026,1,1),Trades!$E$2:$E$543,"&lt;"&amp;DATE(2027,1,1),Trades!$M$2:$M$543,1)/F28)</f>
        <v>0.6</v>
      </c>
      <c r="H28" s="33" t="n">
        <f aca="false">SUMIFS(H$5:H$25,$A$5:$A$25,"&gt;="&amp;DATE(2026,1,1),$A$5:$A$25,"&lt;"&amp;DATE(2027,1,1))</f>
        <v>3095756.7</v>
      </c>
      <c r="I28" s="33"/>
      <c r="J28" s="31" t="n">
        <f aca="false">SUMIFS(J$5:J$25,$A$5:$A$25,"&gt;="&amp;DATE(2026,1,1),$A$5:$A$25,"&lt;"&amp;DATE(2027,1,1))</f>
        <v>15</v>
      </c>
      <c r="K28" s="32" t="n">
        <f aca="false">IF(J28=0,"",COUNTIFS(Trades!$A$2:$A$543,"SILVER",Trades!$B$2:$B$543,"W8",Trades!$E$2:$E$543,"&gt;="&amp;DATE(2026,1,1),Trades!$E$2:$E$543,"&lt;"&amp;DATE(2027,1,1),Trades!$M$2:$M$543,1)/J28)</f>
        <v>0.733333333333333</v>
      </c>
      <c r="L28" s="33" t="n">
        <f aca="false">SUMIFS(L$5:L$25,$A$5:$A$25,"&gt;="&amp;DATE(2026,1,1),$A$5:$A$25,"&lt;"&amp;DATE(2027,1,1))</f>
        <v>2415378</v>
      </c>
      <c r="M28" s="33"/>
      <c r="N28" s="31" t="n">
        <f aca="false">SUMIFS(N$5:N$25,$A$5:$A$25,"&gt;="&amp;DATE(2026,1,1),$A$5:$A$25,"&lt;"&amp;DATE(2027,1,1))</f>
        <v>8</v>
      </c>
      <c r="O28" s="32" t="n">
        <f aca="false">IF(N28=0,"",COUNTIFS(Trades!$A$2:$A$543,"SILVER",Trades!$B$2:$B$543,"W8C",Trades!$E$2:$E$543,"&gt;="&amp;DATE(2026,1,1),Trades!$E$2:$E$543,"&lt;"&amp;DATE(2027,1,1),Trades!$M$2:$M$543,1)/N28)</f>
        <v>0.875</v>
      </c>
      <c r="P28" s="33" t="n">
        <f aca="false">SUMIFS(P$5:P$25,$A$5:$A$25,"&gt;="&amp;DATE(2026,1,1),$A$5:$A$25,"&lt;"&amp;DATE(2027,1,1))</f>
        <v>2137833.6</v>
      </c>
      <c r="Q28" s="33"/>
      <c r="R28" s="31" t="n">
        <f aca="false">SUMIFS(R$5:R$25,$A$5:$A$25,"&gt;="&amp;DATE(2026,1,1),$A$5:$A$25,"&lt;"&amp;DATE(2027,1,1))</f>
        <v>27</v>
      </c>
      <c r="S28" s="32" t="n">
        <f aca="false">IF(R28=0,"",COUNTIFS(Trades!$A$2:$A$543,"SILVER",Trades!$B$2:$B$543,"T6",Trades!$E$2:$E$543,"&gt;="&amp;DATE(2026,1,1),Trades!$E$2:$E$543,"&lt;"&amp;DATE(2027,1,1),Trades!$M$2:$M$543,1)/R28)</f>
        <v>0.62962962962963</v>
      </c>
      <c r="T28" s="33" t="n">
        <f aca="false">SUMIFS(T$5:T$25,$A$5:$A$25,"&gt;="&amp;DATE(2026,1,1),$A$5:$A$25,"&lt;"&amp;DATE(2027,1,1))</f>
        <v>2515858.5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IF(V28=0,"",COUNTIFS(Trades!$A$2:$A$543,"SILVER",Trades!$B$2:$B$543,"T7",Trades!$E$2:$E$543,"&gt;="&amp;DATE(2026,1,1),Trades!$E$2:$E$543,"&lt;"&amp;DATE(2027,1,1),Trades!$M$2:$M$543,1)/V28)</f>
        <v>0.657142857142857</v>
      </c>
      <c r="X28" s="33" t="n">
        <f aca="false">SUMIFS(X$5:X$25,$A$5:$A$25,"&gt;="&amp;DATE(2026,1,1),$A$5:$A$25,"&lt;"&amp;DATE(2027,1,1))</f>
        <v>3679487.4</v>
      </c>
      <c r="Y28" s="33"/>
    </row>
    <row r="29" customFormat="false" ht="15" hidden="false" customHeight="false" outlineLevel="0" collapsed="false">
      <c r="A29" s="30" t="s">
        <v>71</v>
      </c>
      <c r="B29" s="31" t="n">
        <f aca="false">SUMIFS(B$5:B$25,$A$5:$A$25,"&gt;="&amp;DATE(2025,1,1),$A$5:$A$25,"&lt;"&amp;DATE(2027,1,1))</f>
        <v>69</v>
      </c>
      <c r="C29" s="32" t="n">
        <f aca="false">IF(B29=0,"",COUNTIFS(Trades!$A$2:$A$543,"SILVER",Trades!$B$2:$B$543,"V0",Trades!$E$2:$E$543,"&gt;="&amp;DATE(2025,1,1),Trades!$E$2:$E$543,"&lt;"&amp;DATE(2027,1,1),Trades!$M$2:$M$543,1)/B29)</f>
        <v>0.478260869565217</v>
      </c>
      <c r="D29" s="33" t="n">
        <f aca="false">SUMIFS(D$5:D$25,$A$5:$A$25,"&gt;="&amp;DATE(2025,1,1),$A$5:$A$25,"&lt;"&amp;DATE(2027,1,1))</f>
        <v>6378578.1</v>
      </c>
      <c r="E29" s="33"/>
      <c r="F29" s="31" t="n">
        <f aca="false">SUMIFS(F$5:F$25,$A$5:$A$25,"&gt;="&amp;DATE(2025,1,1),$A$5:$A$25,"&lt;"&amp;DATE(2027,1,1))</f>
        <v>32</v>
      </c>
      <c r="G29" s="32" t="n">
        <f aca="false">IF(F29=0,"",COUNTIFS(Trades!$A$2:$A$543,"SILVER",Trades!$B$2:$B$543,"V1",Trades!$E$2:$E$543,"&gt;="&amp;DATE(2025,1,1),Trades!$E$2:$E$543,"&lt;"&amp;DATE(2027,1,1),Trades!$M$2:$M$543,1)/F29)</f>
        <v>0.59375</v>
      </c>
      <c r="H29" s="33" t="n">
        <f aca="false">SUMIFS(H$5:H$25,$A$5:$A$25,"&gt;="&amp;DATE(2025,1,1),$A$5:$A$25,"&lt;"&amp;DATE(2027,1,1))</f>
        <v>5793475.8</v>
      </c>
      <c r="I29" s="33"/>
      <c r="J29" s="31" t="n">
        <f aca="false">SUMIFS(J$5:J$25,$A$5:$A$25,"&gt;="&amp;DATE(2025,1,1),$A$5:$A$25,"&lt;"&amp;DATE(2027,1,1))</f>
        <v>32</v>
      </c>
      <c r="K29" s="32" t="n">
        <f aca="false">IF(J29=0,"",COUNTIFS(Trades!$A$2:$A$543,"SILVER",Trades!$B$2:$B$543,"W8",Trades!$E$2:$E$543,"&gt;="&amp;DATE(2025,1,1),Trades!$E$2:$E$543,"&lt;"&amp;DATE(2027,1,1),Trades!$M$2:$M$543,1)/J29)</f>
        <v>0.78125</v>
      </c>
      <c r="L29" s="33" t="n">
        <f aca="false">SUMIFS(L$5:L$25,$A$5:$A$25,"&gt;="&amp;DATE(2025,1,1),$A$5:$A$25,"&lt;"&amp;DATE(2027,1,1))</f>
        <v>5072715.3</v>
      </c>
      <c r="M29" s="33"/>
      <c r="N29" s="31" t="n">
        <f aca="false">SUMIFS(N$5:N$25,$A$5:$A$25,"&gt;="&amp;DATE(2025,1,1),$A$5:$A$25,"&lt;"&amp;DATE(2027,1,1))</f>
        <v>16</v>
      </c>
      <c r="O29" s="32" t="n">
        <f aca="false">IF(N29=0,"",COUNTIFS(Trades!$A$2:$A$543,"SILVER",Trades!$B$2:$B$543,"W8C",Trades!$E$2:$E$543,"&gt;="&amp;DATE(2025,1,1),Trades!$E$2:$E$543,"&lt;"&amp;DATE(2027,1,1),Trades!$M$2:$M$543,1)/N29)</f>
        <v>0.9375</v>
      </c>
      <c r="P29" s="33" t="n">
        <f aca="false">SUMIFS(P$5:P$25,$A$5:$A$25,"&gt;="&amp;DATE(2025,1,1),$A$5:$A$25,"&lt;"&amp;DATE(2027,1,1))</f>
        <v>3316208.4</v>
      </c>
      <c r="Q29" s="33"/>
      <c r="R29" s="31" t="n">
        <f aca="false">SUMIFS(R$5:R$25,$A$5:$A$25,"&gt;="&amp;DATE(2025,1,1),$A$5:$A$25,"&lt;"&amp;DATE(2027,1,1))</f>
        <v>55</v>
      </c>
      <c r="S29" s="32" t="n">
        <f aca="false">IF(R29=0,"",COUNTIFS(Trades!$A$2:$A$543,"SILVER",Trades!$B$2:$B$543,"T6",Trades!$E$2:$E$543,"&gt;="&amp;DATE(2025,1,1),Trades!$E$2:$E$543,"&lt;"&amp;DATE(2027,1,1),Trades!$M$2:$M$543,1)/R29)</f>
        <v>0.654545454545455</v>
      </c>
      <c r="T29" s="33" t="n">
        <f aca="false">SUMIFS(T$5:T$25,$A$5:$A$25,"&gt;="&amp;DATE(2025,1,1),$A$5:$A$25,"&lt;"&amp;DATE(2027,1,1))</f>
        <v>5244862.2</v>
      </c>
      <c r="U29" s="33"/>
      <c r="V29" s="31" t="n">
        <f aca="false">SUMIFS(V$5:V$25,$A$5:$A$25,"&gt;="&amp;DATE(2025,1,1),$A$5:$A$25,"&lt;"&amp;DATE(2027,1,1))</f>
        <v>73</v>
      </c>
      <c r="W29" s="32" t="n">
        <f aca="false">IF(V29=0,"",COUNTIFS(Trades!$A$2:$A$543,"SILVER",Trades!$B$2:$B$543,"T7",Trades!$E$2:$E$543,"&gt;="&amp;DATE(2025,1,1),Trades!$E$2:$E$543,"&lt;"&amp;DATE(2027,1,1),Trades!$M$2:$M$543,1)/V29)</f>
        <v>0.712328767123288</v>
      </c>
      <c r="X29" s="33" t="n">
        <f aca="false">SUMIFS(X$5:X$25,$A$5:$A$25,"&gt;="&amp;DATE(2025,1,1),$A$5:$A$25,"&lt;"&amp;DATE(2027,1,1))</f>
        <v>6679868.7</v>
      </c>
      <c r="Y29" s="33"/>
    </row>
  </sheetData>
  <mergeCells count="7">
    <mergeCell ref="A3:A4"/>
    <mergeCell ref="B3:E3"/>
    <mergeCell ref="F3:I3"/>
    <mergeCell ref="J3:M3"/>
    <mergeCell ref="N3:Q3"/>
    <mergeCell ref="R3:U3"/>
    <mergeCell ref="V3:Y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5" min="2" style="0" width="13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5" t="s">
        <v>60</v>
      </c>
    </row>
    <row r="3" customFormat="false" ht="30" hidden="false" customHeight="true" outlineLevel="0" collapsed="false">
      <c r="A3" s="6" t="s">
        <v>61</v>
      </c>
      <c r="B3" s="6" t="s">
        <v>62</v>
      </c>
      <c r="C3" s="6"/>
      <c r="D3" s="6"/>
      <c r="E3" s="6"/>
      <c r="F3" s="6" t="s">
        <v>63</v>
      </c>
      <c r="G3" s="6"/>
      <c r="H3" s="6"/>
      <c r="I3" s="6"/>
      <c r="J3" s="6" t="s">
        <v>64</v>
      </c>
      <c r="K3" s="6"/>
      <c r="L3" s="6"/>
      <c r="M3" s="6"/>
      <c r="N3" s="6" t="s">
        <v>65</v>
      </c>
      <c r="O3" s="6"/>
      <c r="P3" s="6"/>
      <c r="Q3" s="6"/>
      <c r="R3" s="6" t="s">
        <v>66</v>
      </c>
      <c r="S3" s="6"/>
      <c r="T3" s="6"/>
      <c r="U3" s="6"/>
      <c r="V3" s="6" t="s">
        <v>67</v>
      </c>
      <c r="W3" s="6"/>
      <c r="X3" s="6"/>
      <c r="Y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68</v>
      </c>
      <c r="F4" s="28" t="s">
        <v>12</v>
      </c>
      <c r="G4" s="28" t="s">
        <v>14</v>
      </c>
      <c r="H4" s="28" t="s">
        <v>15</v>
      </c>
      <c r="I4" s="28" t="s">
        <v>68</v>
      </c>
      <c r="J4" s="28" t="s">
        <v>12</v>
      </c>
      <c r="K4" s="28" t="s">
        <v>14</v>
      </c>
      <c r="L4" s="28" t="s">
        <v>15</v>
      </c>
      <c r="M4" s="28" t="s">
        <v>68</v>
      </c>
      <c r="N4" s="28" t="s">
        <v>12</v>
      </c>
      <c r="O4" s="28" t="s">
        <v>14</v>
      </c>
      <c r="P4" s="28" t="s">
        <v>15</v>
      </c>
      <c r="Q4" s="28" t="s">
        <v>68</v>
      </c>
      <c r="R4" s="28" t="s">
        <v>12</v>
      </c>
      <c r="S4" s="28" t="s">
        <v>14</v>
      </c>
      <c r="T4" s="28" t="s">
        <v>15</v>
      </c>
      <c r="U4" s="28" t="s">
        <v>68</v>
      </c>
      <c r="V4" s="28" t="s">
        <v>12</v>
      </c>
      <c r="W4" s="28" t="s">
        <v>14</v>
      </c>
      <c r="X4" s="28" t="s">
        <v>15</v>
      </c>
      <c r="Y4" s="28" t="s">
        <v>68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COUNTIFS(Trades!$A$2:$A$543,"GOLD",Trades!$B$2:$B$543,"V0",Trades!$F$2:$F$543,$A5)</f>
        <v>0</v>
      </c>
      <c r="C5" s="10" t="str">
        <f aca="false">IF(B5=0,"",COUNTIFS(Trades!$A$2:$A$543,"GOLD",Trades!$B$2:$B$543,"V0",Trades!$F$2:$F$543,$A5,Trades!$M$2:$M$543,1)/B5)</f>
        <v/>
      </c>
      <c r="D5" s="11" t="n">
        <f aca="false">SUMIFS(Trades!$K$2:$K$543,Trades!$A$2:$A$543,"GOLD",Trades!$B$2:$B$543,"V0",Trades!$F$2:$F$543,$A5)</f>
        <v>0</v>
      </c>
      <c r="E5" s="11" t="n">
        <f aca="false">D5</f>
        <v>0</v>
      </c>
      <c r="F5" s="9" t="n">
        <f aca="false">COUNTIFS(Trades!$A$2:$A$543,"GOLD",Trades!$B$2:$B$543,"V1",Trades!$F$2:$F$543,$A5)</f>
        <v>0</v>
      </c>
      <c r="G5" s="10" t="str">
        <f aca="false">IF(F5=0,"",COUNTIFS(Trades!$A$2:$A$543,"GOLD",Trades!$B$2:$B$543,"V1",Trades!$F$2:$F$543,$A5,Trades!$M$2:$M$543,1)/F5)</f>
        <v/>
      </c>
      <c r="H5" s="11" t="n">
        <f aca="false">SUMIFS(Trades!$K$2:$K$543,Trades!$A$2:$A$543,"GOLD",Trades!$B$2:$B$543,"V1",Trades!$F$2:$F$543,$A5)</f>
        <v>0</v>
      </c>
      <c r="I5" s="11" t="n">
        <f aca="false">H5</f>
        <v>0</v>
      </c>
      <c r="J5" s="9" t="n">
        <f aca="false">COUNTIFS(Trades!$A$2:$A$543,"GOLD",Trades!$B$2:$B$543,"W8",Trades!$F$2:$F$543,$A5)</f>
        <v>0</v>
      </c>
      <c r="K5" s="10" t="str">
        <f aca="false">IF(J5=0,"",COUNTIFS(Trades!$A$2:$A$543,"GOLD",Trades!$B$2:$B$543,"W8",Trades!$F$2:$F$543,$A5,Trades!$M$2:$M$543,1)/J5)</f>
        <v/>
      </c>
      <c r="L5" s="11" t="n">
        <f aca="false">SUMIFS(Trades!$K$2:$K$543,Trades!$A$2:$A$543,"GOLD",Trades!$B$2:$B$543,"W8",Trades!$F$2:$F$543,$A5)</f>
        <v>0</v>
      </c>
      <c r="M5" s="11" t="n">
        <f aca="false">L5</f>
        <v>0</v>
      </c>
      <c r="N5" s="9" t="n">
        <f aca="false">COUNTIFS(Trades!$A$2:$A$543,"GOLD",Trades!$B$2:$B$543,"W8C",Trades!$F$2:$F$543,$A5)</f>
        <v>0</v>
      </c>
      <c r="O5" s="10" t="str">
        <f aca="false">IF(N5=0,"",COUNTIFS(Trades!$A$2:$A$543,"GOLD",Trades!$B$2:$B$543,"W8C",Trades!$F$2:$F$543,$A5,Trades!$M$2:$M$543,1)/N5)</f>
        <v/>
      </c>
      <c r="P5" s="11" t="n">
        <f aca="false">SUMIFS(Trades!$K$2:$K$543,Trades!$A$2:$A$543,"GOLD",Trades!$B$2:$B$543,"W8C",Trades!$F$2:$F$543,$A5)</f>
        <v>0</v>
      </c>
      <c r="Q5" s="11" t="n">
        <f aca="false">P5</f>
        <v>0</v>
      </c>
      <c r="R5" s="9" t="n">
        <f aca="false">COUNTIFS(Trades!$A$2:$A$543,"GOLD",Trades!$B$2:$B$543,"T6",Trades!$F$2:$F$543,$A5)</f>
        <v>0</v>
      </c>
      <c r="S5" s="10" t="str">
        <f aca="false">IF(R5=0,"",COUNTIFS(Trades!$A$2:$A$543,"GOLD",Trades!$B$2:$B$543,"T6",Trades!$F$2:$F$543,$A5,Trades!$M$2:$M$543,1)/R5)</f>
        <v/>
      </c>
      <c r="T5" s="11" t="n">
        <f aca="false">SUMIFS(Trades!$K$2:$K$543,Trades!$A$2:$A$543,"GOLD",Trades!$B$2:$B$543,"T6",Trades!$F$2:$F$543,$A5)</f>
        <v>0</v>
      </c>
      <c r="U5" s="11" t="n">
        <f aca="false">T5</f>
        <v>0</v>
      </c>
      <c r="V5" s="9" t="n">
        <f aca="false">COUNTIFS(Trades!$A$2:$A$543,"GOLD",Trades!$B$2:$B$543,"T7",Trades!$F$2:$F$543,$A5)</f>
        <v>0</v>
      </c>
      <c r="W5" s="10" t="str">
        <f aca="false">IF(V5=0,"",COUNTIFS(Trades!$A$2:$A$543,"GOLD",Trades!$B$2:$B$543,"T7",Trades!$F$2:$F$543,$A5,Trades!$M$2:$M$543,1)/V5)</f>
        <v/>
      </c>
      <c r="X5" s="11" t="n">
        <f aca="false">SUMIFS(Trades!$K$2:$K$543,Trades!$A$2:$A$543,"GOLD",Trades!$B$2:$B$543,"T7",Trades!$F$2:$F$543,$A5)</f>
        <v>0</v>
      </c>
      <c r="Y5" s="11" t="n">
        <f aca="false">X5</f>
        <v>0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COUNTIFS(Trades!$A$2:$A$543,"GOLD",Trades!$B$2:$B$543,"V0",Trades!$F$2:$F$543,$A6)</f>
        <v>3</v>
      </c>
      <c r="C6" s="10" t="n">
        <f aca="false">IF(B6=0,"",COUNTIFS(Trades!$A$2:$A$543,"GOLD",Trades!$B$2:$B$543,"V0",Trades!$F$2:$F$543,$A6,Trades!$M$2:$M$543,1)/B6)</f>
        <v>0.333333333333333</v>
      </c>
      <c r="D6" s="11" t="n">
        <f aca="false">SUMIFS(Trades!$K$2:$K$543,Trades!$A$2:$A$543,"GOLD",Trades!$B$2:$B$543,"V0",Trades!$F$2:$F$543,$A6)</f>
        <v>482841</v>
      </c>
      <c r="E6" s="11" t="n">
        <f aca="false">E5+D6</f>
        <v>482841</v>
      </c>
      <c r="F6" s="9" t="n">
        <f aca="false">COUNTIFS(Trades!$A$2:$A$543,"GOLD",Trades!$B$2:$B$543,"V1",Trades!$F$2:$F$543,$A6)</f>
        <v>1</v>
      </c>
      <c r="G6" s="10" t="n">
        <f aca="false">IF(F6=0,"",COUNTIFS(Trades!$A$2:$A$543,"GOLD",Trades!$B$2:$B$543,"V1",Trades!$F$2:$F$543,$A6,Trades!$M$2:$M$543,1)/F6)</f>
        <v>0</v>
      </c>
      <c r="H6" s="11" t="n">
        <f aca="false">SUMIFS(Trades!$K$2:$K$543,Trades!$A$2:$A$543,"GOLD",Trades!$B$2:$B$543,"V1",Trades!$F$2:$F$543,$A6)</f>
        <v>-104517</v>
      </c>
      <c r="I6" s="11" t="n">
        <f aca="false">I5+H6</f>
        <v>-104517</v>
      </c>
      <c r="J6" s="9" t="n">
        <f aca="false">COUNTIFS(Trades!$A$2:$A$543,"GOLD",Trades!$B$2:$B$543,"W8",Trades!$F$2:$F$543,$A6)</f>
        <v>1</v>
      </c>
      <c r="K6" s="10" t="n">
        <f aca="false">IF(J6=0,"",COUNTIFS(Trades!$A$2:$A$543,"GOLD",Trades!$B$2:$B$543,"W8",Trades!$F$2:$F$543,$A6,Trades!$M$2:$M$543,1)/J6)</f>
        <v>0</v>
      </c>
      <c r="L6" s="11" t="n">
        <f aca="false">SUMIFS(Trades!$K$2:$K$543,Trades!$A$2:$A$543,"GOLD",Trades!$B$2:$B$543,"W8",Trades!$F$2:$F$543,$A6)</f>
        <v>-104517</v>
      </c>
      <c r="M6" s="11" t="n">
        <f aca="false">M5+L6</f>
        <v>-104517</v>
      </c>
      <c r="N6" s="9" t="n">
        <f aca="false">COUNTIFS(Trades!$A$2:$A$543,"GOLD",Trades!$B$2:$B$543,"W8C",Trades!$F$2:$F$543,$A6)</f>
        <v>1</v>
      </c>
      <c r="O6" s="10" t="n">
        <f aca="false">IF(N6=0,"",COUNTIFS(Trades!$A$2:$A$543,"GOLD",Trades!$B$2:$B$543,"W8C",Trades!$F$2:$F$543,$A6,Trades!$M$2:$M$543,1)/N6)</f>
        <v>0</v>
      </c>
      <c r="P6" s="11" t="n">
        <f aca="false">SUMIFS(Trades!$K$2:$K$543,Trades!$A$2:$A$543,"GOLD",Trades!$B$2:$B$543,"W8C",Trades!$F$2:$F$543,$A6)</f>
        <v>-117018</v>
      </c>
      <c r="Q6" s="11" t="n">
        <f aca="false">Q5+P6</f>
        <v>-117018</v>
      </c>
      <c r="R6" s="9" t="n">
        <f aca="false">COUNTIFS(Trades!$A$2:$A$543,"GOLD",Trades!$B$2:$B$543,"T6",Trades!$F$2:$F$543,$A6)</f>
        <v>2</v>
      </c>
      <c r="S6" s="10" t="n">
        <f aca="false">IF(R6=0,"",COUNTIFS(Trades!$A$2:$A$543,"GOLD",Trades!$B$2:$B$543,"T6",Trades!$F$2:$F$543,$A6,Trades!$M$2:$M$543,1)/R6)</f>
        <v>0.5</v>
      </c>
      <c r="T6" s="11" t="n">
        <f aca="false">SUMIFS(Trades!$K$2:$K$543,Trades!$A$2:$A$543,"GOLD",Trades!$B$2:$B$543,"T6",Trades!$F$2:$F$543,$A6)</f>
        <v>-84009</v>
      </c>
      <c r="U6" s="11" t="n">
        <f aca="false">U5+T6</f>
        <v>-84009</v>
      </c>
      <c r="V6" s="9" t="n">
        <f aca="false">COUNTIFS(Trades!$A$2:$A$543,"GOLD",Trades!$B$2:$B$543,"T7",Trades!$F$2:$F$543,$A6)</f>
        <v>3</v>
      </c>
      <c r="W6" s="10" t="n">
        <f aca="false">IF(V6=0,"",COUNTIFS(Trades!$A$2:$A$543,"GOLD",Trades!$B$2:$B$543,"T7",Trades!$F$2:$F$543,$A6,Trades!$M$2:$M$543,1)/V6)</f>
        <v>0.666666666666667</v>
      </c>
      <c r="X6" s="11" t="n">
        <f aca="false">SUMIFS(Trades!$K$2:$K$543,Trades!$A$2:$A$543,"GOLD",Trades!$B$2:$B$543,"T7",Trades!$F$2:$F$543,$A6)</f>
        <v>1084</v>
      </c>
      <c r="Y6" s="11" t="n">
        <f aca="false">Y5+X6</f>
        <v>1084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COUNTIFS(Trades!$A$2:$A$543,"GOLD",Trades!$B$2:$B$543,"V0",Trades!$F$2:$F$543,$A7)</f>
        <v>3</v>
      </c>
      <c r="C7" s="10" t="n">
        <f aca="false">IF(B7=0,"",COUNTIFS(Trades!$A$2:$A$543,"GOLD",Trades!$B$2:$B$543,"V0",Trades!$F$2:$F$543,$A7,Trades!$M$2:$M$543,1)/B7)</f>
        <v>0.333333333333333</v>
      </c>
      <c r="D7" s="11" t="n">
        <f aca="false">SUMIFS(Trades!$K$2:$K$543,Trades!$A$2:$A$543,"GOLD",Trades!$B$2:$B$543,"V0",Trades!$F$2:$F$543,$A7)</f>
        <v>45998</v>
      </c>
      <c r="E7" s="11" t="n">
        <f aca="false">E6+D7</f>
        <v>528839</v>
      </c>
      <c r="F7" s="9" t="n">
        <f aca="false">COUNTIFS(Trades!$A$2:$A$543,"GOLD",Trades!$B$2:$B$543,"V1",Trades!$F$2:$F$543,$A7)</f>
        <v>1</v>
      </c>
      <c r="G7" s="10" t="n">
        <f aca="false">IF(F7=0,"",COUNTIFS(Trades!$A$2:$A$543,"GOLD",Trades!$B$2:$B$543,"V1",Trades!$F$2:$F$543,$A7,Trades!$M$2:$M$543,1)/F7)</f>
        <v>1</v>
      </c>
      <c r="H7" s="11" t="n">
        <f aca="false">SUMIFS(Trades!$K$2:$K$543,Trades!$A$2:$A$543,"GOLD",Trades!$B$2:$B$543,"V1",Trades!$F$2:$F$543,$A7)</f>
        <v>181668</v>
      </c>
      <c r="I7" s="11" t="n">
        <f aca="false">I6+H7</f>
        <v>77151</v>
      </c>
      <c r="J7" s="9" t="n">
        <f aca="false">COUNTIFS(Trades!$A$2:$A$543,"GOLD",Trades!$B$2:$B$543,"W8",Trades!$F$2:$F$543,$A7)</f>
        <v>1</v>
      </c>
      <c r="K7" s="10" t="n">
        <f aca="false">IF(J7=0,"",COUNTIFS(Trades!$A$2:$A$543,"GOLD",Trades!$B$2:$B$543,"W8",Trades!$F$2:$F$543,$A7,Trades!$M$2:$M$543,1)/J7)</f>
        <v>1</v>
      </c>
      <c r="L7" s="11" t="n">
        <f aca="false">SUMIFS(Trades!$K$2:$K$543,Trades!$A$2:$A$543,"GOLD",Trades!$B$2:$B$543,"W8",Trades!$F$2:$F$543,$A7)</f>
        <v>181668</v>
      </c>
      <c r="M7" s="11" t="n">
        <f aca="false">M6+L7</f>
        <v>77151</v>
      </c>
      <c r="N7" s="9" t="n">
        <f aca="false">COUNTIFS(Trades!$A$2:$A$543,"GOLD",Trades!$B$2:$B$543,"W8C",Trades!$F$2:$F$543,$A7)</f>
        <v>1</v>
      </c>
      <c r="O7" s="10" t="n">
        <f aca="false">IF(N7=0,"",COUNTIFS(Trades!$A$2:$A$543,"GOLD",Trades!$B$2:$B$543,"W8C",Trades!$F$2:$F$543,$A7,Trades!$M$2:$M$543,1)/N7)</f>
        <v>1</v>
      </c>
      <c r="P7" s="11" t="n">
        <f aca="false">SUMIFS(Trades!$K$2:$K$543,Trades!$A$2:$A$543,"GOLD",Trades!$B$2:$B$543,"W8C",Trades!$F$2:$F$543,$A7)</f>
        <v>138964</v>
      </c>
      <c r="Q7" s="11" t="n">
        <f aca="false">Q6+P7</f>
        <v>21946</v>
      </c>
      <c r="R7" s="9" t="n">
        <f aca="false">COUNTIFS(Trades!$A$2:$A$543,"GOLD",Trades!$B$2:$B$543,"T6",Trades!$F$2:$F$543,$A7)</f>
        <v>1</v>
      </c>
      <c r="S7" s="10" t="n">
        <f aca="false">IF(R7=0,"",COUNTIFS(Trades!$A$2:$A$543,"GOLD",Trades!$B$2:$B$543,"T6",Trades!$F$2:$F$543,$A7,Trades!$M$2:$M$543,1)/R7)</f>
        <v>1</v>
      </c>
      <c r="T7" s="11" t="n">
        <f aca="false">SUMIFS(Trades!$K$2:$K$543,Trades!$A$2:$A$543,"GOLD",Trades!$B$2:$B$543,"T6",Trades!$F$2:$F$543,$A7)</f>
        <v>8356</v>
      </c>
      <c r="U7" s="11" t="n">
        <f aca="false">U6+T7</f>
        <v>-75653</v>
      </c>
      <c r="V7" s="9" t="n">
        <f aca="false">COUNTIFS(Trades!$A$2:$A$543,"GOLD",Trades!$B$2:$B$543,"T7",Trades!$F$2:$F$543,$A7)</f>
        <v>3</v>
      </c>
      <c r="W7" s="10" t="n">
        <f aca="false">IF(V7=0,"",COUNTIFS(Trades!$A$2:$A$543,"GOLD",Trades!$B$2:$B$543,"T7",Trades!$F$2:$F$543,$A7,Trades!$M$2:$M$543,1)/V7)</f>
        <v>0.666666666666667</v>
      </c>
      <c r="X7" s="11" t="n">
        <f aca="false">SUMIFS(Trades!$K$2:$K$543,Trades!$A$2:$A$543,"GOLD",Trades!$B$2:$B$543,"T7",Trades!$F$2:$F$543,$A7)</f>
        <v>97157</v>
      </c>
      <c r="Y7" s="11" t="n">
        <f aca="false">Y6+X7</f>
        <v>98241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COUNTIFS(Trades!$A$2:$A$543,"GOLD",Trades!$B$2:$B$543,"V0",Trades!$F$2:$F$543,$A8)</f>
        <v>3</v>
      </c>
      <c r="C8" s="10" t="n">
        <f aca="false">IF(B8=0,"",COUNTIFS(Trades!$A$2:$A$543,"GOLD",Trades!$B$2:$B$543,"V0",Trades!$F$2:$F$543,$A8,Trades!$M$2:$M$543,1)/B8)</f>
        <v>0.666666666666667</v>
      </c>
      <c r="D8" s="11" t="n">
        <f aca="false">SUMIFS(Trades!$K$2:$K$543,Trades!$A$2:$A$543,"GOLD",Trades!$B$2:$B$543,"V0",Trades!$F$2:$F$543,$A8)</f>
        <v>588465</v>
      </c>
      <c r="E8" s="11" t="n">
        <f aca="false">E7+D8</f>
        <v>1117304</v>
      </c>
      <c r="F8" s="9" t="n">
        <f aca="false">COUNTIFS(Trades!$A$2:$A$543,"GOLD",Trades!$B$2:$B$543,"V1",Trades!$F$2:$F$543,$A8)</f>
        <v>2</v>
      </c>
      <c r="G8" s="10" t="n">
        <f aca="false">IF(F8=0,"",COUNTIFS(Trades!$A$2:$A$543,"GOLD",Trades!$B$2:$B$543,"V1",Trades!$F$2:$F$543,$A8,Trades!$M$2:$M$543,1)/F8)</f>
        <v>1</v>
      </c>
      <c r="H8" s="11" t="n">
        <f aca="false">SUMIFS(Trades!$K$2:$K$543,Trades!$A$2:$A$543,"GOLD",Trades!$B$2:$B$543,"V1",Trades!$F$2:$F$543,$A8)</f>
        <v>691060</v>
      </c>
      <c r="I8" s="11" t="n">
        <f aca="false">I7+H8</f>
        <v>768211</v>
      </c>
      <c r="J8" s="9" t="n">
        <f aca="false">COUNTIFS(Trades!$A$2:$A$543,"GOLD",Trades!$B$2:$B$543,"W8",Trades!$F$2:$F$543,$A8)</f>
        <v>2</v>
      </c>
      <c r="K8" s="10" t="n">
        <f aca="false">IF(J8=0,"",COUNTIFS(Trades!$A$2:$A$543,"GOLD",Trades!$B$2:$B$543,"W8",Trades!$F$2:$F$543,$A8,Trades!$M$2:$M$543,1)/J8)</f>
        <v>1</v>
      </c>
      <c r="L8" s="11" t="n">
        <f aca="false">SUMIFS(Trades!$K$2:$K$543,Trades!$A$2:$A$543,"GOLD",Trades!$B$2:$B$543,"W8",Trades!$F$2:$F$543,$A8)</f>
        <v>691060</v>
      </c>
      <c r="M8" s="11" t="n">
        <f aca="false">M7+L8</f>
        <v>768211</v>
      </c>
      <c r="N8" s="9" t="n">
        <f aca="false">COUNTIFS(Trades!$A$2:$A$543,"GOLD",Trades!$B$2:$B$543,"W8C",Trades!$F$2:$F$543,$A8)</f>
        <v>0</v>
      </c>
      <c r="O8" s="10" t="str">
        <f aca="false">IF(N8=0,"",COUNTIFS(Trades!$A$2:$A$543,"GOLD",Trades!$B$2:$B$543,"W8C",Trades!$F$2:$F$543,$A8,Trades!$M$2:$M$543,1)/N8)</f>
        <v/>
      </c>
      <c r="P8" s="11" t="n">
        <f aca="false">SUMIFS(Trades!$K$2:$K$543,Trades!$A$2:$A$543,"GOLD",Trades!$B$2:$B$543,"W8C",Trades!$F$2:$F$543,$A8)</f>
        <v>0</v>
      </c>
      <c r="Q8" s="11" t="n">
        <f aca="false">Q7+P8</f>
        <v>21946</v>
      </c>
      <c r="R8" s="9" t="n">
        <f aca="false">COUNTIFS(Trades!$A$2:$A$543,"GOLD",Trades!$B$2:$B$543,"T6",Trades!$F$2:$F$543,$A8)</f>
        <v>4</v>
      </c>
      <c r="S8" s="10" t="n">
        <f aca="false">IF(R8=0,"",COUNTIFS(Trades!$A$2:$A$543,"GOLD",Trades!$B$2:$B$543,"T6",Trades!$F$2:$F$543,$A8,Trades!$M$2:$M$543,1)/R8)</f>
        <v>0.75</v>
      </c>
      <c r="T8" s="11" t="n">
        <f aca="false">SUMIFS(Trades!$K$2:$K$543,Trades!$A$2:$A$543,"GOLD",Trades!$B$2:$B$543,"T6",Trades!$F$2:$F$543,$A8)</f>
        <v>597446</v>
      </c>
      <c r="U8" s="11" t="n">
        <f aca="false">U7+T8</f>
        <v>521793</v>
      </c>
      <c r="V8" s="9" t="n">
        <f aca="false">COUNTIFS(Trades!$A$2:$A$543,"GOLD",Trades!$B$2:$B$543,"T7",Trades!$F$2:$F$543,$A8)</f>
        <v>5</v>
      </c>
      <c r="W8" s="10" t="n">
        <f aca="false">IF(V8=0,"",COUNTIFS(Trades!$A$2:$A$543,"GOLD",Trades!$B$2:$B$543,"T7",Trades!$F$2:$F$543,$A8,Trades!$M$2:$M$543,1)/V8)</f>
        <v>0.6</v>
      </c>
      <c r="X8" s="11" t="n">
        <f aca="false">SUMIFS(Trades!$K$2:$K$543,Trades!$A$2:$A$543,"GOLD",Trades!$B$2:$B$543,"T7",Trades!$F$2:$F$543,$A8)</f>
        <v>380747</v>
      </c>
      <c r="Y8" s="11" t="n">
        <f aca="false">Y7+X8</f>
        <v>478988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COUNTIFS(Trades!$A$2:$A$543,"GOLD",Trades!$B$2:$B$543,"V0",Trades!$F$2:$F$543,$A9)</f>
        <v>4</v>
      </c>
      <c r="C9" s="10" t="n">
        <f aca="false">IF(B9=0,"",COUNTIFS(Trades!$A$2:$A$543,"GOLD",Trades!$B$2:$B$543,"V0",Trades!$F$2:$F$543,$A9,Trades!$M$2:$M$543,1)/B9)</f>
        <v>0.5</v>
      </c>
      <c r="D9" s="11" t="n">
        <f aca="false">SUMIFS(Trades!$K$2:$K$543,Trades!$A$2:$A$543,"GOLD",Trades!$B$2:$B$543,"V0",Trades!$F$2:$F$543,$A9)</f>
        <v>-54474</v>
      </c>
      <c r="E9" s="11" t="n">
        <f aca="false">E8+D9</f>
        <v>1062830</v>
      </c>
      <c r="F9" s="9" t="n">
        <f aca="false">COUNTIFS(Trades!$A$2:$A$543,"GOLD",Trades!$B$2:$B$543,"V1",Trades!$F$2:$F$543,$A9)</f>
        <v>2</v>
      </c>
      <c r="G9" s="10" t="n">
        <f aca="false">IF(F9=0,"",COUNTIFS(Trades!$A$2:$A$543,"GOLD",Trades!$B$2:$B$543,"V1",Trades!$F$2:$F$543,$A9,Trades!$M$2:$M$543,1)/F9)</f>
        <v>0.5</v>
      </c>
      <c r="H9" s="11" t="n">
        <f aca="false">SUMIFS(Trades!$K$2:$K$543,Trades!$A$2:$A$543,"GOLD",Trades!$B$2:$B$543,"V1",Trades!$F$2:$F$543,$A9)</f>
        <v>-85481</v>
      </c>
      <c r="I9" s="11" t="n">
        <f aca="false">I8+H9</f>
        <v>682730</v>
      </c>
      <c r="J9" s="9" t="n">
        <f aca="false">COUNTIFS(Trades!$A$2:$A$543,"GOLD",Trades!$B$2:$B$543,"W8",Trades!$F$2:$F$543,$A9)</f>
        <v>2</v>
      </c>
      <c r="K9" s="10" t="n">
        <f aca="false">IF(J9=0,"",COUNTIFS(Trades!$A$2:$A$543,"GOLD",Trades!$B$2:$B$543,"W8",Trades!$F$2:$F$543,$A9,Trades!$M$2:$M$543,1)/J9)</f>
        <v>1</v>
      </c>
      <c r="L9" s="11" t="n">
        <f aca="false">SUMIFS(Trades!$K$2:$K$543,Trades!$A$2:$A$543,"GOLD",Trades!$B$2:$B$543,"W8",Trades!$F$2:$F$543,$A9)</f>
        <v>126200</v>
      </c>
      <c r="M9" s="11" t="n">
        <f aca="false">M8+L9</f>
        <v>894411</v>
      </c>
      <c r="N9" s="9" t="n">
        <f aca="false">COUNTIFS(Trades!$A$2:$A$543,"GOLD",Trades!$B$2:$B$543,"W8C",Trades!$F$2:$F$543,$A9)</f>
        <v>2</v>
      </c>
      <c r="O9" s="10" t="n">
        <f aca="false">IF(N9=0,"",COUNTIFS(Trades!$A$2:$A$543,"GOLD",Trades!$B$2:$B$543,"W8C",Trades!$F$2:$F$543,$A9,Trades!$M$2:$M$543,1)/N9)</f>
        <v>1</v>
      </c>
      <c r="P9" s="11" t="n">
        <f aca="false">SUMIFS(Trades!$K$2:$K$543,Trades!$A$2:$A$543,"GOLD",Trades!$B$2:$B$543,"W8C",Trades!$F$2:$F$543,$A9)</f>
        <v>122059</v>
      </c>
      <c r="Q9" s="11" t="n">
        <f aca="false">Q8+P9</f>
        <v>144005</v>
      </c>
      <c r="R9" s="9" t="n">
        <f aca="false">COUNTIFS(Trades!$A$2:$A$543,"GOLD",Trades!$B$2:$B$543,"T6",Trades!$F$2:$F$543,$A9)</f>
        <v>2</v>
      </c>
      <c r="S9" s="10" t="n">
        <f aca="false">IF(R9=0,"",COUNTIFS(Trades!$A$2:$A$543,"GOLD",Trades!$B$2:$B$543,"T6",Trades!$F$2:$F$543,$A9,Trades!$M$2:$M$543,1)/R9)</f>
        <v>1</v>
      </c>
      <c r="T9" s="11" t="n">
        <f aca="false">SUMIFS(Trades!$K$2:$K$543,Trades!$A$2:$A$543,"GOLD",Trades!$B$2:$B$543,"T6",Trades!$F$2:$F$543,$A9)</f>
        <v>162228</v>
      </c>
      <c r="U9" s="11" t="n">
        <f aca="false">U8+T9</f>
        <v>684021</v>
      </c>
      <c r="V9" s="9" t="n">
        <f aca="false">COUNTIFS(Trades!$A$2:$A$543,"GOLD",Trades!$B$2:$B$543,"T7",Trades!$F$2:$F$543,$A9)</f>
        <v>4</v>
      </c>
      <c r="W9" s="10" t="n">
        <f aca="false">IF(V9=0,"",COUNTIFS(Trades!$A$2:$A$543,"GOLD",Trades!$B$2:$B$543,"T7",Trades!$F$2:$F$543,$A9,Trades!$M$2:$M$543,1)/V9)</f>
        <v>0.5</v>
      </c>
      <c r="X9" s="11" t="n">
        <f aca="false">SUMIFS(Trades!$K$2:$K$543,Trades!$A$2:$A$543,"GOLD",Trades!$B$2:$B$543,"T7",Trades!$F$2:$F$543,$A9)</f>
        <v>54559</v>
      </c>
      <c r="Y9" s="11" t="n">
        <f aca="false">Y8+X9</f>
        <v>533547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COUNTIFS(Trades!$A$2:$A$543,"GOLD",Trades!$B$2:$B$543,"V0",Trades!$F$2:$F$543,$A10)</f>
        <v>4</v>
      </c>
      <c r="C10" s="10" t="n">
        <f aca="false">IF(B10=0,"",COUNTIFS(Trades!$A$2:$A$543,"GOLD",Trades!$B$2:$B$543,"V0",Trades!$F$2:$F$543,$A10,Trades!$M$2:$M$543,1)/B10)</f>
        <v>0.25</v>
      </c>
      <c r="D10" s="11" t="n">
        <f aca="false">SUMIFS(Trades!$K$2:$K$543,Trades!$A$2:$A$543,"GOLD",Trades!$B$2:$B$543,"V0",Trades!$F$2:$F$543,$A10)</f>
        <v>-206230</v>
      </c>
      <c r="E10" s="11" t="n">
        <f aca="false">E9+D10</f>
        <v>856600</v>
      </c>
      <c r="F10" s="9" t="n">
        <f aca="false">COUNTIFS(Trades!$A$2:$A$543,"GOLD",Trades!$B$2:$B$543,"V1",Trades!$F$2:$F$543,$A10)</f>
        <v>2</v>
      </c>
      <c r="G10" s="10" t="n">
        <f aca="false">IF(F10=0,"",COUNTIFS(Trades!$A$2:$A$543,"GOLD",Trades!$B$2:$B$543,"V1",Trades!$F$2:$F$543,$A10,Trades!$M$2:$M$543,1)/F10)</f>
        <v>0.5</v>
      </c>
      <c r="H10" s="11" t="n">
        <f aca="false">SUMIFS(Trades!$K$2:$K$543,Trades!$A$2:$A$543,"GOLD",Trades!$B$2:$B$543,"V1",Trades!$F$2:$F$543,$A10)</f>
        <v>8640</v>
      </c>
      <c r="I10" s="11" t="n">
        <f aca="false">I9+H10</f>
        <v>691370</v>
      </c>
      <c r="J10" s="9" t="n">
        <f aca="false">COUNTIFS(Trades!$A$2:$A$543,"GOLD",Trades!$B$2:$B$543,"W8",Trades!$F$2:$F$543,$A10)</f>
        <v>2</v>
      </c>
      <c r="K10" s="10" t="n">
        <f aca="false">IF(J10=0,"",COUNTIFS(Trades!$A$2:$A$543,"GOLD",Trades!$B$2:$B$543,"W8",Trades!$F$2:$F$543,$A10,Trades!$M$2:$M$543,1)/J10)</f>
        <v>1</v>
      </c>
      <c r="L10" s="11" t="n">
        <f aca="false">SUMIFS(Trades!$K$2:$K$543,Trades!$A$2:$A$543,"GOLD",Trades!$B$2:$B$543,"W8",Trades!$F$2:$F$543,$A10)</f>
        <v>30026</v>
      </c>
      <c r="M10" s="11" t="n">
        <f aca="false">M9+L10</f>
        <v>924437</v>
      </c>
      <c r="N10" s="9" t="n">
        <f aca="false">COUNTIFS(Trades!$A$2:$A$543,"GOLD",Trades!$B$2:$B$543,"W8C",Trades!$F$2:$F$543,$A10)</f>
        <v>1</v>
      </c>
      <c r="O10" s="10" t="n">
        <f aca="false">IF(N10=0,"",COUNTIFS(Trades!$A$2:$A$543,"GOLD",Trades!$B$2:$B$543,"W8C",Trades!$F$2:$F$543,$A10,Trades!$M$2:$M$543,1)/N10)</f>
        <v>1</v>
      </c>
      <c r="P10" s="11" t="n">
        <f aca="false">SUMIFS(Trades!$K$2:$K$543,Trades!$A$2:$A$543,"GOLD",Trades!$B$2:$B$543,"W8C",Trades!$F$2:$F$543,$A10)</f>
        <v>15754</v>
      </c>
      <c r="Q10" s="11" t="n">
        <f aca="false">Q9+P10</f>
        <v>159759</v>
      </c>
      <c r="R10" s="9" t="n">
        <f aca="false">COUNTIFS(Trades!$A$2:$A$543,"GOLD",Trades!$B$2:$B$543,"T6",Trades!$F$2:$F$543,$A10)</f>
        <v>3</v>
      </c>
      <c r="S10" s="10" t="n">
        <f aca="false">IF(R10=0,"",COUNTIFS(Trades!$A$2:$A$543,"GOLD",Trades!$B$2:$B$543,"T6",Trades!$F$2:$F$543,$A10,Trades!$M$2:$M$543,1)/R10)</f>
        <v>0.666666666666667</v>
      </c>
      <c r="T10" s="11" t="n">
        <f aca="false">SUMIFS(Trades!$K$2:$K$543,Trades!$A$2:$A$543,"GOLD",Trades!$B$2:$B$543,"T6",Trades!$F$2:$F$543,$A10)</f>
        <v>65631</v>
      </c>
      <c r="U10" s="11" t="n">
        <f aca="false">U9+T10</f>
        <v>749652</v>
      </c>
      <c r="V10" s="9" t="n">
        <f aca="false">COUNTIFS(Trades!$A$2:$A$543,"GOLD",Trades!$B$2:$B$543,"T7",Trades!$F$2:$F$543,$A10)</f>
        <v>3</v>
      </c>
      <c r="W10" s="10" t="n">
        <f aca="false">IF(V10=0,"",COUNTIFS(Trades!$A$2:$A$543,"GOLD",Trades!$B$2:$B$543,"T7",Trades!$F$2:$F$543,$A10,Trades!$M$2:$M$543,1)/V10)</f>
        <v>0.666666666666667</v>
      </c>
      <c r="X10" s="11" t="n">
        <f aca="false">SUMIFS(Trades!$K$2:$K$543,Trades!$A$2:$A$543,"GOLD",Trades!$B$2:$B$543,"T7",Trades!$F$2:$F$543,$A10)</f>
        <v>20226</v>
      </c>
      <c r="Y10" s="11" t="n">
        <f aca="false">Y9+X10</f>
        <v>553773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COUNTIFS(Trades!$A$2:$A$543,"GOLD",Trades!$B$2:$B$543,"V0",Trades!$F$2:$F$543,$A11)</f>
        <v>7</v>
      </c>
      <c r="C11" s="10" t="n">
        <f aca="false">IF(B11=0,"",COUNTIFS(Trades!$A$2:$A$543,"GOLD",Trades!$B$2:$B$543,"V0",Trades!$F$2:$F$543,$A11,Trades!$M$2:$M$543,1)/B11)</f>
        <v>0.428571428571429</v>
      </c>
      <c r="D11" s="11" t="n">
        <f aca="false">SUMIFS(Trades!$K$2:$K$543,Trades!$A$2:$A$543,"GOLD",Trades!$B$2:$B$543,"V0",Trades!$F$2:$F$543,$A11)</f>
        <v>-155577</v>
      </c>
      <c r="E11" s="11" t="n">
        <f aca="false">E10+D11</f>
        <v>701023</v>
      </c>
      <c r="F11" s="9" t="n">
        <f aca="false">COUNTIFS(Trades!$A$2:$A$543,"GOLD",Trades!$B$2:$B$543,"V1",Trades!$F$2:$F$543,$A11)</f>
        <v>3</v>
      </c>
      <c r="G11" s="10" t="n">
        <f aca="false">IF(F11=0,"",COUNTIFS(Trades!$A$2:$A$543,"GOLD",Trades!$B$2:$B$543,"V1",Trades!$F$2:$F$543,$A11,Trades!$M$2:$M$543,1)/F11)</f>
        <v>0.333333333333333</v>
      </c>
      <c r="H11" s="11" t="n">
        <f aca="false">SUMIFS(Trades!$K$2:$K$543,Trades!$A$2:$A$543,"GOLD",Trades!$B$2:$B$543,"V1",Trades!$F$2:$F$543,$A11)</f>
        <v>-51754</v>
      </c>
      <c r="I11" s="11" t="n">
        <f aca="false">I10+H11</f>
        <v>639616</v>
      </c>
      <c r="J11" s="9" t="n">
        <f aca="false">COUNTIFS(Trades!$A$2:$A$543,"GOLD",Trades!$B$2:$B$543,"W8",Trades!$F$2:$F$543,$A11)</f>
        <v>3</v>
      </c>
      <c r="K11" s="10" t="n">
        <f aca="false">IF(J11=0,"",COUNTIFS(Trades!$A$2:$A$543,"GOLD",Trades!$B$2:$B$543,"W8",Trades!$F$2:$F$543,$A11,Trades!$M$2:$M$543,1)/J11)</f>
        <v>0.666666666666667</v>
      </c>
      <c r="L11" s="11" t="n">
        <f aca="false">SUMIFS(Trades!$K$2:$K$543,Trades!$A$2:$A$543,"GOLD",Trades!$B$2:$B$543,"W8",Trades!$F$2:$F$543,$A11)</f>
        <v>-13661</v>
      </c>
      <c r="M11" s="11" t="n">
        <f aca="false">M10+L11</f>
        <v>910776</v>
      </c>
      <c r="N11" s="9" t="n">
        <f aca="false">COUNTIFS(Trades!$A$2:$A$543,"GOLD",Trades!$B$2:$B$543,"W8C",Trades!$F$2:$F$543,$A11)</f>
        <v>2</v>
      </c>
      <c r="O11" s="10" t="n">
        <f aca="false">IF(N11=0,"",COUNTIFS(Trades!$A$2:$A$543,"GOLD",Trades!$B$2:$B$543,"W8C",Trades!$F$2:$F$543,$A11,Trades!$M$2:$M$543,1)/N11)</f>
        <v>1</v>
      </c>
      <c r="P11" s="11" t="n">
        <f aca="false">SUMIFS(Trades!$K$2:$K$543,Trades!$A$2:$A$543,"GOLD",Trades!$B$2:$B$543,"W8C",Trades!$F$2:$F$543,$A11)</f>
        <v>58431</v>
      </c>
      <c r="Q11" s="11" t="n">
        <f aca="false">Q10+P11</f>
        <v>218190</v>
      </c>
      <c r="R11" s="9" t="n">
        <f aca="false">COUNTIFS(Trades!$A$2:$A$543,"GOLD",Trades!$B$2:$B$543,"T6",Trades!$F$2:$F$543,$A11)</f>
        <v>4</v>
      </c>
      <c r="S11" s="10" t="n">
        <f aca="false">IF(R11=0,"",COUNTIFS(Trades!$A$2:$A$543,"GOLD",Trades!$B$2:$B$543,"T6",Trades!$F$2:$F$543,$A11,Trades!$M$2:$M$543,1)/R11)</f>
        <v>0.75</v>
      </c>
      <c r="T11" s="11" t="n">
        <f aca="false">SUMIFS(Trades!$K$2:$K$543,Trades!$A$2:$A$543,"GOLD",Trades!$B$2:$B$543,"T6",Trades!$F$2:$F$543,$A11)</f>
        <v>94926</v>
      </c>
      <c r="U11" s="11" t="n">
        <f aca="false">U10+T11</f>
        <v>844578</v>
      </c>
      <c r="V11" s="9" t="n">
        <f aca="false">COUNTIFS(Trades!$A$2:$A$543,"GOLD",Trades!$B$2:$B$543,"T7",Trades!$F$2:$F$543,$A11)</f>
        <v>5</v>
      </c>
      <c r="W11" s="10" t="n">
        <f aca="false">IF(V11=0,"",COUNTIFS(Trades!$A$2:$A$543,"GOLD",Trades!$B$2:$B$543,"T7",Trades!$F$2:$F$543,$A11,Trades!$M$2:$M$543,1)/V11)</f>
        <v>0.8</v>
      </c>
      <c r="X11" s="11" t="n">
        <f aca="false">SUMIFS(Trades!$K$2:$K$543,Trades!$A$2:$A$543,"GOLD",Trades!$B$2:$B$543,"T7",Trades!$F$2:$F$543,$A11)</f>
        <v>74350</v>
      </c>
      <c r="Y11" s="11" t="n">
        <f aca="false">Y10+X11</f>
        <v>628123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COUNTIFS(Trades!$A$2:$A$543,"GOLD",Trades!$B$2:$B$543,"V0",Trades!$F$2:$F$543,$A12)</f>
        <v>2</v>
      </c>
      <c r="C12" s="10" t="n">
        <f aca="false">IF(B12=0,"",COUNTIFS(Trades!$A$2:$A$543,"GOLD",Trades!$B$2:$B$543,"V0",Trades!$F$2:$F$543,$A12,Trades!$M$2:$M$543,1)/B12)</f>
        <v>1</v>
      </c>
      <c r="D12" s="11" t="n">
        <f aca="false">SUMIFS(Trades!$K$2:$K$543,Trades!$A$2:$A$543,"GOLD",Trades!$B$2:$B$543,"V0",Trades!$F$2:$F$543,$A12)</f>
        <v>184005</v>
      </c>
      <c r="E12" s="11" t="n">
        <f aca="false">E11+D12</f>
        <v>885028</v>
      </c>
      <c r="F12" s="9" t="n">
        <f aca="false">COUNTIFS(Trades!$A$2:$A$543,"GOLD",Trades!$B$2:$B$543,"V1",Trades!$F$2:$F$543,$A12)</f>
        <v>1</v>
      </c>
      <c r="G12" s="10" t="n">
        <f aca="false">IF(F12=0,"",COUNTIFS(Trades!$A$2:$A$543,"GOLD",Trades!$B$2:$B$543,"V1",Trades!$F$2:$F$543,$A12,Trades!$M$2:$M$543,1)/F12)</f>
        <v>1</v>
      </c>
      <c r="H12" s="11" t="n">
        <f aca="false">SUMIFS(Trades!$K$2:$K$543,Trades!$A$2:$A$543,"GOLD",Trades!$B$2:$B$543,"V1",Trades!$F$2:$F$543,$A12)</f>
        <v>157410</v>
      </c>
      <c r="I12" s="11" t="n">
        <f aca="false">I11+H12</f>
        <v>797026</v>
      </c>
      <c r="J12" s="9" t="n">
        <f aca="false">COUNTIFS(Trades!$A$2:$A$543,"GOLD",Trades!$B$2:$B$543,"W8",Trades!$F$2:$F$543,$A12)</f>
        <v>1</v>
      </c>
      <c r="K12" s="10" t="n">
        <f aca="false">IF(J12=0,"",COUNTIFS(Trades!$A$2:$A$543,"GOLD",Trades!$B$2:$B$543,"W8",Trades!$F$2:$F$543,$A12,Trades!$M$2:$M$543,1)/J12)</f>
        <v>1</v>
      </c>
      <c r="L12" s="11" t="n">
        <f aca="false">SUMIFS(Trades!$K$2:$K$543,Trades!$A$2:$A$543,"GOLD",Trades!$B$2:$B$543,"W8",Trades!$F$2:$F$543,$A12)</f>
        <v>157410</v>
      </c>
      <c r="M12" s="11" t="n">
        <f aca="false">M11+L12</f>
        <v>1068186</v>
      </c>
      <c r="N12" s="9" t="n">
        <f aca="false">COUNTIFS(Trades!$A$2:$A$543,"GOLD",Trades!$B$2:$B$543,"W8C",Trades!$F$2:$F$543,$A12)</f>
        <v>1</v>
      </c>
      <c r="O12" s="10" t="n">
        <f aca="false">IF(N12=0,"",COUNTIFS(Trades!$A$2:$A$543,"GOLD",Trades!$B$2:$B$543,"W8C",Trades!$F$2:$F$543,$A12,Trades!$M$2:$M$543,1)/N12)</f>
        <v>1</v>
      </c>
      <c r="P12" s="11" t="n">
        <f aca="false">SUMIFS(Trades!$K$2:$K$543,Trades!$A$2:$A$543,"GOLD",Trades!$B$2:$B$543,"W8C",Trades!$F$2:$F$543,$A12)</f>
        <v>147909</v>
      </c>
      <c r="Q12" s="11" t="n">
        <f aca="false">Q11+P12</f>
        <v>366099</v>
      </c>
      <c r="R12" s="9" t="n">
        <f aca="false">COUNTIFS(Trades!$A$2:$A$543,"GOLD",Trades!$B$2:$B$543,"T6",Trades!$F$2:$F$543,$A12)</f>
        <v>3</v>
      </c>
      <c r="S12" s="10" t="n">
        <f aca="false">IF(R12=0,"",COUNTIFS(Trades!$A$2:$A$543,"GOLD",Trades!$B$2:$B$543,"T6",Trades!$F$2:$F$543,$A12,Trades!$M$2:$M$543,1)/R12)</f>
        <v>0.666666666666667</v>
      </c>
      <c r="T12" s="11" t="n">
        <f aca="false">SUMIFS(Trades!$K$2:$K$543,Trades!$A$2:$A$543,"GOLD",Trades!$B$2:$B$543,"T6",Trades!$F$2:$F$543,$A12)</f>
        <v>15155</v>
      </c>
      <c r="U12" s="11" t="n">
        <f aca="false">U11+T12</f>
        <v>859733</v>
      </c>
      <c r="V12" s="9" t="n">
        <f aca="false">COUNTIFS(Trades!$A$2:$A$543,"GOLD",Trades!$B$2:$B$543,"T7",Trades!$F$2:$F$543,$A12)</f>
        <v>3</v>
      </c>
      <c r="W12" s="10" t="n">
        <f aca="false">IF(V12=0,"",COUNTIFS(Trades!$A$2:$A$543,"GOLD",Trades!$B$2:$B$543,"T7",Trades!$F$2:$F$543,$A12,Trades!$M$2:$M$543,1)/V12)</f>
        <v>1</v>
      </c>
      <c r="X12" s="11" t="n">
        <f aca="false">SUMIFS(Trades!$K$2:$K$543,Trades!$A$2:$A$543,"GOLD",Trades!$B$2:$B$543,"T7",Trades!$F$2:$F$543,$A12)</f>
        <v>104195</v>
      </c>
      <c r="Y12" s="11" t="n">
        <f aca="false">Y11+X12</f>
        <v>732318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COUNTIFS(Trades!$A$2:$A$543,"GOLD",Trades!$B$2:$B$543,"V0",Trades!$F$2:$F$543,$A13)</f>
        <v>2</v>
      </c>
      <c r="C13" s="10" t="n">
        <f aca="false">IF(B13=0,"",COUNTIFS(Trades!$A$2:$A$543,"GOLD",Trades!$B$2:$B$543,"V0",Trades!$F$2:$F$543,$A13,Trades!$M$2:$M$543,1)/B13)</f>
        <v>0.5</v>
      </c>
      <c r="D13" s="11" t="n">
        <f aca="false">SUMIFS(Trades!$K$2:$K$543,Trades!$A$2:$A$543,"GOLD",Trades!$B$2:$B$543,"V0",Trades!$F$2:$F$543,$A13)</f>
        <v>692817</v>
      </c>
      <c r="E13" s="11" t="n">
        <f aca="false">E12+D13</f>
        <v>1577845</v>
      </c>
      <c r="F13" s="9" t="n">
        <f aca="false">COUNTIFS(Trades!$A$2:$A$543,"GOLD",Trades!$B$2:$B$543,"V1",Trades!$F$2:$F$543,$A13)</f>
        <v>1</v>
      </c>
      <c r="G13" s="10" t="n">
        <f aca="false">IF(F13=0,"",COUNTIFS(Trades!$A$2:$A$543,"GOLD",Trades!$B$2:$B$543,"V1",Trades!$F$2:$F$543,$A13,Trades!$M$2:$M$543,1)/F13)</f>
        <v>1</v>
      </c>
      <c r="H13" s="11" t="n">
        <f aca="false">SUMIFS(Trades!$K$2:$K$543,Trades!$A$2:$A$543,"GOLD",Trades!$B$2:$B$543,"V1",Trades!$F$2:$F$543,$A13)</f>
        <v>870211</v>
      </c>
      <c r="I13" s="11" t="n">
        <f aca="false">I12+H13</f>
        <v>1667237</v>
      </c>
      <c r="J13" s="9" t="n">
        <f aca="false">COUNTIFS(Trades!$A$2:$A$543,"GOLD",Trades!$B$2:$B$543,"W8",Trades!$F$2:$F$543,$A13)</f>
        <v>1</v>
      </c>
      <c r="K13" s="10" t="n">
        <f aca="false">IF(J13=0,"",COUNTIFS(Trades!$A$2:$A$543,"GOLD",Trades!$B$2:$B$543,"W8",Trades!$F$2:$F$543,$A13,Trades!$M$2:$M$543,1)/J13)</f>
        <v>1</v>
      </c>
      <c r="L13" s="11" t="n">
        <f aca="false">SUMIFS(Trades!$K$2:$K$543,Trades!$A$2:$A$543,"GOLD",Trades!$B$2:$B$543,"W8",Trades!$F$2:$F$543,$A13)</f>
        <v>870211</v>
      </c>
      <c r="M13" s="11" t="n">
        <f aca="false">M12+L13</f>
        <v>1938397</v>
      </c>
      <c r="N13" s="9" t="n">
        <f aca="false">COUNTIFS(Trades!$A$2:$A$543,"GOLD",Trades!$B$2:$B$543,"W8C",Trades!$F$2:$F$543,$A13)</f>
        <v>1</v>
      </c>
      <c r="O13" s="10" t="n">
        <f aca="false">IF(N13=0,"",COUNTIFS(Trades!$A$2:$A$543,"GOLD",Trades!$B$2:$B$543,"W8C",Trades!$F$2:$F$543,$A13,Trades!$M$2:$M$543,1)/N13)</f>
        <v>1</v>
      </c>
      <c r="P13" s="11" t="n">
        <f aca="false">SUMIFS(Trades!$K$2:$K$543,Trades!$A$2:$A$543,"GOLD",Trades!$B$2:$B$543,"W8C",Trades!$F$2:$F$543,$A13)</f>
        <v>838408</v>
      </c>
      <c r="Q13" s="11" t="n">
        <f aca="false">Q12+P13</f>
        <v>1204507</v>
      </c>
      <c r="R13" s="9" t="n">
        <f aca="false">COUNTIFS(Trades!$A$2:$A$543,"GOLD",Trades!$B$2:$B$543,"T6",Trades!$F$2:$F$543,$A13)</f>
        <v>4</v>
      </c>
      <c r="S13" s="10" t="n">
        <f aca="false">IF(R13=0,"",COUNTIFS(Trades!$A$2:$A$543,"GOLD",Trades!$B$2:$B$543,"T6",Trades!$F$2:$F$543,$A13,Trades!$M$2:$M$543,1)/R13)</f>
        <v>1</v>
      </c>
      <c r="T13" s="11" t="n">
        <f aca="false">SUMIFS(Trades!$K$2:$K$543,Trades!$A$2:$A$543,"GOLD",Trades!$B$2:$B$543,"T6",Trades!$F$2:$F$543,$A13)</f>
        <v>1210458</v>
      </c>
      <c r="U13" s="11" t="n">
        <f aca="false">U12+T13</f>
        <v>2070191</v>
      </c>
      <c r="V13" s="9" t="n">
        <f aca="false">COUNTIFS(Trades!$A$2:$A$543,"GOLD",Trades!$B$2:$B$543,"T7",Trades!$F$2:$F$543,$A13)</f>
        <v>4</v>
      </c>
      <c r="W13" s="10" t="n">
        <f aca="false">IF(V13=0,"",COUNTIFS(Trades!$A$2:$A$543,"GOLD",Trades!$B$2:$B$543,"T7",Trades!$F$2:$F$543,$A13,Trades!$M$2:$M$543,1)/V13)</f>
        <v>1</v>
      </c>
      <c r="X13" s="11" t="n">
        <f aca="false">SUMIFS(Trades!$K$2:$K$543,Trades!$A$2:$A$543,"GOLD",Trades!$B$2:$B$543,"T7",Trades!$F$2:$F$543,$A13)</f>
        <v>1186558</v>
      </c>
      <c r="Y13" s="11" t="n">
        <f aca="false">Y12+X13</f>
        <v>1918876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COUNTIFS(Trades!$A$2:$A$543,"GOLD",Trades!$B$2:$B$543,"V0",Trades!$F$2:$F$543,$A14)</f>
        <v>3</v>
      </c>
      <c r="C14" s="10" t="n">
        <f aca="false">IF(B14=0,"",COUNTIFS(Trades!$A$2:$A$543,"GOLD",Trades!$B$2:$B$543,"V0",Trades!$F$2:$F$543,$A14,Trades!$M$2:$M$543,1)/B14)</f>
        <v>0.666666666666667</v>
      </c>
      <c r="D14" s="11" t="n">
        <f aca="false">SUMIFS(Trades!$K$2:$K$543,Trades!$A$2:$A$543,"GOLD",Trades!$B$2:$B$543,"V0",Trades!$F$2:$F$543,$A14)</f>
        <v>982511</v>
      </c>
      <c r="E14" s="11" t="n">
        <f aca="false">E13+D14</f>
        <v>2560356</v>
      </c>
      <c r="F14" s="9" t="n">
        <f aca="false">COUNTIFS(Trades!$A$2:$A$543,"GOLD",Trades!$B$2:$B$543,"V1",Trades!$F$2:$F$543,$A14)</f>
        <v>2</v>
      </c>
      <c r="G14" s="10" t="n">
        <f aca="false">IF(F14=0,"",COUNTIFS(Trades!$A$2:$A$543,"GOLD",Trades!$B$2:$B$543,"V1",Trades!$F$2:$F$543,$A14,Trades!$M$2:$M$543,1)/F14)</f>
        <v>1</v>
      </c>
      <c r="H14" s="11" t="n">
        <f aca="false">SUMIFS(Trades!$K$2:$K$543,Trades!$A$2:$A$543,"GOLD",Trades!$B$2:$B$543,"V1",Trades!$F$2:$F$543,$A14)</f>
        <v>1298355</v>
      </c>
      <c r="I14" s="11" t="n">
        <f aca="false">I13+H14</f>
        <v>2965592</v>
      </c>
      <c r="J14" s="9" t="n">
        <f aca="false">COUNTIFS(Trades!$A$2:$A$543,"GOLD",Trades!$B$2:$B$543,"W8",Trades!$F$2:$F$543,$A14)</f>
        <v>2</v>
      </c>
      <c r="K14" s="10" t="n">
        <f aca="false">IF(J14=0,"",COUNTIFS(Trades!$A$2:$A$543,"GOLD",Trades!$B$2:$B$543,"W8",Trades!$F$2:$F$543,$A14,Trades!$M$2:$M$543,1)/J14)</f>
        <v>1</v>
      </c>
      <c r="L14" s="11" t="n">
        <f aca="false">SUMIFS(Trades!$K$2:$K$543,Trades!$A$2:$A$543,"GOLD",Trades!$B$2:$B$543,"W8",Trades!$F$2:$F$543,$A14)</f>
        <v>1298355</v>
      </c>
      <c r="M14" s="11" t="n">
        <f aca="false">M13+L14</f>
        <v>3236752</v>
      </c>
      <c r="N14" s="9" t="n">
        <f aca="false">COUNTIFS(Trades!$A$2:$A$543,"GOLD",Trades!$B$2:$B$543,"W8C",Trades!$F$2:$F$543,$A14)</f>
        <v>1</v>
      </c>
      <c r="O14" s="10" t="n">
        <f aca="false">IF(N14=0,"",COUNTIFS(Trades!$A$2:$A$543,"GOLD",Trades!$B$2:$B$543,"W8C",Trades!$F$2:$F$543,$A14,Trades!$M$2:$M$543,1)/N14)</f>
        <v>1</v>
      </c>
      <c r="P14" s="11" t="n">
        <f aca="false">SUMIFS(Trades!$K$2:$K$543,Trades!$A$2:$A$543,"GOLD",Trades!$B$2:$B$543,"W8C",Trades!$F$2:$F$543,$A14)</f>
        <v>827772</v>
      </c>
      <c r="Q14" s="11" t="n">
        <f aca="false">Q13+P14</f>
        <v>2032279</v>
      </c>
      <c r="R14" s="9" t="n">
        <f aca="false">COUNTIFS(Trades!$A$2:$A$543,"GOLD",Trades!$B$2:$B$543,"T6",Trades!$F$2:$F$543,$A14)</f>
        <v>3</v>
      </c>
      <c r="S14" s="10" t="n">
        <f aca="false">IF(R14=0,"",COUNTIFS(Trades!$A$2:$A$543,"GOLD",Trades!$B$2:$B$543,"T6",Trades!$F$2:$F$543,$A14,Trades!$M$2:$M$543,1)/R14)</f>
        <v>0.666666666666667</v>
      </c>
      <c r="T14" s="11" t="n">
        <f aca="false">SUMIFS(Trades!$K$2:$K$543,Trades!$A$2:$A$543,"GOLD",Trades!$B$2:$B$543,"T6",Trades!$F$2:$F$543,$A14)</f>
        <v>-176619</v>
      </c>
      <c r="U14" s="11" t="n">
        <f aca="false">U13+T14</f>
        <v>1893572</v>
      </c>
      <c r="V14" s="9" t="n">
        <f aca="false">COUNTIFS(Trades!$A$2:$A$543,"GOLD",Trades!$B$2:$B$543,"T7",Trades!$F$2:$F$543,$A14)</f>
        <v>3</v>
      </c>
      <c r="W14" s="10" t="n">
        <f aca="false">IF(V14=0,"",COUNTIFS(Trades!$A$2:$A$543,"GOLD",Trades!$B$2:$B$543,"T7",Trades!$F$2:$F$543,$A14,Trades!$M$2:$M$543,1)/V14)</f>
        <v>0.666666666666667</v>
      </c>
      <c r="X14" s="11" t="n">
        <f aca="false">SUMIFS(Trades!$K$2:$K$543,Trades!$A$2:$A$543,"GOLD",Trades!$B$2:$B$543,"T7",Trades!$F$2:$F$543,$A14)</f>
        <v>720299</v>
      </c>
      <c r="Y14" s="11" t="n">
        <f aca="false">Y13+X14</f>
        <v>2639175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COUNTIFS(Trades!$A$2:$A$543,"GOLD",Trades!$B$2:$B$543,"V0",Trades!$F$2:$F$543,$A15)</f>
        <v>3</v>
      </c>
      <c r="C15" s="10" t="n">
        <f aca="false">IF(B15=0,"",COUNTIFS(Trades!$A$2:$A$543,"GOLD",Trades!$B$2:$B$543,"V0",Trades!$F$2:$F$543,$A15,Trades!$M$2:$M$543,1)/B15)</f>
        <v>0.666666666666667</v>
      </c>
      <c r="D15" s="11" t="n">
        <f aca="false">SUMIFS(Trades!$K$2:$K$543,Trades!$A$2:$A$543,"GOLD",Trades!$B$2:$B$543,"V0",Trades!$F$2:$F$543,$A15)</f>
        <v>510423</v>
      </c>
      <c r="E15" s="11" t="n">
        <f aca="false">E14+D15</f>
        <v>3070779</v>
      </c>
      <c r="F15" s="9" t="n">
        <f aca="false">COUNTIFS(Trades!$A$2:$A$543,"GOLD",Trades!$B$2:$B$543,"V1",Trades!$F$2:$F$543,$A15)</f>
        <v>1</v>
      </c>
      <c r="G15" s="10" t="n">
        <f aca="false">IF(F15=0,"",COUNTIFS(Trades!$A$2:$A$543,"GOLD",Trades!$B$2:$B$543,"V1",Trades!$F$2:$F$543,$A15,Trades!$M$2:$M$543,1)/F15)</f>
        <v>1</v>
      </c>
      <c r="H15" s="11" t="n">
        <f aca="false">SUMIFS(Trades!$K$2:$K$543,Trades!$A$2:$A$543,"GOLD",Trades!$B$2:$B$543,"V1",Trades!$F$2:$F$543,$A15)</f>
        <v>108829</v>
      </c>
      <c r="I15" s="11" t="n">
        <f aca="false">I14+H15</f>
        <v>3074421</v>
      </c>
      <c r="J15" s="9" t="n">
        <f aca="false">COUNTIFS(Trades!$A$2:$A$543,"GOLD",Trades!$B$2:$B$543,"W8",Trades!$F$2:$F$543,$A15)</f>
        <v>1</v>
      </c>
      <c r="K15" s="10" t="n">
        <f aca="false">IF(J15=0,"",COUNTIFS(Trades!$A$2:$A$543,"GOLD",Trades!$B$2:$B$543,"W8",Trades!$F$2:$F$543,$A15,Trades!$M$2:$M$543,1)/J15)</f>
        <v>1</v>
      </c>
      <c r="L15" s="11" t="n">
        <f aca="false">SUMIFS(Trades!$K$2:$K$543,Trades!$A$2:$A$543,"GOLD",Trades!$B$2:$B$543,"W8",Trades!$F$2:$F$543,$A15)</f>
        <v>108829</v>
      </c>
      <c r="M15" s="11" t="n">
        <f aca="false">M14+L15</f>
        <v>3345581</v>
      </c>
      <c r="N15" s="9" t="n">
        <f aca="false">COUNTIFS(Trades!$A$2:$A$543,"GOLD",Trades!$B$2:$B$543,"W8C",Trades!$F$2:$F$543,$A15)</f>
        <v>1</v>
      </c>
      <c r="O15" s="10" t="n">
        <f aca="false">IF(N15=0,"",COUNTIFS(Trades!$A$2:$A$543,"GOLD",Trades!$B$2:$B$543,"W8C",Trades!$F$2:$F$543,$A15,Trades!$M$2:$M$543,1)/N15)</f>
        <v>1</v>
      </c>
      <c r="P15" s="11" t="n">
        <f aca="false">SUMIFS(Trades!$K$2:$K$543,Trades!$A$2:$A$543,"GOLD",Trades!$B$2:$B$543,"W8C",Trades!$F$2:$F$543,$A15)</f>
        <v>103328</v>
      </c>
      <c r="Q15" s="11" t="n">
        <f aca="false">Q14+P15</f>
        <v>2135607</v>
      </c>
      <c r="R15" s="9" t="n">
        <f aca="false">COUNTIFS(Trades!$A$2:$A$543,"GOLD",Trades!$B$2:$B$543,"T6",Trades!$F$2:$F$543,$A15)</f>
        <v>3</v>
      </c>
      <c r="S15" s="10" t="n">
        <f aca="false">IF(R15=0,"",COUNTIFS(Trades!$A$2:$A$543,"GOLD",Trades!$B$2:$B$543,"T6",Trades!$F$2:$F$543,$A15,Trades!$M$2:$M$543,1)/R15)</f>
        <v>0.333333333333333</v>
      </c>
      <c r="T15" s="11" t="n">
        <f aca="false">SUMIFS(Trades!$K$2:$K$543,Trades!$A$2:$A$543,"GOLD",Trades!$B$2:$B$543,"T6",Trades!$F$2:$F$543,$A15)</f>
        <v>-350577</v>
      </c>
      <c r="U15" s="11" t="n">
        <f aca="false">U14+T15</f>
        <v>1542995</v>
      </c>
      <c r="V15" s="9" t="n">
        <f aca="false">COUNTIFS(Trades!$A$2:$A$543,"GOLD",Trades!$B$2:$B$543,"T7",Trades!$F$2:$F$543,$A15)</f>
        <v>3</v>
      </c>
      <c r="W15" s="10" t="n">
        <f aca="false">IF(V15=0,"",COUNTIFS(Trades!$A$2:$A$543,"GOLD",Trades!$B$2:$B$543,"T7",Trades!$F$2:$F$543,$A15,Trades!$M$2:$M$543,1)/V15)</f>
        <v>0.333333333333333</v>
      </c>
      <c r="X15" s="11" t="n">
        <f aca="false">SUMIFS(Trades!$K$2:$K$543,Trades!$A$2:$A$543,"GOLD",Trades!$B$2:$B$543,"T7",Trades!$F$2:$F$543,$A15)</f>
        <v>-55649</v>
      </c>
      <c r="Y15" s="11" t="n">
        <f aca="false">Y14+X15</f>
        <v>2583526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COUNTIFS(Trades!$A$2:$A$543,"GOLD",Trades!$B$2:$B$543,"V0",Trades!$F$2:$F$543,$A16)</f>
        <v>1</v>
      </c>
      <c r="C16" s="10" t="n">
        <f aca="false">IF(B16=0,"",COUNTIFS(Trades!$A$2:$A$543,"GOLD",Trades!$B$2:$B$543,"V0",Trades!$F$2:$F$543,$A16,Trades!$M$2:$M$543,1)/B16)</f>
        <v>1</v>
      </c>
      <c r="D16" s="11" t="n">
        <f aca="false">SUMIFS(Trades!$K$2:$K$543,Trades!$A$2:$A$543,"GOLD",Trades!$B$2:$B$543,"V0",Trades!$F$2:$F$543,$A16)</f>
        <v>968052</v>
      </c>
      <c r="E16" s="11" t="n">
        <f aca="false">E15+D16</f>
        <v>4038831</v>
      </c>
      <c r="F16" s="9" t="n">
        <f aca="false">COUNTIFS(Trades!$A$2:$A$543,"GOLD",Trades!$B$2:$B$543,"V1",Trades!$F$2:$F$543,$A16)</f>
        <v>1</v>
      </c>
      <c r="G16" s="10" t="n">
        <f aca="false">IF(F16=0,"",COUNTIFS(Trades!$A$2:$A$543,"GOLD",Trades!$B$2:$B$543,"V1",Trades!$F$2:$F$543,$A16,Trades!$M$2:$M$543,1)/F16)</f>
        <v>1</v>
      </c>
      <c r="H16" s="11" t="n">
        <f aca="false">SUMIFS(Trades!$K$2:$K$543,Trades!$A$2:$A$543,"GOLD",Trades!$B$2:$B$543,"V1",Trades!$F$2:$F$543,$A16)</f>
        <v>968052</v>
      </c>
      <c r="I16" s="11" t="n">
        <f aca="false">I15+H16</f>
        <v>4042473</v>
      </c>
      <c r="J16" s="9" t="n">
        <f aca="false">COUNTIFS(Trades!$A$2:$A$543,"GOLD",Trades!$B$2:$B$543,"W8",Trades!$F$2:$F$543,$A16)</f>
        <v>1</v>
      </c>
      <c r="K16" s="10" t="n">
        <f aca="false">IF(J16=0,"",COUNTIFS(Trades!$A$2:$A$543,"GOLD",Trades!$B$2:$B$543,"W8",Trades!$F$2:$F$543,$A16,Trades!$M$2:$M$543,1)/J16)</f>
        <v>1</v>
      </c>
      <c r="L16" s="11" t="n">
        <f aca="false">SUMIFS(Trades!$K$2:$K$543,Trades!$A$2:$A$543,"GOLD",Trades!$B$2:$B$543,"W8",Trades!$F$2:$F$543,$A16)</f>
        <v>968052</v>
      </c>
      <c r="M16" s="11" t="n">
        <f aca="false">M15+L16</f>
        <v>4313633</v>
      </c>
      <c r="N16" s="9" t="n">
        <f aca="false">COUNTIFS(Trades!$A$2:$A$543,"GOLD",Trades!$B$2:$B$543,"W8C",Trades!$F$2:$F$543,$A16)</f>
        <v>0</v>
      </c>
      <c r="O16" s="10" t="str">
        <f aca="false">IF(N16=0,"",COUNTIFS(Trades!$A$2:$A$543,"GOLD",Trades!$B$2:$B$543,"W8C",Trades!$F$2:$F$543,$A16,Trades!$M$2:$M$543,1)/N16)</f>
        <v/>
      </c>
      <c r="P16" s="11" t="n">
        <f aca="false">SUMIFS(Trades!$K$2:$K$543,Trades!$A$2:$A$543,"GOLD",Trades!$B$2:$B$543,"W8C",Trades!$F$2:$F$543,$A16)</f>
        <v>0</v>
      </c>
      <c r="Q16" s="11" t="n">
        <f aca="false">Q15+P16</f>
        <v>2135607</v>
      </c>
      <c r="R16" s="9" t="n">
        <f aca="false">COUNTIFS(Trades!$A$2:$A$543,"GOLD",Trades!$B$2:$B$543,"T6",Trades!$F$2:$F$543,$A16)</f>
        <v>3</v>
      </c>
      <c r="S16" s="10" t="n">
        <f aca="false">IF(R16=0,"",COUNTIFS(Trades!$A$2:$A$543,"GOLD",Trades!$B$2:$B$543,"T6",Trades!$F$2:$F$543,$A16,Trades!$M$2:$M$543,1)/R16)</f>
        <v>0.666666666666667</v>
      </c>
      <c r="T16" s="11" t="n">
        <f aca="false">SUMIFS(Trades!$K$2:$K$543,Trades!$A$2:$A$543,"GOLD",Trades!$B$2:$B$543,"T6",Trades!$F$2:$F$543,$A16)</f>
        <v>543075</v>
      </c>
      <c r="U16" s="11" t="n">
        <f aca="false">U15+T16</f>
        <v>2086070</v>
      </c>
      <c r="V16" s="9" t="n">
        <f aca="false">COUNTIFS(Trades!$A$2:$A$543,"GOLD",Trades!$B$2:$B$543,"T7",Trades!$F$2:$F$543,$A16)</f>
        <v>4</v>
      </c>
      <c r="W16" s="10" t="n">
        <f aca="false">IF(V16=0,"",COUNTIFS(Trades!$A$2:$A$543,"GOLD",Trades!$B$2:$B$543,"T7",Trades!$F$2:$F$543,$A16,Trades!$M$2:$M$543,1)/V16)</f>
        <v>1</v>
      </c>
      <c r="X16" s="11" t="n">
        <f aca="false">SUMIFS(Trades!$K$2:$K$543,Trades!$A$2:$A$543,"GOLD",Trades!$B$2:$B$543,"T7",Trades!$F$2:$F$543,$A16)</f>
        <v>706784</v>
      </c>
      <c r="Y16" s="11" t="n">
        <f aca="false">Y15+X16</f>
        <v>3290310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COUNTIFS(Trades!$A$2:$A$543,"GOLD",Trades!$B$2:$B$543,"V0",Trades!$F$2:$F$543,$A17)</f>
        <v>4</v>
      </c>
      <c r="C17" s="10" t="n">
        <f aca="false">IF(B17=0,"",COUNTIFS(Trades!$A$2:$A$543,"GOLD",Trades!$B$2:$B$543,"V0",Trades!$F$2:$F$543,$A17,Trades!$M$2:$M$543,1)/B17)</f>
        <v>0.5</v>
      </c>
      <c r="D17" s="11" t="n">
        <f aca="false">SUMIFS(Trades!$K$2:$K$543,Trades!$A$2:$A$543,"GOLD",Trades!$B$2:$B$543,"V0",Trades!$F$2:$F$543,$A17)</f>
        <v>97296</v>
      </c>
      <c r="E17" s="11" t="n">
        <f aca="false">E16+D17</f>
        <v>4136127</v>
      </c>
      <c r="F17" s="9" t="n">
        <f aca="false">COUNTIFS(Trades!$A$2:$A$543,"GOLD",Trades!$B$2:$B$543,"V1",Trades!$F$2:$F$543,$A17)</f>
        <v>2</v>
      </c>
      <c r="G17" s="10" t="n">
        <f aca="false">IF(F17=0,"",COUNTIFS(Trades!$A$2:$A$543,"GOLD",Trades!$B$2:$B$543,"V1",Trades!$F$2:$F$543,$A17,Trades!$M$2:$M$543,1)/F17)</f>
        <v>1</v>
      </c>
      <c r="H17" s="11" t="n">
        <f aca="false">SUMIFS(Trades!$K$2:$K$543,Trades!$A$2:$A$543,"GOLD",Trades!$B$2:$B$543,"V1",Trades!$F$2:$F$543,$A17)</f>
        <v>1193627</v>
      </c>
      <c r="I17" s="11" t="n">
        <f aca="false">I16+H17</f>
        <v>5236100</v>
      </c>
      <c r="J17" s="9" t="n">
        <f aca="false">COUNTIFS(Trades!$A$2:$A$543,"GOLD",Trades!$B$2:$B$543,"W8",Trades!$F$2:$F$543,$A17)</f>
        <v>2</v>
      </c>
      <c r="K17" s="10" t="n">
        <f aca="false">IF(J17=0,"",COUNTIFS(Trades!$A$2:$A$543,"GOLD",Trades!$B$2:$B$543,"W8",Trades!$F$2:$F$543,$A17,Trades!$M$2:$M$543,1)/J17)</f>
        <v>1</v>
      </c>
      <c r="L17" s="11" t="n">
        <f aca="false">SUMIFS(Trades!$K$2:$K$543,Trades!$A$2:$A$543,"GOLD",Trades!$B$2:$B$543,"W8",Trades!$F$2:$F$543,$A17)</f>
        <v>1187737</v>
      </c>
      <c r="M17" s="11" t="n">
        <f aca="false">M16+L17</f>
        <v>5501370</v>
      </c>
      <c r="N17" s="9" t="n">
        <f aca="false">COUNTIFS(Trades!$A$2:$A$543,"GOLD",Trades!$B$2:$B$543,"W8C",Trades!$F$2:$F$543,$A17)</f>
        <v>1</v>
      </c>
      <c r="O17" s="10" t="n">
        <f aca="false">IF(N17=0,"",COUNTIFS(Trades!$A$2:$A$543,"GOLD",Trades!$B$2:$B$543,"W8C",Trades!$F$2:$F$543,$A17,Trades!$M$2:$M$543,1)/N17)</f>
        <v>1</v>
      </c>
      <c r="P17" s="11" t="n">
        <f aca="false">SUMIFS(Trades!$K$2:$K$543,Trades!$A$2:$A$543,"GOLD",Trades!$B$2:$B$543,"W8C",Trades!$F$2:$F$543,$A17)</f>
        <v>1097317</v>
      </c>
      <c r="Q17" s="11" t="n">
        <f aca="false">Q16+P17</f>
        <v>3232924</v>
      </c>
      <c r="R17" s="9" t="n">
        <f aca="false">COUNTIFS(Trades!$A$2:$A$543,"GOLD",Trades!$B$2:$B$543,"T6",Trades!$F$2:$F$543,$A17)</f>
        <v>3</v>
      </c>
      <c r="S17" s="10" t="n">
        <f aca="false">IF(R17=0,"",COUNTIFS(Trades!$A$2:$A$543,"GOLD",Trades!$B$2:$B$543,"T6",Trades!$F$2:$F$543,$A17,Trades!$M$2:$M$543,1)/R17)</f>
        <v>1</v>
      </c>
      <c r="T17" s="11" t="n">
        <f aca="false">SUMIFS(Trades!$K$2:$K$543,Trades!$A$2:$A$543,"GOLD",Trades!$B$2:$B$543,"T6",Trades!$F$2:$F$543,$A17)</f>
        <v>1624917</v>
      </c>
      <c r="U17" s="11" t="n">
        <f aca="false">U16+T17</f>
        <v>3710987</v>
      </c>
      <c r="V17" s="9" t="n">
        <f aca="false">COUNTIFS(Trades!$A$2:$A$543,"GOLD",Trades!$B$2:$B$543,"T7",Trades!$F$2:$F$543,$A17)</f>
        <v>3</v>
      </c>
      <c r="W17" s="10" t="n">
        <f aca="false">IF(V17=0,"",COUNTIFS(Trades!$A$2:$A$543,"GOLD",Trades!$B$2:$B$543,"T7",Trades!$F$2:$F$543,$A17,Trades!$M$2:$M$543,1)/V17)</f>
        <v>1</v>
      </c>
      <c r="X17" s="11" t="n">
        <f aca="false">SUMIFS(Trades!$K$2:$K$543,Trades!$A$2:$A$543,"GOLD",Trades!$B$2:$B$543,"T7",Trades!$F$2:$F$543,$A17)</f>
        <v>1588734</v>
      </c>
      <c r="Y17" s="11" t="n">
        <f aca="false">Y16+X17</f>
        <v>4879044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COUNTIFS(Trades!$A$2:$A$543,"GOLD",Trades!$B$2:$B$543,"V0",Trades!$F$2:$F$543,$A18)</f>
        <v>1</v>
      </c>
      <c r="C18" s="10" t="n">
        <f aca="false">IF(B18=0,"",COUNTIFS(Trades!$A$2:$A$543,"GOLD",Trades!$B$2:$B$543,"V0",Trades!$F$2:$F$543,$A18,Trades!$M$2:$M$543,1)/B18)</f>
        <v>1</v>
      </c>
      <c r="D18" s="11" t="n">
        <f aca="false">SUMIFS(Trades!$K$2:$K$543,Trades!$A$2:$A$543,"GOLD",Trades!$B$2:$B$543,"V0",Trades!$F$2:$F$543,$A18)</f>
        <v>1168483</v>
      </c>
      <c r="E18" s="11" t="n">
        <f aca="false">E17+D18</f>
        <v>5304610</v>
      </c>
      <c r="F18" s="9" t="n">
        <f aca="false">COUNTIFS(Trades!$A$2:$A$543,"GOLD",Trades!$B$2:$B$543,"V1",Trades!$F$2:$F$543,$A18)</f>
        <v>0</v>
      </c>
      <c r="G18" s="10" t="str">
        <f aca="false">IF(F18=0,"",COUNTIFS(Trades!$A$2:$A$543,"GOLD",Trades!$B$2:$B$543,"V1",Trades!$F$2:$F$543,$A18,Trades!$M$2:$M$543,1)/F18)</f>
        <v/>
      </c>
      <c r="H18" s="11" t="n">
        <f aca="false">SUMIFS(Trades!$K$2:$K$543,Trades!$A$2:$A$543,"GOLD",Trades!$B$2:$B$543,"V1",Trades!$F$2:$F$543,$A18)</f>
        <v>0</v>
      </c>
      <c r="I18" s="11" t="n">
        <f aca="false">I17+H18</f>
        <v>5236100</v>
      </c>
      <c r="J18" s="9" t="n">
        <f aca="false">COUNTIFS(Trades!$A$2:$A$543,"GOLD",Trades!$B$2:$B$543,"W8",Trades!$F$2:$F$543,$A18)</f>
        <v>0</v>
      </c>
      <c r="K18" s="10" t="str">
        <f aca="false">IF(J18=0,"",COUNTIFS(Trades!$A$2:$A$543,"GOLD",Trades!$B$2:$B$543,"W8",Trades!$F$2:$F$543,$A18,Trades!$M$2:$M$543,1)/J18)</f>
        <v/>
      </c>
      <c r="L18" s="11" t="n">
        <f aca="false">SUMIFS(Trades!$K$2:$K$543,Trades!$A$2:$A$543,"GOLD",Trades!$B$2:$B$543,"W8",Trades!$F$2:$F$543,$A18)</f>
        <v>0</v>
      </c>
      <c r="M18" s="11" t="n">
        <f aca="false">M17+L18</f>
        <v>5501370</v>
      </c>
      <c r="N18" s="9" t="n">
        <f aca="false">COUNTIFS(Trades!$A$2:$A$543,"GOLD",Trades!$B$2:$B$543,"W8C",Trades!$F$2:$F$543,$A18)</f>
        <v>0</v>
      </c>
      <c r="O18" s="10" t="str">
        <f aca="false">IF(N18=0,"",COUNTIFS(Trades!$A$2:$A$543,"GOLD",Trades!$B$2:$B$543,"W8C",Trades!$F$2:$F$543,$A18,Trades!$M$2:$M$543,1)/N18)</f>
        <v/>
      </c>
      <c r="P18" s="11" t="n">
        <f aca="false">SUMIFS(Trades!$K$2:$K$543,Trades!$A$2:$A$543,"GOLD",Trades!$B$2:$B$543,"W8C",Trades!$F$2:$F$543,$A18)</f>
        <v>0</v>
      </c>
      <c r="Q18" s="11" t="n">
        <f aca="false">Q17+P18</f>
        <v>3232924</v>
      </c>
      <c r="R18" s="9" t="n">
        <f aca="false">COUNTIFS(Trades!$A$2:$A$543,"GOLD",Trades!$B$2:$B$543,"T6",Trades!$F$2:$F$543,$A18)</f>
        <v>1</v>
      </c>
      <c r="S18" s="10" t="n">
        <f aca="false">IF(R18=0,"",COUNTIFS(Trades!$A$2:$A$543,"GOLD",Trades!$B$2:$B$543,"T6",Trades!$F$2:$F$543,$A18,Trades!$M$2:$M$543,1)/R18)</f>
        <v>0</v>
      </c>
      <c r="T18" s="11" t="n">
        <f aca="false">SUMIFS(Trades!$K$2:$K$543,Trades!$A$2:$A$543,"GOLD",Trades!$B$2:$B$543,"T6",Trades!$F$2:$F$543,$A18)</f>
        <v>-346498</v>
      </c>
      <c r="U18" s="11" t="n">
        <f aca="false">U17+T18</f>
        <v>3364489</v>
      </c>
      <c r="V18" s="9" t="n">
        <f aca="false">COUNTIFS(Trades!$A$2:$A$543,"GOLD",Trades!$B$2:$B$543,"T7",Trades!$F$2:$F$543,$A18)</f>
        <v>3</v>
      </c>
      <c r="W18" s="10" t="n">
        <f aca="false">IF(V18=0,"",COUNTIFS(Trades!$A$2:$A$543,"GOLD",Trades!$B$2:$B$543,"T7",Trades!$F$2:$F$543,$A18,Trades!$M$2:$M$543,1)/V18)</f>
        <v>0</v>
      </c>
      <c r="X18" s="11" t="n">
        <f aca="false">SUMIFS(Trades!$K$2:$K$543,Trades!$A$2:$A$543,"GOLD",Trades!$B$2:$B$543,"T7",Trades!$F$2:$F$543,$A18)</f>
        <v>-2147882</v>
      </c>
      <c r="Y18" s="11" t="n">
        <f aca="false">Y17+X18</f>
        <v>2731162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COUNTIFS(Trades!$A$2:$A$543,"GOLD",Trades!$B$2:$B$543,"V0",Trades!$F$2:$F$543,$A19)</f>
        <v>2</v>
      </c>
      <c r="C19" s="10" t="n">
        <f aca="false">IF(B19=0,"",COUNTIFS(Trades!$A$2:$A$543,"GOLD",Trades!$B$2:$B$543,"V0",Trades!$F$2:$F$543,$A19,Trades!$M$2:$M$543,1)/B19)</f>
        <v>1</v>
      </c>
      <c r="D19" s="11" t="n">
        <f aca="false">SUMIFS(Trades!$K$2:$K$543,Trades!$A$2:$A$543,"GOLD",Trades!$B$2:$B$543,"V0",Trades!$F$2:$F$543,$A19)</f>
        <v>2723501</v>
      </c>
      <c r="E19" s="11" t="n">
        <f aca="false">E18+D19</f>
        <v>8028111</v>
      </c>
      <c r="F19" s="9" t="n">
        <f aca="false">COUNTIFS(Trades!$A$2:$A$543,"GOLD",Trades!$B$2:$B$543,"V1",Trades!$F$2:$F$543,$A19)</f>
        <v>1</v>
      </c>
      <c r="G19" s="10" t="n">
        <f aca="false">IF(F19=0,"",COUNTIFS(Trades!$A$2:$A$543,"GOLD",Trades!$B$2:$B$543,"V1",Trades!$F$2:$F$543,$A19,Trades!$M$2:$M$543,1)/F19)</f>
        <v>1</v>
      </c>
      <c r="H19" s="11" t="n">
        <f aca="false">SUMIFS(Trades!$K$2:$K$543,Trades!$A$2:$A$543,"GOLD",Trades!$B$2:$B$543,"V1",Trades!$F$2:$F$543,$A19)</f>
        <v>1995214</v>
      </c>
      <c r="I19" s="11" t="n">
        <f aca="false">I18+H19</f>
        <v>7231314</v>
      </c>
      <c r="J19" s="9" t="n">
        <f aca="false">COUNTIFS(Trades!$A$2:$A$543,"GOLD",Trades!$B$2:$B$543,"W8",Trades!$F$2:$F$543,$A19)</f>
        <v>1</v>
      </c>
      <c r="K19" s="10" t="n">
        <f aca="false">IF(J19=0,"",COUNTIFS(Trades!$A$2:$A$543,"GOLD",Trades!$B$2:$B$543,"W8",Trades!$F$2:$F$543,$A19,Trades!$M$2:$M$543,1)/J19)</f>
        <v>1</v>
      </c>
      <c r="L19" s="11" t="n">
        <f aca="false">SUMIFS(Trades!$K$2:$K$543,Trades!$A$2:$A$543,"GOLD",Trades!$B$2:$B$543,"W8",Trades!$F$2:$F$543,$A19)</f>
        <v>53857</v>
      </c>
      <c r="M19" s="11" t="n">
        <f aca="false">M18+L19</f>
        <v>5555227</v>
      </c>
      <c r="N19" s="9" t="n">
        <f aca="false">COUNTIFS(Trades!$A$2:$A$543,"GOLD",Trades!$B$2:$B$543,"W8C",Trades!$F$2:$F$543,$A19)</f>
        <v>1</v>
      </c>
      <c r="O19" s="10" t="n">
        <f aca="false">IF(N19=0,"",COUNTIFS(Trades!$A$2:$A$543,"GOLD",Trades!$B$2:$B$543,"W8C",Trades!$F$2:$F$543,$A19,Trades!$M$2:$M$543,1)/N19)</f>
        <v>1</v>
      </c>
      <c r="P19" s="11" t="n">
        <f aca="false">SUMIFS(Trades!$K$2:$K$543,Trades!$A$2:$A$543,"GOLD",Trades!$B$2:$B$543,"W8C",Trades!$F$2:$F$543,$A19)</f>
        <v>25430</v>
      </c>
      <c r="Q19" s="11" t="n">
        <f aca="false">Q18+P19</f>
        <v>3258354</v>
      </c>
      <c r="R19" s="9" t="n">
        <f aca="false">COUNTIFS(Trades!$A$2:$A$543,"GOLD",Trades!$B$2:$B$543,"T6",Trades!$F$2:$F$543,$A19)</f>
        <v>3</v>
      </c>
      <c r="S19" s="10" t="n">
        <f aca="false">IF(R19=0,"",COUNTIFS(Trades!$A$2:$A$543,"GOLD",Trades!$B$2:$B$543,"T6",Trades!$F$2:$F$543,$A19,Trades!$M$2:$M$543,1)/R19)</f>
        <v>1</v>
      </c>
      <c r="T19" s="11" t="n">
        <f aca="false">SUMIFS(Trades!$K$2:$K$543,Trades!$A$2:$A$543,"GOLD",Trades!$B$2:$B$543,"T6",Trades!$F$2:$F$543,$A19)</f>
        <v>116893</v>
      </c>
      <c r="U19" s="11" t="n">
        <f aca="false">U18+T19</f>
        <v>3481382</v>
      </c>
      <c r="V19" s="9" t="n">
        <f aca="false">COUNTIFS(Trades!$A$2:$A$543,"GOLD",Trades!$B$2:$B$543,"T7",Trades!$F$2:$F$543,$A19)</f>
        <v>4</v>
      </c>
      <c r="W19" s="10" t="n">
        <f aca="false">IF(V19=0,"",COUNTIFS(Trades!$A$2:$A$543,"GOLD",Trades!$B$2:$B$543,"T7",Trades!$F$2:$F$543,$A19,Trades!$M$2:$M$543,1)/V19)</f>
        <v>0.75</v>
      </c>
      <c r="X19" s="11" t="n">
        <f aca="false">SUMIFS(Trades!$K$2:$K$543,Trades!$A$2:$A$543,"GOLD",Trades!$B$2:$B$543,"T7",Trades!$F$2:$F$543,$A19)</f>
        <v>1398656</v>
      </c>
      <c r="Y19" s="11" t="n">
        <f aca="false">Y18+X19</f>
        <v>4129818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COUNTIFS(Trades!$A$2:$A$543,"GOLD",Trades!$B$2:$B$543,"V0",Trades!$F$2:$F$543,$A20)</f>
        <v>4</v>
      </c>
      <c r="C20" s="10" t="n">
        <f aca="false">IF(B20=0,"",COUNTIFS(Trades!$A$2:$A$543,"GOLD",Trades!$B$2:$B$543,"V0",Trades!$F$2:$F$543,$A20,Trades!$M$2:$M$543,1)/B20)</f>
        <v>0.25</v>
      </c>
      <c r="D20" s="11" t="n">
        <f aca="false">SUMIFS(Trades!$K$2:$K$543,Trades!$A$2:$A$543,"GOLD",Trades!$B$2:$B$543,"V0",Trades!$F$2:$F$543,$A20)</f>
        <v>-792407</v>
      </c>
      <c r="E20" s="11" t="n">
        <f aca="false">E19+D20</f>
        <v>7235704</v>
      </c>
      <c r="F20" s="9" t="n">
        <f aca="false">COUNTIFS(Trades!$A$2:$A$543,"GOLD",Trades!$B$2:$B$543,"V1",Trades!$F$2:$F$543,$A20)</f>
        <v>2</v>
      </c>
      <c r="G20" s="10" t="n">
        <f aca="false">IF(F20=0,"",COUNTIFS(Trades!$A$2:$A$543,"GOLD",Trades!$B$2:$B$543,"V1",Trades!$F$2:$F$543,$A20,Trades!$M$2:$M$543,1)/F20)</f>
        <v>0</v>
      </c>
      <c r="H20" s="11" t="n">
        <f aca="false">SUMIFS(Trades!$K$2:$K$543,Trades!$A$2:$A$543,"GOLD",Trades!$B$2:$B$543,"V1",Trades!$F$2:$F$543,$A20)</f>
        <v>-605434</v>
      </c>
      <c r="I20" s="11" t="n">
        <f aca="false">I19+H20</f>
        <v>6625880</v>
      </c>
      <c r="J20" s="9" t="n">
        <f aca="false">COUNTIFS(Trades!$A$2:$A$543,"GOLD",Trades!$B$2:$B$543,"W8",Trades!$F$2:$F$543,$A20)</f>
        <v>2</v>
      </c>
      <c r="K20" s="10" t="n">
        <f aca="false">IF(J20=0,"",COUNTIFS(Trades!$A$2:$A$543,"GOLD",Trades!$B$2:$B$543,"W8",Trades!$F$2:$F$543,$A20,Trades!$M$2:$M$543,1)/J20)</f>
        <v>0.5</v>
      </c>
      <c r="L20" s="11" t="n">
        <f aca="false">SUMIFS(Trades!$K$2:$K$543,Trades!$A$2:$A$543,"GOLD",Trades!$B$2:$B$543,"W8",Trades!$F$2:$F$543,$A20)</f>
        <v>-544020</v>
      </c>
      <c r="M20" s="11" t="n">
        <f aca="false">M19+L20</f>
        <v>5011207</v>
      </c>
      <c r="N20" s="9" t="n">
        <f aca="false">COUNTIFS(Trades!$A$2:$A$543,"GOLD",Trades!$B$2:$B$543,"W8C",Trades!$F$2:$F$543,$A20)</f>
        <v>0</v>
      </c>
      <c r="O20" s="10" t="str">
        <f aca="false">IF(N20=0,"",COUNTIFS(Trades!$A$2:$A$543,"GOLD",Trades!$B$2:$B$543,"W8C",Trades!$F$2:$F$543,$A20,Trades!$M$2:$M$543,1)/N20)</f>
        <v/>
      </c>
      <c r="P20" s="11" t="n">
        <f aca="false">SUMIFS(Trades!$K$2:$K$543,Trades!$A$2:$A$543,"GOLD",Trades!$B$2:$B$543,"W8C",Trades!$F$2:$F$543,$A20)</f>
        <v>0</v>
      </c>
      <c r="Q20" s="11" t="n">
        <f aca="false">Q19+P20</f>
        <v>3258354</v>
      </c>
      <c r="R20" s="9" t="n">
        <f aca="false">COUNTIFS(Trades!$A$2:$A$543,"GOLD",Trades!$B$2:$B$543,"T6",Trades!$F$2:$F$543,$A20)</f>
        <v>3</v>
      </c>
      <c r="S20" s="10" t="n">
        <f aca="false">IF(R20=0,"",COUNTIFS(Trades!$A$2:$A$543,"GOLD",Trades!$B$2:$B$543,"T6",Trades!$F$2:$F$543,$A20,Trades!$M$2:$M$543,1)/R20)</f>
        <v>0.333333333333333</v>
      </c>
      <c r="T20" s="11" t="n">
        <f aca="false">SUMIFS(Trades!$K$2:$K$543,Trades!$A$2:$A$543,"GOLD",Trades!$B$2:$B$543,"T6",Trades!$F$2:$F$543,$A20)</f>
        <v>-276335</v>
      </c>
      <c r="U20" s="11" t="n">
        <f aca="false">U19+T20</f>
        <v>3205047</v>
      </c>
      <c r="V20" s="9" t="n">
        <f aca="false">COUNTIFS(Trades!$A$2:$A$543,"GOLD",Trades!$B$2:$B$543,"T7",Trades!$F$2:$F$543,$A20)</f>
        <v>5</v>
      </c>
      <c r="W20" s="10" t="n">
        <f aca="false">IF(V20=0,"",COUNTIFS(Trades!$A$2:$A$543,"GOLD",Trades!$B$2:$B$543,"T7",Trades!$F$2:$F$543,$A20,Trades!$M$2:$M$543,1)/V20)</f>
        <v>0.6</v>
      </c>
      <c r="X20" s="11" t="n">
        <f aca="false">SUMIFS(Trades!$K$2:$K$543,Trades!$A$2:$A$543,"GOLD",Trades!$B$2:$B$543,"T7",Trades!$F$2:$F$543,$A20)</f>
        <v>-498994</v>
      </c>
      <c r="Y20" s="11" t="n">
        <f aca="false">Y19+X20</f>
        <v>3630824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COUNTIFS(Trades!$A$2:$A$543,"GOLD",Trades!$B$2:$B$543,"V0",Trades!$F$2:$F$543,$A21)</f>
        <v>1</v>
      </c>
      <c r="C21" s="10" t="n">
        <f aca="false">IF(B21=0,"",COUNTIFS(Trades!$A$2:$A$543,"GOLD",Trades!$B$2:$B$543,"V0",Trades!$F$2:$F$543,$A21,Trades!$M$2:$M$543,1)/B21)</f>
        <v>1</v>
      </c>
      <c r="D21" s="11" t="n">
        <f aca="false">SUMIFS(Trades!$K$2:$K$543,Trades!$A$2:$A$543,"GOLD",Trades!$B$2:$B$543,"V0",Trades!$F$2:$F$543,$A21)</f>
        <v>658300</v>
      </c>
      <c r="E21" s="11" t="n">
        <f aca="false">E20+D21</f>
        <v>7894004</v>
      </c>
      <c r="F21" s="9" t="n">
        <f aca="false">COUNTIFS(Trades!$A$2:$A$543,"GOLD",Trades!$B$2:$B$543,"V1",Trades!$F$2:$F$543,$A21)</f>
        <v>0</v>
      </c>
      <c r="G21" s="10" t="str">
        <f aca="false">IF(F21=0,"",COUNTIFS(Trades!$A$2:$A$543,"GOLD",Trades!$B$2:$B$543,"V1",Trades!$F$2:$F$543,$A21,Trades!$M$2:$M$543,1)/F21)</f>
        <v/>
      </c>
      <c r="H21" s="11" t="n">
        <f aca="false">SUMIFS(Trades!$K$2:$K$543,Trades!$A$2:$A$543,"GOLD",Trades!$B$2:$B$543,"V1",Trades!$F$2:$F$543,$A21)</f>
        <v>0</v>
      </c>
      <c r="I21" s="11" t="n">
        <f aca="false">I20+H21</f>
        <v>6625880</v>
      </c>
      <c r="J21" s="9" t="n">
        <f aca="false">COUNTIFS(Trades!$A$2:$A$543,"GOLD",Trades!$B$2:$B$543,"W8",Trades!$F$2:$F$543,$A21)</f>
        <v>0</v>
      </c>
      <c r="K21" s="10" t="str">
        <f aca="false">IF(J21=0,"",COUNTIFS(Trades!$A$2:$A$543,"GOLD",Trades!$B$2:$B$543,"W8",Trades!$F$2:$F$543,$A21,Trades!$M$2:$M$543,1)/J21)</f>
        <v/>
      </c>
      <c r="L21" s="11" t="n">
        <f aca="false">SUMIFS(Trades!$K$2:$K$543,Trades!$A$2:$A$543,"GOLD",Trades!$B$2:$B$543,"W8",Trades!$F$2:$F$543,$A21)</f>
        <v>0</v>
      </c>
      <c r="M21" s="11" t="n">
        <f aca="false">M20+L21</f>
        <v>5011207</v>
      </c>
      <c r="N21" s="9" t="n">
        <f aca="false">COUNTIFS(Trades!$A$2:$A$543,"GOLD",Trades!$B$2:$B$543,"W8C",Trades!$F$2:$F$543,$A21)</f>
        <v>0</v>
      </c>
      <c r="O21" s="10" t="str">
        <f aca="false">IF(N21=0,"",COUNTIFS(Trades!$A$2:$A$543,"GOLD",Trades!$B$2:$B$543,"W8C",Trades!$F$2:$F$543,$A21,Trades!$M$2:$M$543,1)/N21)</f>
        <v/>
      </c>
      <c r="P21" s="11" t="n">
        <f aca="false">SUMIFS(Trades!$K$2:$K$543,Trades!$A$2:$A$543,"GOLD",Trades!$B$2:$B$543,"W8C",Trades!$F$2:$F$543,$A21)</f>
        <v>0</v>
      </c>
      <c r="Q21" s="11" t="n">
        <f aca="false">Q20+P21</f>
        <v>3258354</v>
      </c>
      <c r="R21" s="9" t="n">
        <f aca="false">COUNTIFS(Trades!$A$2:$A$543,"GOLD",Trades!$B$2:$B$543,"T6",Trades!$F$2:$F$543,$A21)</f>
        <v>1</v>
      </c>
      <c r="S21" s="10" t="n">
        <f aca="false">IF(R21=0,"",COUNTIFS(Trades!$A$2:$A$543,"GOLD",Trades!$B$2:$B$543,"T6",Trades!$F$2:$F$543,$A21,Trades!$M$2:$M$543,1)/R21)</f>
        <v>0</v>
      </c>
      <c r="T21" s="11" t="n">
        <f aca="false">SUMIFS(Trades!$K$2:$K$543,Trades!$A$2:$A$543,"GOLD",Trades!$B$2:$B$543,"T6",Trades!$F$2:$F$543,$A21)</f>
        <v>-262513</v>
      </c>
      <c r="U21" s="11" t="n">
        <f aca="false">U20+T21</f>
        <v>2942534</v>
      </c>
      <c r="V21" s="9" t="n">
        <f aca="false">COUNTIFS(Trades!$A$2:$A$543,"GOLD",Trades!$B$2:$B$543,"T7",Trades!$F$2:$F$543,$A21)</f>
        <v>4</v>
      </c>
      <c r="W21" s="10" t="n">
        <f aca="false">IF(V21=0,"",COUNTIFS(Trades!$A$2:$A$543,"GOLD",Trades!$B$2:$B$543,"T7",Trades!$F$2:$F$543,$A21,Trades!$M$2:$M$543,1)/V21)</f>
        <v>0.75</v>
      </c>
      <c r="X21" s="11" t="n">
        <f aca="false">SUMIFS(Trades!$K$2:$K$543,Trades!$A$2:$A$543,"GOLD",Trades!$B$2:$B$543,"T7",Trades!$F$2:$F$543,$A21)</f>
        <v>45442</v>
      </c>
      <c r="Y21" s="11" t="n">
        <f aca="false">Y20+X21</f>
        <v>3676266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COUNTIFS(Trades!$A$2:$A$543,"GOLD",Trades!$B$2:$B$543,"V0",Trades!$F$2:$F$543,$A22)</f>
        <v>2</v>
      </c>
      <c r="C22" s="10" t="n">
        <f aca="false">IF(B22=0,"",COUNTIFS(Trades!$A$2:$A$543,"GOLD",Trades!$B$2:$B$543,"V0",Trades!$F$2:$F$543,$A22,Trades!$M$2:$M$543,1)/B22)</f>
        <v>0.5</v>
      </c>
      <c r="D22" s="11" t="n">
        <f aca="false">SUMIFS(Trades!$K$2:$K$543,Trades!$A$2:$A$543,"GOLD",Trades!$B$2:$B$543,"V0",Trades!$F$2:$F$543,$A22)</f>
        <v>442683</v>
      </c>
      <c r="E22" s="11" t="n">
        <f aca="false">E21+D22</f>
        <v>8336687</v>
      </c>
      <c r="F22" s="9" t="n">
        <f aca="false">COUNTIFS(Trades!$A$2:$A$543,"GOLD",Trades!$B$2:$B$543,"V1",Trades!$F$2:$F$543,$A22)</f>
        <v>1</v>
      </c>
      <c r="G22" s="10" t="n">
        <f aca="false">IF(F22=0,"",COUNTIFS(Trades!$A$2:$A$543,"GOLD",Trades!$B$2:$B$543,"V1",Trades!$F$2:$F$543,$A22,Trades!$M$2:$M$543,1)/F22)</f>
        <v>1</v>
      </c>
      <c r="H22" s="11" t="n">
        <f aca="false">SUMIFS(Trades!$K$2:$K$543,Trades!$A$2:$A$543,"GOLD",Trades!$B$2:$B$543,"V1",Trades!$F$2:$F$543,$A22)</f>
        <v>674823</v>
      </c>
      <c r="I22" s="11" t="n">
        <f aca="false">I21+H22</f>
        <v>7300703</v>
      </c>
      <c r="J22" s="9" t="n">
        <f aca="false">COUNTIFS(Trades!$A$2:$A$543,"GOLD",Trades!$B$2:$B$543,"W8",Trades!$F$2:$F$543,$A22)</f>
        <v>1</v>
      </c>
      <c r="K22" s="10" t="n">
        <f aca="false">IF(J22=0,"",COUNTIFS(Trades!$A$2:$A$543,"GOLD",Trades!$B$2:$B$543,"W8",Trades!$F$2:$F$543,$A22,Trades!$M$2:$M$543,1)/J22)</f>
        <v>1</v>
      </c>
      <c r="L22" s="11" t="n">
        <f aca="false">SUMIFS(Trades!$K$2:$K$543,Trades!$A$2:$A$543,"GOLD",Trades!$B$2:$B$543,"W8",Trades!$F$2:$F$543,$A22)</f>
        <v>674823</v>
      </c>
      <c r="M22" s="11" t="n">
        <f aca="false">M21+L22</f>
        <v>5686030</v>
      </c>
      <c r="N22" s="9" t="n">
        <f aca="false">COUNTIFS(Trades!$A$2:$A$543,"GOLD",Trades!$B$2:$B$543,"W8C",Trades!$F$2:$F$543,$A22)</f>
        <v>1</v>
      </c>
      <c r="O22" s="10" t="n">
        <f aca="false">IF(N22=0,"",COUNTIFS(Trades!$A$2:$A$543,"GOLD",Trades!$B$2:$B$543,"W8C",Trades!$F$2:$F$543,$A22,Trades!$M$2:$M$543,1)/N22)</f>
        <v>1</v>
      </c>
      <c r="P22" s="11" t="n">
        <f aca="false">SUMIFS(Trades!$K$2:$K$543,Trades!$A$2:$A$543,"GOLD",Trades!$B$2:$B$543,"W8C",Trades!$F$2:$F$543,$A22)</f>
        <v>673323</v>
      </c>
      <c r="Q22" s="11" t="n">
        <f aca="false">Q21+P22</f>
        <v>3931677</v>
      </c>
      <c r="R22" s="9" t="n">
        <f aca="false">COUNTIFS(Trades!$A$2:$A$543,"GOLD",Trades!$B$2:$B$543,"T6",Trades!$F$2:$F$543,$A22)</f>
        <v>3</v>
      </c>
      <c r="S22" s="10" t="n">
        <f aca="false">IF(R22=0,"",COUNTIFS(Trades!$A$2:$A$543,"GOLD",Trades!$B$2:$B$543,"T6",Trades!$F$2:$F$543,$A22,Trades!$M$2:$M$543,1)/R22)</f>
        <v>0.333333333333333</v>
      </c>
      <c r="T22" s="11" t="n">
        <f aca="false">SUMIFS(Trades!$K$2:$K$543,Trades!$A$2:$A$543,"GOLD",Trades!$B$2:$B$543,"T6",Trades!$F$2:$F$543,$A22)</f>
        <v>-189121</v>
      </c>
      <c r="U22" s="11" t="n">
        <f aca="false">U21+T22</f>
        <v>2753413</v>
      </c>
      <c r="V22" s="9" t="n">
        <f aca="false">COUNTIFS(Trades!$A$2:$A$543,"GOLD",Trades!$B$2:$B$543,"T7",Trades!$F$2:$F$543,$A22)</f>
        <v>4</v>
      </c>
      <c r="W22" s="10" t="n">
        <f aca="false">IF(V22=0,"",COUNTIFS(Trades!$A$2:$A$543,"GOLD",Trades!$B$2:$B$543,"T7",Trades!$F$2:$F$543,$A22,Trades!$M$2:$M$543,1)/V22)</f>
        <v>0.5</v>
      </c>
      <c r="X22" s="11" t="n">
        <f aca="false">SUMIFS(Trades!$K$2:$K$543,Trades!$A$2:$A$543,"GOLD",Trades!$B$2:$B$543,"T7",Trades!$F$2:$F$543,$A22)</f>
        <v>772148</v>
      </c>
      <c r="Y22" s="11" t="n">
        <f aca="false">Y21+X22</f>
        <v>4448414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COUNTIFS(Trades!$A$2:$A$543,"GOLD",Trades!$B$2:$B$543,"V0",Trades!$F$2:$F$543,$A23)</f>
        <v>5</v>
      </c>
      <c r="C23" s="10" t="n">
        <f aca="false">IF(B23=0,"",COUNTIFS(Trades!$A$2:$A$543,"GOLD",Trades!$B$2:$B$543,"V0",Trades!$F$2:$F$543,$A23,Trades!$M$2:$M$543,1)/B23)</f>
        <v>0.6</v>
      </c>
      <c r="D23" s="11" t="n">
        <f aca="false">SUMIFS(Trades!$K$2:$K$543,Trades!$A$2:$A$543,"GOLD",Trades!$B$2:$B$543,"V0",Trades!$F$2:$F$543,$A23)</f>
        <v>439267</v>
      </c>
      <c r="E23" s="11" t="n">
        <f aca="false">E22+D23</f>
        <v>8775954</v>
      </c>
      <c r="F23" s="9" t="n">
        <f aca="false">COUNTIFS(Trades!$A$2:$A$543,"GOLD",Trades!$B$2:$B$543,"V1",Trades!$F$2:$F$543,$A23)</f>
        <v>3</v>
      </c>
      <c r="G23" s="10" t="n">
        <f aca="false">IF(F23=0,"",COUNTIFS(Trades!$A$2:$A$543,"GOLD",Trades!$B$2:$B$543,"V1",Trades!$F$2:$F$543,$A23,Trades!$M$2:$M$543,1)/F23)</f>
        <v>0.666666666666667</v>
      </c>
      <c r="H23" s="11" t="n">
        <f aca="false">SUMIFS(Trades!$K$2:$K$543,Trades!$A$2:$A$543,"GOLD",Trades!$B$2:$B$543,"V1",Trades!$F$2:$F$543,$A23)</f>
        <v>595412</v>
      </c>
      <c r="I23" s="11" t="n">
        <f aca="false">I22+H23</f>
        <v>7896115</v>
      </c>
      <c r="J23" s="9" t="n">
        <f aca="false">COUNTIFS(Trades!$A$2:$A$543,"GOLD",Trades!$B$2:$B$543,"W8",Trades!$F$2:$F$543,$A23)</f>
        <v>3</v>
      </c>
      <c r="K23" s="10" t="n">
        <f aca="false">IF(J23=0,"",COUNTIFS(Trades!$A$2:$A$543,"GOLD",Trades!$B$2:$B$543,"W8",Trades!$F$2:$F$543,$A23,Trades!$M$2:$M$543,1)/J23)</f>
        <v>1</v>
      </c>
      <c r="L23" s="11" t="n">
        <f aca="false">SUMIFS(Trades!$K$2:$K$543,Trades!$A$2:$A$543,"GOLD",Trades!$B$2:$B$543,"W8",Trades!$F$2:$F$543,$A23)</f>
        <v>636945</v>
      </c>
      <c r="M23" s="11" t="n">
        <f aca="false">M22+L23</f>
        <v>6322975</v>
      </c>
      <c r="N23" s="9" t="n">
        <f aca="false">COUNTIFS(Trades!$A$2:$A$543,"GOLD",Trades!$B$2:$B$543,"W8C",Trades!$F$2:$F$543,$A23)</f>
        <v>3</v>
      </c>
      <c r="O23" s="10" t="n">
        <f aca="false">IF(N23=0,"",COUNTIFS(Trades!$A$2:$A$543,"GOLD",Trades!$B$2:$B$543,"W8C",Trades!$F$2:$F$543,$A23,Trades!$M$2:$M$543,1)/N23)</f>
        <v>1</v>
      </c>
      <c r="P23" s="11" t="n">
        <f aca="false">SUMIFS(Trades!$K$2:$K$543,Trades!$A$2:$A$543,"GOLD",Trades!$B$2:$B$543,"W8C",Trades!$F$2:$F$543,$A23)</f>
        <v>597951</v>
      </c>
      <c r="Q23" s="11" t="n">
        <f aca="false">Q22+P23</f>
        <v>4529628</v>
      </c>
      <c r="R23" s="9" t="n">
        <f aca="false">COUNTIFS(Trades!$A$2:$A$543,"GOLD",Trades!$B$2:$B$543,"T6",Trades!$F$2:$F$543,$A23)</f>
        <v>6</v>
      </c>
      <c r="S23" s="10" t="n">
        <f aca="false">IF(R23=0,"",COUNTIFS(Trades!$A$2:$A$543,"GOLD",Trades!$B$2:$B$543,"T6",Trades!$F$2:$F$543,$A23,Trades!$M$2:$M$543,1)/R23)</f>
        <v>0.833333333333333</v>
      </c>
      <c r="T23" s="11" t="n">
        <f aca="false">SUMIFS(Trades!$K$2:$K$543,Trades!$A$2:$A$543,"GOLD",Trades!$B$2:$B$543,"T6",Trades!$F$2:$F$543,$A23)</f>
        <v>124210</v>
      </c>
      <c r="U23" s="11" t="n">
        <f aca="false">U22+T23</f>
        <v>2877623</v>
      </c>
      <c r="V23" s="9" t="n">
        <f aca="false">COUNTIFS(Trades!$A$2:$A$543,"GOLD",Trades!$B$2:$B$543,"T7",Trades!$F$2:$F$543,$A23)</f>
        <v>6</v>
      </c>
      <c r="W23" s="10" t="n">
        <f aca="false">IF(V23=0,"",COUNTIFS(Trades!$A$2:$A$543,"GOLD",Trades!$B$2:$B$543,"T7",Trades!$F$2:$F$543,$A23,Trades!$M$2:$M$543,1)/V23)</f>
        <v>0.666666666666667</v>
      </c>
      <c r="X23" s="11" t="n">
        <f aca="false">SUMIFS(Trades!$K$2:$K$543,Trades!$A$2:$A$543,"GOLD",Trades!$B$2:$B$543,"T7",Trades!$F$2:$F$543,$A23)</f>
        <v>-60680</v>
      </c>
      <c r="Y23" s="11" t="n">
        <f aca="false">Y22+X23</f>
        <v>4387734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COUNTIFS(Trades!$A$2:$A$543,"GOLD",Trades!$B$2:$B$543,"V0",Trades!$F$2:$F$543,$A24)</f>
        <v>1</v>
      </c>
      <c r="C24" s="10" t="n">
        <f aca="false">IF(B24=0,"",COUNTIFS(Trades!$A$2:$A$543,"GOLD",Trades!$B$2:$B$543,"V0",Trades!$F$2:$F$543,$A24,Trades!$M$2:$M$543,1)/B24)</f>
        <v>1</v>
      </c>
      <c r="D24" s="11" t="n">
        <f aca="false">SUMIFS(Trades!$K$2:$K$543,Trades!$A$2:$A$543,"GOLD",Trades!$B$2:$B$543,"V0",Trades!$F$2:$F$543,$A24)</f>
        <v>1421858</v>
      </c>
      <c r="E24" s="11" t="n">
        <f aca="false">E23+D24</f>
        <v>10197812</v>
      </c>
      <c r="F24" s="9" t="n">
        <f aca="false">COUNTIFS(Trades!$A$2:$A$543,"GOLD",Trades!$B$2:$B$543,"V1",Trades!$F$2:$F$543,$A24)</f>
        <v>0</v>
      </c>
      <c r="G24" s="10" t="str">
        <f aca="false">IF(F24=0,"",COUNTIFS(Trades!$A$2:$A$543,"GOLD",Trades!$B$2:$B$543,"V1",Trades!$F$2:$F$543,$A24,Trades!$M$2:$M$543,1)/F24)</f>
        <v/>
      </c>
      <c r="H24" s="11" t="n">
        <f aca="false">SUMIFS(Trades!$K$2:$K$543,Trades!$A$2:$A$543,"GOLD",Trades!$B$2:$B$543,"V1",Trades!$F$2:$F$543,$A24)</f>
        <v>0</v>
      </c>
      <c r="I24" s="11" t="n">
        <f aca="false">I23+H24</f>
        <v>7896115</v>
      </c>
      <c r="J24" s="9" t="n">
        <f aca="false">COUNTIFS(Trades!$A$2:$A$543,"GOLD",Trades!$B$2:$B$543,"W8",Trades!$F$2:$F$543,$A24)</f>
        <v>0</v>
      </c>
      <c r="K24" s="10" t="str">
        <f aca="false">IF(J24=0,"",COUNTIFS(Trades!$A$2:$A$543,"GOLD",Trades!$B$2:$B$543,"W8",Trades!$F$2:$F$543,$A24,Trades!$M$2:$M$543,1)/J24)</f>
        <v/>
      </c>
      <c r="L24" s="11" t="n">
        <f aca="false">SUMIFS(Trades!$K$2:$K$543,Trades!$A$2:$A$543,"GOLD",Trades!$B$2:$B$543,"W8",Trades!$F$2:$F$543,$A24)</f>
        <v>0</v>
      </c>
      <c r="M24" s="11" t="n">
        <f aca="false">M23+L24</f>
        <v>6322975</v>
      </c>
      <c r="N24" s="9" t="n">
        <f aca="false">COUNTIFS(Trades!$A$2:$A$543,"GOLD",Trades!$B$2:$B$543,"W8C",Trades!$F$2:$F$543,$A24)</f>
        <v>0</v>
      </c>
      <c r="O24" s="10" t="str">
        <f aca="false">IF(N24=0,"",COUNTIFS(Trades!$A$2:$A$543,"GOLD",Trades!$B$2:$B$543,"W8C",Trades!$F$2:$F$543,$A24,Trades!$M$2:$M$543,1)/N24)</f>
        <v/>
      </c>
      <c r="P24" s="11" t="n">
        <f aca="false">SUMIFS(Trades!$K$2:$K$543,Trades!$A$2:$A$543,"GOLD",Trades!$B$2:$B$543,"W8C",Trades!$F$2:$F$543,$A24)</f>
        <v>0</v>
      </c>
      <c r="Q24" s="11" t="n">
        <f aca="false">Q23+P24</f>
        <v>4529628</v>
      </c>
      <c r="R24" s="9" t="n">
        <f aca="false">COUNTIFS(Trades!$A$2:$A$543,"GOLD",Trades!$B$2:$B$543,"T6",Trades!$F$2:$F$543,$A24)</f>
        <v>3</v>
      </c>
      <c r="S24" s="10" t="n">
        <f aca="false">IF(R24=0,"",COUNTIFS(Trades!$A$2:$A$543,"GOLD",Trades!$B$2:$B$543,"T6",Trades!$F$2:$F$543,$A24,Trades!$M$2:$M$543,1)/R24)</f>
        <v>0.666666666666667</v>
      </c>
      <c r="T24" s="11" t="n">
        <f aca="false">SUMIFS(Trades!$K$2:$K$543,Trades!$A$2:$A$543,"GOLD",Trades!$B$2:$B$543,"T6",Trades!$F$2:$F$543,$A24)</f>
        <v>231275</v>
      </c>
      <c r="U24" s="11" t="n">
        <f aca="false">U23+T24</f>
        <v>3108898</v>
      </c>
      <c r="V24" s="9" t="n">
        <f aca="false">COUNTIFS(Trades!$A$2:$A$543,"GOLD",Trades!$B$2:$B$543,"T7",Trades!$F$2:$F$543,$A24)</f>
        <v>4</v>
      </c>
      <c r="W24" s="10" t="n">
        <f aca="false">IF(V24=0,"",COUNTIFS(Trades!$A$2:$A$543,"GOLD",Trades!$B$2:$B$543,"T7",Trades!$F$2:$F$543,$A24,Trades!$M$2:$M$543,1)/V24)</f>
        <v>0.25</v>
      </c>
      <c r="X24" s="11" t="n">
        <f aca="false">SUMIFS(Trades!$K$2:$K$543,Trades!$A$2:$A$543,"GOLD",Trades!$B$2:$B$543,"T7",Trades!$F$2:$F$543,$A24)</f>
        <v>-409214</v>
      </c>
      <c r="Y24" s="11" t="n">
        <f aca="false">Y23+X24</f>
        <v>3978520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COUNTIFS(Trades!$A$2:$A$543,"GOLD",Trades!$B$2:$B$543,"V0",Trades!$F$2:$F$543,$A25)</f>
        <v>4</v>
      </c>
      <c r="C25" s="10" t="n">
        <f aca="false">IF(B25=0,"",COUNTIFS(Trades!$A$2:$A$543,"GOLD",Trades!$B$2:$B$543,"V0",Trades!$F$2:$F$543,$A25,Trades!$M$2:$M$543,1)/B25)</f>
        <v>0.25</v>
      </c>
      <c r="D25" s="11" t="n">
        <f aca="false">SUMIFS(Trades!$K$2:$K$543,Trades!$A$2:$A$543,"GOLD",Trades!$B$2:$B$543,"V0",Trades!$F$2:$F$543,$A25)</f>
        <v>-633117</v>
      </c>
      <c r="E25" s="11" t="n">
        <f aca="false">E24+D25</f>
        <v>9564695</v>
      </c>
      <c r="F25" s="9" t="n">
        <f aca="false">COUNTIFS(Trades!$A$2:$A$543,"GOLD",Trades!$B$2:$B$543,"V1",Trades!$F$2:$F$543,$A25)</f>
        <v>2</v>
      </c>
      <c r="G25" s="10" t="n">
        <f aca="false">IF(F25=0,"",COUNTIFS(Trades!$A$2:$A$543,"GOLD",Trades!$B$2:$B$543,"V1",Trades!$F$2:$F$543,$A25,Trades!$M$2:$M$543,1)/F25)</f>
        <v>0</v>
      </c>
      <c r="H25" s="11" t="n">
        <f aca="false">SUMIFS(Trades!$K$2:$K$543,Trades!$A$2:$A$543,"GOLD",Trades!$B$2:$B$543,"V1",Trades!$F$2:$F$543,$A25)</f>
        <v>-762014</v>
      </c>
      <c r="I25" s="11" t="n">
        <f aca="false">I24+H25</f>
        <v>7134101</v>
      </c>
      <c r="J25" s="9" t="n">
        <f aca="false">COUNTIFS(Trades!$A$2:$A$543,"GOLD",Trades!$B$2:$B$543,"W8",Trades!$F$2:$F$543,$A25)</f>
        <v>2</v>
      </c>
      <c r="K25" s="10" t="n">
        <f aca="false">IF(J25=0,"",COUNTIFS(Trades!$A$2:$A$543,"GOLD",Trades!$B$2:$B$543,"W8",Trades!$F$2:$F$543,$A25,Trades!$M$2:$M$543,1)/J25)</f>
        <v>0</v>
      </c>
      <c r="L25" s="11" t="n">
        <f aca="false">SUMIFS(Trades!$K$2:$K$543,Trades!$A$2:$A$543,"GOLD",Trades!$B$2:$B$543,"W8",Trades!$F$2:$F$543,$A25)</f>
        <v>-762014</v>
      </c>
      <c r="M25" s="11" t="n">
        <f aca="false">M24+L25</f>
        <v>5560961</v>
      </c>
      <c r="N25" s="9" t="n">
        <f aca="false">COUNTIFS(Trades!$A$2:$A$543,"GOLD",Trades!$B$2:$B$543,"W8C",Trades!$F$2:$F$543,$A25)</f>
        <v>1</v>
      </c>
      <c r="O25" s="10" t="n">
        <f aca="false">IF(N25=0,"",COUNTIFS(Trades!$A$2:$A$543,"GOLD",Trades!$B$2:$B$543,"W8C",Trades!$F$2:$F$543,$A25,Trades!$M$2:$M$543,1)/N25)</f>
        <v>0</v>
      </c>
      <c r="P25" s="11" t="n">
        <f aca="false">SUMIFS(Trades!$K$2:$K$543,Trades!$A$2:$A$543,"GOLD",Trades!$B$2:$B$543,"W8C",Trades!$F$2:$F$543,$A25)</f>
        <v>-295056</v>
      </c>
      <c r="Q25" s="11" t="n">
        <f aca="false">Q24+P25</f>
        <v>4234572</v>
      </c>
      <c r="R25" s="9" t="n">
        <f aca="false">COUNTIFS(Trades!$A$2:$A$543,"GOLD",Trades!$B$2:$B$543,"T6",Trades!$F$2:$F$543,$A25)</f>
        <v>2</v>
      </c>
      <c r="S25" s="10" t="n">
        <f aca="false">IF(R25=0,"",COUNTIFS(Trades!$A$2:$A$543,"GOLD",Trades!$B$2:$B$543,"T6",Trades!$F$2:$F$543,$A25,Trades!$M$2:$M$543,1)/R25)</f>
        <v>1</v>
      </c>
      <c r="T25" s="11" t="n">
        <f aca="false">SUMIFS(Trades!$K$2:$K$543,Trades!$A$2:$A$543,"GOLD",Trades!$B$2:$B$543,"T6",Trades!$F$2:$F$543,$A25)</f>
        <v>77284</v>
      </c>
      <c r="U25" s="11" t="n">
        <f aca="false">U24+T25</f>
        <v>3186182</v>
      </c>
      <c r="V25" s="9" t="n">
        <f aca="false">COUNTIFS(Trades!$A$2:$A$543,"GOLD",Trades!$B$2:$B$543,"T7",Trades!$F$2:$F$543,$A25)</f>
        <v>2</v>
      </c>
      <c r="W25" s="10" t="n">
        <f aca="false">IF(V25=0,"",COUNTIFS(Trades!$A$2:$A$543,"GOLD",Trades!$B$2:$B$543,"T7",Trades!$F$2:$F$543,$A25,Trades!$M$2:$M$543,1)/V25)</f>
        <v>1</v>
      </c>
      <c r="X25" s="11" t="n">
        <f aca="false">SUMIFS(Trades!$K$2:$K$543,Trades!$A$2:$A$543,"GOLD",Trades!$B$2:$B$543,"T7",Trades!$F$2:$F$543,$A25)</f>
        <v>159114</v>
      </c>
      <c r="Y25" s="11" t="n">
        <f aca="false">Y24+X25</f>
        <v>4137634</v>
      </c>
    </row>
    <row r="27" customFormat="false" ht="15" hidden="false" customHeight="false" outlineLevel="0" collapsed="false">
      <c r="A27" s="30" t="s">
        <v>69</v>
      </c>
      <c r="B27" s="31" t="n">
        <f aca="false">SUMIFS(B$5:B$25,$A$5:$A$25,"&gt;="&amp;DATE(2025,1,1),$A$5:$A$25,"&lt;"&amp;DATE(2026,1,1))</f>
        <v>35</v>
      </c>
      <c r="C27" s="32" t="n">
        <f aca="false">IF(B27=0,"",COUNTIFS(Trades!$A$2:$A$543,"GOLD",Trades!$B$2:$B$543,"V0",Trades!$E$2:$E$543,"&gt;="&amp;DATE(2025,1,1),Trades!$E$2:$E$543,"&lt;"&amp;DATE(2026,1,1),Trades!$M$2:$M$543,1)/B27)</f>
        <v>0.514285714285714</v>
      </c>
      <c r="D27" s="33" t="n">
        <f aca="false">SUMIFS(D$5:D$25,$A$5:$A$25,"&gt;="&amp;DATE(2025,1,1),$A$5:$A$25,"&lt;"&amp;DATE(2026,1,1))</f>
        <v>4038831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IF(F27=0,"",COUNTIFS(Trades!$A$2:$A$543,"GOLD",Trades!$B$2:$B$543,"V1",Trades!$E$2:$E$543,"&gt;="&amp;DATE(2025,1,1),Trades!$E$2:$E$543,"&lt;"&amp;DATE(2026,1,1),Trades!$M$2:$M$543,1)/F27)</f>
        <v>0.705882352941177</v>
      </c>
      <c r="H27" s="33" t="n">
        <f aca="false">SUMIFS(H$5:H$25,$A$5:$A$25,"&gt;="&amp;DATE(2025,1,1),$A$5:$A$25,"&lt;"&amp;DATE(2026,1,1))</f>
        <v>4042473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IF(J27=0,"",COUNTIFS(Trades!$A$2:$A$543,"GOLD",Trades!$B$2:$B$543,"W8",Trades!$E$2:$E$543,"&gt;="&amp;DATE(2025,1,1),Trades!$E$2:$E$543,"&lt;"&amp;DATE(2026,1,1),Trades!$M$2:$M$543,1)/J27)</f>
        <v>0.882352941176471</v>
      </c>
      <c r="L27" s="33" t="n">
        <f aca="false">SUMIFS(L$5:L$25,$A$5:$A$25,"&gt;="&amp;DATE(2025,1,1),$A$5:$A$25,"&lt;"&amp;DATE(2026,1,1))</f>
        <v>4313633</v>
      </c>
      <c r="M27" s="33"/>
      <c r="N27" s="31" t="n">
        <f aca="false">SUMIFS(N$5:N$25,$A$5:$A$25,"&gt;="&amp;DATE(2025,1,1),$A$5:$A$25,"&lt;"&amp;DATE(2026,1,1))</f>
        <v>11</v>
      </c>
      <c r="O27" s="32" t="n">
        <f aca="false">IF(N27=0,"",COUNTIFS(Trades!$A$2:$A$543,"GOLD",Trades!$B$2:$B$543,"W8C",Trades!$E$2:$E$543,"&gt;="&amp;DATE(2025,1,1),Trades!$E$2:$E$543,"&lt;"&amp;DATE(2026,1,1),Trades!$M$2:$M$543,1)/N27)</f>
        <v>0.909090909090909</v>
      </c>
      <c r="P27" s="33" t="n">
        <f aca="false">SUMIFS(P$5:P$25,$A$5:$A$25,"&gt;="&amp;DATE(2025,1,1),$A$5:$A$25,"&lt;"&amp;DATE(2026,1,1))</f>
        <v>2135607</v>
      </c>
      <c r="Q27" s="33"/>
      <c r="R27" s="31" t="n">
        <f aca="false">SUMIFS(R$5:R$25,$A$5:$A$25,"&gt;="&amp;DATE(2025,1,1),$A$5:$A$25,"&lt;"&amp;DATE(2026,1,1))</f>
        <v>32</v>
      </c>
      <c r="S27" s="32" t="n">
        <f aca="false">IF(R27=0,"",COUNTIFS(Trades!$A$2:$A$543,"GOLD",Trades!$B$2:$B$543,"T6",Trades!$E$2:$E$543,"&gt;="&amp;DATE(2025,1,1),Trades!$E$2:$E$543,"&lt;"&amp;DATE(2026,1,1),Trades!$M$2:$M$543,1)/R27)</f>
        <v>0.71875</v>
      </c>
      <c r="T27" s="33" t="n">
        <f aca="false">SUMIFS(T$5:T$25,$A$5:$A$25,"&gt;="&amp;DATE(2025,1,1),$A$5:$A$25,"&lt;"&amp;DATE(2026,1,1))</f>
        <v>2086070</v>
      </c>
      <c r="U27" s="33"/>
      <c r="V27" s="31" t="n">
        <f aca="false">SUMIFS(V$5:V$25,$A$5:$A$25,"&gt;="&amp;DATE(2025,1,1),$A$5:$A$25,"&lt;"&amp;DATE(2026,1,1))</f>
        <v>40</v>
      </c>
      <c r="W27" s="32" t="n">
        <f aca="false">IF(V27=0,"",COUNTIFS(Trades!$A$2:$A$543,"GOLD",Trades!$B$2:$B$543,"T7",Trades!$E$2:$E$543,"&gt;="&amp;DATE(2025,1,1),Trades!$E$2:$E$543,"&lt;"&amp;DATE(2026,1,1),Trades!$M$2:$M$543,1)/V27)</f>
        <v>0.725</v>
      </c>
      <c r="X27" s="33" t="n">
        <f aca="false">SUMIFS(X$5:X$25,$A$5:$A$25,"&gt;="&amp;DATE(2025,1,1),$A$5:$A$25,"&lt;"&amp;DATE(2026,1,1))</f>
        <v>3290310</v>
      </c>
      <c r="Y27" s="33"/>
    </row>
    <row r="28" customFormat="false" ht="15" hidden="false" customHeight="false" outlineLevel="0" collapsed="false">
      <c r="A28" s="30" t="s">
        <v>70</v>
      </c>
      <c r="B28" s="31" t="n">
        <f aca="false">SUMIFS(B$5:B$25,$A$5:$A$25,"&gt;="&amp;DATE(2026,1,1),$A$5:$A$25,"&lt;"&amp;DATE(2027,1,1))</f>
        <v>24</v>
      </c>
      <c r="C28" s="32" t="n">
        <f aca="false">IF(B28=0,"",COUNTIFS(Trades!$A$2:$A$543,"GOLD",Trades!$B$2:$B$543,"V0",Trades!$E$2:$E$543,"&gt;="&amp;DATE(2026,1,1),Trades!$E$2:$E$543,"&lt;"&amp;DATE(2027,1,1),Trades!$M$2:$M$543,1)/B28)</f>
        <v>0.541666666666667</v>
      </c>
      <c r="D28" s="33" t="n">
        <f aca="false">SUMIFS(D$5:D$25,$A$5:$A$25,"&gt;="&amp;DATE(2026,1,1),$A$5:$A$25,"&lt;"&amp;DATE(2027,1,1))</f>
        <v>5525864</v>
      </c>
      <c r="E28" s="33"/>
      <c r="F28" s="31" t="n">
        <f aca="false">SUMIFS(F$5:F$25,$A$5:$A$25,"&gt;="&amp;DATE(2026,1,1),$A$5:$A$25,"&lt;"&amp;DATE(2027,1,1))</f>
        <v>11</v>
      </c>
      <c r="G28" s="32" t="n">
        <f aca="false">IF(F28=0,"",COUNTIFS(Trades!$A$2:$A$543,"GOLD",Trades!$B$2:$B$543,"V1",Trades!$E$2:$E$543,"&gt;="&amp;DATE(2026,1,1),Trades!$E$2:$E$543,"&lt;"&amp;DATE(2027,1,1),Trades!$M$2:$M$543,1)/F28)</f>
        <v>0.545454545454545</v>
      </c>
      <c r="H28" s="33" t="n">
        <f aca="false">SUMIFS(H$5:H$25,$A$5:$A$25,"&gt;="&amp;DATE(2026,1,1),$A$5:$A$25,"&lt;"&amp;DATE(2027,1,1))</f>
        <v>3091628</v>
      </c>
      <c r="I28" s="33"/>
      <c r="J28" s="31" t="n">
        <f aca="false">SUMIFS(J$5:J$25,$A$5:$A$25,"&gt;="&amp;DATE(2026,1,1),$A$5:$A$25,"&lt;"&amp;DATE(2027,1,1))</f>
        <v>11</v>
      </c>
      <c r="K28" s="32" t="n">
        <f aca="false">IF(J28=0,"",COUNTIFS(Trades!$A$2:$A$543,"GOLD",Trades!$B$2:$B$543,"W8",Trades!$E$2:$E$543,"&gt;="&amp;DATE(2026,1,1),Trades!$E$2:$E$543,"&lt;"&amp;DATE(2027,1,1),Trades!$M$2:$M$543,1)/J28)</f>
        <v>0.727272727272727</v>
      </c>
      <c r="L28" s="33" t="n">
        <f aca="false">SUMIFS(L$5:L$25,$A$5:$A$25,"&gt;="&amp;DATE(2026,1,1),$A$5:$A$25,"&lt;"&amp;DATE(2027,1,1))</f>
        <v>1247328</v>
      </c>
      <c r="M28" s="33"/>
      <c r="N28" s="31" t="n">
        <f aca="false">SUMIFS(N$5:N$25,$A$5:$A$25,"&gt;="&amp;DATE(2026,1,1),$A$5:$A$25,"&lt;"&amp;DATE(2027,1,1))</f>
        <v>7</v>
      </c>
      <c r="O28" s="32" t="n">
        <f aca="false">IF(N28=0,"",COUNTIFS(Trades!$A$2:$A$543,"GOLD",Trades!$B$2:$B$543,"W8C",Trades!$E$2:$E$543,"&gt;="&amp;DATE(2026,1,1),Trades!$E$2:$E$543,"&lt;"&amp;DATE(2027,1,1),Trades!$M$2:$M$543,1)/N28)</f>
        <v>0.857142857142857</v>
      </c>
      <c r="P28" s="33" t="n">
        <f aca="false">SUMIFS(P$5:P$25,$A$5:$A$25,"&gt;="&amp;DATE(2026,1,1),$A$5:$A$25,"&lt;"&amp;DATE(2027,1,1))</f>
        <v>2098965</v>
      </c>
      <c r="Q28" s="33"/>
      <c r="R28" s="31" t="n">
        <f aca="false">SUMIFS(R$5:R$25,$A$5:$A$25,"&gt;="&amp;DATE(2026,1,1),$A$5:$A$25,"&lt;"&amp;DATE(2027,1,1))</f>
        <v>25</v>
      </c>
      <c r="S28" s="32" t="n">
        <f aca="false">IF(R28=0,"",COUNTIFS(Trades!$A$2:$A$543,"GOLD",Trades!$B$2:$B$543,"T6",Trades!$E$2:$E$543,"&gt;="&amp;DATE(2026,1,1),Trades!$E$2:$E$543,"&lt;"&amp;DATE(2027,1,1),Trades!$M$2:$M$543,1)/R28)</f>
        <v>0.68</v>
      </c>
      <c r="T28" s="33" t="n">
        <f aca="false">SUMIFS(T$5:T$25,$A$5:$A$25,"&gt;="&amp;DATE(2026,1,1),$A$5:$A$25,"&lt;"&amp;DATE(2027,1,1))</f>
        <v>1100112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IF(V28=0,"",COUNTIFS(Trades!$A$2:$A$543,"GOLD",Trades!$B$2:$B$543,"T7",Trades!$E$2:$E$543,"&gt;="&amp;DATE(2026,1,1),Trades!$E$2:$E$543,"&lt;"&amp;DATE(2027,1,1),Trades!$M$2:$M$543,1)/V28)</f>
        <v>0.6</v>
      </c>
      <c r="X28" s="33" t="n">
        <f aca="false">SUMIFS(X$5:X$25,$A$5:$A$25,"&gt;="&amp;DATE(2026,1,1),$A$5:$A$25,"&lt;"&amp;DATE(2027,1,1))</f>
        <v>847324</v>
      </c>
      <c r="Y28" s="33"/>
    </row>
    <row r="29" customFormat="false" ht="15" hidden="false" customHeight="false" outlineLevel="0" collapsed="false">
      <c r="A29" s="30" t="s">
        <v>71</v>
      </c>
      <c r="B29" s="31" t="n">
        <f aca="false">SUMIFS(B$5:B$25,$A$5:$A$25,"&gt;="&amp;DATE(2025,1,1),$A$5:$A$25,"&lt;"&amp;DATE(2027,1,1))</f>
        <v>59</v>
      </c>
      <c r="C29" s="32" t="n">
        <f aca="false">IF(B29=0,"",COUNTIFS(Trades!$A$2:$A$543,"GOLD",Trades!$B$2:$B$543,"V0",Trades!$E$2:$E$543,"&gt;="&amp;DATE(2025,1,1),Trades!$E$2:$E$543,"&lt;"&amp;DATE(2027,1,1),Trades!$M$2:$M$543,1)/B29)</f>
        <v>0.525423728813559</v>
      </c>
      <c r="D29" s="33" t="n">
        <f aca="false">SUMIFS(D$5:D$25,$A$5:$A$25,"&gt;="&amp;DATE(2025,1,1),$A$5:$A$25,"&lt;"&amp;DATE(2027,1,1))</f>
        <v>9564695</v>
      </c>
      <c r="E29" s="33"/>
      <c r="F29" s="31" t="n">
        <f aca="false">SUMIFS(F$5:F$25,$A$5:$A$25,"&gt;="&amp;DATE(2025,1,1),$A$5:$A$25,"&lt;"&amp;DATE(2027,1,1))</f>
        <v>28</v>
      </c>
      <c r="G29" s="32" t="n">
        <f aca="false">IF(F29=0,"",COUNTIFS(Trades!$A$2:$A$543,"GOLD",Trades!$B$2:$B$543,"V1",Trades!$E$2:$E$543,"&gt;="&amp;DATE(2025,1,1),Trades!$E$2:$E$543,"&lt;"&amp;DATE(2027,1,1),Trades!$M$2:$M$543,1)/F29)</f>
        <v>0.642857142857143</v>
      </c>
      <c r="H29" s="33" t="n">
        <f aca="false">SUMIFS(H$5:H$25,$A$5:$A$25,"&gt;="&amp;DATE(2025,1,1),$A$5:$A$25,"&lt;"&amp;DATE(2027,1,1))</f>
        <v>7134101</v>
      </c>
      <c r="I29" s="33"/>
      <c r="J29" s="31" t="n">
        <f aca="false">SUMIFS(J$5:J$25,$A$5:$A$25,"&gt;="&amp;DATE(2025,1,1),$A$5:$A$25,"&lt;"&amp;DATE(2027,1,1))</f>
        <v>28</v>
      </c>
      <c r="K29" s="32" t="n">
        <f aca="false">IF(J29=0,"",COUNTIFS(Trades!$A$2:$A$543,"GOLD",Trades!$B$2:$B$543,"W8",Trades!$E$2:$E$543,"&gt;="&amp;DATE(2025,1,1),Trades!$E$2:$E$543,"&lt;"&amp;DATE(2027,1,1),Trades!$M$2:$M$543,1)/J29)</f>
        <v>0.821428571428571</v>
      </c>
      <c r="L29" s="33" t="n">
        <f aca="false">SUMIFS(L$5:L$25,$A$5:$A$25,"&gt;="&amp;DATE(2025,1,1),$A$5:$A$25,"&lt;"&amp;DATE(2027,1,1))</f>
        <v>5560961</v>
      </c>
      <c r="M29" s="33"/>
      <c r="N29" s="31" t="n">
        <f aca="false">SUMIFS(N$5:N$25,$A$5:$A$25,"&gt;="&amp;DATE(2025,1,1),$A$5:$A$25,"&lt;"&amp;DATE(2027,1,1))</f>
        <v>18</v>
      </c>
      <c r="O29" s="32" t="n">
        <f aca="false">IF(N29=0,"",COUNTIFS(Trades!$A$2:$A$543,"GOLD",Trades!$B$2:$B$543,"W8C",Trades!$E$2:$E$543,"&gt;="&amp;DATE(2025,1,1),Trades!$E$2:$E$543,"&lt;"&amp;DATE(2027,1,1),Trades!$M$2:$M$543,1)/N29)</f>
        <v>0.888888888888889</v>
      </c>
      <c r="P29" s="33" t="n">
        <f aca="false">SUMIFS(P$5:P$25,$A$5:$A$25,"&gt;="&amp;DATE(2025,1,1),$A$5:$A$25,"&lt;"&amp;DATE(2027,1,1))</f>
        <v>4234572</v>
      </c>
      <c r="Q29" s="33"/>
      <c r="R29" s="31" t="n">
        <f aca="false">SUMIFS(R$5:R$25,$A$5:$A$25,"&gt;="&amp;DATE(2025,1,1),$A$5:$A$25,"&lt;"&amp;DATE(2027,1,1))</f>
        <v>57</v>
      </c>
      <c r="S29" s="32" t="n">
        <f aca="false">IF(R29=0,"",COUNTIFS(Trades!$A$2:$A$543,"GOLD",Trades!$B$2:$B$543,"T6",Trades!$E$2:$E$543,"&gt;="&amp;DATE(2025,1,1),Trades!$E$2:$E$543,"&lt;"&amp;DATE(2027,1,1),Trades!$M$2:$M$543,1)/R29)</f>
        <v>0.701754385964912</v>
      </c>
      <c r="T29" s="33" t="n">
        <f aca="false">SUMIFS(T$5:T$25,$A$5:$A$25,"&gt;="&amp;DATE(2025,1,1),$A$5:$A$25,"&lt;"&amp;DATE(2027,1,1))</f>
        <v>3186182</v>
      </c>
      <c r="U29" s="33"/>
      <c r="V29" s="31" t="n">
        <f aca="false">SUMIFS(V$5:V$25,$A$5:$A$25,"&gt;="&amp;DATE(2025,1,1),$A$5:$A$25,"&lt;"&amp;DATE(2027,1,1))</f>
        <v>75</v>
      </c>
      <c r="W29" s="32" t="n">
        <f aca="false">IF(V29=0,"",COUNTIFS(Trades!$A$2:$A$543,"GOLD",Trades!$B$2:$B$543,"T7",Trades!$E$2:$E$543,"&gt;="&amp;DATE(2025,1,1),Trades!$E$2:$E$543,"&lt;"&amp;DATE(2027,1,1),Trades!$M$2:$M$543,1)/V29)</f>
        <v>0.666666666666667</v>
      </c>
      <c r="X29" s="33" t="n">
        <f aca="false">SUMIFS(X$5:X$25,$A$5:$A$25,"&gt;="&amp;DATE(2025,1,1),$A$5:$A$25,"&lt;"&amp;DATE(2027,1,1))</f>
        <v>4137634</v>
      </c>
      <c r="Y29" s="33"/>
    </row>
  </sheetData>
  <mergeCells count="7">
    <mergeCell ref="A3:A4"/>
    <mergeCell ref="B3:E3"/>
    <mergeCell ref="F3:I3"/>
    <mergeCell ref="J3:M3"/>
    <mergeCell ref="N3:Q3"/>
    <mergeCell ref="R3:U3"/>
    <mergeCell ref="V3:Y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73</v>
      </c>
    </row>
    <row r="3" customFormat="false" ht="30" hidden="false" customHeight="true" outlineLevel="0" collapsed="false">
      <c r="A3" s="2" t="s">
        <v>74</v>
      </c>
      <c r="B3" s="34" t="s">
        <v>75</v>
      </c>
    </row>
    <row r="4" customFormat="false" ht="30" hidden="false" customHeight="true" outlineLevel="0" collapsed="false">
      <c r="A4" s="2" t="s">
        <v>76</v>
      </c>
      <c r="B4" s="34" t="s">
        <v>77</v>
      </c>
    </row>
    <row r="5" customFormat="false" ht="30" hidden="false" customHeight="true" outlineLevel="0" collapsed="false">
      <c r="A5" s="2" t="s">
        <v>78</v>
      </c>
      <c r="B5" s="34" t="s">
        <v>79</v>
      </c>
    </row>
    <row r="6" customFormat="false" ht="30" hidden="false" customHeight="true" outlineLevel="0" collapsed="false">
      <c r="A6" s="2" t="s">
        <v>27</v>
      </c>
      <c r="B6" s="34" t="s">
        <v>80</v>
      </c>
    </row>
    <row r="7" customFormat="false" ht="30" hidden="false" customHeight="true" outlineLevel="0" collapsed="false">
      <c r="A7" s="2" t="s">
        <v>29</v>
      </c>
      <c r="B7" s="34" t="s">
        <v>81</v>
      </c>
    </row>
    <row r="8" customFormat="false" ht="30" hidden="false" customHeight="true" outlineLevel="0" collapsed="false">
      <c r="A8" s="2" t="s">
        <v>31</v>
      </c>
      <c r="B8" s="34" t="s">
        <v>82</v>
      </c>
    </row>
    <row r="9" customFormat="false" ht="30" hidden="false" customHeight="true" outlineLevel="0" collapsed="false">
      <c r="A9" s="2" t="s">
        <v>33</v>
      </c>
      <c r="B9" s="34" t="s">
        <v>83</v>
      </c>
    </row>
    <row r="10" customFormat="false" ht="30" hidden="false" customHeight="true" outlineLevel="0" collapsed="false">
      <c r="A10" s="2" t="s">
        <v>35</v>
      </c>
      <c r="B10" s="34" t="s">
        <v>84</v>
      </c>
    </row>
    <row r="11" customFormat="false" ht="30" hidden="false" customHeight="true" outlineLevel="0" collapsed="false">
      <c r="A11" s="2" t="s">
        <v>37</v>
      </c>
      <c r="B11" s="34" t="s">
        <v>85</v>
      </c>
    </row>
    <row r="12" customFormat="false" ht="30" hidden="false" customHeight="true" outlineLevel="0" collapsed="false">
      <c r="A12" s="2" t="s">
        <v>86</v>
      </c>
      <c r="B12" s="34" t="s">
        <v>87</v>
      </c>
    </row>
    <row r="13" customFormat="false" ht="30" hidden="false" customHeight="true" outlineLevel="0" collapsed="false">
      <c r="A13" s="2" t="s">
        <v>88</v>
      </c>
      <c r="B13" s="34" t="s">
        <v>89</v>
      </c>
    </row>
    <row r="14" customFormat="false" ht="30" hidden="false" customHeight="true" outlineLevel="0" collapsed="false">
      <c r="A14" s="2" t="s">
        <v>90</v>
      </c>
      <c r="B14" s="34" t="s">
        <v>91</v>
      </c>
    </row>
    <row r="15" customFormat="false" ht="30" hidden="false" customHeight="true" outlineLevel="0" collapsed="false">
      <c r="A15" s="2" t="s">
        <v>92</v>
      </c>
      <c r="B15" s="34" t="s">
        <v>93</v>
      </c>
    </row>
    <row r="16" customFormat="false" ht="30" hidden="false" customHeight="true" outlineLevel="0" collapsed="false">
      <c r="A16" s="2" t="s">
        <v>94</v>
      </c>
      <c r="B16" s="34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2026-10-03T22:23:37Z</dcterms:created>
  <dc:creator>openpyxl</dc:creator>
  <dc:description/>
  <dc:language>en-US</dc:language>
  <cp:lastModifiedBy/>
  <dcterms:modified xsi:type="dcterms:W3CDTF">2026-10-03T22:23:40Z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