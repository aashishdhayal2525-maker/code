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rades" sheetId="2" state="visible" r:id="rId4"/>
    <sheet name="Silver Monthly" sheetId="3" state="visible" r:id="rId5"/>
    <sheet name="Gold Monthly" sheetId="4" state="visible" r:id="rId6"/>
    <sheet name="Notes" sheetId="5" state="visible" r:id="rId7"/>
  </sheets>
  <definedNames>
    <definedName function="false" hidden="true" localSheetId="1" name="_xlnm._FilterDatabase" vbProcedure="false">Trades!$A$1:$P$2161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Number of standard lots per trade. All P&amp;L scales with this.</t>
        </r>
      </text>
    </comment>
    <comment ref="B5" authorId="0">
      <text>
        <r>
          <rPr>
            <sz val="10"/>
            <rFont val="Arial"/>
            <family val="2"/>
          </rPr>
          <t xml:space="preserve">MCX SILVER lot = 30 kg, quoted in ₹/kg.</t>
        </r>
      </text>
    </comment>
    <comment ref="B6" authorId="0">
      <text>
        <r>
          <rPr>
            <sz val="10"/>
            <rFont val="Arial"/>
            <family val="2"/>
          </rPr>
          <t xml:space="preserve">MCX GOLD lot = 1 kg, quoted in ₹/10 g.</t>
        </r>
      </text>
    </comment>
  </commentList>
</comments>
</file>

<file path=xl/sharedStrings.xml><?xml version="1.0" encoding="utf-8"?>
<sst xmlns="http://schemas.openxmlformats.org/spreadsheetml/2006/main" count="8874" uniqueCount="108">
  <si>
    <t xml:space="preserve">Swastika Signal (reconstructed) - backtest summary, MCX 1h, Jan 2025 - Sep 2026</t>
  </si>
  <si>
    <t xml:space="preserve">Inputs (edit the yellow cells)</t>
  </si>
  <si>
    <t xml:space="preserve">Lots per trade</t>
  </si>
  <si>
    <t xml:space="preserve">Number of standard lots per trade. All P&amp;L scales with this.</t>
  </si>
  <si>
    <t xml:space="preserve">Silver: ₹ per point per lot</t>
  </si>
  <si>
    <t xml:space="preserve">MCX SILVER lot = 30 kg, quoted in ₹/kg.</t>
  </si>
  <si>
    <t xml:space="preserve">Gold: ₹ per point per lot</t>
  </si>
  <si>
    <t xml:space="preserve">MCX GOLD lot = 1 kg, quoted in ₹/10 g.</t>
  </si>
  <si>
    <t xml:space="preserve">Results by strategy (all formulas)</t>
  </si>
  <si>
    <t xml:space="preserve">Metal</t>
  </si>
  <si>
    <t xml:space="preserve">Strategy</t>
  </si>
  <si>
    <t xml:space="preserve">Description</t>
  </si>
  <si>
    <t xml:space="preserve">Trades</t>
  </si>
  <si>
    <t xml:space="preserve">Wins</t>
  </si>
  <si>
    <t xml:space="preserve">Win %</t>
  </si>
  <si>
    <t xml:space="preserve">Net P&amp;L (₹)</t>
  </si>
  <si>
    <t xml:space="preserve">2025 net (₹)</t>
  </si>
  <si>
    <t xml:space="preserve">2026 net (₹)</t>
  </si>
  <si>
    <t xml:space="preserve">Avg win (₹)</t>
  </si>
  <si>
    <t xml:space="preserve">Avg loss (₹)</t>
  </si>
  <si>
    <t xml:space="preserve">Profit factor</t>
  </si>
  <si>
    <t xml:space="preserve">Max drawdown (₹)</t>
  </si>
  <si>
    <t xml:space="preserve">Profitable months %</t>
  </si>
  <si>
    <t xml:space="preserve">Best month (₹)</t>
  </si>
  <si>
    <t xml:space="preserve">Worst month (₹)</t>
  </si>
  <si>
    <t xml:space="preserve">Trades / month</t>
  </si>
  <si>
    <t xml:space="preserve">SILVER</t>
  </si>
  <si>
    <t xml:space="preserve">V0</t>
  </si>
  <si>
    <t xml:space="preserve">Real Buy/Sell, always in</t>
  </si>
  <si>
    <t xml:space="preserve">V1</t>
  </si>
  <si>
    <t xml:space="preserve">Day filter</t>
  </si>
  <si>
    <t xml:space="preserve">W8</t>
  </si>
  <si>
    <t xml:space="preserve">Day filter + profit lock</t>
  </si>
  <si>
    <t xml:space="preserve">W8C</t>
  </si>
  <si>
    <t xml:space="preserve">Day + lock + 1-bar confirm</t>
  </si>
  <si>
    <t xml:space="preserve">T6</t>
  </si>
  <si>
    <t xml:space="preserve">W8, faster band x3/x4 (1h)</t>
  </si>
  <si>
    <t xml:space="preserve">T7</t>
  </si>
  <si>
    <t xml:space="preserve">W8 on 30m + trend re-entry</t>
  </si>
  <si>
    <t xml:space="preserve">U1</t>
  </si>
  <si>
    <t xml:space="preserve">W8 on 15m chart</t>
  </si>
  <si>
    <t xml:space="preserve">U9</t>
  </si>
  <si>
    <t xml:space="preserve">W8 on 5m chart</t>
  </si>
  <si>
    <t xml:space="preserve">Q1</t>
  </si>
  <si>
    <t xml:space="preserve">5m: 1h filter, lock 0.15R@0.3R, re-entry 120</t>
  </si>
  <si>
    <t xml:space="preserve">GOLD</t>
  </si>
  <si>
    <t xml:space="preserve">Highlighted rows = recommended setup (Day filter + profit lock). W8C was chosen after seeing results and rests on 16-18 trades. T6/T7/U1/U9 trade more often at a lower win rate. For 10+ trades a month with a high win rate: Q1 on Silver.</t>
  </si>
  <si>
    <t xml:space="preserve">Side</t>
  </si>
  <si>
    <t xml:space="preserve">Entry time</t>
  </si>
  <si>
    <t xml:space="preserve">Exit time</t>
  </si>
  <si>
    <t xml:space="preserve">Exit month</t>
  </si>
  <si>
    <t xml:space="preserve">Entry price</t>
  </si>
  <si>
    <t xml:space="preserve">Exit reason</t>
  </si>
  <si>
    <t xml:space="preserve">Net points / lot (after costs)</t>
  </si>
  <si>
    <t xml:space="preserve">Lots</t>
  </si>
  <si>
    <t xml:space="preserve">R multiple</t>
  </si>
  <si>
    <t xml:space="preserve">Win (1/0)</t>
  </si>
  <si>
    <t xml:space="preserve">Cumulative P&amp;L (₹)</t>
  </si>
  <si>
    <t xml:space="preserve">Peak (₹)</t>
  </si>
  <si>
    <t xml:space="preserve">Drawdown (₹)</t>
  </si>
  <si>
    <t xml:space="preserve">LONG</t>
  </si>
  <si>
    <t xml:space="preserve">flip</t>
  </si>
  <si>
    <t xml:space="preserve">SHORT</t>
  </si>
  <si>
    <t xml:space="preserve">end</t>
  </si>
  <si>
    <t xml:space="preserve">stop</t>
  </si>
  <si>
    <t xml:space="preserve">Silver - monthly backtest (P&amp;L booked in the month a trade closes)</t>
  </si>
  <si>
    <t xml:space="preserve">All figures are formulas over the Trades sheet; lot size comes from Summary!B4.</t>
  </si>
  <si>
    <t xml:space="preserve">Month</t>
  </si>
  <si>
    <t xml:space="preserve">V0: Real Buy/Sell, always in</t>
  </si>
  <si>
    <t xml:space="preserve">V1: Day filter</t>
  </si>
  <si>
    <t xml:space="preserve">W8: Day filter + profit lock</t>
  </si>
  <si>
    <t xml:space="preserve">W8C: Day + lock + 1-bar confirm</t>
  </si>
  <si>
    <t xml:space="preserve">T6: W8, faster band x3/x4 (1h)</t>
  </si>
  <si>
    <t xml:space="preserve">T7: W8 on 30m + trend re-entry</t>
  </si>
  <si>
    <t xml:space="preserve">U1: W8 on 15m chart</t>
  </si>
  <si>
    <t xml:space="preserve">U9: W8 on 5m chart</t>
  </si>
  <si>
    <t xml:space="preserve">Q1: 5m: 1h filter, lock 0.15R@0.3R, re-entry 120</t>
  </si>
  <si>
    <t xml:space="preserve">Cumulative (₹)</t>
  </si>
  <si>
    <t xml:space="preserve">2025 total</t>
  </si>
  <si>
    <t xml:space="preserve">2026 total (to Sep)</t>
  </si>
  <si>
    <t xml:space="preserve">All months</t>
  </si>
  <si>
    <t xml:space="preserve">Gold - monthly backtest (P&amp;L booked in the month a trade closes)</t>
  </si>
  <si>
    <t xml:space="preserve">Method and assumptions</t>
  </si>
  <si>
    <t xml:space="preserve">Data</t>
  </si>
  <si>
    <t xml:space="preserve">MCX near-month futures, 1-minute bars, 1 Jan 2025 - 23 Sep 2026 (user-supplied CSVs). Contract rolls are back-adjusted by the roll gap (like TradingView B-ADJ).</t>
  </si>
  <si>
    <t xml:space="preserve">Signals</t>
  </si>
  <si>
    <t xml:space="preserve">Reconstructed Swastika Signal on 1h bars from 09:00: SuperTrend band ATR 20, inner x5 / outer x6. These settings reproduce all 9 real Buy/Sell labels on the user's SILVER1! screenshot (Jul-Sep 2026).</t>
  </si>
  <si>
    <t xml:space="preserve">Day row</t>
  </si>
  <si>
    <t xml:space="preserve">Direction of the same band on daily bars, using the previous finished day only (no look-ahead).</t>
  </si>
  <si>
    <t xml:space="preserve">Every Buy/Sell label, always in the market (stop-and-reverse).</t>
  </si>
  <si>
    <t xml:space="preserve">Take Buy/Sell only when the Day row agrees; exit on the opposite label; otherwise flat.</t>
  </si>
  <si>
    <t xml:space="preserve">V1 + once the trade is +0.5R in profit, move the stop to entry +0.1R. R = distance from entry to the outer band at entry. Checked minute by minute.</t>
  </si>
  <si>
    <t xml:space="preserve">W8 + wait one bar after the signal and enter only if the band held and the bar closed beyond the signal bar. Chosen after seeing results; small sample (16-18 trades per metal).</t>
  </si>
  <si>
    <t xml:space="preserve">W8 with a faster band (inner x3 / outer x4, ATR 20) on 1h. About twice the trades; no longer matches the real indicator's settings.</t>
  </si>
  <si>
    <t xml:space="preserve">W8 on the 30m chart (real band settings) + trend re-entry: while flat and the band and Day row still agree, re-enter when a bar closes beyond the previous 20 bars' high (long) or low (short).</t>
  </si>
  <si>
    <t xml:space="preserve">W8 rules (real band settings, Day filter, profit lock) on the 15m chart. ~6 trades/month per metal.</t>
  </si>
  <si>
    <t xml:space="preserve">W8 rules on the 5m chart. ~16 trades/month per metal. Silver held in both years; Gold fell to PF 1.1 in 2026 and is fragile to slippage (research/ten_trades_costs.csv).</t>
  </si>
  <si>
    <t xml:space="preserve">5m chart, real band. Take signals only when the 1h band AND the Day row agree; once +0.3R, lock the stop at +0.15R; while flat and all three still agree, re-enter on a close beyond the last 120 bars' (10 h) high/low. Silver: ~16 trades/month, ~76% wins, held at 20-tick slippage. Gold: win rate falls to ~59% at 20 ticks. The re-entry part was chosen after seeing results (research/fast_winrate_followup.py).</t>
  </si>
  <si>
    <t xml:space="preserve">Execution</t>
  </si>
  <si>
    <t xml:space="preserve">Signal on 1h close, fill at next bar's open. Stops fill at the stop price, or the minute's open if it gapped.</t>
  </si>
  <si>
    <t xml:space="preserve">Costs</t>
  </si>
  <si>
    <t xml:space="preserve">Already inside 'Net points / lot': 0.02% of notional per round trip + 5 ticks slippage per side, plus one extra round trip for every roll a position is held through.</t>
  </si>
  <si>
    <t xml:space="preserve">Monthly P&amp;L</t>
  </si>
  <si>
    <t xml:space="preserve">Booked in the month a trade closes. Open positions are not marked to market at month end.</t>
  </si>
  <si>
    <t xml:space="preserve">Caveats</t>
  </si>
  <si>
    <t xml:space="preserve">2025-26 was a strong trending period for both metals. Back-adjustment removes the overnight move on roll days. Past results do not guarantee future returns.</t>
  </si>
  <si>
    <t xml:space="preserve">Blue / green / black</t>
  </si>
  <si>
    <t xml:space="preserve">Blue = values from the simulation, green = link to the Summary inputs, black = formulas.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</si>
</sst>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0;\-0;\-"/>
    <numFmt numFmtId="167" formatCode="0.0%;\-0.0%;\-"/>
    <numFmt numFmtId="168" formatCode="\₹#,##0;[RED]&quot;(₹&quot;#,##0\);\-"/>
    <numFmt numFmtId="169" formatCode="0.00"/>
    <numFmt numFmtId="170" formatCode="0.0"/>
    <numFmt numFmtId="171" formatCode="dd\-mmm\-yy\ hh:mm"/>
    <numFmt numFmtId="172" formatCode="mmm\-yyyy"/>
    <numFmt numFmtId="173" formatCode="#,##0.0;[RED]\-#,##0.0"/>
    <numFmt numFmtId="174" formatCode="0"/>
    <numFmt numFmtId="175" formatCode="0.00;[RED]\-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99"/>
      </patternFill>
    </fill>
    <fill>
      <patternFill patternType="solid">
        <fgColor rgb="FFD9E1F2"/>
        <bgColor rgb="FFD9D9D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8EA5CA"/>
      <rgbColor rgb="FFAA433F"/>
      <rgbColor rgb="FFF2F2F2"/>
      <rgbColor rgb="FFD9E1F2"/>
      <rgbColor rgb="FF660066"/>
      <rgbColor rgb="FFCC8F8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3C992"/>
      <rgbColor rgb="FFFF99CC"/>
      <rgbColor rgb="FFCC99FF"/>
      <rgbColor rgb="FFFFCC99"/>
      <rgbColor rgb="FF426FA6"/>
      <rgbColor rgb="FF33CCCC"/>
      <rgbColor rgb="FF99CC00"/>
      <rgbColor rgb="FFFFCC00"/>
      <rgbColor rgb="FFDB8238"/>
      <rgbColor rgb="FFFF6600"/>
      <rgbColor rgb="FF6F568D"/>
      <rgbColor rgb="FF87A44B"/>
      <rgbColor rgb="FF1F3864"/>
      <rgbColor rgb="FF3D97AF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Silver - cumulative net P&amp;L by month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"V0 Real Buy/Sell, always in"</c:f>
              <c:strCache>
                <c:ptCount val="1"/>
                <c:pt idx="0">
                  <c:v>V0 Real Buy/Sell, always in</c:v>
                </c:pt>
              </c:strCache>
            </c:strRef>
          </c:tx>
          <c:spPr>
            <a:solidFill>
              <a:srgbClr val="426fa6"/>
            </a:solidFill>
            <a:ln w="2844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'Silver Monthly'!$A$5:$A$25</c:f>
              <c:strCache>
                <c:ptCount val="21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  <c:pt idx="12">
                  <c:v>Jan-2026</c:v>
                </c:pt>
                <c:pt idx="13">
                  <c:v>Feb-2026</c:v>
                </c:pt>
                <c:pt idx="14">
                  <c:v>Mar-2026</c:v>
                </c:pt>
                <c:pt idx="15">
                  <c:v>Apr-2026</c:v>
                </c:pt>
                <c:pt idx="16">
                  <c:v>May-2026</c:v>
                </c:pt>
                <c:pt idx="17">
                  <c:v>Jun-2026</c:v>
                </c:pt>
                <c:pt idx="18">
                  <c:v>Jul-2026</c:v>
                </c:pt>
                <c:pt idx="19">
                  <c:v>Aug-2026</c:v>
                </c:pt>
                <c:pt idx="20">
                  <c:v>Sep-2026</c:v>
                </c:pt>
              </c:strCache>
            </c:strRef>
          </c:cat>
          <c:val>
            <c:numRef>
              <c:f>'Silver Monthly'!$E$5:$E$25</c:f>
              <c:numCache>
                <c:formatCode>\₹#,##0;[RED]"(₹"#,##0\);\-</c:formatCode>
                <c:ptCount val="21"/>
                <c:pt idx="0">
                  <c:v>-79423.2</c:v>
                </c:pt>
                <c:pt idx="1">
                  <c:v>-173286</c:v>
                </c:pt>
                <c:pt idx="2">
                  <c:v>-130751.4</c:v>
                </c:pt>
                <c:pt idx="3">
                  <c:v>94074.9</c:v>
                </c:pt>
                <c:pt idx="4">
                  <c:v>-144286.5</c:v>
                </c:pt>
                <c:pt idx="5">
                  <c:v>-35601.6</c:v>
                </c:pt>
                <c:pt idx="6">
                  <c:v>-81793.2</c:v>
                </c:pt>
                <c:pt idx="7">
                  <c:v>-20190.9</c:v>
                </c:pt>
                <c:pt idx="8">
                  <c:v>-15597.2999999999</c:v>
                </c:pt>
                <c:pt idx="9">
                  <c:v>807573</c:v>
                </c:pt>
                <c:pt idx="10">
                  <c:v>1025636.4</c:v>
                </c:pt>
                <c:pt idx="11">
                  <c:v>1718459.7</c:v>
                </c:pt>
                <c:pt idx="12">
                  <c:v>1632222</c:v>
                </c:pt>
                <c:pt idx="13">
                  <c:v>5064359.1</c:v>
                </c:pt>
                <c:pt idx="14">
                  <c:v>6047433.3</c:v>
                </c:pt>
                <c:pt idx="15">
                  <c:v>5252006.1</c:v>
                </c:pt>
                <c:pt idx="16">
                  <c:v>5306012.1</c:v>
                </c:pt>
                <c:pt idx="17">
                  <c:v>6420078.9</c:v>
                </c:pt>
                <c:pt idx="18">
                  <c:v>6625433.4</c:v>
                </c:pt>
                <c:pt idx="19">
                  <c:v>6618753.6</c:v>
                </c:pt>
                <c:pt idx="20">
                  <c:v>6378578.1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"V1 Day filter"</c:f>
              <c:strCache>
                <c:ptCount val="1"/>
                <c:pt idx="0">
                  <c:v>V1 Day filter</c:v>
                </c:pt>
              </c:strCache>
            </c:strRef>
          </c:tx>
          <c:spPr>
            <a:solidFill>
              <a:srgbClr val="aa433f"/>
            </a:solidFill>
            <a:ln w="2844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'Silver Monthly'!$A$5:$A$25</c:f>
              <c:strCache>
                <c:ptCount val="21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  <c:pt idx="12">
                  <c:v>Jan-2026</c:v>
                </c:pt>
                <c:pt idx="13">
                  <c:v>Feb-2026</c:v>
                </c:pt>
                <c:pt idx="14">
                  <c:v>Mar-2026</c:v>
                </c:pt>
                <c:pt idx="15">
                  <c:v>Apr-2026</c:v>
                </c:pt>
                <c:pt idx="16">
                  <c:v>May-2026</c:v>
                </c:pt>
                <c:pt idx="17">
                  <c:v>Jun-2026</c:v>
                </c:pt>
                <c:pt idx="18">
                  <c:v>Jul-2026</c:v>
                </c:pt>
                <c:pt idx="19">
                  <c:v>Aug-2026</c:v>
                </c:pt>
                <c:pt idx="20">
                  <c:v>Sep-2026</c:v>
                </c:pt>
              </c:strCache>
            </c:strRef>
          </c:cat>
          <c:val>
            <c:numRef>
              <c:f>'Silver Monthly'!$I$5:$I$25</c:f>
              <c:numCache>
                <c:formatCode>\₹#,##0;[RED]"(₹"#,##0\);\-</c:formatCode>
                <c:ptCount val="21"/>
                <c:pt idx="0">
                  <c:v>0</c:v>
                </c:pt>
                <c:pt idx="1">
                  <c:v>-92219.1</c:v>
                </c:pt>
                <c:pt idx="2">
                  <c:v>-101277.6</c:v>
                </c:pt>
                <c:pt idx="3">
                  <c:v>93386.1</c:v>
                </c:pt>
                <c:pt idx="4">
                  <c:v>-33748.2</c:v>
                </c:pt>
                <c:pt idx="5">
                  <c:v>-114077.4</c:v>
                </c:pt>
                <c:pt idx="6">
                  <c:v>-35233.5</c:v>
                </c:pt>
                <c:pt idx="7">
                  <c:v>-9568.49999999996</c:v>
                </c:pt>
                <c:pt idx="8">
                  <c:v>197642.1</c:v>
                </c:pt>
                <c:pt idx="9">
                  <c:v>891360.3</c:v>
                </c:pt>
                <c:pt idx="10">
                  <c:v>1162933.2</c:v>
                </c:pt>
                <c:pt idx="11">
                  <c:v>2697719.1</c:v>
                </c:pt>
                <c:pt idx="12">
                  <c:v>4500822</c:v>
                </c:pt>
                <c:pt idx="13">
                  <c:v>4500822</c:v>
                </c:pt>
                <c:pt idx="14">
                  <c:v>5358323.4</c:v>
                </c:pt>
                <c:pt idx="15">
                  <c:v>4829722.5</c:v>
                </c:pt>
                <c:pt idx="16">
                  <c:v>4453309.5</c:v>
                </c:pt>
                <c:pt idx="17">
                  <c:v>5877179.7</c:v>
                </c:pt>
                <c:pt idx="18">
                  <c:v>6085194.3</c:v>
                </c:pt>
                <c:pt idx="19">
                  <c:v>5739147.9</c:v>
                </c:pt>
                <c:pt idx="20">
                  <c:v>5793475.8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"W8 Day filter + profit lock"</c:f>
              <c:strCache>
                <c:ptCount val="1"/>
                <c:pt idx="0">
                  <c:v>W8 Day filter + profit lock</c:v>
                </c:pt>
              </c:strCache>
            </c:strRef>
          </c:tx>
          <c:spPr>
            <a:solidFill>
              <a:srgbClr val="87a44b"/>
            </a:solidFill>
            <a:ln w="2844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'Silver Monthly'!$A$5:$A$25</c:f>
              <c:strCache>
                <c:ptCount val="21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  <c:pt idx="12">
                  <c:v>Jan-2026</c:v>
                </c:pt>
                <c:pt idx="13">
                  <c:v>Feb-2026</c:v>
                </c:pt>
                <c:pt idx="14">
                  <c:v>Mar-2026</c:v>
                </c:pt>
                <c:pt idx="15">
                  <c:v>Apr-2026</c:v>
                </c:pt>
                <c:pt idx="16">
                  <c:v>May-2026</c:v>
                </c:pt>
                <c:pt idx="17">
                  <c:v>Jun-2026</c:v>
                </c:pt>
                <c:pt idx="18">
                  <c:v>Jul-2026</c:v>
                </c:pt>
                <c:pt idx="19">
                  <c:v>Aug-2026</c:v>
                </c:pt>
                <c:pt idx="20">
                  <c:v>Sep-2026</c:v>
                </c:pt>
              </c:strCache>
            </c:strRef>
          </c:cat>
          <c:val>
            <c:numRef>
              <c:f>'Silver Monthly'!$M$5:$M$25</c:f>
              <c:numCache>
                <c:formatCode>\₹#,##0;[RED]"(₹"#,##0\);\-</c:formatCode>
                <c:ptCount val="21"/>
                <c:pt idx="0">
                  <c:v>0</c:v>
                </c:pt>
                <c:pt idx="1">
                  <c:v>-92219.1</c:v>
                </c:pt>
                <c:pt idx="2">
                  <c:v>-70897.8</c:v>
                </c:pt>
                <c:pt idx="3">
                  <c:v>123765.9</c:v>
                </c:pt>
                <c:pt idx="4">
                  <c:v>43818</c:v>
                </c:pt>
                <c:pt idx="5">
                  <c:v>-36511.2</c:v>
                </c:pt>
                <c:pt idx="6">
                  <c:v>75070.8000000001</c:v>
                </c:pt>
                <c:pt idx="7">
                  <c:v>100735.8</c:v>
                </c:pt>
                <c:pt idx="8">
                  <c:v>348566.4</c:v>
                </c:pt>
                <c:pt idx="9">
                  <c:v>850978.5</c:v>
                </c:pt>
                <c:pt idx="10">
                  <c:v>1122551.4</c:v>
                </c:pt>
                <c:pt idx="11">
                  <c:v>2657337.3</c:v>
                </c:pt>
                <c:pt idx="12">
                  <c:v>4348685.7</c:v>
                </c:pt>
                <c:pt idx="13">
                  <c:v>4348685.7</c:v>
                </c:pt>
                <c:pt idx="14">
                  <c:v>4455248.4</c:v>
                </c:pt>
                <c:pt idx="15">
                  <c:v>3962100.9</c:v>
                </c:pt>
                <c:pt idx="16">
                  <c:v>3652027.2</c:v>
                </c:pt>
                <c:pt idx="17">
                  <c:v>5075897.4</c:v>
                </c:pt>
                <c:pt idx="18">
                  <c:v>5304717</c:v>
                </c:pt>
                <c:pt idx="19">
                  <c:v>5094555.6</c:v>
                </c:pt>
                <c:pt idx="20">
                  <c:v>5072715.3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"W8C Day + lock + 1-bar confirm"</c:f>
              <c:strCache>
                <c:ptCount val="1"/>
                <c:pt idx="0">
                  <c:v>W8C Day + lock + 1-bar confirm</c:v>
                </c:pt>
              </c:strCache>
            </c:strRef>
          </c:tx>
          <c:spPr>
            <a:solidFill>
              <a:srgbClr val="6f568d"/>
            </a:solidFill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'Silver Monthly'!$A$5:$A$25</c:f>
              <c:strCache>
                <c:ptCount val="21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  <c:pt idx="12">
                  <c:v>Jan-2026</c:v>
                </c:pt>
                <c:pt idx="13">
                  <c:v>Feb-2026</c:v>
                </c:pt>
                <c:pt idx="14">
                  <c:v>Mar-2026</c:v>
                </c:pt>
                <c:pt idx="15">
                  <c:v>Apr-2026</c:v>
                </c:pt>
                <c:pt idx="16">
                  <c:v>May-2026</c:v>
                </c:pt>
                <c:pt idx="17">
                  <c:v>Jun-2026</c:v>
                </c:pt>
                <c:pt idx="18">
                  <c:v>Jul-2026</c:v>
                </c:pt>
                <c:pt idx="19">
                  <c:v>Aug-2026</c:v>
                </c:pt>
                <c:pt idx="20">
                  <c:v>Sep-2026</c:v>
                </c:pt>
              </c:strCache>
            </c:strRef>
          </c:cat>
          <c:val>
            <c:numRef>
              <c:f>'Silver Monthly'!$Q$5:$Q$25</c:f>
              <c:numCache>
                <c:formatCode>\₹#,##0;[RED]"(₹"#,##0\);\-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15062.4</c:v>
                </c:pt>
                <c:pt idx="3">
                  <c:v>15062.4</c:v>
                </c:pt>
                <c:pt idx="4">
                  <c:v>22298.4</c:v>
                </c:pt>
                <c:pt idx="5">
                  <c:v>22298.4</c:v>
                </c:pt>
                <c:pt idx="6">
                  <c:v>27854.4</c:v>
                </c:pt>
                <c:pt idx="7">
                  <c:v>27854.4</c:v>
                </c:pt>
                <c:pt idx="8">
                  <c:v>273028.2</c:v>
                </c:pt>
                <c:pt idx="9">
                  <c:v>273028.2</c:v>
                </c:pt>
                <c:pt idx="10">
                  <c:v>531909.9</c:v>
                </c:pt>
                <c:pt idx="11">
                  <c:v>1178374.8</c:v>
                </c:pt>
                <c:pt idx="12">
                  <c:v>2707383</c:v>
                </c:pt>
                <c:pt idx="13">
                  <c:v>2707383</c:v>
                </c:pt>
                <c:pt idx="14">
                  <c:v>2721801.3</c:v>
                </c:pt>
                <c:pt idx="15">
                  <c:v>2754183.3</c:v>
                </c:pt>
                <c:pt idx="16">
                  <c:v>2814296.1</c:v>
                </c:pt>
                <c:pt idx="17">
                  <c:v>3266768.4</c:v>
                </c:pt>
                <c:pt idx="18">
                  <c:v>3464943.9</c:v>
                </c:pt>
                <c:pt idx="19">
                  <c:v>3464943.9</c:v>
                </c:pt>
                <c:pt idx="20">
                  <c:v>3316208.4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"T6 W8, faster band x3/x4 (1h)"</c:f>
              <c:strCache>
                <c:ptCount val="1"/>
                <c:pt idx="0">
                  <c:v>T6 W8, faster band x3/x4 (1h)</c:v>
                </c:pt>
              </c:strCache>
            </c:strRef>
          </c:tx>
          <c:spPr>
            <a:solidFill>
              <a:srgbClr val="3d97af"/>
            </a:solidFill>
            <a:ln w="2844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'Silver Monthly'!$A$5:$A$25</c:f>
              <c:strCache>
                <c:ptCount val="21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  <c:pt idx="12">
                  <c:v>Jan-2026</c:v>
                </c:pt>
                <c:pt idx="13">
                  <c:v>Feb-2026</c:v>
                </c:pt>
                <c:pt idx="14">
                  <c:v>Mar-2026</c:v>
                </c:pt>
                <c:pt idx="15">
                  <c:v>Apr-2026</c:v>
                </c:pt>
                <c:pt idx="16">
                  <c:v>May-2026</c:v>
                </c:pt>
                <c:pt idx="17">
                  <c:v>Jun-2026</c:v>
                </c:pt>
                <c:pt idx="18">
                  <c:v>Jul-2026</c:v>
                </c:pt>
                <c:pt idx="19">
                  <c:v>Aug-2026</c:v>
                </c:pt>
                <c:pt idx="20">
                  <c:v>Sep-2026</c:v>
                </c:pt>
              </c:strCache>
            </c:strRef>
          </c:cat>
          <c:val>
            <c:numRef>
              <c:f>'Silver Monthly'!$U$5:$U$25</c:f>
              <c:numCache>
                <c:formatCode>\₹#,##0;[RED]"(₹"#,##0\);\-</c:formatCode>
                <c:ptCount val="21"/>
                <c:pt idx="0">
                  <c:v>0</c:v>
                </c:pt>
                <c:pt idx="1">
                  <c:v>-28711.2</c:v>
                </c:pt>
                <c:pt idx="2">
                  <c:v>29181</c:v>
                </c:pt>
                <c:pt idx="3">
                  <c:v>-89931</c:v>
                </c:pt>
                <c:pt idx="4">
                  <c:v>-58765.2</c:v>
                </c:pt>
                <c:pt idx="5">
                  <c:v>-130370.7</c:v>
                </c:pt>
                <c:pt idx="6">
                  <c:v>-82809</c:v>
                </c:pt>
                <c:pt idx="7">
                  <c:v>-48559.5</c:v>
                </c:pt>
                <c:pt idx="8">
                  <c:v>545340.6</c:v>
                </c:pt>
                <c:pt idx="9">
                  <c:v>850829.1</c:v>
                </c:pt>
                <c:pt idx="10">
                  <c:v>619241.7</c:v>
                </c:pt>
                <c:pt idx="11">
                  <c:v>2729003.7</c:v>
                </c:pt>
                <c:pt idx="12">
                  <c:v>5803082.7</c:v>
                </c:pt>
                <c:pt idx="13">
                  <c:v>5539314</c:v>
                </c:pt>
                <c:pt idx="14">
                  <c:v>5504106</c:v>
                </c:pt>
                <c:pt idx="15">
                  <c:v>5127427.5</c:v>
                </c:pt>
                <c:pt idx="16">
                  <c:v>5125695</c:v>
                </c:pt>
                <c:pt idx="17">
                  <c:v>5377677</c:v>
                </c:pt>
                <c:pt idx="18">
                  <c:v>5512608.9</c:v>
                </c:pt>
                <c:pt idx="19">
                  <c:v>5194346.1</c:v>
                </c:pt>
                <c:pt idx="20">
                  <c:v>5244862.2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"T7 W8 on 30m + trend re-entry"</c:f>
              <c:strCache>
                <c:ptCount val="1"/>
                <c:pt idx="0">
                  <c:v>T7 W8 on 30m + trend re-entry</c:v>
                </c:pt>
              </c:strCache>
            </c:strRef>
          </c:tx>
          <c:spPr>
            <a:solidFill>
              <a:srgbClr val="db8238"/>
            </a:solidFill>
            <a:ln w="2844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'Silver Monthly'!$A$5:$A$25</c:f>
              <c:strCache>
                <c:ptCount val="21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  <c:pt idx="12">
                  <c:v>Jan-2026</c:v>
                </c:pt>
                <c:pt idx="13">
                  <c:v>Feb-2026</c:v>
                </c:pt>
                <c:pt idx="14">
                  <c:v>Mar-2026</c:v>
                </c:pt>
                <c:pt idx="15">
                  <c:v>Apr-2026</c:v>
                </c:pt>
                <c:pt idx="16">
                  <c:v>May-2026</c:v>
                </c:pt>
                <c:pt idx="17">
                  <c:v>Jun-2026</c:v>
                </c:pt>
                <c:pt idx="18">
                  <c:v>Jul-2026</c:v>
                </c:pt>
                <c:pt idx="19">
                  <c:v>Aug-2026</c:v>
                </c:pt>
                <c:pt idx="20">
                  <c:v>Sep-2026</c:v>
                </c:pt>
              </c:strCache>
            </c:strRef>
          </c:cat>
          <c:val>
            <c:numRef>
              <c:f>'Silver Monthly'!$Y$5:$Y$25</c:f>
              <c:numCache>
                <c:formatCode>\₹#,##0;[RED]"(₹"#,##0\);\-</c:formatCode>
                <c:ptCount val="21"/>
                <c:pt idx="0">
                  <c:v>0</c:v>
                </c:pt>
                <c:pt idx="1">
                  <c:v>19050.3</c:v>
                </c:pt>
                <c:pt idx="2">
                  <c:v>-41460.3</c:v>
                </c:pt>
                <c:pt idx="3">
                  <c:v>98112.6</c:v>
                </c:pt>
                <c:pt idx="4">
                  <c:v>51855.3</c:v>
                </c:pt>
                <c:pt idx="5">
                  <c:v>26540.4</c:v>
                </c:pt>
                <c:pt idx="6">
                  <c:v>122423.1</c:v>
                </c:pt>
                <c:pt idx="7">
                  <c:v>147374.1</c:v>
                </c:pt>
                <c:pt idx="8">
                  <c:v>745443</c:v>
                </c:pt>
                <c:pt idx="9">
                  <c:v>1108245.9</c:v>
                </c:pt>
                <c:pt idx="10">
                  <c:v>1472753.7</c:v>
                </c:pt>
                <c:pt idx="11">
                  <c:v>3000381.3</c:v>
                </c:pt>
                <c:pt idx="12">
                  <c:v>6049002</c:v>
                </c:pt>
                <c:pt idx="13">
                  <c:v>5272980</c:v>
                </c:pt>
                <c:pt idx="14">
                  <c:v>5561672.4</c:v>
                </c:pt>
                <c:pt idx="15">
                  <c:v>5347413.9</c:v>
                </c:pt>
                <c:pt idx="16">
                  <c:v>5345681.4</c:v>
                </c:pt>
                <c:pt idx="17">
                  <c:v>6920562.6</c:v>
                </c:pt>
                <c:pt idx="18">
                  <c:v>7084250.7</c:v>
                </c:pt>
                <c:pt idx="19">
                  <c:v>6741150.3</c:v>
                </c:pt>
                <c:pt idx="20">
                  <c:v>6679868.7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"U1 W8 on 15m chart"</c:f>
              <c:strCache>
                <c:ptCount val="1"/>
                <c:pt idx="0">
                  <c:v>U1 W8 on 15m chart</c:v>
                </c:pt>
              </c:strCache>
            </c:strRef>
          </c:tx>
          <c:spPr>
            <a:solidFill>
              <a:srgbClr val="8ea5ca"/>
            </a:solidFill>
            <a:ln w="2844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'Silver Monthly'!$A$5:$A$25</c:f>
              <c:strCache>
                <c:ptCount val="21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  <c:pt idx="12">
                  <c:v>Jan-2026</c:v>
                </c:pt>
                <c:pt idx="13">
                  <c:v>Feb-2026</c:v>
                </c:pt>
                <c:pt idx="14">
                  <c:v>Mar-2026</c:v>
                </c:pt>
                <c:pt idx="15">
                  <c:v>Apr-2026</c:v>
                </c:pt>
                <c:pt idx="16">
                  <c:v>May-2026</c:v>
                </c:pt>
                <c:pt idx="17">
                  <c:v>Jun-2026</c:v>
                </c:pt>
                <c:pt idx="18">
                  <c:v>Jul-2026</c:v>
                </c:pt>
                <c:pt idx="19">
                  <c:v>Aug-2026</c:v>
                </c:pt>
                <c:pt idx="20">
                  <c:v>Sep-2026</c:v>
                </c:pt>
              </c:strCache>
            </c:strRef>
          </c:cat>
          <c:val>
            <c:numRef>
              <c:f>'Silver Monthly'!$AC$5:$AC$25</c:f>
              <c:numCache>
                <c:formatCode>\₹#,##0;[RED]"(₹"#,##0\);\-</c:formatCode>
                <c:ptCount val="21"/>
                <c:pt idx="0">
                  <c:v>0</c:v>
                </c:pt>
                <c:pt idx="1">
                  <c:v>8373.3</c:v>
                </c:pt>
                <c:pt idx="2">
                  <c:v>-26235</c:v>
                </c:pt>
                <c:pt idx="3">
                  <c:v>-45838.8</c:v>
                </c:pt>
                <c:pt idx="4">
                  <c:v>-132924.6</c:v>
                </c:pt>
                <c:pt idx="5">
                  <c:v>-99027.6</c:v>
                </c:pt>
                <c:pt idx="6">
                  <c:v>-66313.8</c:v>
                </c:pt>
                <c:pt idx="7">
                  <c:v>154244.1</c:v>
                </c:pt>
                <c:pt idx="8">
                  <c:v>566800.2</c:v>
                </c:pt>
                <c:pt idx="9">
                  <c:v>631209.6</c:v>
                </c:pt>
                <c:pt idx="10">
                  <c:v>812478.6</c:v>
                </c:pt>
                <c:pt idx="11">
                  <c:v>1787140.8</c:v>
                </c:pt>
                <c:pt idx="12">
                  <c:v>4237774.2</c:v>
                </c:pt>
                <c:pt idx="13">
                  <c:v>4303125.6</c:v>
                </c:pt>
                <c:pt idx="14">
                  <c:v>5194729.2</c:v>
                </c:pt>
                <c:pt idx="15">
                  <c:v>5118163.8</c:v>
                </c:pt>
                <c:pt idx="16">
                  <c:v>5117998.5</c:v>
                </c:pt>
                <c:pt idx="17">
                  <c:v>5379503.7</c:v>
                </c:pt>
                <c:pt idx="18">
                  <c:v>5213432.7</c:v>
                </c:pt>
                <c:pt idx="19">
                  <c:v>5106437.7</c:v>
                </c:pt>
                <c:pt idx="20">
                  <c:v>4918910.4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"U9 W8 on 5m chart"</c:f>
              <c:strCache>
                <c:ptCount val="1"/>
                <c:pt idx="0">
                  <c:v>U9 W8 on 5m chart</c:v>
                </c:pt>
              </c:strCache>
            </c:strRef>
          </c:tx>
          <c:spPr>
            <a:solidFill>
              <a:srgbClr val="cc8f8e"/>
            </a:solidFill>
            <a:ln w="2844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'Silver Monthly'!$A$5:$A$25</c:f>
              <c:strCache>
                <c:ptCount val="21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  <c:pt idx="12">
                  <c:v>Jan-2026</c:v>
                </c:pt>
                <c:pt idx="13">
                  <c:v>Feb-2026</c:v>
                </c:pt>
                <c:pt idx="14">
                  <c:v>Mar-2026</c:v>
                </c:pt>
                <c:pt idx="15">
                  <c:v>Apr-2026</c:v>
                </c:pt>
                <c:pt idx="16">
                  <c:v>May-2026</c:v>
                </c:pt>
                <c:pt idx="17">
                  <c:v>Jun-2026</c:v>
                </c:pt>
                <c:pt idx="18">
                  <c:v>Jul-2026</c:v>
                </c:pt>
                <c:pt idx="19">
                  <c:v>Aug-2026</c:v>
                </c:pt>
                <c:pt idx="20">
                  <c:v>Sep-2026</c:v>
                </c:pt>
              </c:strCache>
            </c:strRef>
          </c:cat>
          <c:val>
            <c:numRef>
              <c:f>'Silver Monthly'!$AG$5:$AG$25</c:f>
              <c:numCache>
                <c:formatCode>\₹#,##0;[RED]"(₹"#,##0\);\-</c:formatCode>
                <c:ptCount val="21"/>
                <c:pt idx="0">
                  <c:v>702</c:v>
                </c:pt>
                <c:pt idx="1">
                  <c:v>-37409.7</c:v>
                </c:pt>
                <c:pt idx="2">
                  <c:v>-168098.7</c:v>
                </c:pt>
                <c:pt idx="3">
                  <c:v>105906</c:v>
                </c:pt>
                <c:pt idx="4">
                  <c:v>73695.6</c:v>
                </c:pt>
                <c:pt idx="5">
                  <c:v>-4762.8</c:v>
                </c:pt>
                <c:pt idx="6">
                  <c:v>120530.7</c:v>
                </c:pt>
                <c:pt idx="7">
                  <c:v>180073.5</c:v>
                </c:pt>
                <c:pt idx="8">
                  <c:v>616862.7</c:v>
                </c:pt>
                <c:pt idx="9">
                  <c:v>869634.3</c:v>
                </c:pt>
                <c:pt idx="10">
                  <c:v>1024536.3</c:v>
                </c:pt>
                <c:pt idx="11">
                  <c:v>2313441.9</c:v>
                </c:pt>
                <c:pt idx="12">
                  <c:v>5848759.2</c:v>
                </c:pt>
                <c:pt idx="13">
                  <c:v>5790017.4</c:v>
                </c:pt>
                <c:pt idx="14">
                  <c:v>6663476.4</c:v>
                </c:pt>
                <c:pt idx="15">
                  <c:v>6827147.7</c:v>
                </c:pt>
                <c:pt idx="16">
                  <c:v>7633039.5</c:v>
                </c:pt>
                <c:pt idx="17">
                  <c:v>8931955.2</c:v>
                </c:pt>
                <c:pt idx="18">
                  <c:v>9250511.1</c:v>
                </c:pt>
                <c:pt idx="19">
                  <c:v>9025158.6</c:v>
                </c:pt>
                <c:pt idx="20">
                  <c:v>9616894.2</c:v>
                </c:pt>
              </c:numCache>
            </c:numRef>
          </c:val>
          <c:smooth val="1"/>
        </c:ser>
        <c:ser>
          <c:idx val="8"/>
          <c:order val="8"/>
          <c:tx>
            <c:strRef>
              <c:f>"Q1 5m: 1h filter, lock 0.15R@0.3R, re-entry 120"</c:f>
              <c:strCache>
                <c:ptCount val="1"/>
                <c:pt idx="0">
                  <c:v>Q1 5m: 1h filter, lock 0.15R@0.3R, re-entry 120</c:v>
                </c:pt>
              </c:strCache>
            </c:strRef>
          </c:tx>
          <c:spPr>
            <a:solidFill>
              <a:srgbClr val="b3c992"/>
            </a:solidFill>
            <a:ln w="2844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'Silver Monthly'!$A$5:$A$25</c:f>
              <c:strCache>
                <c:ptCount val="21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  <c:pt idx="12">
                  <c:v>Jan-2026</c:v>
                </c:pt>
                <c:pt idx="13">
                  <c:v>Feb-2026</c:v>
                </c:pt>
                <c:pt idx="14">
                  <c:v>Mar-2026</c:v>
                </c:pt>
                <c:pt idx="15">
                  <c:v>Apr-2026</c:v>
                </c:pt>
                <c:pt idx="16">
                  <c:v>May-2026</c:v>
                </c:pt>
                <c:pt idx="17">
                  <c:v>Jun-2026</c:v>
                </c:pt>
                <c:pt idx="18">
                  <c:v>Jul-2026</c:v>
                </c:pt>
                <c:pt idx="19">
                  <c:v>Aug-2026</c:v>
                </c:pt>
                <c:pt idx="20">
                  <c:v>Sep-2026</c:v>
                </c:pt>
              </c:strCache>
            </c:strRef>
          </c:cat>
          <c:val>
            <c:numRef>
              <c:f>'Silver Monthly'!$AK$5:$AK$25</c:f>
              <c:numCache>
                <c:formatCode>\₹#,##0;[RED]"(₹"#,##0\);\-</c:formatCode>
                <c:ptCount val="21"/>
                <c:pt idx="0">
                  <c:v>0</c:v>
                </c:pt>
                <c:pt idx="1">
                  <c:v>-134557.2</c:v>
                </c:pt>
                <c:pt idx="2">
                  <c:v>-211500.6</c:v>
                </c:pt>
                <c:pt idx="3">
                  <c:v>73713.6</c:v>
                </c:pt>
                <c:pt idx="4">
                  <c:v>23628.3</c:v>
                </c:pt>
                <c:pt idx="5">
                  <c:v>17306.7</c:v>
                </c:pt>
                <c:pt idx="6">
                  <c:v>113770.5</c:v>
                </c:pt>
                <c:pt idx="7">
                  <c:v>135425.4</c:v>
                </c:pt>
                <c:pt idx="8">
                  <c:v>473852.1</c:v>
                </c:pt>
                <c:pt idx="9">
                  <c:v>501566.1</c:v>
                </c:pt>
                <c:pt idx="10">
                  <c:v>700874.4</c:v>
                </c:pt>
                <c:pt idx="11">
                  <c:v>1742147.7</c:v>
                </c:pt>
                <c:pt idx="12">
                  <c:v>3856359.6</c:v>
                </c:pt>
                <c:pt idx="13">
                  <c:v>5400143.7</c:v>
                </c:pt>
                <c:pt idx="14">
                  <c:v>6011181.9</c:v>
                </c:pt>
                <c:pt idx="15">
                  <c:v>6094626.3</c:v>
                </c:pt>
                <c:pt idx="16">
                  <c:v>6487537.8</c:v>
                </c:pt>
                <c:pt idx="17">
                  <c:v>7304960.4</c:v>
                </c:pt>
                <c:pt idx="18">
                  <c:v>7392887.1</c:v>
                </c:pt>
                <c:pt idx="19">
                  <c:v>7326002.7</c:v>
                </c:pt>
                <c:pt idx="20">
                  <c:v>7429502.1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3223055"/>
        <c:axId val="92225427"/>
      </c:lineChart>
      <c:catAx>
        <c:axId val="23223055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225427"/>
        <c:crosses val="autoZero"/>
        <c:auto val="1"/>
        <c:lblAlgn val="ctr"/>
        <c:lblOffset val="100"/>
        <c:noMultiLvlLbl val="0"/>
      </c:catAx>
      <c:valAx>
        <c:axId val="922254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2230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Gold - cumulative net P&amp;L by month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"V0 Real Buy/Sell, always in"</c:f>
              <c:strCache>
                <c:ptCount val="1"/>
                <c:pt idx="0">
                  <c:v>V0 Real Buy/Sell, always in</c:v>
                </c:pt>
              </c:strCache>
            </c:strRef>
          </c:tx>
          <c:spPr>
            <a:solidFill>
              <a:srgbClr val="426fa6"/>
            </a:solidFill>
            <a:ln w="2844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'Gold Monthly'!$A$5:$A$25</c:f>
              <c:strCache>
                <c:ptCount val="21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  <c:pt idx="12">
                  <c:v>Jan-2026</c:v>
                </c:pt>
                <c:pt idx="13">
                  <c:v>Feb-2026</c:v>
                </c:pt>
                <c:pt idx="14">
                  <c:v>Mar-2026</c:v>
                </c:pt>
                <c:pt idx="15">
                  <c:v>Apr-2026</c:v>
                </c:pt>
                <c:pt idx="16">
                  <c:v>May-2026</c:v>
                </c:pt>
                <c:pt idx="17">
                  <c:v>Jun-2026</c:v>
                </c:pt>
                <c:pt idx="18">
                  <c:v>Jul-2026</c:v>
                </c:pt>
                <c:pt idx="19">
                  <c:v>Aug-2026</c:v>
                </c:pt>
                <c:pt idx="20">
                  <c:v>Sep-2026</c:v>
                </c:pt>
              </c:strCache>
            </c:strRef>
          </c:cat>
          <c:val>
            <c:numRef>
              <c:f>'Gold Monthly'!$E$5:$E$25</c:f>
              <c:numCache>
                <c:formatCode>\₹#,##0;[RED]"(₹"#,##0\);\-</c:formatCode>
                <c:ptCount val="21"/>
                <c:pt idx="0">
                  <c:v>0</c:v>
                </c:pt>
                <c:pt idx="1">
                  <c:v>482841</c:v>
                </c:pt>
                <c:pt idx="2">
                  <c:v>528839</c:v>
                </c:pt>
                <c:pt idx="3">
                  <c:v>1117304</c:v>
                </c:pt>
                <c:pt idx="4">
                  <c:v>1062830</c:v>
                </c:pt>
                <c:pt idx="5">
                  <c:v>856600</c:v>
                </c:pt>
                <c:pt idx="6">
                  <c:v>701023</c:v>
                </c:pt>
                <c:pt idx="7">
                  <c:v>885028</c:v>
                </c:pt>
                <c:pt idx="8">
                  <c:v>1577845</c:v>
                </c:pt>
                <c:pt idx="9">
                  <c:v>2560356</c:v>
                </c:pt>
                <c:pt idx="10">
                  <c:v>3070779</c:v>
                </c:pt>
                <c:pt idx="11">
                  <c:v>4038831</c:v>
                </c:pt>
                <c:pt idx="12">
                  <c:v>4136127</c:v>
                </c:pt>
                <c:pt idx="13">
                  <c:v>5304610</c:v>
                </c:pt>
                <c:pt idx="14">
                  <c:v>8028111</c:v>
                </c:pt>
                <c:pt idx="15">
                  <c:v>7235704</c:v>
                </c:pt>
                <c:pt idx="16">
                  <c:v>7894004</c:v>
                </c:pt>
                <c:pt idx="17">
                  <c:v>8336687</c:v>
                </c:pt>
                <c:pt idx="18">
                  <c:v>8775954</c:v>
                </c:pt>
                <c:pt idx="19">
                  <c:v>10197812</c:v>
                </c:pt>
                <c:pt idx="20">
                  <c:v>9564695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"V1 Day filter"</c:f>
              <c:strCache>
                <c:ptCount val="1"/>
                <c:pt idx="0">
                  <c:v>V1 Day filter</c:v>
                </c:pt>
              </c:strCache>
            </c:strRef>
          </c:tx>
          <c:spPr>
            <a:solidFill>
              <a:srgbClr val="aa433f"/>
            </a:solidFill>
            <a:ln w="2844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'Gold Monthly'!$A$5:$A$25</c:f>
              <c:strCache>
                <c:ptCount val="21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  <c:pt idx="12">
                  <c:v>Jan-2026</c:v>
                </c:pt>
                <c:pt idx="13">
                  <c:v>Feb-2026</c:v>
                </c:pt>
                <c:pt idx="14">
                  <c:v>Mar-2026</c:v>
                </c:pt>
                <c:pt idx="15">
                  <c:v>Apr-2026</c:v>
                </c:pt>
                <c:pt idx="16">
                  <c:v>May-2026</c:v>
                </c:pt>
                <c:pt idx="17">
                  <c:v>Jun-2026</c:v>
                </c:pt>
                <c:pt idx="18">
                  <c:v>Jul-2026</c:v>
                </c:pt>
                <c:pt idx="19">
                  <c:v>Aug-2026</c:v>
                </c:pt>
                <c:pt idx="20">
                  <c:v>Sep-2026</c:v>
                </c:pt>
              </c:strCache>
            </c:strRef>
          </c:cat>
          <c:val>
            <c:numRef>
              <c:f>'Gold Monthly'!$I$5:$I$25</c:f>
              <c:numCache>
                <c:formatCode>\₹#,##0;[RED]"(₹"#,##0\);\-</c:formatCode>
                <c:ptCount val="21"/>
                <c:pt idx="0">
                  <c:v>0</c:v>
                </c:pt>
                <c:pt idx="1">
                  <c:v>-104517</c:v>
                </c:pt>
                <c:pt idx="2">
                  <c:v>77151</c:v>
                </c:pt>
                <c:pt idx="3">
                  <c:v>768211</c:v>
                </c:pt>
                <c:pt idx="4">
                  <c:v>682730</c:v>
                </c:pt>
                <c:pt idx="5">
                  <c:v>691370</c:v>
                </c:pt>
                <c:pt idx="6">
                  <c:v>639616</c:v>
                </c:pt>
                <c:pt idx="7">
                  <c:v>797026</c:v>
                </c:pt>
                <c:pt idx="8">
                  <c:v>1667237</c:v>
                </c:pt>
                <c:pt idx="9">
                  <c:v>2965592</c:v>
                </c:pt>
                <c:pt idx="10">
                  <c:v>3074421</c:v>
                </c:pt>
                <c:pt idx="11">
                  <c:v>4042473</c:v>
                </c:pt>
                <c:pt idx="12">
                  <c:v>5236100</c:v>
                </c:pt>
                <c:pt idx="13">
                  <c:v>5236100</c:v>
                </c:pt>
                <c:pt idx="14">
                  <c:v>7231314</c:v>
                </c:pt>
                <c:pt idx="15">
                  <c:v>6625880</c:v>
                </c:pt>
                <c:pt idx="16">
                  <c:v>6625880</c:v>
                </c:pt>
                <c:pt idx="17">
                  <c:v>7300703</c:v>
                </c:pt>
                <c:pt idx="18">
                  <c:v>7896115</c:v>
                </c:pt>
                <c:pt idx="19">
                  <c:v>7896115</c:v>
                </c:pt>
                <c:pt idx="20">
                  <c:v>7134101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"W8 Day filter + profit lock"</c:f>
              <c:strCache>
                <c:ptCount val="1"/>
                <c:pt idx="0">
                  <c:v>W8 Day filter + profit lock</c:v>
                </c:pt>
              </c:strCache>
            </c:strRef>
          </c:tx>
          <c:spPr>
            <a:solidFill>
              <a:srgbClr val="87a44b"/>
            </a:solidFill>
            <a:ln w="2844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'Gold Monthly'!$A$5:$A$25</c:f>
              <c:strCache>
                <c:ptCount val="21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  <c:pt idx="12">
                  <c:v>Jan-2026</c:v>
                </c:pt>
                <c:pt idx="13">
                  <c:v>Feb-2026</c:v>
                </c:pt>
                <c:pt idx="14">
                  <c:v>Mar-2026</c:v>
                </c:pt>
                <c:pt idx="15">
                  <c:v>Apr-2026</c:v>
                </c:pt>
                <c:pt idx="16">
                  <c:v>May-2026</c:v>
                </c:pt>
                <c:pt idx="17">
                  <c:v>Jun-2026</c:v>
                </c:pt>
                <c:pt idx="18">
                  <c:v>Jul-2026</c:v>
                </c:pt>
                <c:pt idx="19">
                  <c:v>Aug-2026</c:v>
                </c:pt>
                <c:pt idx="20">
                  <c:v>Sep-2026</c:v>
                </c:pt>
              </c:strCache>
            </c:strRef>
          </c:cat>
          <c:val>
            <c:numRef>
              <c:f>'Gold Monthly'!$M$5:$M$25</c:f>
              <c:numCache>
                <c:formatCode>\₹#,##0;[RED]"(₹"#,##0\);\-</c:formatCode>
                <c:ptCount val="21"/>
                <c:pt idx="0">
                  <c:v>0</c:v>
                </c:pt>
                <c:pt idx="1">
                  <c:v>-104517</c:v>
                </c:pt>
                <c:pt idx="2">
                  <c:v>77151</c:v>
                </c:pt>
                <c:pt idx="3">
                  <c:v>768211</c:v>
                </c:pt>
                <c:pt idx="4">
                  <c:v>894411</c:v>
                </c:pt>
                <c:pt idx="5">
                  <c:v>924437</c:v>
                </c:pt>
                <c:pt idx="6">
                  <c:v>910776</c:v>
                </c:pt>
                <c:pt idx="7">
                  <c:v>1068186</c:v>
                </c:pt>
                <c:pt idx="8">
                  <c:v>1938397</c:v>
                </c:pt>
                <c:pt idx="9">
                  <c:v>3236752</c:v>
                </c:pt>
                <c:pt idx="10">
                  <c:v>3345581</c:v>
                </c:pt>
                <c:pt idx="11">
                  <c:v>4313633</c:v>
                </c:pt>
                <c:pt idx="12">
                  <c:v>5501370</c:v>
                </c:pt>
                <c:pt idx="13">
                  <c:v>5501370</c:v>
                </c:pt>
                <c:pt idx="14">
                  <c:v>5555227</c:v>
                </c:pt>
                <c:pt idx="15">
                  <c:v>5011207</c:v>
                </c:pt>
                <c:pt idx="16">
                  <c:v>5011207</c:v>
                </c:pt>
                <c:pt idx="17">
                  <c:v>5686030</c:v>
                </c:pt>
                <c:pt idx="18">
                  <c:v>6322975</c:v>
                </c:pt>
                <c:pt idx="19">
                  <c:v>6322975</c:v>
                </c:pt>
                <c:pt idx="20">
                  <c:v>5560961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"W8C Day + lock + 1-bar confirm"</c:f>
              <c:strCache>
                <c:ptCount val="1"/>
                <c:pt idx="0">
                  <c:v>W8C Day + lock + 1-bar confirm</c:v>
                </c:pt>
              </c:strCache>
            </c:strRef>
          </c:tx>
          <c:spPr>
            <a:solidFill>
              <a:srgbClr val="6f568d"/>
            </a:solidFill>
            <a:ln w="2844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'Gold Monthly'!$A$5:$A$25</c:f>
              <c:strCache>
                <c:ptCount val="21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  <c:pt idx="12">
                  <c:v>Jan-2026</c:v>
                </c:pt>
                <c:pt idx="13">
                  <c:v>Feb-2026</c:v>
                </c:pt>
                <c:pt idx="14">
                  <c:v>Mar-2026</c:v>
                </c:pt>
                <c:pt idx="15">
                  <c:v>Apr-2026</c:v>
                </c:pt>
                <c:pt idx="16">
                  <c:v>May-2026</c:v>
                </c:pt>
                <c:pt idx="17">
                  <c:v>Jun-2026</c:v>
                </c:pt>
                <c:pt idx="18">
                  <c:v>Jul-2026</c:v>
                </c:pt>
                <c:pt idx="19">
                  <c:v>Aug-2026</c:v>
                </c:pt>
                <c:pt idx="20">
                  <c:v>Sep-2026</c:v>
                </c:pt>
              </c:strCache>
            </c:strRef>
          </c:cat>
          <c:val>
            <c:numRef>
              <c:f>'Gold Monthly'!$Q$5:$Q$25</c:f>
              <c:numCache>
                <c:formatCode>\₹#,##0;[RED]"(₹"#,##0\);\-</c:formatCode>
                <c:ptCount val="21"/>
                <c:pt idx="0">
                  <c:v>0</c:v>
                </c:pt>
                <c:pt idx="1">
                  <c:v>-117018</c:v>
                </c:pt>
                <c:pt idx="2">
                  <c:v>21946</c:v>
                </c:pt>
                <c:pt idx="3">
                  <c:v>21946</c:v>
                </c:pt>
                <c:pt idx="4">
                  <c:v>144005</c:v>
                </c:pt>
                <c:pt idx="5">
                  <c:v>159759</c:v>
                </c:pt>
                <c:pt idx="6">
                  <c:v>218190</c:v>
                </c:pt>
                <c:pt idx="7">
                  <c:v>366099</c:v>
                </c:pt>
                <c:pt idx="8">
                  <c:v>1204507</c:v>
                </c:pt>
                <c:pt idx="9">
                  <c:v>2032279</c:v>
                </c:pt>
                <c:pt idx="10">
                  <c:v>2135607</c:v>
                </c:pt>
                <c:pt idx="11">
                  <c:v>2135607</c:v>
                </c:pt>
                <c:pt idx="12">
                  <c:v>3232924</c:v>
                </c:pt>
                <c:pt idx="13">
                  <c:v>3232924</c:v>
                </c:pt>
                <c:pt idx="14">
                  <c:v>3258354</c:v>
                </c:pt>
                <c:pt idx="15">
                  <c:v>3258354</c:v>
                </c:pt>
                <c:pt idx="16">
                  <c:v>3258354</c:v>
                </c:pt>
                <c:pt idx="17">
                  <c:v>3931677</c:v>
                </c:pt>
                <c:pt idx="18">
                  <c:v>4529628</c:v>
                </c:pt>
                <c:pt idx="19">
                  <c:v>4529628</c:v>
                </c:pt>
                <c:pt idx="20">
                  <c:v>4234572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"T6 W8, faster band x3/x4 (1h)"</c:f>
              <c:strCache>
                <c:ptCount val="1"/>
                <c:pt idx="0">
                  <c:v>T6 W8, faster band x3/x4 (1h)</c:v>
                </c:pt>
              </c:strCache>
            </c:strRef>
          </c:tx>
          <c:spPr>
            <a:solidFill>
              <a:srgbClr val="3d97af"/>
            </a:solidFill>
            <a:ln w="2844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'Gold Monthly'!$A$5:$A$25</c:f>
              <c:strCache>
                <c:ptCount val="21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  <c:pt idx="12">
                  <c:v>Jan-2026</c:v>
                </c:pt>
                <c:pt idx="13">
                  <c:v>Feb-2026</c:v>
                </c:pt>
                <c:pt idx="14">
                  <c:v>Mar-2026</c:v>
                </c:pt>
                <c:pt idx="15">
                  <c:v>Apr-2026</c:v>
                </c:pt>
                <c:pt idx="16">
                  <c:v>May-2026</c:v>
                </c:pt>
                <c:pt idx="17">
                  <c:v>Jun-2026</c:v>
                </c:pt>
                <c:pt idx="18">
                  <c:v>Jul-2026</c:v>
                </c:pt>
                <c:pt idx="19">
                  <c:v>Aug-2026</c:v>
                </c:pt>
                <c:pt idx="20">
                  <c:v>Sep-2026</c:v>
                </c:pt>
              </c:strCache>
            </c:strRef>
          </c:cat>
          <c:val>
            <c:numRef>
              <c:f>'Gold Monthly'!$U$5:$U$25</c:f>
              <c:numCache>
                <c:formatCode>\₹#,##0;[RED]"(₹"#,##0\);\-</c:formatCode>
                <c:ptCount val="21"/>
                <c:pt idx="0">
                  <c:v>0</c:v>
                </c:pt>
                <c:pt idx="1">
                  <c:v>-84009</c:v>
                </c:pt>
                <c:pt idx="2">
                  <c:v>-75653</c:v>
                </c:pt>
                <c:pt idx="3">
                  <c:v>521793</c:v>
                </c:pt>
                <c:pt idx="4">
                  <c:v>684021</c:v>
                </c:pt>
                <c:pt idx="5">
                  <c:v>749652</c:v>
                </c:pt>
                <c:pt idx="6">
                  <c:v>844578</c:v>
                </c:pt>
                <c:pt idx="7">
                  <c:v>859733</c:v>
                </c:pt>
                <c:pt idx="8">
                  <c:v>2070191</c:v>
                </c:pt>
                <c:pt idx="9">
                  <c:v>1893572</c:v>
                </c:pt>
                <c:pt idx="10">
                  <c:v>1542995</c:v>
                </c:pt>
                <c:pt idx="11">
                  <c:v>2086070</c:v>
                </c:pt>
                <c:pt idx="12">
                  <c:v>3710987</c:v>
                </c:pt>
                <c:pt idx="13">
                  <c:v>3364489</c:v>
                </c:pt>
                <c:pt idx="14">
                  <c:v>3481382</c:v>
                </c:pt>
                <c:pt idx="15">
                  <c:v>3205047</c:v>
                </c:pt>
                <c:pt idx="16">
                  <c:v>2942534</c:v>
                </c:pt>
                <c:pt idx="17">
                  <c:v>2753413</c:v>
                </c:pt>
                <c:pt idx="18">
                  <c:v>2877623</c:v>
                </c:pt>
                <c:pt idx="19">
                  <c:v>3108898</c:v>
                </c:pt>
                <c:pt idx="20">
                  <c:v>3186182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"T7 W8 on 30m + trend re-entry"</c:f>
              <c:strCache>
                <c:ptCount val="1"/>
                <c:pt idx="0">
                  <c:v>T7 W8 on 30m + trend re-entry</c:v>
                </c:pt>
              </c:strCache>
            </c:strRef>
          </c:tx>
          <c:spPr>
            <a:solidFill>
              <a:srgbClr val="db8238"/>
            </a:solidFill>
            <a:ln w="2844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'Gold Monthly'!$A$5:$A$25</c:f>
              <c:strCache>
                <c:ptCount val="21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  <c:pt idx="12">
                  <c:v>Jan-2026</c:v>
                </c:pt>
                <c:pt idx="13">
                  <c:v>Feb-2026</c:v>
                </c:pt>
                <c:pt idx="14">
                  <c:v>Mar-2026</c:v>
                </c:pt>
                <c:pt idx="15">
                  <c:v>Apr-2026</c:v>
                </c:pt>
                <c:pt idx="16">
                  <c:v>May-2026</c:v>
                </c:pt>
                <c:pt idx="17">
                  <c:v>Jun-2026</c:v>
                </c:pt>
                <c:pt idx="18">
                  <c:v>Jul-2026</c:v>
                </c:pt>
                <c:pt idx="19">
                  <c:v>Aug-2026</c:v>
                </c:pt>
                <c:pt idx="20">
                  <c:v>Sep-2026</c:v>
                </c:pt>
              </c:strCache>
            </c:strRef>
          </c:cat>
          <c:val>
            <c:numRef>
              <c:f>'Gold Monthly'!$Y$5:$Y$25</c:f>
              <c:numCache>
                <c:formatCode>\₹#,##0;[RED]"(₹"#,##0\);\-</c:formatCode>
                <c:ptCount val="21"/>
                <c:pt idx="0">
                  <c:v>0</c:v>
                </c:pt>
                <c:pt idx="1">
                  <c:v>1084</c:v>
                </c:pt>
                <c:pt idx="2">
                  <c:v>98241</c:v>
                </c:pt>
                <c:pt idx="3">
                  <c:v>478988</c:v>
                </c:pt>
                <c:pt idx="4">
                  <c:v>533547</c:v>
                </c:pt>
                <c:pt idx="5">
                  <c:v>553773</c:v>
                </c:pt>
                <c:pt idx="6">
                  <c:v>628123</c:v>
                </c:pt>
                <c:pt idx="7">
                  <c:v>732318</c:v>
                </c:pt>
                <c:pt idx="8">
                  <c:v>1918876</c:v>
                </c:pt>
                <c:pt idx="9">
                  <c:v>2639175</c:v>
                </c:pt>
                <c:pt idx="10">
                  <c:v>2583526</c:v>
                </c:pt>
                <c:pt idx="11">
                  <c:v>3290310</c:v>
                </c:pt>
                <c:pt idx="12">
                  <c:v>4879044</c:v>
                </c:pt>
                <c:pt idx="13">
                  <c:v>2731162</c:v>
                </c:pt>
                <c:pt idx="14">
                  <c:v>4129818</c:v>
                </c:pt>
                <c:pt idx="15">
                  <c:v>3630824</c:v>
                </c:pt>
                <c:pt idx="16">
                  <c:v>3676266</c:v>
                </c:pt>
                <c:pt idx="17">
                  <c:v>4448414</c:v>
                </c:pt>
                <c:pt idx="18">
                  <c:v>4387734</c:v>
                </c:pt>
                <c:pt idx="19">
                  <c:v>3978520</c:v>
                </c:pt>
                <c:pt idx="20">
                  <c:v>4137634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"U1 W8 on 15m chart"</c:f>
              <c:strCache>
                <c:ptCount val="1"/>
                <c:pt idx="0">
                  <c:v>U1 W8 on 15m chart</c:v>
                </c:pt>
              </c:strCache>
            </c:strRef>
          </c:tx>
          <c:spPr>
            <a:solidFill>
              <a:srgbClr val="8ea5ca"/>
            </a:solidFill>
            <a:ln w="2844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'Gold Monthly'!$A$5:$A$25</c:f>
              <c:strCache>
                <c:ptCount val="21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  <c:pt idx="12">
                  <c:v>Jan-2026</c:v>
                </c:pt>
                <c:pt idx="13">
                  <c:v>Feb-2026</c:v>
                </c:pt>
                <c:pt idx="14">
                  <c:v>Mar-2026</c:v>
                </c:pt>
                <c:pt idx="15">
                  <c:v>Apr-2026</c:v>
                </c:pt>
                <c:pt idx="16">
                  <c:v>May-2026</c:v>
                </c:pt>
                <c:pt idx="17">
                  <c:v>Jun-2026</c:v>
                </c:pt>
                <c:pt idx="18">
                  <c:v>Jul-2026</c:v>
                </c:pt>
                <c:pt idx="19">
                  <c:v>Aug-2026</c:v>
                </c:pt>
                <c:pt idx="20">
                  <c:v>Sep-2026</c:v>
                </c:pt>
              </c:strCache>
            </c:strRef>
          </c:cat>
          <c:val>
            <c:numRef>
              <c:f>'Gold Monthly'!$AC$5:$AC$25</c:f>
              <c:numCache>
                <c:formatCode>\₹#,##0;[RED]"(₹"#,##0\);\-</c:formatCode>
                <c:ptCount val="21"/>
                <c:pt idx="0">
                  <c:v>0</c:v>
                </c:pt>
                <c:pt idx="1">
                  <c:v>-130533</c:v>
                </c:pt>
                <c:pt idx="2">
                  <c:v>17276</c:v>
                </c:pt>
                <c:pt idx="3">
                  <c:v>608336</c:v>
                </c:pt>
                <c:pt idx="4">
                  <c:v>466807</c:v>
                </c:pt>
                <c:pt idx="5">
                  <c:v>531453</c:v>
                </c:pt>
                <c:pt idx="6">
                  <c:v>807704</c:v>
                </c:pt>
                <c:pt idx="7">
                  <c:v>799626</c:v>
                </c:pt>
                <c:pt idx="8">
                  <c:v>1321531</c:v>
                </c:pt>
                <c:pt idx="9">
                  <c:v>1596698</c:v>
                </c:pt>
                <c:pt idx="10">
                  <c:v>1672251</c:v>
                </c:pt>
                <c:pt idx="11">
                  <c:v>1946780</c:v>
                </c:pt>
                <c:pt idx="12">
                  <c:v>4817074</c:v>
                </c:pt>
                <c:pt idx="13">
                  <c:v>4433320</c:v>
                </c:pt>
                <c:pt idx="14">
                  <c:v>5888683</c:v>
                </c:pt>
                <c:pt idx="15">
                  <c:v>4932464</c:v>
                </c:pt>
                <c:pt idx="16">
                  <c:v>4614016</c:v>
                </c:pt>
                <c:pt idx="17">
                  <c:v>4590105</c:v>
                </c:pt>
                <c:pt idx="18">
                  <c:v>4800325</c:v>
                </c:pt>
                <c:pt idx="19">
                  <c:v>4626863</c:v>
                </c:pt>
                <c:pt idx="20">
                  <c:v>4161445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"U9 W8 on 5m chart"</c:f>
              <c:strCache>
                <c:ptCount val="1"/>
                <c:pt idx="0">
                  <c:v>U9 W8 on 5m chart</c:v>
                </c:pt>
              </c:strCache>
            </c:strRef>
          </c:tx>
          <c:spPr>
            <a:solidFill>
              <a:srgbClr val="cc8f8e"/>
            </a:solidFill>
            <a:ln w="2844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'Gold Monthly'!$A$5:$A$25</c:f>
              <c:strCache>
                <c:ptCount val="21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  <c:pt idx="12">
                  <c:v>Jan-2026</c:v>
                </c:pt>
                <c:pt idx="13">
                  <c:v>Feb-2026</c:v>
                </c:pt>
                <c:pt idx="14">
                  <c:v>Mar-2026</c:v>
                </c:pt>
                <c:pt idx="15">
                  <c:v>Apr-2026</c:v>
                </c:pt>
                <c:pt idx="16">
                  <c:v>May-2026</c:v>
                </c:pt>
                <c:pt idx="17">
                  <c:v>Jun-2026</c:v>
                </c:pt>
                <c:pt idx="18">
                  <c:v>Jul-2026</c:v>
                </c:pt>
                <c:pt idx="19">
                  <c:v>Aug-2026</c:v>
                </c:pt>
                <c:pt idx="20">
                  <c:v>Sep-2026</c:v>
                </c:pt>
              </c:strCache>
            </c:strRef>
          </c:cat>
          <c:val>
            <c:numRef>
              <c:f>'Gold Monthly'!$AG$5:$AG$25</c:f>
              <c:numCache>
                <c:formatCode>\₹#,##0;[RED]"(₹"#,##0\);\-</c:formatCode>
                <c:ptCount val="21"/>
                <c:pt idx="0">
                  <c:v>-67448</c:v>
                </c:pt>
                <c:pt idx="1">
                  <c:v>-255695</c:v>
                </c:pt>
                <c:pt idx="2">
                  <c:v>-67804</c:v>
                </c:pt>
                <c:pt idx="3">
                  <c:v>915169</c:v>
                </c:pt>
                <c:pt idx="4">
                  <c:v>1113157</c:v>
                </c:pt>
                <c:pt idx="5">
                  <c:v>992911</c:v>
                </c:pt>
                <c:pt idx="6">
                  <c:v>1213051</c:v>
                </c:pt>
                <c:pt idx="7">
                  <c:v>1240250</c:v>
                </c:pt>
                <c:pt idx="8">
                  <c:v>2129444</c:v>
                </c:pt>
                <c:pt idx="9">
                  <c:v>2488144</c:v>
                </c:pt>
                <c:pt idx="10">
                  <c:v>2724769</c:v>
                </c:pt>
                <c:pt idx="11">
                  <c:v>3134388</c:v>
                </c:pt>
                <c:pt idx="12">
                  <c:v>3526220</c:v>
                </c:pt>
                <c:pt idx="13">
                  <c:v>1684237</c:v>
                </c:pt>
                <c:pt idx="14">
                  <c:v>3262699</c:v>
                </c:pt>
                <c:pt idx="15">
                  <c:v>3121619</c:v>
                </c:pt>
                <c:pt idx="16">
                  <c:v>3092806</c:v>
                </c:pt>
                <c:pt idx="17">
                  <c:v>3653776</c:v>
                </c:pt>
                <c:pt idx="18">
                  <c:v>3966986</c:v>
                </c:pt>
                <c:pt idx="19">
                  <c:v>4206202</c:v>
                </c:pt>
                <c:pt idx="20">
                  <c:v>4262195</c:v>
                </c:pt>
              </c:numCache>
            </c:numRef>
          </c:val>
          <c:smooth val="1"/>
        </c:ser>
        <c:ser>
          <c:idx val="8"/>
          <c:order val="8"/>
          <c:tx>
            <c:strRef>
              <c:f>"Q1 5m: 1h filter, lock 0.15R@0.3R, re-entry 120"</c:f>
              <c:strCache>
                <c:ptCount val="1"/>
                <c:pt idx="0">
                  <c:v>Q1 5m: 1h filter, lock 0.15R@0.3R, re-entry 120</c:v>
                </c:pt>
              </c:strCache>
            </c:strRef>
          </c:tx>
          <c:spPr>
            <a:solidFill>
              <a:srgbClr val="b3c992"/>
            </a:solidFill>
            <a:ln w="2844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'Gold Monthly'!$A$5:$A$25</c:f>
              <c:strCache>
                <c:ptCount val="21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  <c:pt idx="12">
                  <c:v>Jan-2026</c:v>
                </c:pt>
                <c:pt idx="13">
                  <c:v>Feb-2026</c:v>
                </c:pt>
                <c:pt idx="14">
                  <c:v>Mar-2026</c:v>
                </c:pt>
                <c:pt idx="15">
                  <c:v>Apr-2026</c:v>
                </c:pt>
                <c:pt idx="16">
                  <c:v>May-2026</c:v>
                </c:pt>
                <c:pt idx="17">
                  <c:v>Jun-2026</c:v>
                </c:pt>
                <c:pt idx="18">
                  <c:v>Jul-2026</c:v>
                </c:pt>
                <c:pt idx="19">
                  <c:v>Aug-2026</c:v>
                </c:pt>
                <c:pt idx="20">
                  <c:v>Sep-2026</c:v>
                </c:pt>
              </c:strCache>
            </c:strRef>
          </c:cat>
          <c:val>
            <c:numRef>
              <c:f>'Gold Monthly'!$AK$5:$AK$25</c:f>
              <c:numCache>
                <c:formatCode>\₹#,##0;[RED]"(₹"#,##0\);\-</c:formatCode>
                <c:ptCount val="21"/>
                <c:pt idx="0">
                  <c:v>0</c:v>
                </c:pt>
                <c:pt idx="1">
                  <c:v>-152402</c:v>
                </c:pt>
                <c:pt idx="2">
                  <c:v>-104359</c:v>
                </c:pt>
                <c:pt idx="3">
                  <c:v>551921</c:v>
                </c:pt>
                <c:pt idx="4">
                  <c:v>540027</c:v>
                </c:pt>
                <c:pt idx="5">
                  <c:v>494802</c:v>
                </c:pt>
                <c:pt idx="6">
                  <c:v>386537</c:v>
                </c:pt>
                <c:pt idx="7">
                  <c:v>434672</c:v>
                </c:pt>
                <c:pt idx="8">
                  <c:v>1217588</c:v>
                </c:pt>
                <c:pt idx="9">
                  <c:v>1838932</c:v>
                </c:pt>
                <c:pt idx="10">
                  <c:v>2072729</c:v>
                </c:pt>
                <c:pt idx="11">
                  <c:v>2494829</c:v>
                </c:pt>
                <c:pt idx="12">
                  <c:v>4346585</c:v>
                </c:pt>
                <c:pt idx="13">
                  <c:v>4094720</c:v>
                </c:pt>
                <c:pt idx="14">
                  <c:v>4545819</c:v>
                </c:pt>
                <c:pt idx="15">
                  <c:v>4382706</c:v>
                </c:pt>
                <c:pt idx="16">
                  <c:v>4748663</c:v>
                </c:pt>
                <c:pt idx="17">
                  <c:v>5024575</c:v>
                </c:pt>
                <c:pt idx="18">
                  <c:v>4826601</c:v>
                </c:pt>
                <c:pt idx="19">
                  <c:v>4929066</c:v>
                </c:pt>
                <c:pt idx="20">
                  <c:v>4366899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1891472"/>
        <c:axId val="26655943"/>
      </c:lineChart>
      <c:catAx>
        <c:axId val="21891472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655943"/>
        <c:crosses val="autoZero"/>
        <c:auto val="1"/>
        <c:lblAlgn val="ctr"/>
        <c:lblOffset val="100"/>
        <c:noMultiLvlLbl val="0"/>
      </c:catAx>
      <c:valAx>
        <c:axId val="266559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8914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30</xdr:row>
      <xdr:rowOff>160560</xdr:rowOff>
    </xdr:from>
    <xdr:to>
      <xdr:col>7</xdr:col>
      <xdr:colOff>105120</xdr:colOff>
      <xdr:row>47</xdr:row>
      <xdr:rowOff>161640</xdr:rowOff>
    </xdr:to>
    <xdr:graphicFrame>
      <xdr:nvGraphicFramePr>
        <xdr:cNvPr id="0" name="Chart 1"/>
        <xdr:cNvGraphicFramePr/>
      </xdr:nvGraphicFramePr>
      <xdr:xfrm>
        <a:off x="0" y="609588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30</xdr:row>
      <xdr:rowOff>160560</xdr:rowOff>
    </xdr:from>
    <xdr:to>
      <xdr:col>7</xdr:col>
      <xdr:colOff>105120</xdr:colOff>
      <xdr:row>47</xdr:row>
      <xdr:rowOff>161640</xdr:rowOff>
    </xdr:to>
    <xdr:graphicFrame>
      <xdr:nvGraphicFramePr>
        <xdr:cNvPr id="1" name="Chart 1"/>
        <xdr:cNvGraphicFramePr/>
      </xdr:nvGraphicFramePr>
      <xdr:xfrm>
        <a:off x="0" y="609588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"/>
    <col collapsed="false" customWidth="true" hidden="false" outlineLevel="0" max="3" min="3" style="0" width="26"/>
    <col collapsed="false" customWidth="true" hidden="false" outlineLevel="0" max="4" min="4" style="0" width="8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9" min="8" style="0" width="13"/>
    <col collapsed="false" customWidth="true" hidden="false" outlineLevel="0" max="11" min="10" style="0" width="12"/>
    <col collapsed="false" customWidth="true" hidden="false" outlineLevel="0" max="12" min="12" style="0" width="10"/>
    <col collapsed="false" customWidth="true" hidden="false" outlineLevel="0" max="13" min="13" style="0" width="15"/>
    <col collapsed="false" customWidth="true" hidden="false" outlineLevel="0" max="14" min="14" style="0" width="11"/>
    <col collapsed="false" customWidth="true" hidden="false" outlineLevel="0" max="16" min="15" style="0" width="13"/>
    <col collapsed="false" customWidth="true" hidden="false" outlineLevel="0" max="17" min="17" style="0" width="9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n">
        <v>1</v>
      </c>
      <c r="C4" s="5" t="s">
        <v>3</v>
      </c>
    </row>
    <row r="5" customFormat="false" ht="15" hidden="false" customHeight="false" outlineLevel="0" collapsed="false">
      <c r="A5" s="3" t="s">
        <v>4</v>
      </c>
      <c r="B5" s="4" t="n">
        <v>30</v>
      </c>
      <c r="C5" s="5" t="s">
        <v>5</v>
      </c>
    </row>
    <row r="6" customFormat="false" ht="15" hidden="false" customHeight="false" outlineLevel="0" collapsed="false">
      <c r="A6" s="3" t="s">
        <v>6</v>
      </c>
      <c r="B6" s="4" t="n">
        <v>100</v>
      </c>
      <c r="C6" s="5" t="s">
        <v>7</v>
      </c>
    </row>
    <row r="8" customFormat="false" ht="15" hidden="false" customHeight="false" outlineLevel="0" collapsed="false">
      <c r="A8" s="2" t="s">
        <v>8</v>
      </c>
    </row>
    <row r="9" customFormat="false" ht="31.5" hidden="false" customHeight="true" outlineLevel="0" collapsed="false">
      <c r="A9" s="6" t="s">
        <v>9</v>
      </c>
      <c r="B9" s="6" t="s">
        <v>10</v>
      </c>
      <c r="C9" s="6" t="s">
        <v>11</v>
      </c>
      <c r="D9" s="6" t="s">
        <v>12</v>
      </c>
      <c r="E9" s="6" t="s">
        <v>13</v>
      </c>
      <c r="F9" s="6" t="s">
        <v>14</v>
      </c>
      <c r="G9" s="6" t="s">
        <v>15</v>
      </c>
      <c r="H9" s="6" t="s">
        <v>16</v>
      </c>
      <c r="I9" s="6" t="s">
        <v>17</v>
      </c>
      <c r="J9" s="6" t="s">
        <v>18</v>
      </c>
      <c r="K9" s="6" t="s">
        <v>19</v>
      </c>
      <c r="L9" s="6" t="s">
        <v>20</v>
      </c>
      <c r="M9" s="6" t="s">
        <v>21</v>
      </c>
      <c r="N9" s="6" t="s">
        <v>22</v>
      </c>
      <c r="O9" s="6" t="s">
        <v>23</v>
      </c>
      <c r="P9" s="6" t="s">
        <v>24</v>
      </c>
      <c r="Q9" s="6" t="s">
        <v>25</v>
      </c>
    </row>
    <row r="10" customFormat="false" ht="15" hidden="false" customHeight="false" outlineLevel="0" collapsed="false">
      <c r="A10" s="7" t="s">
        <v>26</v>
      </c>
      <c r="B10" s="7" t="s">
        <v>27</v>
      </c>
      <c r="C10" s="8" t="s">
        <v>28</v>
      </c>
      <c r="D10" s="9" t="n">
        <f aca="false">COUNTIFS(Trades!$A$2:$A$2161,A10,Trades!$B$2:$B$2161,B10)</f>
        <v>69</v>
      </c>
      <c r="E10" s="9" t="n">
        <f aca="false">COUNTIFS(Trades!$A$2:$A$2161,A10,Trades!$B$2:$B$2161,B10,Trades!$M$2:$M$2161,1)</f>
        <v>33</v>
      </c>
      <c r="F10" s="10" t="n">
        <f aca="false">IF(D10=0,"",E10/D10)</f>
        <v>0.478260869565217</v>
      </c>
      <c r="G10" s="11" t="n">
        <f aca="false">SUMIFS(Trades!$K$2:$K$2161,Trades!$A$2:$A$2161,A10,Trades!$B$2:$B$2161,B10)</f>
        <v>6378578.1</v>
      </c>
      <c r="H10" s="11" t="n">
        <f aca="false">SUMIFS(Trades!$K$2:$K$2161,Trades!$A$2:$A$2161,A10,Trades!$B$2:$B$2161,B10,Trades!$E$2:$E$2161,"&gt;="&amp;DATE(2025,1,1),Trades!$E$2:$E$2161,"&lt;"&amp;DATE(2026,1,1))</f>
        <v>1718459.7</v>
      </c>
      <c r="I10" s="11" t="n">
        <f aca="false">SUMIFS(Trades!$K$2:$K$2161,Trades!$A$2:$A$2161,A10,Trades!$B$2:$B$2161,B10,Trades!$E$2:$E$2161,"&gt;="&amp;DATE(2026,1,1))</f>
        <v>4660118.4</v>
      </c>
      <c r="J10" s="11" t="n">
        <f aca="false">IFERROR(AVERAGEIFS(Trades!$K$2:$K$2161,Trades!$A$2:$A$2161,A10,Trades!$B$2:$B$2161,B10,Trades!$K$2:$K$2161,"&gt;0"),0)</f>
        <v>406739.045454545</v>
      </c>
      <c r="K10" s="11" t="n">
        <f aca="false">IFERROR(AVERAGEIFS(Trades!$K$2:$K$2161,Trades!$A$2:$A$2161,A10,Trades!$B$2:$B$2161,B10,Trades!$K$2:$K$2161,"&lt;=0"),0)</f>
        <v>-195661.4</v>
      </c>
      <c r="L10" s="12" t="n">
        <f aca="false">IFERROR(SUMIFS(Trades!$K$2:$K$2161,Trades!$A$2:$A$2161,A10,Trades!$B$2:$B$2161,B10,Trades!$K$2:$K$2161,"&gt;0")/-SUMIFS(Trades!$K$2:$K$2161,Trades!$A$2:$A$2161,A10,Trades!$B$2:$B$2161,B10,Trades!$K$2:$K$2161,"&lt;=0"),"no losses")</f>
        <v>1.90555789235894</v>
      </c>
      <c r="M10" s="11" t="n">
        <f aca="false">_xlfn.MINIFS(Trades!$P$2:$P$2161,Trades!$A$2:$A$2161,A10,Trades!$B$2:$B$2161,B10)</f>
        <v>-1535198.1</v>
      </c>
      <c r="N10" s="10" t="n">
        <f aca="false">IFERROR(COUNTIF('Silver Monthly'!D$5:D$25,"&gt;0")/COUNTIF('Silver Monthly'!B$5:B$25,"&gt;0"),"")</f>
        <v>0.619047619047619</v>
      </c>
      <c r="O10" s="11" t="n">
        <f aca="false">MAX('Silver Monthly'!D$5:D$25)</f>
        <v>3432137.1</v>
      </c>
      <c r="P10" s="11" t="n">
        <f aca="false">MIN('Silver Monthly'!D$5:D$25)</f>
        <v>-795427.2</v>
      </c>
      <c r="Q10" s="13" t="n">
        <f aca="false">D10/COUNT('Silver Monthly'!$A$5:$A$25)</f>
        <v>3.28571428571429</v>
      </c>
    </row>
    <row r="11" customFormat="false" ht="15" hidden="false" customHeight="false" outlineLevel="0" collapsed="false">
      <c r="A11" s="7" t="s">
        <v>26</v>
      </c>
      <c r="B11" s="7" t="s">
        <v>29</v>
      </c>
      <c r="C11" s="8" t="s">
        <v>30</v>
      </c>
      <c r="D11" s="9" t="n">
        <f aca="false">COUNTIFS(Trades!$A$2:$A$2161,A11,Trades!$B$2:$B$2161,B11)</f>
        <v>32</v>
      </c>
      <c r="E11" s="9" t="n">
        <f aca="false">COUNTIFS(Trades!$A$2:$A$2161,A11,Trades!$B$2:$B$2161,B11,Trades!$M$2:$M$2161,1)</f>
        <v>19</v>
      </c>
      <c r="F11" s="10" t="n">
        <f aca="false">IF(D11=0,"",E11/D11)</f>
        <v>0.59375</v>
      </c>
      <c r="G11" s="11" t="n">
        <f aca="false">SUMIFS(Trades!$K$2:$K$2161,Trades!$A$2:$A$2161,A11,Trades!$B$2:$B$2161,B11)</f>
        <v>5793475.8</v>
      </c>
      <c r="H11" s="11" t="n">
        <f aca="false">SUMIFS(Trades!$K$2:$K$2161,Trades!$A$2:$A$2161,A11,Trades!$B$2:$B$2161,B11,Trades!$E$2:$E$2161,"&gt;="&amp;DATE(2025,1,1),Trades!$E$2:$E$2161,"&lt;"&amp;DATE(2026,1,1))</f>
        <v>2697719.1</v>
      </c>
      <c r="I11" s="11" t="n">
        <f aca="false">SUMIFS(Trades!$K$2:$K$2161,Trades!$A$2:$A$2161,A11,Trades!$B$2:$B$2161,B11,Trades!$E$2:$E$2161,"&gt;="&amp;DATE(2026,1,1))</f>
        <v>3095756.7</v>
      </c>
      <c r="J11" s="11" t="n">
        <f aca="false">IFERROR(AVERAGEIFS(Trades!$K$2:$K$2161,Trades!$A$2:$A$2161,A11,Trades!$B$2:$B$2161,B11,Trades!$K$2:$K$2161,"&gt;0"),0)</f>
        <v>398927.305263158</v>
      </c>
      <c r="K11" s="11" t="n">
        <f aca="false">IFERROR(AVERAGEIFS(Trades!$K$2:$K$2161,Trades!$A$2:$A$2161,A11,Trades!$B$2:$B$2161,B11,Trades!$K$2:$K$2161,"&lt;=0"),0)</f>
        <v>-137395.615384615</v>
      </c>
      <c r="L11" s="12" t="n">
        <f aca="false">IFERROR(SUMIFS(Trades!$K$2:$K$2161,Trades!$A$2:$A$2161,A11,Trades!$B$2:$B$2161,B11,Trades!$K$2:$K$2161,"&gt;0")/-SUMIFS(Trades!$K$2:$K$2161,Trades!$A$2:$A$2161,A11,Trades!$B$2:$B$2161,B11,Trades!$K$2:$K$2161,"&lt;=0"),"no losses")</f>
        <v>4.24356773225884</v>
      </c>
      <c r="M11" s="11" t="n">
        <f aca="false">_xlfn.MINIFS(Trades!$P$2:$P$2161,Trades!$A$2:$A$2161,A11,Trades!$B$2:$B$2161,B11)</f>
        <v>-905013.9</v>
      </c>
      <c r="N11" s="10" t="n">
        <f aca="false">IFERROR(COUNTIF('Silver Monthly'!H$5:H$25,"&gt;0")/COUNTIF('Silver Monthly'!F$5:F$25,"&gt;0"),"")</f>
        <v>0.631578947368421</v>
      </c>
      <c r="O11" s="11" t="n">
        <f aca="false">MAX('Silver Monthly'!H$5:H$25)</f>
        <v>1803102.9</v>
      </c>
      <c r="P11" s="11" t="n">
        <f aca="false">MIN('Silver Monthly'!H$5:H$25)</f>
        <v>-528600.9</v>
      </c>
      <c r="Q11" s="13" t="n">
        <f aca="false">D11/COUNT('Silver Monthly'!$A$5:$A$25)</f>
        <v>1.52380952380952</v>
      </c>
    </row>
    <row r="12" customFormat="false" ht="15" hidden="false" customHeight="false" outlineLevel="0" collapsed="false">
      <c r="A12" s="14" t="s">
        <v>26</v>
      </c>
      <c r="B12" s="14" t="s">
        <v>31</v>
      </c>
      <c r="C12" s="15" t="s">
        <v>32</v>
      </c>
      <c r="D12" s="16" t="n">
        <f aca="false">COUNTIFS(Trades!$A$2:$A$2161,A12,Trades!$B$2:$B$2161,B12)</f>
        <v>32</v>
      </c>
      <c r="E12" s="16" t="n">
        <f aca="false">COUNTIFS(Trades!$A$2:$A$2161,A12,Trades!$B$2:$B$2161,B12,Trades!$M$2:$M$2161,1)</f>
        <v>25</v>
      </c>
      <c r="F12" s="17" t="n">
        <f aca="false">IF(D12=0,"",E12/D12)</f>
        <v>0.78125</v>
      </c>
      <c r="G12" s="18" t="n">
        <f aca="false">SUMIFS(Trades!$K$2:$K$2161,Trades!$A$2:$A$2161,A12,Trades!$B$2:$B$2161,B12)</f>
        <v>5072715.3</v>
      </c>
      <c r="H12" s="18" t="n">
        <f aca="false">SUMIFS(Trades!$K$2:$K$2161,Trades!$A$2:$A$2161,A12,Trades!$B$2:$B$2161,B12,Trades!$E$2:$E$2161,"&gt;="&amp;DATE(2025,1,1),Trades!$E$2:$E$2161,"&lt;"&amp;DATE(2026,1,1))</f>
        <v>2657337.3</v>
      </c>
      <c r="I12" s="18" t="n">
        <f aca="false">SUMIFS(Trades!$K$2:$K$2161,Trades!$A$2:$A$2161,A12,Trades!$B$2:$B$2161,B12,Trades!$E$2:$E$2161,"&gt;="&amp;DATE(2026,1,1))</f>
        <v>2415378</v>
      </c>
      <c r="J12" s="18" t="n">
        <f aca="false">IFERROR(AVERAGEIFS(Trades!$K$2:$K$2161,Trades!$A$2:$A$2161,A12,Trades!$B$2:$B$2161,B12,Trades!$K$2:$K$2161,"&gt;0"),0)</f>
        <v>256761.048</v>
      </c>
      <c r="K12" s="18" t="n">
        <f aca="false">IFERROR(AVERAGEIFS(Trades!$K$2:$K$2161,Trades!$A$2:$A$2161,A12,Trades!$B$2:$B$2161,B12,Trades!$K$2:$K$2161,"&lt;=0"),0)</f>
        <v>-192330.128571429</v>
      </c>
      <c r="L12" s="19" t="n">
        <f aca="false">IFERROR(SUMIFS(Trades!$K$2:$K$2161,Trades!$A$2:$A$2161,A12,Trades!$B$2:$B$2161,B12,Trades!$K$2:$K$2161,"&gt;0")/-SUMIFS(Trades!$K$2:$K$2161,Trades!$A$2:$A$2161,A12,Trades!$B$2:$B$2161,B12,Trades!$K$2:$K$2161,"&lt;=0"),"no losses")</f>
        <v>4.76786320306847</v>
      </c>
      <c r="M12" s="18" t="n">
        <f aca="false">_xlfn.MINIFS(Trades!$P$2:$P$2161,Trades!$A$2:$A$2161,A12,Trades!$B$2:$B$2161,B12)</f>
        <v>-803221.2</v>
      </c>
      <c r="N12" s="17" t="n">
        <f aca="false">IFERROR(COUNTIF('Silver Monthly'!L$5:L$25,"&gt;0")/COUNTIF('Silver Monthly'!J$5:J$25,"&gt;0"),"")</f>
        <v>0.631578947368421</v>
      </c>
      <c r="O12" s="18" t="n">
        <f aca="false">MAX('Silver Monthly'!L$5:L$25)</f>
        <v>1691348.4</v>
      </c>
      <c r="P12" s="18" t="n">
        <f aca="false">MIN('Silver Monthly'!L$5:L$25)</f>
        <v>-493147.5</v>
      </c>
      <c r="Q12" s="20" t="n">
        <f aca="false">D12/COUNT('Silver Monthly'!$A$5:$A$25)</f>
        <v>1.52380952380952</v>
      </c>
    </row>
    <row r="13" customFormat="false" ht="15" hidden="false" customHeight="false" outlineLevel="0" collapsed="false">
      <c r="A13" s="7" t="s">
        <v>26</v>
      </c>
      <c r="B13" s="7" t="s">
        <v>33</v>
      </c>
      <c r="C13" s="8" t="s">
        <v>34</v>
      </c>
      <c r="D13" s="9" t="n">
        <f aca="false">COUNTIFS(Trades!$A$2:$A$2161,A13,Trades!$B$2:$B$2161,B13)</f>
        <v>16</v>
      </c>
      <c r="E13" s="9" t="n">
        <f aca="false">COUNTIFS(Trades!$A$2:$A$2161,A13,Trades!$B$2:$B$2161,B13,Trades!$M$2:$M$2161,1)</f>
        <v>15</v>
      </c>
      <c r="F13" s="10" t="n">
        <f aca="false">IF(D13=0,"",E13/D13)</f>
        <v>0.9375</v>
      </c>
      <c r="G13" s="11" t="n">
        <f aca="false">SUMIFS(Trades!$K$2:$K$2161,Trades!$A$2:$A$2161,A13,Trades!$B$2:$B$2161,B13)</f>
        <v>3316208.4</v>
      </c>
      <c r="H13" s="11" t="n">
        <f aca="false">SUMIFS(Trades!$K$2:$K$2161,Trades!$A$2:$A$2161,A13,Trades!$B$2:$B$2161,B13,Trades!$E$2:$E$2161,"&gt;="&amp;DATE(2025,1,1),Trades!$E$2:$E$2161,"&lt;"&amp;DATE(2026,1,1))</f>
        <v>1178374.8</v>
      </c>
      <c r="I13" s="11" t="n">
        <f aca="false">SUMIFS(Trades!$K$2:$K$2161,Trades!$A$2:$A$2161,A13,Trades!$B$2:$B$2161,B13,Trades!$E$2:$E$2161,"&gt;="&amp;DATE(2026,1,1))</f>
        <v>2137833.6</v>
      </c>
      <c r="J13" s="11" t="n">
        <f aca="false">IFERROR(AVERAGEIFS(Trades!$K$2:$K$2161,Trades!$A$2:$A$2161,A13,Trades!$B$2:$B$2161,B13,Trades!$K$2:$K$2161,"&gt;0"),0)</f>
        <v>232949.48</v>
      </c>
      <c r="K13" s="11" t="n">
        <f aca="false">IFERROR(AVERAGEIFS(Trades!$K$2:$K$2161,Trades!$A$2:$A$2161,A13,Trades!$B$2:$B$2161,B13,Trades!$K$2:$K$2161,"&lt;=0"),0)</f>
        <v>-178033.8</v>
      </c>
      <c r="L13" s="12" t="n">
        <f aca="false">IFERROR(SUMIFS(Trades!$K$2:$K$2161,Trades!$A$2:$A$2161,A13,Trades!$B$2:$B$2161,B13,Trades!$K$2:$K$2161,"&gt;0")/-SUMIFS(Trades!$K$2:$K$2161,Trades!$A$2:$A$2161,A13,Trades!$B$2:$B$2161,B13,Trades!$K$2:$K$2161,"&lt;=0"),"no losses")</f>
        <v>19.6268472615874</v>
      </c>
      <c r="M13" s="11" t="n">
        <f aca="false">_xlfn.MINIFS(Trades!$P$2:$P$2161,Trades!$A$2:$A$2161,A13,Trades!$B$2:$B$2161,B13)</f>
        <v>-178033.8</v>
      </c>
      <c r="N13" s="10" t="n">
        <f aca="false">IFERROR(COUNTIF('Silver Monthly'!P$5:P$25,"&gt;0")/COUNTIF('Silver Monthly'!N$5:N$25,"&gt;0"),"")</f>
        <v>0.923076923076923</v>
      </c>
      <c r="O13" s="11" t="n">
        <f aca="false">MAX('Silver Monthly'!P$5:P$25)</f>
        <v>1529008.2</v>
      </c>
      <c r="P13" s="11" t="n">
        <f aca="false">MIN('Silver Monthly'!P$5:P$25)</f>
        <v>-148735.5</v>
      </c>
      <c r="Q13" s="13" t="n">
        <f aca="false">D13/COUNT('Silver Monthly'!$A$5:$A$25)</f>
        <v>0.761904761904762</v>
      </c>
    </row>
    <row r="14" customFormat="false" ht="15" hidden="false" customHeight="false" outlineLevel="0" collapsed="false">
      <c r="A14" s="7" t="s">
        <v>26</v>
      </c>
      <c r="B14" s="7" t="s">
        <v>35</v>
      </c>
      <c r="C14" s="8" t="s">
        <v>36</v>
      </c>
      <c r="D14" s="9" t="n">
        <f aca="false">COUNTIFS(Trades!$A$2:$A$2161,A14,Trades!$B$2:$B$2161,B14)</f>
        <v>55</v>
      </c>
      <c r="E14" s="9" t="n">
        <f aca="false">COUNTIFS(Trades!$A$2:$A$2161,A14,Trades!$B$2:$B$2161,B14,Trades!$M$2:$M$2161,1)</f>
        <v>36</v>
      </c>
      <c r="F14" s="10" t="n">
        <f aca="false">IF(D14=0,"",E14/D14)</f>
        <v>0.654545454545455</v>
      </c>
      <c r="G14" s="11" t="n">
        <f aca="false">SUMIFS(Trades!$K$2:$K$2161,Trades!$A$2:$A$2161,A14,Trades!$B$2:$B$2161,B14)</f>
        <v>5244862.2</v>
      </c>
      <c r="H14" s="11" t="n">
        <f aca="false">SUMIFS(Trades!$K$2:$K$2161,Trades!$A$2:$A$2161,A14,Trades!$B$2:$B$2161,B14,Trades!$E$2:$E$2161,"&gt;="&amp;DATE(2025,1,1),Trades!$E$2:$E$2161,"&lt;"&amp;DATE(2026,1,1))</f>
        <v>2729003.7</v>
      </c>
      <c r="I14" s="11" t="n">
        <f aca="false">SUMIFS(Trades!$K$2:$K$2161,Trades!$A$2:$A$2161,A14,Trades!$B$2:$B$2161,B14,Trades!$E$2:$E$2161,"&gt;="&amp;DATE(2026,1,1))</f>
        <v>2515858.5</v>
      </c>
      <c r="J14" s="11" t="n">
        <f aca="false">IFERROR(AVERAGEIFS(Trades!$K$2:$K$2161,Trades!$A$2:$A$2161,A14,Trades!$B$2:$B$2161,B14,Trades!$K$2:$K$2161,"&gt;0"),0)</f>
        <v>220525.433333333</v>
      </c>
      <c r="K14" s="11" t="n">
        <f aca="false">IFERROR(AVERAGEIFS(Trades!$K$2:$K$2161,Trades!$A$2:$A$2161,A14,Trades!$B$2:$B$2161,B14,Trades!$K$2:$K$2161,"&lt;=0"),0)</f>
        <v>-141792.284210526</v>
      </c>
      <c r="L14" s="12" t="n">
        <f aca="false">IFERROR(SUMIFS(Trades!$K$2:$K$2161,Trades!$A$2:$A$2161,A14,Trades!$B$2:$B$2161,B14,Trades!$K$2:$K$2161,"&gt;0")/-SUMIFS(Trades!$K$2:$K$2161,Trades!$A$2:$A$2161,A14,Trades!$B$2:$B$2161,B14,Trades!$K$2:$K$2161,"&lt;=0"),"no losses")</f>
        <v>2.94682933901756</v>
      </c>
      <c r="M14" s="11" t="n">
        <f aca="false">_xlfn.MINIFS(Trades!$P$2:$P$2161,Trades!$A$2:$A$2161,A14,Trades!$B$2:$B$2161,B14)</f>
        <v>-1133730.6</v>
      </c>
      <c r="N14" s="10" t="n">
        <f aca="false">IFERROR(COUNTIF('Silver Monthly'!T$5:T$25,"&gt;0")/COUNTIF('Silver Monthly'!R$5:R$25,"&gt;0"),"")</f>
        <v>0.55</v>
      </c>
      <c r="O14" s="11" t="n">
        <f aca="false">MAX('Silver Monthly'!T$5:T$25)</f>
        <v>3074079</v>
      </c>
      <c r="P14" s="11" t="n">
        <f aca="false">MIN('Silver Monthly'!T$5:T$25)</f>
        <v>-376678.5</v>
      </c>
      <c r="Q14" s="13" t="n">
        <f aca="false">D14/COUNT('Silver Monthly'!$A$5:$A$25)</f>
        <v>2.61904761904762</v>
      </c>
    </row>
    <row r="15" customFormat="false" ht="15" hidden="false" customHeight="false" outlineLevel="0" collapsed="false">
      <c r="A15" s="7" t="s">
        <v>26</v>
      </c>
      <c r="B15" s="7" t="s">
        <v>37</v>
      </c>
      <c r="C15" s="8" t="s">
        <v>38</v>
      </c>
      <c r="D15" s="9" t="n">
        <f aca="false">COUNTIFS(Trades!$A$2:$A$2161,A15,Trades!$B$2:$B$2161,B15)</f>
        <v>73</v>
      </c>
      <c r="E15" s="9" t="n">
        <f aca="false">COUNTIFS(Trades!$A$2:$A$2161,A15,Trades!$B$2:$B$2161,B15,Trades!$M$2:$M$2161,1)</f>
        <v>52</v>
      </c>
      <c r="F15" s="10" t="n">
        <f aca="false">IF(D15=0,"",E15/D15)</f>
        <v>0.712328767123288</v>
      </c>
      <c r="G15" s="11" t="n">
        <f aca="false">SUMIFS(Trades!$K$2:$K$2161,Trades!$A$2:$A$2161,A15,Trades!$B$2:$B$2161,B15)</f>
        <v>6679868.7</v>
      </c>
      <c r="H15" s="11" t="n">
        <f aca="false">SUMIFS(Trades!$K$2:$K$2161,Trades!$A$2:$A$2161,A15,Trades!$B$2:$B$2161,B15,Trades!$E$2:$E$2161,"&gt;="&amp;DATE(2025,1,1),Trades!$E$2:$E$2161,"&lt;"&amp;DATE(2026,1,1))</f>
        <v>3000381.3</v>
      </c>
      <c r="I15" s="11" t="n">
        <f aca="false">SUMIFS(Trades!$K$2:$K$2161,Trades!$A$2:$A$2161,A15,Trades!$B$2:$B$2161,B15,Trades!$E$2:$E$2161,"&gt;="&amp;DATE(2026,1,1))</f>
        <v>3679487.4</v>
      </c>
      <c r="J15" s="11" t="n">
        <f aca="false">IFERROR(AVERAGEIFS(Trades!$K$2:$K$2161,Trades!$A$2:$A$2161,A15,Trades!$B$2:$B$2161,B15,Trades!$K$2:$K$2161,"&gt;0"),0)</f>
        <v>194114.151923077</v>
      </c>
      <c r="K15" s="11" t="n">
        <f aca="false">IFERROR(AVERAGEIFS(Trades!$K$2:$K$2161,Trades!$A$2:$A$2161,A15,Trades!$B$2:$B$2161,B15,Trades!$K$2:$K$2161,"&lt;=0"),0)</f>
        <v>-162574.628571429</v>
      </c>
      <c r="L15" s="12" t="n">
        <f aca="false">IFERROR(SUMIFS(Trades!$K$2:$K$2161,Trades!$A$2:$A$2161,A15,Trades!$B$2:$B$2161,B15,Trades!$K$2:$K$2161,"&gt;0")/-SUMIFS(Trades!$K$2:$K$2161,Trades!$A$2:$A$2161,A15,Trades!$B$2:$B$2161,B15,Trades!$K$2:$K$2161,"&lt;=0"),"no losses")</f>
        <v>2.95657212019728</v>
      </c>
      <c r="M15" s="11" t="n">
        <f aca="false">_xlfn.MINIFS(Trades!$P$2:$P$2161,Trades!$A$2:$A$2161,A15,Trades!$B$2:$B$2161,B15)</f>
        <v>-1200000.3</v>
      </c>
      <c r="N15" s="10" t="n">
        <f aca="false">IFERROR(COUNTIF('Silver Monthly'!X$5:X$25,"&gt;0")/COUNTIF('Silver Monthly'!V$5:V$25,"&gt;0"),"")</f>
        <v>0.6</v>
      </c>
      <c r="O15" s="11" t="n">
        <f aca="false">MAX('Silver Monthly'!X$5:X$25)</f>
        <v>3048620.7</v>
      </c>
      <c r="P15" s="11" t="n">
        <f aca="false">MIN('Silver Monthly'!X$5:X$25)</f>
        <v>-776022</v>
      </c>
      <c r="Q15" s="13" t="n">
        <f aca="false">D15/COUNT('Silver Monthly'!$A$5:$A$25)</f>
        <v>3.47619047619048</v>
      </c>
    </row>
    <row r="16" customFormat="false" ht="15" hidden="false" customHeight="false" outlineLevel="0" collapsed="false">
      <c r="A16" s="7" t="s">
        <v>26</v>
      </c>
      <c r="B16" s="7" t="s">
        <v>39</v>
      </c>
      <c r="C16" s="8" t="s">
        <v>40</v>
      </c>
      <c r="D16" s="9" t="n">
        <f aca="false">COUNTIFS(Trades!$A$2:$A$2161,A16,Trades!$B$2:$B$2161,B16)</f>
        <v>129</v>
      </c>
      <c r="E16" s="9" t="n">
        <f aca="false">COUNTIFS(Trades!$A$2:$A$2161,A16,Trades!$B$2:$B$2161,B16,Trades!$M$2:$M$2161,1)</f>
        <v>81</v>
      </c>
      <c r="F16" s="10" t="n">
        <f aca="false">IF(D16=0,"",E16/D16)</f>
        <v>0.627906976744186</v>
      </c>
      <c r="G16" s="11" t="n">
        <f aca="false">SUMIFS(Trades!$K$2:$K$2161,Trades!$A$2:$A$2161,A16,Trades!$B$2:$B$2161,B16)</f>
        <v>4918910.4</v>
      </c>
      <c r="H16" s="11" t="n">
        <f aca="false">SUMIFS(Trades!$K$2:$K$2161,Trades!$A$2:$A$2161,A16,Trades!$B$2:$B$2161,B16,Trades!$E$2:$E$2161,"&gt;="&amp;DATE(2025,1,1),Trades!$E$2:$E$2161,"&lt;"&amp;DATE(2026,1,1))</f>
        <v>1787140.8</v>
      </c>
      <c r="I16" s="11" t="n">
        <f aca="false">SUMIFS(Trades!$K$2:$K$2161,Trades!$A$2:$A$2161,A16,Trades!$B$2:$B$2161,B16,Trades!$E$2:$E$2161,"&gt;="&amp;DATE(2026,1,1))</f>
        <v>3131769.6</v>
      </c>
      <c r="J16" s="11" t="n">
        <f aca="false">IFERROR(AVERAGEIFS(Trades!$K$2:$K$2161,Trades!$A$2:$A$2161,A16,Trades!$B$2:$B$2161,B16,Trades!$K$2:$K$2161,"&gt;0"),0)</f>
        <v>127477.233333333</v>
      </c>
      <c r="K16" s="11" t="n">
        <f aca="false">IFERROR(AVERAGEIFS(Trades!$K$2:$K$2161,Trades!$A$2:$A$2161,A16,Trades!$B$2:$B$2161,B16,Trades!$K$2:$K$2161,"&lt;=0"),0)</f>
        <v>-112640.53125</v>
      </c>
      <c r="L16" s="12" t="n">
        <f aca="false">IFERROR(SUMIFS(Trades!$K$2:$K$2161,Trades!$A$2:$A$2161,A16,Trades!$B$2:$B$2161,B16,Trades!$K$2:$K$2161,"&gt;0")/-SUMIFS(Trades!$K$2:$K$2161,Trades!$A$2:$A$2161,A16,Trades!$B$2:$B$2161,B16,Trades!$K$2:$K$2161,"&lt;=0"),"no losses")</f>
        <v>1.90977287538317</v>
      </c>
      <c r="M16" s="11" t="n">
        <f aca="false">_xlfn.MINIFS(Trades!$P$2:$P$2161,Trades!$A$2:$A$2161,A16,Trades!$B$2:$B$2161,B16)</f>
        <v>-836158.2</v>
      </c>
      <c r="N16" s="10" t="n">
        <f aca="false">IFERROR(COUNTIF('Silver Monthly'!AB$5:AB$25,"&gt;0")/COUNTIF('Silver Monthly'!Z$5:Z$25,"&gt;0"),"")</f>
        <v>0.6</v>
      </c>
      <c r="O16" s="11" t="n">
        <f aca="false">MAX('Silver Monthly'!AB$5:AB$25)</f>
        <v>2450633.4</v>
      </c>
      <c r="P16" s="11" t="n">
        <f aca="false">MIN('Silver Monthly'!AB$5:AB$25)</f>
        <v>-187527.3</v>
      </c>
      <c r="Q16" s="13" t="n">
        <f aca="false">D16/COUNT('Silver Monthly'!$A$5:$A$25)</f>
        <v>6.14285714285714</v>
      </c>
    </row>
    <row r="17" customFormat="false" ht="15" hidden="false" customHeight="false" outlineLevel="0" collapsed="false">
      <c r="A17" s="7" t="s">
        <v>26</v>
      </c>
      <c r="B17" s="7" t="s">
        <v>41</v>
      </c>
      <c r="C17" s="8" t="s">
        <v>42</v>
      </c>
      <c r="D17" s="9" t="n">
        <f aca="false">COUNTIFS(Trades!$A$2:$A$2161,A17,Trades!$B$2:$B$2161,B17)</f>
        <v>340</v>
      </c>
      <c r="E17" s="9" t="n">
        <f aca="false">COUNTIFS(Trades!$A$2:$A$2161,A17,Trades!$B$2:$B$2161,B17,Trades!$M$2:$M$2161,1)</f>
        <v>218</v>
      </c>
      <c r="F17" s="10" t="n">
        <f aca="false">IF(D17=0,"",E17/D17)</f>
        <v>0.641176470588235</v>
      </c>
      <c r="G17" s="11" t="n">
        <f aca="false">SUMIFS(Trades!$K$2:$K$2161,Trades!$A$2:$A$2161,A17,Trades!$B$2:$B$2161,B17)</f>
        <v>9616894.2</v>
      </c>
      <c r="H17" s="11" t="n">
        <f aca="false">SUMIFS(Trades!$K$2:$K$2161,Trades!$A$2:$A$2161,A17,Trades!$B$2:$B$2161,B17,Trades!$E$2:$E$2161,"&gt;="&amp;DATE(2025,1,1),Trades!$E$2:$E$2161,"&lt;"&amp;DATE(2026,1,1))</f>
        <v>2313441.9</v>
      </c>
      <c r="I17" s="11" t="n">
        <f aca="false">SUMIFS(Trades!$K$2:$K$2161,Trades!$A$2:$A$2161,A17,Trades!$B$2:$B$2161,B17,Trades!$E$2:$E$2161,"&gt;="&amp;DATE(2026,1,1))</f>
        <v>7303452.3</v>
      </c>
      <c r="J17" s="11" t="n">
        <f aca="false">IFERROR(AVERAGEIFS(Trades!$K$2:$K$2161,Trades!$A$2:$A$2161,A17,Trades!$B$2:$B$2161,B17,Trades!$K$2:$K$2161,"&gt;0"),0)</f>
        <v>77076.9811926606</v>
      </c>
      <c r="K17" s="11" t="n">
        <f aca="false">IFERROR(AVERAGEIFS(Trades!$K$2:$K$2161,Trades!$A$2:$A$2161,A17,Trades!$B$2:$B$2161,B17,Trades!$K$2:$K$2161,"&lt;=0"),0)</f>
        <v>-58900.718852459</v>
      </c>
      <c r="L17" s="12" t="n">
        <f aca="false">IFERROR(SUMIFS(Trades!$K$2:$K$2161,Trades!$A$2:$A$2161,A17,Trades!$B$2:$B$2161,B17,Trades!$K$2:$K$2161,"&gt;0")/-SUMIFS(Trades!$K$2:$K$2161,Trades!$A$2:$A$2161,A17,Trades!$B$2:$B$2161,B17,Trades!$K$2:$K$2161,"&lt;=0"),"no losses")</f>
        <v>2.33830287940626</v>
      </c>
      <c r="M17" s="11" t="n">
        <f aca="false">_xlfn.MINIFS(Trades!$P$2:$P$2161,Trades!$A$2:$A$2161,A17,Trades!$B$2:$B$2161,B17)</f>
        <v>-918885.6</v>
      </c>
      <c r="N17" s="10" t="n">
        <f aca="false">IFERROR(COUNTIF('Silver Monthly'!AF$5:AF$25,"&gt;0")/COUNTIF('Silver Monthly'!AD$5:AD$25,"&gt;0"),"")</f>
        <v>0.714285714285714</v>
      </c>
      <c r="O17" s="11" t="n">
        <f aca="false">MAX('Silver Monthly'!AF$5:AF$25)</f>
        <v>3535317.3</v>
      </c>
      <c r="P17" s="11" t="n">
        <f aca="false">MIN('Silver Monthly'!AF$5:AF$25)</f>
        <v>-225352.5</v>
      </c>
      <c r="Q17" s="13" t="n">
        <f aca="false">D17/COUNT('Silver Monthly'!$A$5:$A$25)</f>
        <v>16.1904761904762</v>
      </c>
    </row>
    <row r="18" customFormat="false" ht="15" hidden="false" customHeight="false" outlineLevel="0" collapsed="false">
      <c r="A18" s="7" t="s">
        <v>26</v>
      </c>
      <c r="B18" s="7" t="s">
        <v>43</v>
      </c>
      <c r="C18" s="8" t="s">
        <v>44</v>
      </c>
      <c r="D18" s="9" t="n">
        <f aca="false">COUNTIFS(Trades!$A$2:$A$2161,A18,Trades!$B$2:$B$2161,B18)</f>
        <v>340</v>
      </c>
      <c r="E18" s="9" t="n">
        <f aca="false">COUNTIFS(Trades!$A$2:$A$2161,A18,Trades!$B$2:$B$2161,B18,Trades!$M$2:$M$2161,1)</f>
        <v>260</v>
      </c>
      <c r="F18" s="10" t="n">
        <f aca="false">IF(D18=0,"",E18/D18)</f>
        <v>0.764705882352941</v>
      </c>
      <c r="G18" s="11" t="n">
        <f aca="false">SUMIFS(Trades!$K$2:$K$2161,Trades!$A$2:$A$2161,A18,Trades!$B$2:$B$2161,B18)</f>
        <v>7429502.1</v>
      </c>
      <c r="H18" s="11" t="n">
        <f aca="false">SUMIFS(Trades!$K$2:$K$2161,Trades!$A$2:$A$2161,A18,Trades!$B$2:$B$2161,B18,Trades!$E$2:$E$2161,"&gt;="&amp;DATE(2025,1,1),Trades!$E$2:$E$2161,"&lt;"&amp;DATE(2026,1,1))</f>
        <v>1742147.7</v>
      </c>
      <c r="I18" s="11" t="n">
        <f aca="false">SUMIFS(Trades!$K$2:$K$2161,Trades!$A$2:$A$2161,A18,Trades!$B$2:$B$2161,B18,Trades!$E$2:$E$2161,"&gt;="&amp;DATE(2026,1,1))</f>
        <v>5687354.4</v>
      </c>
      <c r="J18" s="11" t="n">
        <f aca="false">IFERROR(AVERAGEIFS(Trades!$K$2:$K$2161,Trades!$A$2:$A$2161,A18,Trades!$B$2:$B$2161,B18,Trades!$K$2:$K$2161,"&gt;0"),0)</f>
        <v>45942.1961538462</v>
      </c>
      <c r="K18" s="11" t="n">
        <f aca="false">IFERROR(AVERAGEIFS(Trades!$K$2:$K$2161,Trades!$A$2:$A$2161,A18,Trades!$B$2:$B$2161,B18,Trades!$K$2:$K$2161,"&lt;=0"),0)</f>
        <v>-56443.36125</v>
      </c>
      <c r="L18" s="12" t="n">
        <f aca="false">IFERROR(SUMIFS(Trades!$K$2:$K$2161,Trades!$A$2:$A$2161,A18,Trades!$B$2:$B$2161,B18,Trades!$K$2:$K$2161,"&gt;0")/-SUMIFS(Trades!$K$2:$K$2161,Trades!$A$2:$A$2161,A18,Trades!$B$2:$B$2161,B18,Trades!$K$2:$K$2161,"&lt;=0"),"no losses")</f>
        <v>2.64534453996572</v>
      </c>
      <c r="M18" s="11" t="n">
        <f aca="false">_xlfn.MINIFS(Trades!$P$2:$P$2161,Trades!$A$2:$A$2161,A18,Trades!$B$2:$B$2161,B18)</f>
        <v>-685901.4</v>
      </c>
      <c r="N18" s="10" t="n">
        <f aca="false">IFERROR(COUNTIF('Silver Monthly'!AJ$5:AJ$25,"&gt;0")/COUNTIF('Silver Monthly'!AH$5:AH$25,"&gt;0"),"")</f>
        <v>0.75</v>
      </c>
      <c r="O18" s="11" t="n">
        <f aca="false">MAX('Silver Monthly'!AJ$5:AJ$25)</f>
        <v>2114211.9</v>
      </c>
      <c r="P18" s="11" t="n">
        <f aca="false">MIN('Silver Monthly'!AJ$5:AJ$25)</f>
        <v>-134557.2</v>
      </c>
      <c r="Q18" s="13" t="n">
        <f aca="false">D18/COUNT('Silver Monthly'!$A$5:$A$25)</f>
        <v>16.1904761904762</v>
      </c>
    </row>
    <row r="19" customFormat="false" ht="15" hidden="false" customHeight="false" outlineLevel="0" collapsed="false">
      <c r="A19" s="7" t="s">
        <v>45</v>
      </c>
      <c r="B19" s="7" t="s">
        <v>27</v>
      </c>
      <c r="C19" s="8" t="s">
        <v>28</v>
      </c>
      <c r="D19" s="9" t="n">
        <f aca="false">COUNTIFS(Trades!$A$2:$A$2161,A19,Trades!$B$2:$B$2161,B19)</f>
        <v>59</v>
      </c>
      <c r="E19" s="9" t="n">
        <f aca="false">COUNTIFS(Trades!$A$2:$A$2161,A19,Trades!$B$2:$B$2161,B19,Trades!$M$2:$M$2161,1)</f>
        <v>31</v>
      </c>
      <c r="F19" s="10" t="n">
        <f aca="false">IF(D19=0,"",E19/D19)</f>
        <v>0.525423728813559</v>
      </c>
      <c r="G19" s="11" t="n">
        <f aca="false">SUMIFS(Trades!$K$2:$K$2161,Trades!$A$2:$A$2161,A19,Trades!$B$2:$B$2161,B19)</f>
        <v>9564695</v>
      </c>
      <c r="H19" s="11" t="n">
        <f aca="false">SUMIFS(Trades!$K$2:$K$2161,Trades!$A$2:$A$2161,A19,Trades!$B$2:$B$2161,B19,Trades!$E$2:$E$2161,"&gt;="&amp;DATE(2025,1,1),Trades!$E$2:$E$2161,"&lt;"&amp;DATE(2026,1,1))</f>
        <v>4038831</v>
      </c>
      <c r="I19" s="11" t="n">
        <f aca="false">SUMIFS(Trades!$K$2:$K$2161,Trades!$A$2:$A$2161,A19,Trades!$B$2:$B$2161,B19,Trades!$E$2:$E$2161,"&gt;="&amp;DATE(2026,1,1))</f>
        <v>5525864</v>
      </c>
      <c r="J19" s="11" t="n">
        <f aca="false">IFERROR(AVERAGEIFS(Trades!$K$2:$K$2161,Trades!$A$2:$A$2161,A19,Trades!$B$2:$B$2161,B19,Trades!$K$2:$K$2161,"&gt;0"),0)</f>
        <v>482994.129032258</v>
      </c>
      <c r="K19" s="11" t="n">
        <f aca="false">IFERROR(AVERAGEIFS(Trades!$K$2:$K$2161,Trades!$A$2:$A$2161,A19,Trades!$B$2:$B$2161,B19,Trades!$K$2:$K$2161,"&lt;=0"),0)</f>
        <v>-193147.25</v>
      </c>
      <c r="L19" s="12" t="n">
        <f aca="false">IFERROR(SUMIFS(Trades!$K$2:$K$2161,Trades!$A$2:$A$2161,A19,Trades!$B$2:$B$2161,B19,Trades!$K$2:$K$2161,"&gt;0")/-SUMIFS(Trades!$K$2:$K$2161,Trades!$A$2:$A$2161,A19,Trades!$B$2:$B$2161,B19,Trades!$K$2:$K$2161,"&lt;=0"),"no losses")</f>
        <v>2.76857941285729</v>
      </c>
      <c r="M19" s="11" t="n">
        <f aca="false">_xlfn.MINIFS(Trades!$P$2:$P$2161,Trades!$A$2:$A$2161,A19,Trades!$B$2:$B$2161,B19)</f>
        <v>-1112560</v>
      </c>
      <c r="N19" s="10" t="n">
        <f aca="false">IFERROR(COUNTIF('Gold Monthly'!D$5:D$25,"&gt;0")/COUNTIF('Gold Monthly'!B$5:B$25,"&gt;0"),"")</f>
        <v>0.75</v>
      </c>
      <c r="O19" s="11" t="n">
        <f aca="false">MAX('Gold Monthly'!D$5:D$25)</f>
        <v>2723501</v>
      </c>
      <c r="P19" s="11" t="n">
        <f aca="false">MIN('Gold Monthly'!D$5:D$25)</f>
        <v>-792407</v>
      </c>
      <c r="Q19" s="13" t="n">
        <f aca="false">D19/COUNT('Gold Monthly'!$A$5:$A$25)</f>
        <v>2.80952380952381</v>
      </c>
    </row>
    <row r="20" customFormat="false" ht="15" hidden="false" customHeight="false" outlineLevel="0" collapsed="false">
      <c r="A20" s="7" t="s">
        <v>45</v>
      </c>
      <c r="B20" s="7" t="s">
        <v>29</v>
      </c>
      <c r="C20" s="8" t="s">
        <v>30</v>
      </c>
      <c r="D20" s="9" t="n">
        <f aca="false">COUNTIFS(Trades!$A$2:$A$2161,A20,Trades!$B$2:$B$2161,B20)</f>
        <v>28</v>
      </c>
      <c r="E20" s="9" t="n">
        <f aca="false">COUNTIFS(Trades!$A$2:$A$2161,A20,Trades!$B$2:$B$2161,B20,Trades!$M$2:$M$2161,1)</f>
        <v>18</v>
      </c>
      <c r="F20" s="10" t="n">
        <f aca="false">IF(D20=0,"",E20/D20)</f>
        <v>0.642857142857143</v>
      </c>
      <c r="G20" s="11" t="n">
        <f aca="false">SUMIFS(Trades!$K$2:$K$2161,Trades!$A$2:$A$2161,A20,Trades!$B$2:$B$2161,B20)</f>
        <v>7134101</v>
      </c>
      <c r="H20" s="11" t="n">
        <f aca="false">SUMIFS(Trades!$K$2:$K$2161,Trades!$A$2:$A$2161,A20,Trades!$B$2:$B$2161,B20,Trades!$E$2:$E$2161,"&gt;="&amp;DATE(2025,1,1),Trades!$E$2:$E$2161,"&lt;"&amp;DATE(2026,1,1))</f>
        <v>4042473</v>
      </c>
      <c r="I20" s="11" t="n">
        <f aca="false">SUMIFS(Trades!$K$2:$K$2161,Trades!$A$2:$A$2161,A20,Trades!$B$2:$B$2161,B20,Trades!$E$2:$E$2161,"&gt;="&amp;DATE(2026,1,1))</f>
        <v>3091628</v>
      </c>
      <c r="J20" s="11" t="n">
        <f aca="false">IFERROR(AVERAGEIFS(Trades!$K$2:$K$2161,Trades!$A$2:$A$2161,A20,Trades!$B$2:$B$2161,B20,Trades!$K$2:$K$2161,"&gt;0"),0)</f>
        <v>495598.555555556</v>
      </c>
      <c r="K20" s="11" t="n">
        <f aca="false">IFERROR(AVERAGEIFS(Trades!$K$2:$K$2161,Trades!$A$2:$A$2161,A20,Trades!$B$2:$B$2161,B20,Trades!$K$2:$K$2161,"&lt;=0"),0)</f>
        <v>-178667.3</v>
      </c>
      <c r="L20" s="12" t="n">
        <f aca="false">IFERROR(SUMIFS(Trades!$K$2:$K$2161,Trades!$A$2:$A$2161,A20,Trades!$B$2:$B$2161,B20,Trades!$K$2:$K$2161,"&gt;0")/-SUMIFS(Trades!$K$2:$K$2161,Trades!$A$2:$A$2161,A20,Trades!$B$2:$B$2161,B20,Trades!$K$2:$K$2161,"&lt;=0"),"no losses")</f>
        <v>4.99295282348813</v>
      </c>
      <c r="M20" s="11" t="n">
        <f aca="false">_xlfn.MINIFS(Trades!$P$2:$P$2161,Trades!$A$2:$A$2161,A20,Trades!$B$2:$B$2161,B20)</f>
        <v>-770980</v>
      </c>
      <c r="N20" s="10" t="n">
        <f aca="false">IFERROR(COUNTIF('Gold Monthly'!H$5:H$25,"&gt;0")/COUNTIF('Gold Monthly'!F$5:F$25,"&gt;0"),"")</f>
        <v>0.705882352941177</v>
      </c>
      <c r="O20" s="11" t="n">
        <f aca="false">MAX('Gold Monthly'!H$5:H$25)</f>
        <v>1995214</v>
      </c>
      <c r="P20" s="11" t="n">
        <f aca="false">MIN('Gold Monthly'!H$5:H$25)</f>
        <v>-762014</v>
      </c>
      <c r="Q20" s="13" t="n">
        <f aca="false">D20/COUNT('Gold Monthly'!$A$5:$A$25)</f>
        <v>1.33333333333333</v>
      </c>
    </row>
    <row r="21" customFormat="false" ht="15" hidden="false" customHeight="false" outlineLevel="0" collapsed="false">
      <c r="A21" s="14" t="s">
        <v>45</v>
      </c>
      <c r="B21" s="14" t="s">
        <v>31</v>
      </c>
      <c r="C21" s="15" t="s">
        <v>32</v>
      </c>
      <c r="D21" s="16" t="n">
        <f aca="false">COUNTIFS(Trades!$A$2:$A$2161,A21,Trades!$B$2:$B$2161,B21)</f>
        <v>28</v>
      </c>
      <c r="E21" s="16" t="n">
        <f aca="false">COUNTIFS(Trades!$A$2:$A$2161,A21,Trades!$B$2:$B$2161,B21,Trades!$M$2:$M$2161,1)</f>
        <v>23</v>
      </c>
      <c r="F21" s="17" t="n">
        <f aca="false">IF(D21=0,"",E21/D21)</f>
        <v>0.821428571428571</v>
      </c>
      <c r="G21" s="18" t="n">
        <f aca="false">SUMIFS(Trades!$K$2:$K$2161,Trades!$A$2:$A$2161,A21,Trades!$B$2:$B$2161,B21)</f>
        <v>5560961</v>
      </c>
      <c r="H21" s="18" t="n">
        <f aca="false">SUMIFS(Trades!$K$2:$K$2161,Trades!$A$2:$A$2161,A21,Trades!$B$2:$B$2161,B21,Trades!$E$2:$E$2161,"&gt;="&amp;DATE(2025,1,1),Trades!$E$2:$E$2161,"&lt;"&amp;DATE(2026,1,1))</f>
        <v>4313633</v>
      </c>
      <c r="I21" s="18" t="n">
        <f aca="false">SUMIFS(Trades!$K$2:$K$2161,Trades!$A$2:$A$2161,A21,Trades!$B$2:$B$2161,B21,Trades!$E$2:$E$2161,"&gt;="&amp;DATE(2026,1,1))</f>
        <v>1247328</v>
      </c>
      <c r="J21" s="18" t="n">
        <f aca="false">IFERROR(AVERAGEIFS(Trades!$K$2:$K$2161,Trades!$A$2:$A$2161,A21,Trades!$B$2:$B$2161,B21,Trades!$K$2:$K$2161,"&gt;0"),0)</f>
        <v>307792.608695652</v>
      </c>
      <c r="K21" s="18" t="n">
        <f aca="false">IFERROR(AVERAGEIFS(Trades!$K$2:$K$2161,Trades!$A$2:$A$2161,A21,Trades!$B$2:$B$2161,B21,Trades!$K$2:$K$2161,"&lt;=0"),0)</f>
        <v>-303653.8</v>
      </c>
      <c r="L21" s="19" t="n">
        <f aca="false">IFERROR(SUMIFS(Trades!$K$2:$K$2161,Trades!$A$2:$A$2161,A21,Trades!$B$2:$B$2161,B21,Trades!$K$2:$K$2161,"&gt;0")/-SUMIFS(Trades!$K$2:$K$2161,Trades!$A$2:$A$2161,A21,Trades!$B$2:$B$2161,B21,Trades!$K$2:$K$2161,"&lt;=0"),"no losses")</f>
        <v>4.66269811212638</v>
      </c>
      <c r="M21" s="18" t="n">
        <f aca="false">_xlfn.MINIFS(Trades!$P$2:$P$2161,Trades!$A$2:$A$2161,A21,Trades!$B$2:$B$2161,B21)</f>
        <v>-762014</v>
      </c>
      <c r="N21" s="17" t="n">
        <f aca="false">IFERROR(COUNTIF('Gold Monthly'!L$5:L$25,"&gt;0")/COUNTIF('Gold Monthly'!J$5:J$25,"&gt;0"),"")</f>
        <v>0.764705882352941</v>
      </c>
      <c r="O21" s="18" t="n">
        <f aca="false">MAX('Gold Monthly'!L$5:L$25)</f>
        <v>1298355</v>
      </c>
      <c r="P21" s="18" t="n">
        <f aca="false">MIN('Gold Monthly'!L$5:L$25)</f>
        <v>-762014</v>
      </c>
      <c r="Q21" s="20" t="n">
        <f aca="false">D21/COUNT('Gold Monthly'!$A$5:$A$25)</f>
        <v>1.33333333333333</v>
      </c>
    </row>
    <row r="22" customFormat="false" ht="15" hidden="false" customHeight="false" outlineLevel="0" collapsed="false">
      <c r="A22" s="7" t="s">
        <v>45</v>
      </c>
      <c r="B22" s="7" t="s">
        <v>33</v>
      </c>
      <c r="C22" s="8" t="s">
        <v>34</v>
      </c>
      <c r="D22" s="9" t="n">
        <f aca="false">COUNTIFS(Trades!$A$2:$A$2161,A22,Trades!$B$2:$B$2161,B22)</f>
        <v>18</v>
      </c>
      <c r="E22" s="9" t="n">
        <f aca="false">COUNTIFS(Trades!$A$2:$A$2161,A22,Trades!$B$2:$B$2161,B22,Trades!$M$2:$M$2161,1)</f>
        <v>16</v>
      </c>
      <c r="F22" s="10" t="n">
        <f aca="false">IF(D22=0,"",E22/D22)</f>
        <v>0.888888888888889</v>
      </c>
      <c r="G22" s="11" t="n">
        <f aca="false">SUMIFS(Trades!$K$2:$K$2161,Trades!$A$2:$A$2161,A22,Trades!$B$2:$B$2161,B22)</f>
        <v>4234572</v>
      </c>
      <c r="H22" s="11" t="n">
        <f aca="false">SUMIFS(Trades!$K$2:$K$2161,Trades!$A$2:$A$2161,A22,Trades!$B$2:$B$2161,B22,Trades!$E$2:$E$2161,"&gt;="&amp;DATE(2025,1,1),Trades!$E$2:$E$2161,"&lt;"&amp;DATE(2026,1,1))</f>
        <v>2135607</v>
      </c>
      <c r="I22" s="11" t="n">
        <f aca="false">SUMIFS(Trades!$K$2:$K$2161,Trades!$A$2:$A$2161,A22,Trades!$B$2:$B$2161,B22,Trades!$E$2:$E$2161,"&gt;="&amp;DATE(2026,1,1))</f>
        <v>2098965</v>
      </c>
      <c r="J22" s="11" t="n">
        <f aca="false">IFERROR(AVERAGEIFS(Trades!$K$2:$K$2161,Trades!$A$2:$A$2161,A22,Trades!$B$2:$B$2161,B22,Trades!$K$2:$K$2161,"&gt;0"),0)</f>
        <v>290415.375</v>
      </c>
      <c r="K22" s="11" t="n">
        <f aca="false">IFERROR(AVERAGEIFS(Trades!$K$2:$K$2161,Trades!$A$2:$A$2161,A22,Trades!$B$2:$B$2161,B22,Trades!$K$2:$K$2161,"&lt;=0"),0)</f>
        <v>-206037</v>
      </c>
      <c r="L22" s="12" t="n">
        <f aca="false">IFERROR(SUMIFS(Trades!$K$2:$K$2161,Trades!$A$2:$A$2161,A22,Trades!$B$2:$B$2161,B22,Trades!$K$2:$K$2161,"&gt;0")/-SUMIFS(Trades!$K$2:$K$2161,Trades!$A$2:$A$2161,A22,Trades!$B$2:$B$2161,B22,Trades!$K$2:$K$2161,"&lt;=0"),"no losses")</f>
        <v>11.276241645918</v>
      </c>
      <c r="M22" s="11" t="n">
        <f aca="false">_xlfn.MINIFS(Trades!$P$2:$P$2161,Trades!$A$2:$A$2161,A22,Trades!$B$2:$B$2161,B22)</f>
        <v>-295056</v>
      </c>
      <c r="N22" s="10" t="n">
        <f aca="false">IFERROR(COUNTIF('Gold Monthly'!P$5:P$25,"&gt;0")/COUNTIF('Gold Monthly'!N$5:N$25,"&gt;0"),"")</f>
        <v>0.857142857142857</v>
      </c>
      <c r="O22" s="11" t="n">
        <f aca="false">MAX('Gold Monthly'!P$5:P$25)</f>
        <v>1097317</v>
      </c>
      <c r="P22" s="11" t="n">
        <f aca="false">MIN('Gold Monthly'!P$5:P$25)</f>
        <v>-295056</v>
      </c>
      <c r="Q22" s="13" t="n">
        <f aca="false">D22/COUNT('Gold Monthly'!$A$5:$A$25)</f>
        <v>0.857142857142857</v>
      </c>
    </row>
    <row r="23" customFormat="false" ht="15" hidden="false" customHeight="false" outlineLevel="0" collapsed="false">
      <c r="A23" s="7" t="s">
        <v>45</v>
      </c>
      <c r="B23" s="7" t="s">
        <v>35</v>
      </c>
      <c r="C23" s="8" t="s">
        <v>36</v>
      </c>
      <c r="D23" s="9" t="n">
        <f aca="false">COUNTIFS(Trades!$A$2:$A$2161,A23,Trades!$B$2:$B$2161,B23)</f>
        <v>57</v>
      </c>
      <c r="E23" s="9" t="n">
        <f aca="false">COUNTIFS(Trades!$A$2:$A$2161,A23,Trades!$B$2:$B$2161,B23,Trades!$M$2:$M$2161,1)</f>
        <v>40</v>
      </c>
      <c r="F23" s="10" t="n">
        <f aca="false">IF(D23=0,"",E23/D23)</f>
        <v>0.701754385964912</v>
      </c>
      <c r="G23" s="11" t="n">
        <f aca="false">SUMIFS(Trades!$K$2:$K$2161,Trades!$A$2:$A$2161,A23,Trades!$B$2:$B$2161,B23)</f>
        <v>3186182</v>
      </c>
      <c r="H23" s="11" t="n">
        <f aca="false">SUMIFS(Trades!$K$2:$K$2161,Trades!$A$2:$A$2161,A23,Trades!$B$2:$B$2161,B23,Trades!$E$2:$E$2161,"&gt;="&amp;DATE(2025,1,1),Trades!$E$2:$E$2161,"&lt;"&amp;DATE(2026,1,1))</f>
        <v>2086070</v>
      </c>
      <c r="I23" s="11" t="n">
        <f aca="false">SUMIFS(Trades!$K$2:$K$2161,Trades!$A$2:$A$2161,A23,Trades!$B$2:$B$2161,B23,Trades!$E$2:$E$2161,"&gt;="&amp;DATE(2026,1,1))</f>
        <v>1100112</v>
      </c>
      <c r="J23" s="11" t="n">
        <f aca="false">IFERROR(AVERAGEIFS(Trades!$K$2:$K$2161,Trades!$A$2:$A$2161,A23,Trades!$B$2:$B$2161,B23,Trades!$K$2:$K$2161,"&gt;0"),0)</f>
        <v>175023.375</v>
      </c>
      <c r="K23" s="11" t="n">
        <f aca="false">IFERROR(AVERAGEIFS(Trades!$K$2:$K$2161,Trades!$A$2:$A$2161,A23,Trades!$B$2:$B$2161,B23,Trades!$K$2:$K$2161,"&lt;=0"),0)</f>
        <v>-224397.235294118</v>
      </c>
      <c r="L23" s="12" t="n">
        <f aca="false">IFERROR(SUMIFS(Trades!$K$2:$K$2161,Trades!$A$2:$A$2161,A23,Trades!$B$2:$B$2161,B23,Trades!$K$2:$K$2161,"&gt;0")/-SUMIFS(Trades!$K$2:$K$2161,Trades!$A$2:$A$2161,A23,Trades!$B$2:$B$2161,B23,Trades!$K$2:$K$2161,"&lt;=0"),"no losses")</f>
        <v>1.83522629119107</v>
      </c>
      <c r="M23" s="11" t="n">
        <f aca="false">_xlfn.MINIFS(Trades!$P$2:$P$2161,Trades!$A$2:$A$2161,A23,Trades!$B$2:$B$2161,B23)</f>
        <v>-1267242</v>
      </c>
      <c r="N23" s="10" t="n">
        <f aca="false">IFERROR(COUNTIF('Gold Monthly'!T$5:T$25,"&gt;0")/COUNTIF('Gold Monthly'!R$5:R$25,"&gt;0"),"")</f>
        <v>0.65</v>
      </c>
      <c r="O23" s="11" t="n">
        <f aca="false">MAX('Gold Monthly'!T$5:T$25)</f>
        <v>1624917</v>
      </c>
      <c r="P23" s="11" t="n">
        <f aca="false">MIN('Gold Monthly'!T$5:T$25)</f>
        <v>-350577</v>
      </c>
      <c r="Q23" s="13" t="n">
        <f aca="false">D23/COUNT('Gold Monthly'!$A$5:$A$25)</f>
        <v>2.71428571428571</v>
      </c>
    </row>
    <row r="24" customFormat="false" ht="15" hidden="false" customHeight="false" outlineLevel="0" collapsed="false">
      <c r="A24" s="7" t="s">
        <v>45</v>
      </c>
      <c r="B24" s="7" t="s">
        <v>37</v>
      </c>
      <c r="C24" s="8" t="s">
        <v>38</v>
      </c>
      <c r="D24" s="9" t="n">
        <f aca="false">COUNTIFS(Trades!$A$2:$A$2161,A24,Trades!$B$2:$B$2161,B24)</f>
        <v>75</v>
      </c>
      <c r="E24" s="9" t="n">
        <f aca="false">COUNTIFS(Trades!$A$2:$A$2161,A24,Trades!$B$2:$B$2161,B24,Trades!$M$2:$M$2161,1)</f>
        <v>50</v>
      </c>
      <c r="F24" s="10" t="n">
        <f aca="false">IF(D24=0,"",E24/D24)</f>
        <v>0.666666666666667</v>
      </c>
      <c r="G24" s="11" t="n">
        <f aca="false">SUMIFS(Trades!$K$2:$K$2161,Trades!$A$2:$A$2161,A24,Trades!$B$2:$B$2161,B24)</f>
        <v>4137634</v>
      </c>
      <c r="H24" s="11" t="n">
        <f aca="false">SUMIFS(Trades!$K$2:$K$2161,Trades!$A$2:$A$2161,A24,Trades!$B$2:$B$2161,B24,Trades!$E$2:$E$2161,"&gt;="&amp;DATE(2025,1,1),Trades!$E$2:$E$2161,"&lt;"&amp;DATE(2026,1,1))</f>
        <v>3290310</v>
      </c>
      <c r="I24" s="11" t="n">
        <f aca="false">SUMIFS(Trades!$K$2:$K$2161,Trades!$A$2:$A$2161,A24,Trades!$B$2:$B$2161,B24,Trades!$E$2:$E$2161,"&gt;="&amp;DATE(2026,1,1))</f>
        <v>847324</v>
      </c>
      <c r="J24" s="11" t="n">
        <f aca="false">IFERROR(AVERAGEIFS(Trades!$K$2:$K$2161,Trades!$A$2:$A$2161,A24,Trades!$B$2:$B$2161,B24,Trades!$K$2:$K$2161,"&gt;0"),0)</f>
        <v>212244.7</v>
      </c>
      <c r="K24" s="11" t="n">
        <f aca="false">IFERROR(AVERAGEIFS(Trades!$K$2:$K$2161,Trades!$A$2:$A$2161,A24,Trades!$B$2:$B$2161,B24,Trades!$K$2:$K$2161,"&lt;=0"),0)</f>
        <v>-258984.04</v>
      </c>
      <c r="L24" s="12" t="n">
        <f aca="false">IFERROR(SUMIFS(Trades!$K$2:$K$2161,Trades!$A$2:$A$2161,A24,Trades!$B$2:$B$2161,B24,Trades!$K$2:$K$2161,"&gt;0")/-SUMIFS(Trades!$K$2:$K$2161,Trades!$A$2:$A$2161,A24,Trades!$B$2:$B$2161,B24,Trades!$K$2:$K$2161,"&lt;=0"),"no losses")</f>
        <v>1.63905621365703</v>
      </c>
      <c r="M24" s="11" t="n">
        <f aca="false">_xlfn.MINIFS(Trades!$P$2:$P$2161,Trades!$A$2:$A$2161,A24,Trades!$B$2:$B$2161,B24)</f>
        <v>-2147882</v>
      </c>
      <c r="N24" s="10" t="n">
        <f aca="false">IFERROR(COUNTIF('Gold Monthly'!X$5:X$25,"&gt;0")/COUNTIF('Gold Monthly'!V$5:V$25,"&gt;0"),"")</f>
        <v>0.75</v>
      </c>
      <c r="O24" s="11" t="n">
        <f aca="false">MAX('Gold Monthly'!X$5:X$25)</f>
        <v>1588734</v>
      </c>
      <c r="P24" s="11" t="n">
        <f aca="false">MIN('Gold Monthly'!X$5:X$25)</f>
        <v>-2147882</v>
      </c>
      <c r="Q24" s="13" t="n">
        <f aca="false">D24/COUNT('Gold Monthly'!$A$5:$A$25)</f>
        <v>3.57142857142857</v>
      </c>
    </row>
    <row r="25" customFormat="false" ht="15" hidden="false" customHeight="false" outlineLevel="0" collapsed="false">
      <c r="A25" s="7" t="s">
        <v>45</v>
      </c>
      <c r="B25" s="7" t="s">
        <v>39</v>
      </c>
      <c r="C25" s="8" t="s">
        <v>40</v>
      </c>
      <c r="D25" s="9" t="n">
        <f aca="false">COUNTIFS(Trades!$A$2:$A$2161,A25,Trades!$B$2:$B$2161,B25)</f>
        <v>123</v>
      </c>
      <c r="E25" s="9" t="n">
        <f aca="false">COUNTIFS(Trades!$A$2:$A$2161,A25,Trades!$B$2:$B$2161,B25,Trades!$M$2:$M$2161,1)</f>
        <v>76</v>
      </c>
      <c r="F25" s="10" t="n">
        <f aca="false">IF(D25=0,"",E25/D25)</f>
        <v>0.617886178861789</v>
      </c>
      <c r="G25" s="11" t="n">
        <f aca="false">SUMIFS(Trades!$K$2:$K$2161,Trades!$A$2:$A$2161,A25,Trades!$B$2:$B$2161,B25)</f>
        <v>4161445</v>
      </c>
      <c r="H25" s="11" t="n">
        <f aca="false">SUMIFS(Trades!$K$2:$K$2161,Trades!$A$2:$A$2161,A25,Trades!$B$2:$B$2161,B25,Trades!$E$2:$E$2161,"&gt;="&amp;DATE(2025,1,1),Trades!$E$2:$E$2161,"&lt;"&amp;DATE(2026,1,1))</f>
        <v>1946780</v>
      </c>
      <c r="I25" s="11" t="n">
        <f aca="false">SUMIFS(Trades!$K$2:$K$2161,Trades!$A$2:$A$2161,A25,Trades!$B$2:$B$2161,B25,Trades!$E$2:$E$2161,"&gt;="&amp;DATE(2026,1,1))</f>
        <v>2214665</v>
      </c>
      <c r="J25" s="11" t="n">
        <f aca="false">IFERROR(AVERAGEIFS(Trades!$K$2:$K$2161,Trades!$A$2:$A$2161,A25,Trades!$B$2:$B$2161,B25,Trades!$K$2:$K$2161,"&gt;0"),0)</f>
        <v>138609.118421053</v>
      </c>
      <c r="K25" s="11" t="n">
        <f aca="false">IFERROR(AVERAGEIFS(Trades!$K$2:$K$2161,Trades!$A$2:$A$2161,A25,Trades!$B$2:$B$2161,B25,Trades!$K$2:$K$2161,"&lt;=0"),0)</f>
        <v>-135592.510638298</v>
      </c>
      <c r="L25" s="12" t="n">
        <f aca="false">IFERROR(SUMIFS(Trades!$K$2:$K$2161,Trades!$A$2:$A$2161,A25,Trades!$B$2:$B$2161,B25,Trades!$K$2:$K$2161,"&gt;0")/-SUMIFS(Trades!$K$2:$K$2161,Trades!$A$2:$A$2161,A25,Trades!$B$2:$B$2161,B25,Trades!$K$2:$K$2161,"&lt;=0"),"no losses")</f>
        <v>1.65299611727755</v>
      </c>
      <c r="M25" s="11" t="n">
        <f aca="false">_xlfn.MINIFS(Trades!$P$2:$P$2161,Trades!$A$2:$A$2161,A25,Trades!$B$2:$B$2161,B25)</f>
        <v>-1784258</v>
      </c>
      <c r="N25" s="10" t="n">
        <f aca="false">IFERROR(COUNTIF('Gold Monthly'!AB$5:AB$25,"&gt;0")/COUNTIF('Gold Monthly'!Z$5:Z$25,"&gt;0"),"")</f>
        <v>0.55</v>
      </c>
      <c r="O25" s="11" t="n">
        <f aca="false">MAX('Gold Monthly'!AB$5:AB$25)</f>
        <v>2870294</v>
      </c>
      <c r="P25" s="11" t="n">
        <f aca="false">MIN('Gold Monthly'!AB$5:AB$25)</f>
        <v>-956219</v>
      </c>
      <c r="Q25" s="13" t="n">
        <f aca="false">D25/COUNT('Gold Monthly'!$A$5:$A$25)</f>
        <v>5.85714285714286</v>
      </c>
    </row>
    <row r="26" customFormat="false" ht="15" hidden="false" customHeight="false" outlineLevel="0" collapsed="false">
      <c r="A26" s="7" t="s">
        <v>45</v>
      </c>
      <c r="B26" s="7" t="s">
        <v>41</v>
      </c>
      <c r="C26" s="8" t="s">
        <v>42</v>
      </c>
      <c r="D26" s="9" t="n">
        <f aca="false">COUNTIFS(Trades!$A$2:$A$2161,A26,Trades!$B$2:$B$2161,B26)</f>
        <v>342</v>
      </c>
      <c r="E26" s="9" t="n">
        <f aca="false">COUNTIFS(Trades!$A$2:$A$2161,A26,Trades!$B$2:$B$2161,B26,Trades!$M$2:$M$2161,1)</f>
        <v>198</v>
      </c>
      <c r="F26" s="10" t="n">
        <f aca="false">IF(D26=0,"",E26/D26)</f>
        <v>0.578947368421053</v>
      </c>
      <c r="G26" s="11" t="n">
        <f aca="false">SUMIFS(Trades!$K$2:$K$2161,Trades!$A$2:$A$2161,A26,Trades!$B$2:$B$2161,B26)</f>
        <v>4262195</v>
      </c>
      <c r="H26" s="11" t="n">
        <f aca="false">SUMIFS(Trades!$K$2:$K$2161,Trades!$A$2:$A$2161,A26,Trades!$B$2:$B$2161,B26,Trades!$E$2:$E$2161,"&gt;="&amp;DATE(2025,1,1),Trades!$E$2:$E$2161,"&lt;"&amp;DATE(2026,1,1))</f>
        <v>3134388</v>
      </c>
      <c r="I26" s="11" t="n">
        <f aca="false">SUMIFS(Trades!$K$2:$K$2161,Trades!$A$2:$A$2161,A26,Trades!$B$2:$B$2161,B26,Trades!$E$2:$E$2161,"&gt;="&amp;DATE(2026,1,1))</f>
        <v>1127807</v>
      </c>
      <c r="J26" s="11" t="n">
        <f aca="false">IFERROR(AVERAGEIFS(Trades!$K$2:$K$2161,Trades!$A$2:$A$2161,A26,Trades!$B$2:$B$2161,B26,Trades!$K$2:$K$2161,"&gt;0"),0)</f>
        <v>77768.5</v>
      </c>
      <c r="K26" s="11" t="n">
        <f aca="false">IFERROR(AVERAGEIFS(Trades!$K$2:$K$2161,Trades!$A$2:$A$2161,A26,Trades!$B$2:$B$2161,B26,Trades!$K$2:$K$2161,"&lt;=0"),0)</f>
        <v>-77333.1111111111</v>
      </c>
      <c r="L26" s="12" t="n">
        <f aca="false">IFERROR(SUMIFS(Trades!$K$2:$K$2161,Trades!$A$2:$A$2161,A26,Trades!$B$2:$B$2161,B26,Trades!$K$2:$K$2161,"&gt;0")/-SUMIFS(Trades!$K$2:$K$2161,Trades!$A$2:$A$2161,A26,Trades!$B$2:$B$2161,B26,Trades!$K$2:$K$2161,"&lt;=0"),"no losses")</f>
        <v>1.38274131175664</v>
      </c>
      <c r="M26" s="11" t="n">
        <f aca="false">_xlfn.MINIFS(Trades!$P$2:$P$2161,Trades!$A$2:$A$2161,A26,Trades!$B$2:$B$2161,B26)</f>
        <v>-2510915</v>
      </c>
      <c r="N26" s="10" t="n">
        <f aca="false">IFERROR(COUNTIF('Gold Monthly'!AF$5:AF$25,"&gt;0")/COUNTIF('Gold Monthly'!AD$5:AD$25,"&gt;0"),"")</f>
        <v>0.714285714285714</v>
      </c>
      <c r="O26" s="11" t="n">
        <f aca="false">MAX('Gold Monthly'!AF$5:AF$25)</f>
        <v>1578462</v>
      </c>
      <c r="P26" s="11" t="n">
        <f aca="false">MIN('Gold Monthly'!AF$5:AF$25)</f>
        <v>-1841983</v>
      </c>
      <c r="Q26" s="13" t="n">
        <f aca="false">D26/COUNT('Gold Monthly'!$A$5:$A$25)</f>
        <v>16.2857142857143</v>
      </c>
    </row>
    <row r="27" customFormat="false" ht="15" hidden="false" customHeight="false" outlineLevel="0" collapsed="false">
      <c r="A27" s="7" t="s">
        <v>45</v>
      </c>
      <c r="B27" s="7" t="s">
        <v>43</v>
      </c>
      <c r="C27" s="8" t="s">
        <v>44</v>
      </c>
      <c r="D27" s="9" t="n">
        <f aca="false">COUNTIFS(Trades!$A$2:$A$2161,A27,Trades!$B$2:$B$2161,B27)</f>
        <v>344</v>
      </c>
      <c r="E27" s="9" t="n">
        <f aca="false">COUNTIFS(Trades!$A$2:$A$2161,A27,Trades!$B$2:$B$2161,B27,Trades!$M$2:$M$2161,1)</f>
        <v>247</v>
      </c>
      <c r="F27" s="10" t="n">
        <f aca="false">IF(D27=0,"",E27/D27)</f>
        <v>0.718023255813954</v>
      </c>
      <c r="G27" s="11" t="n">
        <f aca="false">SUMIFS(Trades!$K$2:$K$2161,Trades!$A$2:$A$2161,A27,Trades!$B$2:$B$2161,B27)</f>
        <v>4366899</v>
      </c>
      <c r="H27" s="11" t="n">
        <f aca="false">SUMIFS(Trades!$K$2:$K$2161,Trades!$A$2:$A$2161,A27,Trades!$B$2:$B$2161,B27,Trades!$E$2:$E$2161,"&gt;="&amp;DATE(2025,1,1),Trades!$E$2:$E$2161,"&lt;"&amp;DATE(2026,1,1))</f>
        <v>2494829</v>
      </c>
      <c r="I27" s="11" t="n">
        <f aca="false">SUMIFS(Trades!$K$2:$K$2161,Trades!$A$2:$A$2161,A27,Trades!$B$2:$B$2161,B27,Trades!$E$2:$E$2161,"&gt;="&amp;DATE(2026,1,1))</f>
        <v>1872070</v>
      </c>
      <c r="J27" s="11" t="n">
        <f aca="false">IFERROR(AVERAGEIFS(Trades!$K$2:$K$2161,Trades!$A$2:$A$2161,A27,Trades!$B$2:$B$2161,B27,Trades!$K$2:$K$2161,"&gt;0"),0)</f>
        <v>49716.1740890688</v>
      </c>
      <c r="K27" s="11" t="n">
        <f aca="false">IFERROR(AVERAGEIFS(Trades!$K$2:$K$2161,Trades!$A$2:$A$2161,A27,Trades!$B$2:$B$2161,B27,Trades!$K$2:$K$2161,"&lt;=0"),0)</f>
        <v>-81577.2783505155</v>
      </c>
      <c r="L27" s="12" t="n">
        <f aca="false">IFERROR(SUMIFS(Trades!$K$2:$K$2161,Trades!$A$2:$A$2161,A27,Trades!$B$2:$B$2161,B27,Trades!$K$2:$K$2161,"&gt;0")/-SUMIFS(Trades!$K$2:$K$2161,Trades!$A$2:$A$2161,A27,Trades!$B$2:$B$2161,B27,Trades!$K$2:$K$2161,"&lt;=0"),"no losses")</f>
        <v>1.55186417382241</v>
      </c>
      <c r="M27" s="11" t="n">
        <f aca="false">_xlfn.MINIFS(Trades!$P$2:$P$2161,Trades!$A$2:$A$2161,A27,Trades!$B$2:$B$2161,B27)</f>
        <v>-1088229</v>
      </c>
      <c r="N27" s="10" t="n">
        <f aca="false">IFERROR(COUNTIF('Gold Monthly'!AJ$5:AJ$25,"&gt;0")/COUNTIF('Gold Monthly'!AH$5:AH$25,"&gt;0"),"")</f>
        <v>0.6</v>
      </c>
      <c r="O27" s="11" t="n">
        <f aca="false">MAX('Gold Monthly'!AJ$5:AJ$25)</f>
        <v>1851756</v>
      </c>
      <c r="P27" s="11" t="n">
        <f aca="false">MIN('Gold Monthly'!AJ$5:AJ$25)</f>
        <v>-562167</v>
      </c>
      <c r="Q27" s="13" t="n">
        <f aca="false">D27/COUNT('Gold Monthly'!$A$5:$A$25)</f>
        <v>16.3809523809524</v>
      </c>
    </row>
    <row r="29" customFormat="false" ht="15" hidden="false" customHeight="false" outlineLevel="0" collapsed="false">
      <c r="A29" s="5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7"/>
    <col collapsed="false" customWidth="true" hidden="false" outlineLevel="0" max="5" min="4" style="0" width="16"/>
    <col collapsed="false" customWidth="true" hidden="false" outlineLevel="0" max="6" min="6" style="0" width="10"/>
    <col collapsed="false" customWidth="true" hidden="false" outlineLevel="0" max="8" min="7" style="0" width="11"/>
    <col collapsed="false" customWidth="true" hidden="false" outlineLevel="0" max="9" min="9" style="0" width="13"/>
    <col collapsed="false" customWidth="true" hidden="false" outlineLevel="0" max="10" min="10" style="0" width="6"/>
    <col collapsed="false" customWidth="true" hidden="false" outlineLevel="0" max="11" min="11" style="0" width="13"/>
    <col collapsed="false" customWidth="true" hidden="false" outlineLevel="0" max="12" min="12" style="0" width="9"/>
    <col collapsed="false" customWidth="true" hidden="false" outlineLevel="0" max="13" min="13" style="0" width="8"/>
    <col collapsed="false" customWidth="true" hidden="false" outlineLevel="0" max="14" min="14" style="0" width="15"/>
    <col collapsed="false" customWidth="true" hidden="false" outlineLevel="0" max="16" min="15" style="0" width="13"/>
  </cols>
  <sheetData>
    <row r="1" customFormat="false" ht="42" hidden="false" customHeight="true" outlineLevel="0" collapsed="false">
      <c r="A1" s="6" t="s">
        <v>9</v>
      </c>
      <c r="B1" s="6" t="s">
        <v>10</v>
      </c>
      <c r="C1" s="6" t="s">
        <v>47</v>
      </c>
      <c r="D1" s="6" t="s">
        <v>48</v>
      </c>
      <c r="E1" s="6" t="s">
        <v>49</v>
      </c>
      <c r="F1" s="6" t="s">
        <v>50</v>
      </c>
      <c r="G1" s="6" t="s">
        <v>51</v>
      </c>
      <c r="H1" s="6" t="s">
        <v>52</v>
      </c>
      <c r="I1" s="6" t="s">
        <v>53</v>
      </c>
      <c r="J1" s="6" t="s">
        <v>54</v>
      </c>
      <c r="K1" s="6" t="s">
        <v>15</v>
      </c>
      <c r="L1" s="6" t="s">
        <v>55</v>
      </c>
      <c r="M1" s="6" t="s">
        <v>56</v>
      </c>
      <c r="N1" s="6" t="s">
        <v>57</v>
      </c>
      <c r="O1" s="6" t="s">
        <v>58</v>
      </c>
      <c r="P1" s="6" t="s">
        <v>59</v>
      </c>
    </row>
    <row r="2" customFormat="false" ht="15" hidden="false" customHeight="false" outlineLevel="0" collapsed="false">
      <c r="A2" s="8" t="s">
        <v>26</v>
      </c>
      <c r="B2" s="8" t="s">
        <v>27</v>
      </c>
      <c r="C2" s="8" t="s">
        <v>60</v>
      </c>
      <c r="D2" s="21" t="n">
        <v>45663.7083333333</v>
      </c>
      <c r="E2" s="21" t="n">
        <v>45680.7916666667</v>
      </c>
      <c r="F2" s="22" t="n">
        <f aca="false">DATE(YEAR(E2),MONTH(E2),1)</f>
        <v>45658</v>
      </c>
      <c r="G2" s="23" t="n">
        <v>129941</v>
      </c>
      <c r="H2" s="8" t="s">
        <v>61</v>
      </c>
      <c r="I2" s="24" t="n">
        <v>-502.14</v>
      </c>
      <c r="J2" s="25" t="n">
        <f aca="false">Summary!$B$4</f>
        <v>1</v>
      </c>
      <c r="K2" s="11" t="n">
        <f aca="false">I2*J2*IF(A2="SILVER",Summary!$B$5,Summary!$B$6)</f>
        <v>-15064.2</v>
      </c>
      <c r="L2" s="26" t="n">
        <v>-0.175</v>
      </c>
      <c r="M2" s="27" t="n">
        <f aca="false">IF(K2&gt;0,1,0)</f>
        <v>0</v>
      </c>
      <c r="N2" s="11" t="n">
        <f aca="false">SUMIFS(K$2:K2,A$2:A2,A2,B$2:B2,B2)</f>
        <v>-15064.2</v>
      </c>
      <c r="O2" s="11" t="n">
        <f aca="false">MAX(0,_xlfn.MAXIFS(N$2:N2,A$2:A2,A2,B$2:B2,B2))</f>
        <v>0</v>
      </c>
      <c r="P2" s="11" t="n">
        <f aca="false">N2-O2</f>
        <v>-15064.2</v>
      </c>
    </row>
    <row r="3" customFormat="false" ht="15" hidden="false" customHeight="false" outlineLevel="0" collapsed="false">
      <c r="A3" s="8" t="s">
        <v>26</v>
      </c>
      <c r="B3" s="8" t="s">
        <v>27</v>
      </c>
      <c r="C3" s="8" t="s">
        <v>62</v>
      </c>
      <c r="D3" s="21" t="n">
        <v>45680.7916666667</v>
      </c>
      <c r="E3" s="21" t="n">
        <v>45687.5416666667</v>
      </c>
      <c r="F3" s="22" t="n">
        <f aca="false">DATE(YEAR(E3),MONTH(E3),1)</f>
        <v>45658</v>
      </c>
      <c r="G3" s="23" t="n">
        <v>129467</v>
      </c>
      <c r="H3" s="8" t="s">
        <v>61</v>
      </c>
      <c r="I3" s="24" t="n">
        <v>-2145.3</v>
      </c>
      <c r="J3" s="25" t="n">
        <f aca="false">Summary!$B$4</f>
        <v>1</v>
      </c>
      <c r="K3" s="11" t="n">
        <f aca="false">I3*J3*IF(A3="SILVER",Summary!$B$5,Summary!$B$6)</f>
        <v>-64359</v>
      </c>
      <c r="L3" s="26" t="n">
        <v>-0.895</v>
      </c>
      <c r="M3" s="27" t="n">
        <f aca="false">IF(K3&gt;0,1,0)</f>
        <v>0</v>
      </c>
      <c r="N3" s="11" t="n">
        <f aca="false">SUMIFS(K$2:K3,A$2:A3,A3,B$2:B3,B3)</f>
        <v>-79423.2</v>
      </c>
      <c r="O3" s="11" t="n">
        <f aca="false">MAX(0,_xlfn.MAXIFS(N$2:N3,A$2:A3,A3,B$2:B3,B3))</f>
        <v>0</v>
      </c>
      <c r="P3" s="11" t="n">
        <f aca="false">N3-O3</f>
        <v>-79423.2</v>
      </c>
    </row>
    <row r="4" customFormat="false" ht="15" hidden="false" customHeight="false" outlineLevel="0" collapsed="false">
      <c r="A4" s="8" t="s">
        <v>26</v>
      </c>
      <c r="B4" s="8" t="s">
        <v>27</v>
      </c>
      <c r="C4" s="8" t="s">
        <v>60</v>
      </c>
      <c r="D4" s="21" t="n">
        <v>45687.5416666667</v>
      </c>
      <c r="E4" s="21" t="n">
        <v>45699.7916666667</v>
      </c>
      <c r="F4" s="22" t="n">
        <f aca="false">DATE(YEAR(E4),MONTH(E4),1)</f>
        <v>45689</v>
      </c>
      <c r="G4" s="23" t="n">
        <v>131584</v>
      </c>
      <c r="H4" s="8" t="s">
        <v>61</v>
      </c>
      <c r="I4" s="24" t="n">
        <v>730.41</v>
      </c>
      <c r="J4" s="25" t="n">
        <f aca="false">Summary!$B$4</f>
        <v>1</v>
      </c>
      <c r="K4" s="11" t="n">
        <f aca="false">I4*J4*IF(A4="SILVER",Summary!$B$5,Summary!$B$6)</f>
        <v>21912.3</v>
      </c>
      <c r="L4" s="26" t="n">
        <v>0.309</v>
      </c>
      <c r="M4" s="27" t="n">
        <f aca="false">IF(K4&gt;0,1,0)</f>
        <v>1</v>
      </c>
      <c r="N4" s="11" t="n">
        <f aca="false">SUMIFS(K$2:K4,A$2:A4,A4,B$2:B4,B4)</f>
        <v>-57510.9</v>
      </c>
      <c r="O4" s="11" t="n">
        <f aca="false">MAX(0,_xlfn.MAXIFS(N$2:N4,A$2:A4,A4,B$2:B4,B4))</f>
        <v>0</v>
      </c>
      <c r="P4" s="11" t="n">
        <f aca="false">N4-O4</f>
        <v>-57510.9</v>
      </c>
    </row>
    <row r="5" customFormat="false" ht="15" hidden="false" customHeight="false" outlineLevel="0" collapsed="false">
      <c r="A5" s="8" t="s">
        <v>26</v>
      </c>
      <c r="B5" s="8" t="s">
        <v>27</v>
      </c>
      <c r="C5" s="8" t="s">
        <v>62</v>
      </c>
      <c r="D5" s="21" t="n">
        <v>45699.7916666667</v>
      </c>
      <c r="E5" s="21" t="n">
        <v>45702.4166666667</v>
      </c>
      <c r="F5" s="22" t="n">
        <f aca="false">DATE(YEAR(E5),MONTH(E5),1)</f>
        <v>45689</v>
      </c>
      <c r="G5" s="23" t="n">
        <v>132343</v>
      </c>
      <c r="H5" s="8" t="s">
        <v>61</v>
      </c>
      <c r="I5" s="24" t="n">
        <v>-3073.97</v>
      </c>
      <c r="J5" s="25" t="n">
        <f aca="false">Summary!$B$4</f>
        <v>1</v>
      </c>
      <c r="K5" s="11" t="n">
        <f aca="false">I5*J5*IF(A5="SILVER",Summary!$B$5,Summary!$B$6)</f>
        <v>-92219.1</v>
      </c>
      <c r="L5" s="26" t="n">
        <v>-1.128</v>
      </c>
      <c r="M5" s="27" t="n">
        <f aca="false">IF(K5&gt;0,1,0)</f>
        <v>0</v>
      </c>
      <c r="N5" s="11" t="n">
        <f aca="false">SUMIFS(K$2:K5,A$2:A5,A5,B$2:B5,B5)</f>
        <v>-149730</v>
      </c>
      <c r="O5" s="11" t="n">
        <f aca="false">MAX(0,_xlfn.MAXIFS(N$2:N5,A$2:A5,A5,B$2:B5,B5))</f>
        <v>0</v>
      </c>
      <c r="P5" s="11" t="n">
        <f aca="false">N5-O5</f>
        <v>-149730</v>
      </c>
    </row>
    <row r="6" customFormat="false" ht="15" hidden="false" customHeight="false" outlineLevel="0" collapsed="false">
      <c r="A6" s="8" t="s">
        <v>26</v>
      </c>
      <c r="B6" s="8" t="s">
        <v>27</v>
      </c>
      <c r="C6" s="8" t="s">
        <v>60</v>
      </c>
      <c r="D6" s="21" t="n">
        <v>45702.4166666667</v>
      </c>
      <c r="E6" s="21" t="n">
        <v>45702.9166666667</v>
      </c>
      <c r="F6" s="22" t="n">
        <f aca="false">DATE(YEAR(E6),MONTH(E6),1)</f>
        <v>45689</v>
      </c>
      <c r="G6" s="23" t="n">
        <v>135388</v>
      </c>
      <c r="H6" s="8" t="s">
        <v>61</v>
      </c>
      <c r="I6" s="24" t="n">
        <v>-785.2</v>
      </c>
      <c r="J6" s="25" t="n">
        <f aca="false">Summary!$B$4</f>
        <v>1</v>
      </c>
      <c r="K6" s="11" t="n">
        <f aca="false">I6*J6*IF(A6="SILVER",Summary!$B$5,Summary!$B$6)</f>
        <v>-23556</v>
      </c>
      <c r="L6" s="26" t="n">
        <v>-0.286</v>
      </c>
      <c r="M6" s="27" t="n">
        <f aca="false">IF(K6&gt;0,1,0)</f>
        <v>0</v>
      </c>
      <c r="N6" s="11" t="n">
        <f aca="false">SUMIFS(K$2:K6,A$2:A6,A6,B$2:B6,B6)</f>
        <v>-173286</v>
      </c>
      <c r="O6" s="11" t="n">
        <f aca="false">MAX(0,_xlfn.MAXIFS(N$2:N6,A$2:A6,A6,B$2:B6,B6))</f>
        <v>0</v>
      </c>
      <c r="P6" s="11" t="n">
        <f aca="false">N6-O6</f>
        <v>-173286</v>
      </c>
    </row>
    <row r="7" customFormat="false" ht="15" hidden="false" customHeight="false" outlineLevel="0" collapsed="false">
      <c r="A7" s="8" t="s">
        <v>26</v>
      </c>
      <c r="B7" s="8" t="s">
        <v>27</v>
      </c>
      <c r="C7" s="8" t="s">
        <v>62</v>
      </c>
      <c r="D7" s="21" t="n">
        <v>45702.9166666667</v>
      </c>
      <c r="E7" s="21" t="n">
        <v>45721.4631944444</v>
      </c>
      <c r="F7" s="22" t="n">
        <f aca="false">DATE(YEAR(E7),MONTH(E7),1)</f>
        <v>45717</v>
      </c>
      <c r="G7" s="23" t="n">
        <v>134632</v>
      </c>
      <c r="H7" s="8" t="s">
        <v>61</v>
      </c>
      <c r="I7" s="24" t="n">
        <v>430.92</v>
      </c>
      <c r="J7" s="25" t="n">
        <f aca="false">Summary!$B$4</f>
        <v>1</v>
      </c>
      <c r="K7" s="11" t="n">
        <f aca="false">I7*J7*IF(A7="SILVER",Summary!$B$5,Summary!$B$6)</f>
        <v>12927.6</v>
      </c>
      <c r="L7" s="26" t="n">
        <v>0.136</v>
      </c>
      <c r="M7" s="27" t="n">
        <f aca="false">IF(K7&gt;0,1,0)</f>
        <v>1</v>
      </c>
      <c r="N7" s="11" t="n">
        <f aca="false">SUMIFS(K$2:K7,A$2:A7,A7,B$2:B7,B7)</f>
        <v>-160358.4</v>
      </c>
      <c r="O7" s="11" t="n">
        <f aca="false">MAX(0,_xlfn.MAXIFS(N$2:N7,A$2:A7,A7,B$2:B7,B7))</f>
        <v>0</v>
      </c>
      <c r="P7" s="11" t="n">
        <f aca="false">N7-O7</f>
        <v>-160358.4</v>
      </c>
    </row>
    <row r="8" customFormat="false" ht="15" hidden="false" customHeight="false" outlineLevel="0" collapsed="false">
      <c r="A8" s="8" t="s">
        <v>26</v>
      </c>
      <c r="B8" s="8" t="s">
        <v>27</v>
      </c>
      <c r="C8" s="8" t="s">
        <v>60</v>
      </c>
      <c r="D8" s="21" t="n">
        <v>45721.4631944444</v>
      </c>
      <c r="E8" s="21" t="n">
        <v>45736.6666666667</v>
      </c>
      <c r="F8" s="22" t="n">
        <f aca="false">DATE(YEAR(E8),MONTH(E8),1)</f>
        <v>45717</v>
      </c>
      <c r="G8" s="23" t="n">
        <v>134172</v>
      </c>
      <c r="H8" s="8" t="s">
        <v>61</v>
      </c>
      <c r="I8" s="24" t="n">
        <v>1719.77</v>
      </c>
      <c r="J8" s="25" t="n">
        <f aca="false">Summary!$B$4</f>
        <v>1</v>
      </c>
      <c r="K8" s="11" t="n">
        <f aca="false">I8*J8*IF(A8="SILVER",Summary!$B$5,Summary!$B$6)</f>
        <v>51593.1</v>
      </c>
      <c r="L8" s="26" t="n">
        <v>0.885</v>
      </c>
      <c r="M8" s="27" t="n">
        <f aca="false">IF(K8&gt;0,1,0)</f>
        <v>1</v>
      </c>
      <c r="N8" s="11" t="n">
        <f aca="false">SUMIFS(K$2:K8,A$2:A8,A8,B$2:B8,B8)</f>
        <v>-108765.3</v>
      </c>
      <c r="O8" s="11" t="n">
        <f aca="false">MAX(0,_xlfn.MAXIFS(N$2:N8,A$2:A8,A8,B$2:B8,B8))</f>
        <v>0</v>
      </c>
      <c r="P8" s="11" t="n">
        <f aca="false">N8-O8</f>
        <v>-108765.3</v>
      </c>
    </row>
    <row r="9" customFormat="false" ht="15" hidden="false" customHeight="false" outlineLevel="0" collapsed="false">
      <c r="A9" s="8" t="s">
        <v>26</v>
      </c>
      <c r="B9" s="8" t="s">
        <v>27</v>
      </c>
      <c r="C9" s="8" t="s">
        <v>62</v>
      </c>
      <c r="D9" s="21" t="n">
        <v>45736.6666666667</v>
      </c>
      <c r="E9" s="21" t="n">
        <v>45742.5</v>
      </c>
      <c r="F9" s="22" t="n">
        <f aca="false">DATE(YEAR(E9),MONTH(E9),1)</f>
        <v>45717</v>
      </c>
      <c r="G9" s="23" t="n">
        <v>135951</v>
      </c>
      <c r="H9" s="8" t="s">
        <v>61</v>
      </c>
      <c r="I9" s="24" t="n">
        <v>-732.87</v>
      </c>
      <c r="J9" s="25" t="n">
        <f aca="false">Summary!$B$4</f>
        <v>1</v>
      </c>
      <c r="K9" s="11" t="n">
        <f aca="false">I9*J9*IF(A9="SILVER",Summary!$B$5,Summary!$B$6)</f>
        <v>-21986.1</v>
      </c>
      <c r="L9" s="26" t="n">
        <v>-0.237</v>
      </c>
      <c r="M9" s="27" t="n">
        <f aca="false">IF(K9&gt;0,1,0)</f>
        <v>0</v>
      </c>
      <c r="N9" s="11" t="n">
        <f aca="false">SUMIFS(K$2:K9,A$2:A9,A9,B$2:B9,B9)</f>
        <v>-130751.4</v>
      </c>
      <c r="O9" s="11" t="n">
        <f aca="false">MAX(0,_xlfn.MAXIFS(N$2:N9,A$2:A9,A9,B$2:B9,B9))</f>
        <v>0</v>
      </c>
      <c r="P9" s="11" t="n">
        <f aca="false">N9-O9</f>
        <v>-130751.4</v>
      </c>
    </row>
    <row r="10" customFormat="false" ht="15" hidden="false" customHeight="false" outlineLevel="0" collapsed="false">
      <c r="A10" s="8" t="s">
        <v>26</v>
      </c>
      <c r="B10" s="8" t="s">
        <v>27</v>
      </c>
      <c r="C10" s="8" t="s">
        <v>60</v>
      </c>
      <c r="D10" s="21" t="n">
        <v>45742.5</v>
      </c>
      <c r="E10" s="21" t="n">
        <v>45748.9166666667</v>
      </c>
      <c r="F10" s="22" t="n">
        <f aca="false">DATE(YEAR(E10),MONTH(E10),1)</f>
        <v>45748</v>
      </c>
      <c r="G10" s="23" t="n">
        <v>136654</v>
      </c>
      <c r="H10" s="8" t="s">
        <v>61</v>
      </c>
      <c r="I10" s="24" t="n">
        <v>-386.89</v>
      </c>
      <c r="J10" s="25" t="n">
        <f aca="false">Summary!$B$4</f>
        <v>1</v>
      </c>
      <c r="K10" s="11" t="n">
        <f aca="false">I10*J10*IF(A10="SILVER",Summary!$B$5,Summary!$B$6)</f>
        <v>-11606.7</v>
      </c>
      <c r="L10" s="26" t="n">
        <v>-0.176</v>
      </c>
      <c r="M10" s="27" t="n">
        <f aca="false">IF(K10&gt;0,1,0)</f>
        <v>0</v>
      </c>
      <c r="N10" s="11" t="n">
        <f aca="false">SUMIFS(K$2:K10,A$2:A10,A10,B$2:B10,B10)</f>
        <v>-142358.1</v>
      </c>
      <c r="O10" s="11" t="n">
        <f aca="false">MAX(0,_xlfn.MAXIFS(N$2:N10,A$2:A10,A10,B$2:B10,B10))</f>
        <v>0</v>
      </c>
      <c r="P10" s="11" t="n">
        <f aca="false">N10-O10</f>
        <v>-142358.1</v>
      </c>
    </row>
    <row r="11" customFormat="false" ht="15" hidden="false" customHeight="false" outlineLevel="0" collapsed="false">
      <c r="A11" s="8" t="s">
        <v>26</v>
      </c>
      <c r="B11" s="8" t="s">
        <v>27</v>
      </c>
      <c r="C11" s="8" t="s">
        <v>62</v>
      </c>
      <c r="D11" s="21" t="n">
        <v>45748.9166666667</v>
      </c>
      <c r="E11" s="21" t="n">
        <v>45758.5833333333</v>
      </c>
      <c r="F11" s="22" t="n">
        <f aca="false">DATE(YEAR(E11),MONTH(E11),1)</f>
        <v>45748</v>
      </c>
      <c r="G11" s="23" t="n">
        <v>136297</v>
      </c>
      <c r="H11" s="8" t="s">
        <v>61</v>
      </c>
      <c r="I11" s="24" t="n">
        <v>6488.79</v>
      </c>
      <c r="J11" s="25" t="n">
        <f aca="false">Summary!$B$4</f>
        <v>1</v>
      </c>
      <c r="K11" s="11" t="n">
        <f aca="false">I11*J11*IF(A11="SILVER",Summary!$B$5,Summary!$B$6)</f>
        <v>194663.7</v>
      </c>
      <c r="L11" s="26" t="n">
        <v>2.033</v>
      </c>
      <c r="M11" s="27" t="n">
        <f aca="false">IF(K11&gt;0,1,0)</f>
        <v>1</v>
      </c>
      <c r="N11" s="11" t="n">
        <f aca="false">SUMIFS(K$2:K11,A$2:A11,A11,B$2:B11,B11)</f>
        <v>52305.6</v>
      </c>
      <c r="O11" s="11" t="n">
        <f aca="false">MAX(0,_xlfn.MAXIFS(N$2:N11,A$2:A11,A11,B$2:B11,B11))</f>
        <v>52305.6</v>
      </c>
      <c r="P11" s="11" t="n">
        <f aca="false">N11-O11</f>
        <v>0</v>
      </c>
    </row>
    <row r="12" customFormat="false" ht="15" hidden="false" customHeight="false" outlineLevel="0" collapsed="false">
      <c r="A12" s="8" t="s">
        <v>26</v>
      </c>
      <c r="B12" s="8" t="s">
        <v>27</v>
      </c>
      <c r="C12" s="8" t="s">
        <v>60</v>
      </c>
      <c r="D12" s="21" t="n">
        <v>45758.5833333333</v>
      </c>
      <c r="E12" s="21" t="n">
        <v>45777.5833333333</v>
      </c>
      <c r="F12" s="22" t="n">
        <f aca="false">DATE(YEAR(E12),MONTH(E12),1)</f>
        <v>45748</v>
      </c>
      <c r="G12" s="23" t="n">
        <v>129779</v>
      </c>
      <c r="H12" s="8" t="s">
        <v>61</v>
      </c>
      <c r="I12" s="24" t="n">
        <v>1392.31</v>
      </c>
      <c r="J12" s="25" t="n">
        <f aca="false">Summary!$B$4</f>
        <v>1</v>
      </c>
      <c r="K12" s="11" t="n">
        <f aca="false">I12*J12*IF(A12="SILVER",Summary!$B$5,Summary!$B$6)</f>
        <v>41769.3</v>
      </c>
      <c r="L12" s="26" t="n">
        <v>0.319</v>
      </c>
      <c r="M12" s="27" t="n">
        <f aca="false">IF(K12&gt;0,1,0)</f>
        <v>1</v>
      </c>
      <c r="N12" s="11" t="n">
        <f aca="false">SUMIFS(K$2:K12,A$2:A12,A12,B$2:B12,B12)</f>
        <v>94074.9</v>
      </c>
      <c r="O12" s="11" t="n">
        <f aca="false">MAX(0,_xlfn.MAXIFS(N$2:N12,A$2:A12,A12,B$2:B12,B12))</f>
        <v>94074.9</v>
      </c>
      <c r="P12" s="11" t="n">
        <f aca="false">N12-O12</f>
        <v>0</v>
      </c>
    </row>
    <row r="13" customFormat="false" ht="15" hidden="false" customHeight="false" outlineLevel="0" collapsed="false">
      <c r="A13" s="8" t="s">
        <v>26</v>
      </c>
      <c r="B13" s="8" t="s">
        <v>27</v>
      </c>
      <c r="C13" s="8" t="s">
        <v>62</v>
      </c>
      <c r="D13" s="21" t="n">
        <v>45777.5833333333</v>
      </c>
      <c r="E13" s="21" t="n">
        <v>45790.5833333333</v>
      </c>
      <c r="F13" s="22" t="n">
        <f aca="false">DATE(YEAR(E13),MONTH(E13),1)</f>
        <v>45778</v>
      </c>
      <c r="G13" s="23" t="n">
        <v>131200</v>
      </c>
      <c r="H13" s="8" t="s">
        <v>61</v>
      </c>
      <c r="I13" s="24" t="n">
        <v>-1298.69</v>
      </c>
      <c r="J13" s="25" t="n">
        <f aca="false">Summary!$B$4</f>
        <v>1</v>
      </c>
      <c r="K13" s="11" t="n">
        <f aca="false">I13*J13*IF(A13="SILVER",Summary!$B$5,Summary!$B$6)</f>
        <v>-38960.7</v>
      </c>
      <c r="L13" s="26" t="n">
        <v>-0.351</v>
      </c>
      <c r="M13" s="27" t="n">
        <f aca="false">IF(K13&gt;0,1,0)</f>
        <v>0</v>
      </c>
      <c r="N13" s="11" t="n">
        <f aca="false">SUMIFS(K$2:K13,A$2:A13,A13,B$2:B13,B13)</f>
        <v>55114.2</v>
      </c>
      <c r="O13" s="11" t="n">
        <f aca="false">MAX(0,_xlfn.MAXIFS(N$2:N13,A$2:A13,A13,B$2:B13,B13))</f>
        <v>94074.9</v>
      </c>
      <c r="P13" s="11" t="n">
        <f aca="false">N13-O13</f>
        <v>-38960.7</v>
      </c>
    </row>
    <row r="14" customFormat="false" ht="15" hidden="false" customHeight="false" outlineLevel="0" collapsed="false">
      <c r="A14" s="8" t="s">
        <v>26</v>
      </c>
      <c r="B14" s="8" t="s">
        <v>27</v>
      </c>
      <c r="C14" s="8" t="s">
        <v>60</v>
      </c>
      <c r="D14" s="21" t="n">
        <v>45790.5833333333</v>
      </c>
      <c r="E14" s="21" t="n">
        <v>45792.4583333333</v>
      </c>
      <c r="F14" s="22" t="n">
        <f aca="false">DATE(YEAR(E14),MONTH(E14),1)</f>
        <v>45778</v>
      </c>
      <c r="G14" s="23" t="n">
        <v>132440</v>
      </c>
      <c r="H14" s="8" t="s">
        <v>61</v>
      </c>
      <c r="I14" s="24" t="n">
        <v>-3449.18</v>
      </c>
      <c r="J14" s="25" t="n">
        <f aca="false">Summary!$B$4</f>
        <v>1</v>
      </c>
      <c r="K14" s="11" t="n">
        <f aca="false">I14*J14*IF(A14="SILVER",Summary!$B$5,Summary!$B$6)</f>
        <v>-103475.4</v>
      </c>
      <c r="L14" s="26" t="n">
        <v>-1.034</v>
      </c>
      <c r="M14" s="27" t="n">
        <f aca="false">IF(K14&gt;0,1,0)</f>
        <v>0</v>
      </c>
      <c r="N14" s="11" t="n">
        <f aca="false">SUMIFS(K$2:K14,A$2:A14,A14,B$2:B14,B14)</f>
        <v>-48361.2</v>
      </c>
      <c r="O14" s="11" t="n">
        <f aca="false">MAX(0,_xlfn.MAXIFS(N$2:N14,A$2:A14,A14,B$2:B14,B14))</f>
        <v>94074.9</v>
      </c>
      <c r="P14" s="11" t="n">
        <f aca="false">N14-O14</f>
        <v>-142436.1</v>
      </c>
    </row>
    <row r="15" customFormat="false" ht="15" hidden="false" customHeight="false" outlineLevel="0" collapsed="false">
      <c r="A15" s="8" t="s">
        <v>26</v>
      </c>
      <c r="B15" s="8" t="s">
        <v>27</v>
      </c>
      <c r="C15" s="8" t="s">
        <v>62</v>
      </c>
      <c r="D15" s="21" t="n">
        <v>45792.4583333333</v>
      </c>
      <c r="E15" s="21" t="n">
        <v>45797.9166666667</v>
      </c>
      <c r="F15" s="22" t="n">
        <f aca="false">DATE(YEAR(E15),MONTH(E15),1)</f>
        <v>45778</v>
      </c>
      <c r="G15" s="23" t="n">
        <v>129020</v>
      </c>
      <c r="H15" s="8" t="s">
        <v>61</v>
      </c>
      <c r="I15" s="24" t="n">
        <v>-2939.12</v>
      </c>
      <c r="J15" s="25" t="n">
        <f aca="false">Summary!$B$4</f>
        <v>1</v>
      </c>
      <c r="K15" s="11" t="n">
        <f aca="false">I15*J15*IF(A15="SILVER",Summary!$B$5,Summary!$B$6)</f>
        <v>-88173.6</v>
      </c>
      <c r="L15" s="26" t="n">
        <v>-0.983</v>
      </c>
      <c r="M15" s="27" t="n">
        <f aca="false">IF(K15&gt;0,1,0)</f>
        <v>0</v>
      </c>
      <c r="N15" s="11" t="n">
        <f aca="false">SUMIFS(K$2:K15,A$2:A15,A15,B$2:B15,B15)</f>
        <v>-136534.8</v>
      </c>
      <c r="O15" s="11" t="n">
        <f aca="false">MAX(0,_xlfn.MAXIFS(N$2:N15,A$2:A15,A15,B$2:B15,B15))</f>
        <v>94074.9</v>
      </c>
      <c r="P15" s="11" t="n">
        <f aca="false">N15-O15</f>
        <v>-230609.7</v>
      </c>
    </row>
    <row r="16" customFormat="false" ht="15" hidden="false" customHeight="false" outlineLevel="0" collapsed="false">
      <c r="A16" s="8" t="s">
        <v>26</v>
      </c>
      <c r="B16" s="8" t="s">
        <v>27</v>
      </c>
      <c r="C16" s="8" t="s">
        <v>60</v>
      </c>
      <c r="D16" s="21" t="n">
        <v>45797.9166666667</v>
      </c>
      <c r="E16" s="21" t="n">
        <v>45799.7083333333</v>
      </c>
      <c r="F16" s="22" t="n">
        <f aca="false">DATE(YEAR(E16),MONTH(E16),1)</f>
        <v>45778</v>
      </c>
      <c r="G16" s="23" t="n">
        <v>131930</v>
      </c>
      <c r="H16" s="8" t="s">
        <v>61</v>
      </c>
      <c r="I16" s="24" t="n">
        <v>-258.39</v>
      </c>
      <c r="J16" s="25" t="n">
        <f aca="false">Summary!$B$4</f>
        <v>1</v>
      </c>
      <c r="K16" s="11" t="n">
        <f aca="false">I16*J16*IF(A16="SILVER",Summary!$B$5,Summary!$B$6)</f>
        <v>-7751.7</v>
      </c>
      <c r="L16" s="26" t="n">
        <v>-0.108</v>
      </c>
      <c r="M16" s="27" t="n">
        <f aca="false">IF(K16&gt;0,1,0)</f>
        <v>0</v>
      </c>
      <c r="N16" s="11" t="n">
        <f aca="false">SUMIFS(K$2:K16,A$2:A16,A16,B$2:B16,B16)</f>
        <v>-144286.5</v>
      </c>
      <c r="O16" s="11" t="n">
        <f aca="false">MAX(0,_xlfn.MAXIFS(N$2:N16,A$2:A16,A16,B$2:B16,B16))</f>
        <v>94074.9</v>
      </c>
      <c r="P16" s="11" t="n">
        <f aca="false">N16-O16</f>
        <v>-238361.4</v>
      </c>
    </row>
    <row r="17" customFormat="false" ht="15" hidden="false" customHeight="false" outlineLevel="0" collapsed="false">
      <c r="A17" s="8" t="s">
        <v>26</v>
      </c>
      <c r="B17" s="8" t="s">
        <v>27</v>
      </c>
      <c r="C17" s="8" t="s">
        <v>62</v>
      </c>
      <c r="D17" s="21" t="n">
        <v>45799.7083333333</v>
      </c>
      <c r="E17" s="21" t="n">
        <v>45810.7916666667</v>
      </c>
      <c r="F17" s="22" t="n">
        <f aca="false">DATE(YEAR(E17),MONTH(E17),1)</f>
        <v>45809</v>
      </c>
      <c r="G17" s="23" t="n">
        <v>131701</v>
      </c>
      <c r="H17" s="8" t="s">
        <v>61</v>
      </c>
      <c r="I17" s="24" t="n">
        <v>-2677.64</v>
      </c>
      <c r="J17" s="25" t="n">
        <f aca="false">Summary!$B$4</f>
        <v>1</v>
      </c>
      <c r="K17" s="11" t="n">
        <f aca="false">I17*J17*IF(A17="SILVER",Summary!$B$5,Summary!$B$6)</f>
        <v>-80329.2</v>
      </c>
      <c r="L17" s="26" t="n">
        <v>-1.046</v>
      </c>
      <c r="M17" s="27" t="n">
        <f aca="false">IF(K17&gt;0,1,0)</f>
        <v>0</v>
      </c>
      <c r="N17" s="11" t="n">
        <f aca="false">SUMIFS(K$2:K17,A$2:A17,A17,B$2:B17,B17)</f>
        <v>-224615.7</v>
      </c>
      <c r="O17" s="11" t="n">
        <f aca="false">MAX(0,_xlfn.MAXIFS(N$2:N17,A$2:A17,A17,B$2:B17,B17))</f>
        <v>94074.9</v>
      </c>
      <c r="P17" s="11" t="n">
        <f aca="false">N17-O17</f>
        <v>-318690.6</v>
      </c>
    </row>
    <row r="18" customFormat="false" ht="15" hidden="false" customHeight="false" outlineLevel="0" collapsed="false">
      <c r="A18" s="8" t="s">
        <v>26</v>
      </c>
      <c r="B18" s="8" t="s">
        <v>27</v>
      </c>
      <c r="C18" s="8" t="s">
        <v>60</v>
      </c>
      <c r="D18" s="21" t="n">
        <v>45810.7916666667</v>
      </c>
      <c r="E18" s="21" t="n">
        <v>45828.4166666667</v>
      </c>
      <c r="F18" s="22" t="n">
        <f aca="false">DATE(YEAR(E18),MONTH(E18),1)</f>
        <v>45809</v>
      </c>
      <c r="G18" s="23" t="n">
        <v>134349</v>
      </c>
      <c r="H18" s="8" t="s">
        <v>61</v>
      </c>
      <c r="I18" s="24" t="n">
        <v>6300.47</v>
      </c>
      <c r="J18" s="25" t="n">
        <f aca="false">Summary!$B$4</f>
        <v>1</v>
      </c>
      <c r="K18" s="11" t="n">
        <f aca="false">I18*J18*IF(A18="SILVER",Summary!$B$5,Summary!$B$6)</f>
        <v>189014.1</v>
      </c>
      <c r="L18" s="26" t="n">
        <v>2.033</v>
      </c>
      <c r="M18" s="27" t="n">
        <f aca="false">IF(K18&gt;0,1,0)</f>
        <v>1</v>
      </c>
      <c r="N18" s="11" t="n">
        <f aca="false">SUMIFS(K$2:K18,A$2:A18,A18,B$2:B18,B18)</f>
        <v>-35601.6</v>
      </c>
      <c r="O18" s="11" t="n">
        <f aca="false">MAX(0,_xlfn.MAXIFS(N$2:N18,A$2:A18,A18,B$2:B18,B18))</f>
        <v>94074.9</v>
      </c>
      <c r="P18" s="11" t="n">
        <f aca="false">N18-O18</f>
        <v>-129676.5</v>
      </c>
    </row>
    <row r="19" customFormat="false" ht="15" hidden="false" customHeight="false" outlineLevel="0" collapsed="false">
      <c r="A19" s="8" t="s">
        <v>26</v>
      </c>
      <c r="B19" s="8" t="s">
        <v>27</v>
      </c>
      <c r="C19" s="8" t="s">
        <v>62</v>
      </c>
      <c r="D19" s="21" t="n">
        <v>45828.4166666667</v>
      </c>
      <c r="E19" s="21" t="n">
        <v>45841.53125</v>
      </c>
      <c r="F19" s="22" t="n">
        <f aca="false">DATE(YEAR(E19),MONTH(E19),1)</f>
        <v>45839</v>
      </c>
      <c r="G19" s="23" t="n">
        <v>140680</v>
      </c>
      <c r="H19" s="8" t="s">
        <v>61</v>
      </c>
      <c r="I19" s="24" t="n">
        <v>-1556.31</v>
      </c>
      <c r="J19" s="25" t="n">
        <f aca="false">Summary!$B$4</f>
        <v>1</v>
      </c>
      <c r="K19" s="11" t="n">
        <f aca="false">I19*J19*IF(A19="SILVER",Summary!$B$5,Summary!$B$6)</f>
        <v>-46689.3</v>
      </c>
      <c r="L19" s="26" t="n">
        <v>-0.49</v>
      </c>
      <c r="M19" s="27" t="n">
        <f aca="false">IF(K19&gt;0,1,0)</f>
        <v>0</v>
      </c>
      <c r="N19" s="11" t="n">
        <f aca="false">SUMIFS(K$2:K19,A$2:A19,A19,B$2:B19,B19)</f>
        <v>-82290.9</v>
      </c>
      <c r="O19" s="11" t="n">
        <f aca="false">MAX(0,_xlfn.MAXIFS(N$2:N19,A$2:A19,A19,B$2:B19,B19))</f>
        <v>94074.9</v>
      </c>
      <c r="P19" s="11" t="n">
        <f aca="false">N19-O19</f>
        <v>-176365.8</v>
      </c>
    </row>
    <row r="20" customFormat="false" ht="15" hidden="false" customHeight="false" outlineLevel="0" collapsed="false">
      <c r="A20" s="8" t="s">
        <v>26</v>
      </c>
      <c r="B20" s="8" t="s">
        <v>27</v>
      </c>
      <c r="C20" s="8" t="s">
        <v>60</v>
      </c>
      <c r="D20" s="21" t="n">
        <v>45841.53125</v>
      </c>
      <c r="E20" s="21" t="n">
        <v>45853.875</v>
      </c>
      <c r="F20" s="22" t="n">
        <f aca="false">DATE(YEAR(E20),MONTH(E20),1)</f>
        <v>45839</v>
      </c>
      <c r="G20" s="23" t="n">
        <v>142205</v>
      </c>
      <c r="H20" s="8" t="s">
        <v>61</v>
      </c>
      <c r="I20" s="24" t="n">
        <v>3515.84</v>
      </c>
      <c r="J20" s="25" t="n">
        <f aca="false">Summary!$B$4</f>
        <v>1</v>
      </c>
      <c r="K20" s="11" t="n">
        <f aca="false">I20*J20*IF(A20="SILVER",Summary!$B$5,Summary!$B$6)</f>
        <v>105475.2</v>
      </c>
      <c r="L20" s="26" t="n">
        <v>1.461</v>
      </c>
      <c r="M20" s="27" t="n">
        <f aca="false">IF(K20&gt;0,1,0)</f>
        <v>1</v>
      </c>
      <c r="N20" s="11" t="n">
        <f aca="false">SUMIFS(K$2:K20,A$2:A20,A20,B$2:B20,B20)</f>
        <v>23184.3</v>
      </c>
      <c r="O20" s="11" t="n">
        <f aca="false">MAX(0,_xlfn.MAXIFS(N$2:N20,A$2:A20,A20,B$2:B20,B20))</f>
        <v>94074.9</v>
      </c>
      <c r="P20" s="11" t="n">
        <f aca="false">N20-O20</f>
        <v>-70890.6</v>
      </c>
    </row>
    <row r="21" customFormat="false" ht="15" hidden="false" customHeight="false" outlineLevel="0" collapsed="false">
      <c r="A21" s="8" t="s">
        <v>26</v>
      </c>
      <c r="B21" s="8" t="s">
        <v>27</v>
      </c>
      <c r="C21" s="8" t="s">
        <v>62</v>
      </c>
      <c r="D21" s="21" t="n">
        <v>45853.875</v>
      </c>
      <c r="E21" s="21" t="n">
        <v>45859.6666666667</v>
      </c>
      <c r="F21" s="22" t="n">
        <f aca="false">DATE(YEAR(E21),MONTH(E21),1)</f>
        <v>45839</v>
      </c>
      <c r="G21" s="23" t="n">
        <v>145785</v>
      </c>
      <c r="H21" s="8" t="s">
        <v>61</v>
      </c>
      <c r="I21" s="24" t="n">
        <v>-2611.54</v>
      </c>
      <c r="J21" s="25" t="n">
        <f aca="false">Summary!$B$4</f>
        <v>1</v>
      </c>
      <c r="K21" s="11" t="n">
        <f aca="false">I21*J21*IF(A21="SILVER",Summary!$B$5,Summary!$B$6)</f>
        <v>-78346.2</v>
      </c>
      <c r="L21" s="26" t="n">
        <v>-0.725</v>
      </c>
      <c r="M21" s="27" t="n">
        <f aca="false">IF(K21&gt;0,1,0)</f>
        <v>0</v>
      </c>
      <c r="N21" s="11" t="n">
        <f aca="false">SUMIFS(K$2:K21,A$2:A21,A21,B$2:B21,B21)</f>
        <v>-55161.9</v>
      </c>
      <c r="O21" s="11" t="n">
        <f aca="false">MAX(0,_xlfn.MAXIFS(N$2:N21,A$2:A21,A21,B$2:B21,B21))</f>
        <v>94074.9</v>
      </c>
      <c r="P21" s="11" t="n">
        <f aca="false">N21-O21</f>
        <v>-149236.8</v>
      </c>
    </row>
    <row r="22" customFormat="false" ht="15" hidden="false" customHeight="false" outlineLevel="0" collapsed="false">
      <c r="A22" s="8" t="s">
        <v>26</v>
      </c>
      <c r="B22" s="8" t="s">
        <v>27</v>
      </c>
      <c r="C22" s="8" t="s">
        <v>60</v>
      </c>
      <c r="D22" s="21" t="n">
        <v>45859.6666666667</v>
      </c>
      <c r="E22" s="21" t="n">
        <v>45863.875</v>
      </c>
      <c r="F22" s="22" t="n">
        <f aca="false">DATE(YEAR(E22),MONTH(E22),1)</f>
        <v>45839</v>
      </c>
      <c r="G22" s="23" t="n">
        <v>148364</v>
      </c>
      <c r="H22" s="8" t="s">
        <v>61</v>
      </c>
      <c r="I22" s="24" t="n">
        <v>-887.71</v>
      </c>
      <c r="J22" s="25" t="n">
        <f aca="false">Summary!$B$4</f>
        <v>1</v>
      </c>
      <c r="K22" s="11" t="n">
        <f aca="false">I22*J22*IF(A22="SILVER",Summary!$B$5,Summary!$B$6)</f>
        <v>-26631.3</v>
      </c>
      <c r="L22" s="26" t="n">
        <v>-0.376</v>
      </c>
      <c r="M22" s="27" t="n">
        <f aca="false">IF(K22&gt;0,1,0)</f>
        <v>0</v>
      </c>
      <c r="N22" s="11" t="n">
        <f aca="false">SUMIFS(K$2:K22,A$2:A22,A22,B$2:B22,B22)</f>
        <v>-81793.2</v>
      </c>
      <c r="O22" s="11" t="n">
        <f aca="false">MAX(0,_xlfn.MAXIFS(N$2:N22,A$2:A22,A22,B$2:B22,B22))</f>
        <v>94074.9</v>
      </c>
      <c r="P22" s="11" t="n">
        <f aca="false">N22-O22</f>
        <v>-175868.1</v>
      </c>
    </row>
    <row r="23" customFormat="false" ht="15" hidden="false" customHeight="false" outlineLevel="0" collapsed="false">
      <c r="A23" s="8" t="s">
        <v>26</v>
      </c>
      <c r="B23" s="8" t="s">
        <v>27</v>
      </c>
      <c r="C23" s="8" t="s">
        <v>62</v>
      </c>
      <c r="D23" s="21" t="n">
        <v>45863.875</v>
      </c>
      <c r="E23" s="21" t="n">
        <v>45873.5833333333</v>
      </c>
      <c r="F23" s="22" t="n">
        <f aca="false">DATE(YEAR(E23),MONTH(E23),1)</f>
        <v>45870</v>
      </c>
      <c r="G23" s="23" t="n">
        <v>147509</v>
      </c>
      <c r="H23" s="8" t="s">
        <v>61</v>
      </c>
      <c r="I23" s="24" t="n">
        <v>1045.48</v>
      </c>
      <c r="J23" s="25" t="n">
        <f aca="false">Summary!$B$4</f>
        <v>1</v>
      </c>
      <c r="K23" s="11" t="n">
        <f aca="false">I23*J23*IF(A23="SILVER",Summary!$B$5,Summary!$B$6)</f>
        <v>31364.4</v>
      </c>
      <c r="L23" s="26" t="n">
        <v>0.291</v>
      </c>
      <c r="M23" s="27" t="n">
        <f aca="false">IF(K23&gt;0,1,0)</f>
        <v>1</v>
      </c>
      <c r="N23" s="11" t="n">
        <f aca="false">SUMIFS(K$2:K23,A$2:A23,A23,B$2:B23,B23)</f>
        <v>-50428.8</v>
      </c>
      <c r="O23" s="11" t="n">
        <f aca="false">MAX(0,_xlfn.MAXIFS(N$2:N23,A$2:A23,A23,B$2:B23,B23))</f>
        <v>94074.9</v>
      </c>
      <c r="P23" s="11" t="n">
        <f aca="false">N23-O23</f>
        <v>-144503.7</v>
      </c>
    </row>
    <row r="24" customFormat="false" ht="15" hidden="false" customHeight="false" outlineLevel="0" collapsed="false">
      <c r="A24" s="8" t="s">
        <v>26</v>
      </c>
      <c r="B24" s="8" t="s">
        <v>27</v>
      </c>
      <c r="C24" s="8" t="s">
        <v>60</v>
      </c>
      <c r="D24" s="21" t="n">
        <v>45873.5833333333</v>
      </c>
      <c r="E24" s="21" t="n">
        <v>45888.5</v>
      </c>
      <c r="F24" s="22" t="n">
        <f aca="false">DATE(YEAR(E24),MONTH(E24),1)</f>
        <v>45870</v>
      </c>
      <c r="G24" s="23" t="n">
        <v>146431</v>
      </c>
      <c r="H24" s="8" t="s">
        <v>61</v>
      </c>
      <c r="I24" s="24" t="n">
        <v>855.5</v>
      </c>
      <c r="J24" s="25" t="n">
        <f aca="false">Summary!$B$4</f>
        <v>1</v>
      </c>
      <c r="K24" s="11" t="n">
        <f aca="false">I24*J24*IF(A24="SILVER",Summary!$B$5,Summary!$B$6)</f>
        <v>25665</v>
      </c>
      <c r="L24" s="26" t="n">
        <v>0.278</v>
      </c>
      <c r="M24" s="27" t="n">
        <f aca="false">IF(K24&gt;0,1,0)</f>
        <v>1</v>
      </c>
      <c r="N24" s="11" t="n">
        <f aca="false">SUMIFS(K$2:K24,A$2:A24,A24,B$2:B24,B24)</f>
        <v>-24763.8</v>
      </c>
      <c r="O24" s="11" t="n">
        <f aca="false">MAX(0,_xlfn.MAXIFS(N$2:N24,A$2:A24,A24,B$2:B24,B24))</f>
        <v>94074.9</v>
      </c>
      <c r="P24" s="11" t="n">
        <f aca="false">N24-O24</f>
        <v>-118838.7</v>
      </c>
    </row>
    <row r="25" customFormat="false" ht="15" hidden="false" customHeight="false" outlineLevel="0" collapsed="false">
      <c r="A25" s="8" t="s">
        <v>26</v>
      </c>
      <c r="B25" s="8" t="s">
        <v>27</v>
      </c>
      <c r="C25" s="8" t="s">
        <v>62</v>
      </c>
      <c r="D25" s="21" t="n">
        <v>45888.5</v>
      </c>
      <c r="E25" s="21" t="n">
        <v>45890.4166666667</v>
      </c>
      <c r="F25" s="22" t="n">
        <f aca="false">DATE(YEAR(E25),MONTH(E25),1)</f>
        <v>45870</v>
      </c>
      <c r="G25" s="23" t="n">
        <v>147319</v>
      </c>
      <c r="H25" s="8" t="s">
        <v>61</v>
      </c>
      <c r="I25" s="24" t="n">
        <v>152.43</v>
      </c>
      <c r="J25" s="25" t="n">
        <f aca="false">Summary!$B$4</f>
        <v>1</v>
      </c>
      <c r="K25" s="11" t="n">
        <f aca="false">I25*J25*IF(A25="SILVER",Summary!$B$5,Summary!$B$6)</f>
        <v>4572.9</v>
      </c>
      <c r="L25" s="26" t="n">
        <v>0.07</v>
      </c>
      <c r="M25" s="27" t="n">
        <f aca="false">IF(K25&gt;0,1,0)</f>
        <v>1</v>
      </c>
      <c r="N25" s="11" t="n">
        <f aca="false">SUMIFS(K$2:K25,A$2:A25,A25,B$2:B25,B25)</f>
        <v>-20190.9</v>
      </c>
      <c r="O25" s="11" t="n">
        <f aca="false">MAX(0,_xlfn.MAXIFS(N$2:N25,A$2:A25,A25,B$2:B25,B25))</f>
        <v>94074.9</v>
      </c>
      <c r="P25" s="11" t="n">
        <f aca="false">N25-O25</f>
        <v>-114265.8</v>
      </c>
    </row>
    <row r="26" customFormat="false" ht="15" hidden="false" customHeight="false" outlineLevel="0" collapsed="false">
      <c r="A26" s="8" t="s">
        <v>26</v>
      </c>
      <c r="B26" s="8" t="s">
        <v>27</v>
      </c>
      <c r="C26" s="8" t="s">
        <v>60</v>
      </c>
      <c r="D26" s="21" t="n">
        <v>45890.4166666667</v>
      </c>
      <c r="E26" s="21" t="n">
        <v>45908.4166666667</v>
      </c>
      <c r="F26" s="22" t="n">
        <f aca="false">DATE(YEAR(E26),MONTH(E26),1)</f>
        <v>45901</v>
      </c>
      <c r="G26" s="23" t="n">
        <v>147134</v>
      </c>
      <c r="H26" s="8" t="s">
        <v>61</v>
      </c>
      <c r="I26" s="24" t="n">
        <v>7960.59</v>
      </c>
      <c r="J26" s="25" t="n">
        <f aca="false">Summary!$B$4</f>
        <v>1</v>
      </c>
      <c r="K26" s="11" t="n">
        <f aca="false">I26*J26*IF(A26="SILVER",Summary!$B$5,Summary!$B$6)</f>
        <v>238817.7</v>
      </c>
      <c r="L26" s="26" t="n">
        <v>3.424</v>
      </c>
      <c r="M26" s="27" t="n">
        <f aca="false">IF(K26&gt;0,1,0)</f>
        <v>1</v>
      </c>
      <c r="N26" s="11" t="n">
        <f aca="false">SUMIFS(K$2:K26,A$2:A26,A26,B$2:B26,B26)</f>
        <v>218626.8</v>
      </c>
      <c r="O26" s="11" t="n">
        <f aca="false">MAX(0,_xlfn.MAXIFS(N$2:N26,A$2:A26,A26,B$2:B26,B26))</f>
        <v>218626.8</v>
      </c>
      <c r="P26" s="11" t="n">
        <f aca="false">N26-O26</f>
        <v>0</v>
      </c>
    </row>
    <row r="27" customFormat="false" ht="15" hidden="false" customHeight="false" outlineLevel="0" collapsed="false">
      <c r="A27" s="8" t="s">
        <v>26</v>
      </c>
      <c r="B27" s="8" t="s">
        <v>27</v>
      </c>
      <c r="C27" s="8" t="s">
        <v>62</v>
      </c>
      <c r="D27" s="21" t="n">
        <v>45908.4166666667</v>
      </c>
      <c r="E27" s="21" t="n">
        <v>45912.4166666667</v>
      </c>
      <c r="F27" s="22" t="n">
        <f aca="false">DATE(YEAR(E27),MONTH(E27),1)</f>
        <v>45901</v>
      </c>
      <c r="G27" s="23" t="n">
        <v>155163</v>
      </c>
      <c r="H27" s="8" t="s">
        <v>61</v>
      </c>
      <c r="I27" s="24" t="n">
        <v>-4573.22</v>
      </c>
      <c r="J27" s="25" t="n">
        <f aca="false">Summary!$B$4</f>
        <v>1</v>
      </c>
      <c r="K27" s="11" t="n">
        <f aca="false">I27*J27*IF(A27="SILVER",Summary!$B$5,Summary!$B$6)</f>
        <v>-137196.6</v>
      </c>
      <c r="L27" s="26" t="n">
        <v>-1.102</v>
      </c>
      <c r="M27" s="27" t="n">
        <f aca="false">IF(K27&gt;0,1,0)</f>
        <v>0</v>
      </c>
      <c r="N27" s="11" t="n">
        <f aca="false">SUMIFS(K$2:K27,A$2:A27,A27,B$2:B27,B27)</f>
        <v>81430.2000000001</v>
      </c>
      <c r="O27" s="11" t="n">
        <f aca="false">MAX(0,_xlfn.MAXIFS(N$2:N27,A$2:A27,A27,B$2:B27,B27))</f>
        <v>218626.8</v>
      </c>
      <c r="P27" s="11" t="n">
        <f aca="false">N27-O27</f>
        <v>-137196.6</v>
      </c>
    </row>
    <row r="28" customFormat="false" ht="15" hidden="false" customHeight="false" outlineLevel="0" collapsed="false">
      <c r="A28" s="8" t="s">
        <v>26</v>
      </c>
      <c r="B28" s="8" t="s">
        <v>27</v>
      </c>
      <c r="C28" s="8" t="s">
        <v>60</v>
      </c>
      <c r="D28" s="21" t="n">
        <v>45912.4166666667</v>
      </c>
      <c r="E28" s="21" t="n">
        <v>45917.4166666667</v>
      </c>
      <c r="F28" s="22" t="n">
        <f aca="false">DATE(YEAR(E28),MONTH(E28),1)</f>
        <v>45901</v>
      </c>
      <c r="G28" s="23" t="n">
        <v>159701</v>
      </c>
      <c r="H28" s="8" t="s">
        <v>61</v>
      </c>
      <c r="I28" s="24" t="n">
        <v>-1053.57</v>
      </c>
      <c r="J28" s="25" t="n">
        <f aca="false">Summary!$B$4</f>
        <v>1</v>
      </c>
      <c r="K28" s="11" t="n">
        <f aca="false">I28*J28*IF(A28="SILVER",Summary!$B$5,Summary!$B$6)</f>
        <v>-31607.1</v>
      </c>
      <c r="L28" s="26" t="n">
        <v>-0.313</v>
      </c>
      <c r="M28" s="27" t="n">
        <f aca="false">IF(K28&gt;0,1,0)</f>
        <v>0</v>
      </c>
      <c r="N28" s="11" t="n">
        <f aca="false">SUMIFS(K$2:K28,A$2:A28,A28,B$2:B28,B28)</f>
        <v>49823.1000000001</v>
      </c>
      <c r="O28" s="11" t="n">
        <f aca="false">MAX(0,_xlfn.MAXIFS(N$2:N28,A$2:A28,A28,B$2:B28,B28))</f>
        <v>218626.8</v>
      </c>
      <c r="P28" s="11" t="n">
        <f aca="false">N28-O28</f>
        <v>-168803.7</v>
      </c>
    </row>
    <row r="29" customFormat="false" ht="15" hidden="false" customHeight="false" outlineLevel="0" collapsed="false">
      <c r="A29" s="8" t="s">
        <v>26</v>
      </c>
      <c r="B29" s="8" t="s">
        <v>27</v>
      </c>
      <c r="C29" s="8" t="s">
        <v>62</v>
      </c>
      <c r="D29" s="21" t="n">
        <v>45917.4166666667</v>
      </c>
      <c r="E29" s="21" t="n">
        <v>45919.875</v>
      </c>
      <c r="F29" s="22" t="n">
        <f aca="false">DATE(YEAR(E29),MONTH(E29),1)</f>
        <v>45901</v>
      </c>
      <c r="G29" s="23" t="n">
        <v>158683</v>
      </c>
      <c r="H29" s="8" t="s">
        <v>61</v>
      </c>
      <c r="I29" s="24" t="n">
        <v>-2180.68</v>
      </c>
      <c r="J29" s="25" t="n">
        <f aca="false">Summary!$B$4</f>
        <v>1</v>
      </c>
      <c r="K29" s="11" t="n">
        <f aca="false">I29*J29*IF(A29="SILVER",Summary!$B$5,Summary!$B$6)</f>
        <v>-65420.4</v>
      </c>
      <c r="L29" s="26" t="n">
        <v>-0.713</v>
      </c>
      <c r="M29" s="27" t="n">
        <f aca="false">IF(K29&gt;0,1,0)</f>
        <v>0</v>
      </c>
      <c r="N29" s="11" t="n">
        <f aca="false">SUMIFS(K$2:K29,A$2:A29,A29,B$2:B29,B29)</f>
        <v>-15597.2999999999</v>
      </c>
      <c r="O29" s="11" t="n">
        <f aca="false">MAX(0,_xlfn.MAXIFS(N$2:N29,A$2:A29,A29,B$2:B29,B29))</f>
        <v>218626.8</v>
      </c>
      <c r="P29" s="11" t="n">
        <f aca="false">N29-O29</f>
        <v>-234224.1</v>
      </c>
    </row>
    <row r="30" customFormat="false" ht="15" hidden="false" customHeight="false" outlineLevel="0" collapsed="false">
      <c r="A30" s="8" t="s">
        <v>26</v>
      </c>
      <c r="B30" s="8" t="s">
        <v>27</v>
      </c>
      <c r="C30" s="8" t="s">
        <v>60</v>
      </c>
      <c r="D30" s="21" t="n">
        <v>45919.875</v>
      </c>
      <c r="E30" s="21" t="n">
        <v>45940.4166666667</v>
      </c>
      <c r="F30" s="22" t="n">
        <f aca="false">DATE(YEAR(E30),MONTH(E30),1)</f>
        <v>45931</v>
      </c>
      <c r="G30" s="23" t="n">
        <v>160828</v>
      </c>
      <c r="H30" s="8" t="s">
        <v>61</v>
      </c>
      <c r="I30" s="24" t="n">
        <v>15943.5</v>
      </c>
      <c r="J30" s="25" t="n">
        <f aca="false">Summary!$B$4</f>
        <v>1</v>
      </c>
      <c r="K30" s="11" t="n">
        <f aca="false">I30*J30*IF(A30="SILVER",Summary!$B$5,Summary!$B$6)</f>
        <v>478305</v>
      </c>
      <c r="L30" s="26" t="n">
        <v>4.182</v>
      </c>
      <c r="M30" s="27" t="n">
        <f aca="false">IF(K30&gt;0,1,0)</f>
        <v>1</v>
      </c>
      <c r="N30" s="11" t="n">
        <f aca="false">SUMIFS(K$2:K30,A$2:A30,A30,B$2:B30,B30)</f>
        <v>462707.7</v>
      </c>
      <c r="O30" s="11" t="n">
        <f aca="false">MAX(0,_xlfn.MAXIFS(N$2:N30,A$2:A30,A30,B$2:B30,B30))</f>
        <v>462707.7</v>
      </c>
      <c r="P30" s="11" t="n">
        <f aca="false">N30-O30</f>
        <v>0</v>
      </c>
    </row>
    <row r="31" customFormat="false" ht="15" hidden="false" customHeight="false" outlineLevel="0" collapsed="false">
      <c r="A31" s="8" t="s">
        <v>26</v>
      </c>
      <c r="B31" s="8" t="s">
        <v>27</v>
      </c>
      <c r="C31" s="8" t="s">
        <v>62</v>
      </c>
      <c r="D31" s="21" t="n">
        <v>45940.4166666667</v>
      </c>
      <c r="E31" s="21" t="n">
        <v>45943.8333333333</v>
      </c>
      <c r="F31" s="22" t="n">
        <f aca="false">DATE(YEAR(E31),MONTH(E31),1)</f>
        <v>45931</v>
      </c>
      <c r="G31" s="23" t="n">
        <v>176809</v>
      </c>
      <c r="H31" s="8" t="s">
        <v>61</v>
      </c>
      <c r="I31" s="24" t="n">
        <v>-8860.97</v>
      </c>
      <c r="J31" s="25" t="n">
        <f aca="false">Summary!$B$4</f>
        <v>1</v>
      </c>
      <c r="K31" s="11" t="n">
        <f aca="false">I31*J31*IF(A31="SILVER",Summary!$B$5,Summary!$B$6)</f>
        <v>-265829.1</v>
      </c>
      <c r="L31" s="26" t="n">
        <v>-1.043</v>
      </c>
      <c r="M31" s="27" t="n">
        <f aca="false">IF(K31&gt;0,1,0)</f>
        <v>0</v>
      </c>
      <c r="N31" s="11" t="n">
        <f aca="false">SUMIFS(K$2:K31,A$2:A31,A31,B$2:B31,B31)</f>
        <v>196878.6</v>
      </c>
      <c r="O31" s="11" t="n">
        <f aca="false">MAX(0,_xlfn.MAXIFS(N$2:N31,A$2:A31,A31,B$2:B31,B31))</f>
        <v>462707.7</v>
      </c>
      <c r="P31" s="11" t="n">
        <f aca="false">N31-O31</f>
        <v>-265829.1</v>
      </c>
    </row>
    <row r="32" customFormat="false" ht="15" hidden="false" customHeight="false" outlineLevel="0" collapsed="false">
      <c r="A32" s="8" t="s">
        <v>26</v>
      </c>
      <c r="B32" s="8" t="s">
        <v>27</v>
      </c>
      <c r="C32" s="8" t="s">
        <v>60</v>
      </c>
      <c r="D32" s="21" t="n">
        <v>45943.8333333333</v>
      </c>
      <c r="E32" s="21" t="n">
        <v>45947.8333333333</v>
      </c>
      <c r="F32" s="22" t="n">
        <f aca="false">DATE(YEAR(E32),MONTH(E32),1)</f>
        <v>45931</v>
      </c>
      <c r="G32" s="23" t="n">
        <v>185630</v>
      </c>
      <c r="H32" s="8" t="s">
        <v>61</v>
      </c>
      <c r="I32" s="24" t="n">
        <v>7180.44</v>
      </c>
      <c r="J32" s="25" t="n">
        <f aca="false">Summary!$B$4</f>
        <v>1</v>
      </c>
      <c r="K32" s="11" t="n">
        <f aca="false">I32*J32*IF(A32="SILVER",Summary!$B$5,Summary!$B$6)</f>
        <v>215413.2</v>
      </c>
      <c r="L32" s="26" t="n">
        <v>0.85</v>
      </c>
      <c r="M32" s="27" t="n">
        <f aca="false">IF(K32&gt;0,1,0)</f>
        <v>1</v>
      </c>
      <c r="N32" s="11" t="n">
        <f aca="false">SUMIFS(K$2:K32,A$2:A32,A32,B$2:B32,B32)</f>
        <v>412291.8</v>
      </c>
      <c r="O32" s="11" t="n">
        <f aca="false">MAX(0,_xlfn.MAXIFS(N$2:N32,A$2:A32,A32,B$2:B32,B32))</f>
        <v>462707.7</v>
      </c>
      <c r="P32" s="11" t="n">
        <f aca="false">N32-O32</f>
        <v>-50415.9</v>
      </c>
    </row>
    <row r="33" customFormat="false" ht="15" hidden="false" customHeight="false" outlineLevel="0" collapsed="false">
      <c r="A33" s="8" t="s">
        <v>26</v>
      </c>
      <c r="B33" s="8" t="s">
        <v>27</v>
      </c>
      <c r="C33" s="8" t="s">
        <v>62</v>
      </c>
      <c r="D33" s="21" t="n">
        <v>45947.8333333333</v>
      </c>
      <c r="E33" s="21" t="n">
        <v>45960.8333333333</v>
      </c>
      <c r="F33" s="22" t="n">
        <f aca="false">DATE(YEAR(E33),MONTH(E33),1)</f>
        <v>45931</v>
      </c>
      <c r="G33" s="23" t="n">
        <v>192852</v>
      </c>
      <c r="H33" s="8" t="s">
        <v>61</v>
      </c>
      <c r="I33" s="24" t="n">
        <v>13176.04</v>
      </c>
      <c r="J33" s="25" t="n">
        <f aca="false">Summary!$B$4</f>
        <v>1</v>
      </c>
      <c r="K33" s="11" t="n">
        <f aca="false">I33*J33*IF(A33="SILVER",Summary!$B$5,Summary!$B$6)</f>
        <v>395281.2</v>
      </c>
      <c r="L33" s="26" t="n">
        <v>1.158</v>
      </c>
      <c r="M33" s="27" t="n">
        <f aca="false">IF(K33&gt;0,1,0)</f>
        <v>1</v>
      </c>
      <c r="N33" s="11" t="n">
        <f aca="false">SUMIFS(K$2:K33,A$2:A33,A33,B$2:B33,B33)</f>
        <v>807573</v>
      </c>
      <c r="O33" s="11" t="n">
        <f aca="false">MAX(0,_xlfn.MAXIFS(N$2:N33,A$2:A33,A33,B$2:B33,B33))</f>
        <v>807573</v>
      </c>
      <c r="P33" s="11" t="n">
        <f aca="false">N33-O33</f>
        <v>0</v>
      </c>
    </row>
    <row r="34" customFormat="false" ht="15" hidden="false" customHeight="false" outlineLevel="0" collapsed="false">
      <c r="A34" s="8" t="s">
        <v>26</v>
      </c>
      <c r="B34" s="8" t="s">
        <v>27</v>
      </c>
      <c r="C34" s="8" t="s">
        <v>60</v>
      </c>
      <c r="D34" s="21" t="n">
        <v>45960.8333333333</v>
      </c>
      <c r="E34" s="21" t="n">
        <v>45975.75</v>
      </c>
      <c r="F34" s="22" t="n">
        <f aca="false">DATE(YEAR(E34),MONTH(E34),1)</f>
        <v>45962</v>
      </c>
      <c r="G34" s="23" t="n">
        <v>179635</v>
      </c>
      <c r="H34" s="8" t="s">
        <v>61</v>
      </c>
      <c r="I34" s="24" t="n">
        <v>9052.43</v>
      </c>
      <c r="J34" s="25" t="n">
        <f aca="false">Summary!$B$4</f>
        <v>1</v>
      </c>
      <c r="K34" s="11" t="n">
        <f aca="false">I34*J34*IF(A34="SILVER",Summary!$B$5,Summary!$B$6)</f>
        <v>271572.9</v>
      </c>
      <c r="L34" s="26" t="n">
        <v>1.197</v>
      </c>
      <c r="M34" s="27" t="n">
        <f aca="false">IF(K34&gt;0,1,0)</f>
        <v>1</v>
      </c>
      <c r="N34" s="11" t="n">
        <f aca="false">SUMIFS(K$2:K34,A$2:A34,A34,B$2:B34,B34)</f>
        <v>1079145.9</v>
      </c>
      <c r="O34" s="11" t="n">
        <f aca="false">MAX(0,_xlfn.MAXIFS(N$2:N34,A$2:A34,A34,B$2:B34,B34))</f>
        <v>1079145.9</v>
      </c>
      <c r="P34" s="11" t="n">
        <f aca="false">N34-O34</f>
        <v>0</v>
      </c>
    </row>
    <row r="35" customFormat="false" ht="15" hidden="false" customHeight="false" outlineLevel="0" collapsed="false">
      <c r="A35" s="8" t="s">
        <v>26</v>
      </c>
      <c r="B35" s="8" t="s">
        <v>27</v>
      </c>
      <c r="C35" s="8" t="s">
        <v>62</v>
      </c>
      <c r="D35" s="21" t="n">
        <v>45975.75</v>
      </c>
      <c r="E35" s="21" t="n">
        <v>45987.7083333333</v>
      </c>
      <c r="F35" s="22" t="n">
        <f aca="false">DATE(YEAR(E35),MONTH(E35),1)</f>
        <v>45962</v>
      </c>
      <c r="G35" s="23" t="n">
        <v>188728</v>
      </c>
      <c r="H35" s="8" t="s">
        <v>61</v>
      </c>
      <c r="I35" s="24" t="n">
        <v>-1783.65</v>
      </c>
      <c r="J35" s="25" t="n">
        <f aca="false">Summary!$B$4</f>
        <v>1</v>
      </c>
      <c r="K35" s="11" t="n">
        <f aca="false">I35*J35*IF(A35="SILVER",Summary!$B$5,Summary!$B$6)</f>
        <v>-53509.5</v>
      </c>
      <c r="L35" s="26" t="n">
        <v>-0.194</v>
      </c>
      <c r="M35" s="27" t="n">
        <f aca="false">IF(K35&gt;0,1,0)</f>
        <v>0</v>
      </c>
      <c r="N35" s="11" t="n">
        <f aca="false">SUMIFS(K$2:K35,A$2:A35,A35,B$2:B35,B35)</f>
        <v>1025636.4</v>
      </c>
      <c r="O35" s="11" t="n">
        <f aca="false">MAX(0,_xlfn.MAXIFS(N$2:N35,A$2:A35,A35,B$2:B35,B35))</f>
        <v>1079145.9</v>
      </c>
      <c r="P35" s="11" t="n">
        <f aca="false">N35-O35</f>
        <v>-53509.5</v>
      </c>
    </row>
    <row r="36" customFormat="false" ht="15" hidden="false" customHeight="false" outlineLevel="0" collapsed="false">
      <c r="A36" s="8" t="s">
        <v>26</v>
      </c>
      <c r="B36" s="8" t="s">
        <v>27</v>
      </c>
      <c r="C36" s="8" t="s">
        <v>60</v>
      </c>
      <c r="D36" s="21" t="n">
        <v>45987.7083333333</v>
      </c>
      <c r="E36" s="21" t="n">
        <v>46003.9583333333</v>
      </c>
      <c r="F36" s="22" t="n">
        <f aca="false">DATE(YEAR(E36),MONTH(E36),1)</f>
        <v>45992</v>
      </c>
      <c r="G36" s="23" t="n">
        <v>190470</v>
      </c>
      <c r="H36" s="8" t="s">
        <v>61</v>
      </c>
      <c r="I36" s="24" t="n">
        <v>29264.67</v>
      </c>
      <c r="J36" s="25" t="n">
        <f aca="false">Summary!$B$4</f>
        <v>1</v>
      </c>
      <c r="K36" s="11" t="n">
        <f aca="false">I36*J36*IF(A36="SILVER",Summary!$B$5,Summary!$B$6)</f>
        <v>877940.1</v>
      </c>
      <c r="L36" s="26" t="n">
        <v>5.619</v>
      </c>
      <c r="M36" s="27" t="n">
        <f aca="false">IF(K36&gt;0,1,0)</f>
        <v>1</v>
      </c>
      <c r="N36" s="11" t="n">
        <f aca="false">SUMIFS(K$2:K36,A$2:A36,A36,B$2:B36,B36)</f>
        <v>1903576.5</v>
      </c>
      <c r="O36" s="11" t="n">
        <f aca="false">MAX(0,_xlfn.MAXIFS(N$2:N36,A$2:A36,A36,B$2:B36,B36))</f>
        <v>1903576.5</v>
      </c>
      <c r="P36" s="11" t="n">
        <f aca="false">N36-O36</f>
        <v>0</v>
      </c>
    </row>
    <row r="37" customFormat="false" ht="15" hidden="false" customHeight="false" outlineLevel="0" collapsed="false">
      <c r="A37" s="8" t="s">
        <v>26</v>
      </c>
      <c r="B37" s="8" t="s">
        <v>27</v>
      </c>
      <c r="C37" s="8" t="s">
        <v>62</v>
      </c>
      <c r="D37" s="21" t="n">
        <v>46003.9583333333</v>
      </c>
      <c r="E37" s="21" t="n">
        <v>46008.4166666667</v>
      </c>
      <c r="F37" s="22" t="n">
        <f aca="false">DATE(YEAR(E37),MONTH(E37),1)</f>
        <v>45992</v>
      </c>
      <c r="G37" s="23" t="n">
        <v>219828</v>
      </c>
      <c r="H37" s="8" t="s">
        <v>61</v>
      </c>
      <c r="I37" s="24" t="n">
        <v>-13107.6</v>
      </c>
      <c r="J37" s="25" t="n">
        <f aca="false">Summary!$B$4</f>
        <v>1</v>
      </c>
      <c r="K37" s="11" t="n">
        <f aca="false">I37*J37*IF(A37="SILVER",Summary!$B$5,Summary!$B$6)</f>
        <v>-393228</v>
      </c>
      <c r="L37" s="26" t="n">
        <v>-1.252</v>
      </c>
      <c r="M37" s="27" t="n">
        <f aca="false">IF(K37&gt;0,1,0)</f>
        <v>0</v>
      </c>
      <c r="N37" s="11" t="n">
        <f aca="false">SUMIFS(K$2:K37,A$2:A37,A37,B$2:B37,B37)</f>
        <v>1510348.5</v>
      </c>
      <c r="O37" s="11" t="n">
        <f aca="false">MAX(0,_xlfn.MAXIFS(N$2:N37,A$2:A37,A37,B$2:B37,B37))</f>
        <v>1903576.5</v>
      </c>
      <c r="P37" s="11" t="n">
        <f aca="false">N37-O37</f>
        <v>-393228</v>
      </c>
    </row>
    <row r="38" customFormat="false" ht="15" hidden="false" customHeight="false" outlineLevel="0" collapsed="false">
      <c r="A38" s="8" t="s">
        <v>26</v>
      </c>
      <c r="B38" s="8" t="s">
        <v>27</v>
      </c>
      <c r="C38" s="8" t="s">
        <v>60</v>
      </c>
      <c r="D38" s="21" t="n">
        <v>46008.4166666667</v>
      </c>
      <c r="E38" s="21" t="n">
        <v>46020.8333333333</v>
      </c>
      <c r="F38" s="22" t="n">
        <f aca="false">DATE(YEAR(E38),MONTH(E38),1)</f>
        <v>45992</v>
      </c>
      <c r="G38" s="23" t="n">
        <v>232886</v>
      </c>
      <c r="H38" s="8" t="s">
        <v>61</v>
      </c>
      <c r="I38" s="24" t="n">
        <v>21894.86</v>
      </c>
      <c r="J38" s="25" t="n">
        <f aca="false">Summary!$B$4</f>
        <v>1</v>
      </c>
      <c r="K38" s="11" t="n">
        <f aca="false">I38*J38*IF(A38="SILVER",Summary!$B$5,Summary!$B$6)</f>
        <v>656845.8</v>
      </c>
      <c r="L38" s="26" t="n">
        <v>1.672</v>
      </c>
      <c r="M38" s="27" t="n">
        <f aca="false">IF(K38&gt;0,1,0)</f>
        <v>1</v>
      </c>
      <c r="N38" s="11" t="n">
        <f aca="false">SUMIFS(K$2:K38,A$2:A38,A38,B$2:B38,B38)</f>
        <v>2167194.3</v>
      </c>
      <c r="O38" s="11" t="n">
        <f aca="false">MAX(0,_xlfn.MAXIFS(N$2:N38,A$2:A38,A38,B$2:B38,B38))</f>
        <v>2167194.3</v>
      </c>
      <c r="P38" s="11" t="n">
        <f aca="false">N38-O38</f>
        <v>0</v>
      </c>
    </row>
    <row r="39" customFormat="false" ht="15" hidden="false" customHeight="false" outlineLevel="0" collapsed="false">
      <c r="A39" s="8" t="s">
        <v>26</v>
      </c>
      <c r="B39" s="8" t="s">
        <v>27</v>
      </c>
      <c r="C39" s="8" t="s">
        <v>62</v>
      </c>
      <c r="D39" s="21" t="n">
        <v>46020.8333333333</v>
      </c>
      <c r="E39" s="21" t="n">
        <v>46022.375</v>
      </c>
      <c r="F39" s="22" t="n">
        <f aca="false">DATE(YEAR(E39),MONTH(E39),1)</f>
        <v>45992</v>
      </c>
      <c r="G39" s="23" t="n">
        <v>254834</v>
      </c>
      <c r="H39" s="8" t="s">
        <v>61</v>
      </c>
      <c r="I39" s="24" t="n">
        <v>-14957.82</v>
      </c>
      <c r="J39" s="25" t="n">
        <f aca="false">Summary!$B$4</f>
        <v>1</v>
      </c>
      <c r="K39" s="11" t="n">
        <f aca="false">I39*J39*IF(A39="SILVER",Summary!$B$5,Summary!$B$6)</f>
        <v>-448734.6</v>
      </c>
      <c r="L39" s="26" t="n">
        <v>-0.547</v>
      </c>
      <c r="M39" s="27" t="n">
        <f aca="false">IF(K39&gt;0,1,0)</f>
        <v>0</v>
      </c>
      <c r="N39" s="11" t="n">
        <f aca="false">SUMIFS(K$2:K39,A$2:A39,A39,B$2:B39,B39)</f>
        <v>1718459.7</v>
      </c>
      <c r="O39" s="11" t="n">
        <f aca="false">MAX(0,_xlfn.MAXIFS(N$2:N39,A$2:A39,A39,B$2:B39,B39))</f>
        <v>2167194.3</v>
      </c>
      <c r="P39" s="11" t="n">
        <f aca="false">N39-O39</f>
        <v>-448734.6</v>
      </c>
    </row>
    <row r="40" customFormat="false" ht="15" hidden="false" customHeight="false" outlineLevel="0" collapsed="false">
      <c r="A40" s="8" t="s">
        <v>26</v>
      </c>
      <c r="B40" s="8" t="s">
        <v>27</v>
      </c>
      <c r="C40" s="8" t="s">
        <v>60</v>
      </c>
      <c r="D40" s="21" t="n">
        <v>46022.375</v>
      </c>
      <c r="E40" s="21" t="n">
        <v>46030.5</v>
      </c>
      <c r="F40" s="22" t="n">
        <f aca="false">DATE(YEAR(E40),MONTH(E40),1)</f>
        <v>46023</v>
      </c>
      <c r="G40" s="23" t="n">
        <v>269734</v>
      </c>
      <c r="H40" s="8" t="s">
        <v>61</v>
      </c>
      <c r="I40" s="24" t="n">
        <v>1395.57</v>
      </c>
      <c r="J40" s="25" t="n">
        <f aca="false">Summary!$B$4</f>
        <v>1</v>
      </c>
      <c r="K40" s="11" t="n">
        <f aca="false">I40*J40*IF(A40="SILVER",Summary!$B$5,Summary!$B$6)</f>
        <v>41867.1</v>
      </c>
      <c r="L40" s="26" t="n">
        <v>0.101</v>
      </c>
      <c r="M40" s="27" t="n">
        <f aca="false">IF(K40&gt;0,1,0)</f>
        <v>1</v>
      </c>
      <c r="N40" s="11" t="n">
        <f aca="false">SUMIFS(K$2:K40,A$2:A40,A40,B$2:B40,B40)</f>
        <v>1760326.8</v>
      </c>
      <c r="O40" s="11" t="n">
        <f aca="false">MAX(0,_xlfn.MAXIFS(N$2:N40,A$2:A40,A40,B$2:B40,B40))</f>
        <v>2167194.3</v>
      </c>
      <c r="P40" s="11" t="n">
        <f aca="false">N40-O40</f>
        <v>-406867.5</v>
      </c>
    </row>
    <row r="41" customFormat="false" ht="15" hidden="false" customHeight="false" outlineLevel="0" collapsed="false">
      <c r="A41" s="8" t="s">
        <v>26</v>
      </c>
      <c r="B41" s="8" t="s">
        <v>27</v>
      </c>
      <c r="C41" s="8" t="s">
        <v>62</v>
      </c>
      <c r="D41" s="21" t="n">
        <v>46030.5</v>
      </c>
      <c r="E41" s="21" t="n">
        <v>46031.875</v>
      </c>
      <c r="F41" s="22" t="n">
        <f aca="false">DATE(YEAR(E41),MONTH(E41),1)</f>
        <v>46023</v>
      </c>
      <c r="G41" s="23" t="n">
        <v>271189</v>
      </c>
      <c r="H41" s="8" t="s">
        <v>61</v>
      </c>
      <c r="I41" s="24" t="n">
        <v>-11804.75</v>
      </c>
      <c r="J41" s="25" t="n">
        <f aca="false">Summary!$B$4</f>
        <v>1</v>
      </c>
      <c r="K41" s="11" t="n">
        <f aca="false">I41*J41*IF(A41="SILVER",Summary!$B$5,Summary!$B$6)</f>
        <v>-354142.5</v>
      </c>
      <c r="L41" s="26" t="n">
        <v>-0.659</v>
      </c>
      <c r="M41" s="27" t="n">
        <f aca="false">IF(K41&gt;0,1,0)</f>
        <v>0</v>
      </c>
      <c r="N41" s="11" t="n">
        <f aca="false">SUMIFS(K$2:K41,A$2:A41,A41,B$2:B41,B41)</f>
        <v>1406184.3</v>
      </c>
      <c r="O41" s="11" t="n">
        <f aca="false">MAX(0,_xlfn.MAXIFS(N$2:N41,A$2:A41,A41,B$2:B41,B41))</f>
        <v>2167194.3</v>
      </c>
      <c r="P41" s="11" t="n">
        <f aca="false">N41-O41</f>
        <v>-761010</v>
      </c>
    </row>
    <row r="42" customFormat="false" ht="15" hidden="false" customHeight="false" outlineLevel="0" collapsed="false">
      <c r="A42" s="8" t="s">
        <v>26</v>
      </c>
      <c r="B42" s="8" t="s">
        <v>27</v>
      </c>
      <c r="C42" s="8" t="s">
        <v>60</v>
      </c>
      <c r="D42" s="21" t="n">
        <v>46031.875</v>
      </c>
      <c r="E42" s="21" t="n">
        <v>46044.4166666667</v>
      </c>
      <c r="F42" s="22" t="n">
        <f aca="false">DATE(YEAR(E42),MONTH(E42),1)</f>
        <v>46023</v>
      </c>
      <c r="G42" s="23" t="n">
        <v>282934</v>
      </c>
      <c r="H42" s="8" t="s">
        <v>61</v>
      </c>
      <c r="I42" s="24" t="n">
        <v>51086.97</v>
      </c>
      <c r="J42" s="25" t="n">
        <f aca="false">Summary!$B$4</f>
        <v>1</v>
      </c>
      <c r="K42" s="11" t="n">
        <f aca="false">I42*J42*IF(A42="SILVER",Summary!$B$5,Summary!$B$6)</f>
        <v>1532609.1</v>
      </c>
      <c r="L42" s="26" t="n">
        <v>2.62</v>
      </c>
      <c r="M42" s="27" t="n">
        <f aca="false">IF(K42&gt;0,1,0)</f>
        <v>1</v>
      </c>
      <c r="N42" s="11" t="n">
        <f aca="false">SUMIFS(K$2:K42,A$2:A42,A42,B$2:B42,B42)</f>
        <v>2938793.4</v>
      </c>
      <c r="O42" s="11" t="n">
        <f aca="false">MAX(0,_xlfn.MAXIFS(N$2:N42,A$2:A42,A42,B$2:B42,B42))</f>
        <v>2938793.4</v>
      </c>
      <c r="P42" s="11" t="n">
        <f aca="false">N42-O42</f>
        <v>0</v>
      </c>
    </row>
    <row r="43" customFormat="false" ht="15" hidden="false" customHeight="false" outlineLevel="0" collapsed="false">
      <c r="A43" s="8" t="s">
        <v>26</v>
      </c>
      <c r="B43" s="8" t="s">
        <v>27</v>
      </c>
      <c r="C43" s="8" t="s">
        <v>62</v>
      </c>
      <c r="D43" s="21" t="n">
        <v>46044.4166666667</v>
      </c>
      <c r="E43" s="21" t="n">
        <v>46049.4166666667</v>
      </c>
      <c r="F43" s="22" t="n">
        <f aca="false">DATE(YEAR(E43),MONTH(E43),1)</f>
        <v>46023</v>
      </c>
      <c r="G43" s="23" t="n">
        <v>334087</v>
      </c>
      <c r="H43" s="8" t="s">
        <v>61</v>
      </c>
      <c r="I43" s="24" t="n">
        <v>-51173.27</v>
      </c>
      <c r="J43" s="25" t="n">
        <f aca="false">Summary!$B$4</f>
        <v>1</v>
      </c>
      <c r="K43" s="11" t="n">
        <f aca="false">I43*J43*IF(A43="SILVER",Summary!$B$5,Summary!$B$6)</f>
        <v>-1535198.1</v>
      </c>
      <c r="L43" s="26" t="n">
        <v>-1.317</v>
      </c>
      <c r="M43" s="27" t="n">
        <f aca="false">IF(K43&gt;0,1,0)</f>
        <v>0</v>
      </c>
      <c r="N43" s="11" t="n">
        <f aca="false">SUMIFS(K$2:K43,A$2:A43,A43,B$2:B43,B43)</f>
        <v>1403595.3</v>
      </c>
      <c r="O43" s="11" t="n">
        <f aca="false">MAX(0,_xlfn.MAXIFS(N$2:N43,A$2:A43,A43,B$2:B43,B43))</f>
        <v>2938793.4</v>
      </c>
      <c r="P43" s="11" t="n">
        <f aca="false">N43-O43</f>
        <v>-1535198.1</v>
      </c>
    </row>
    <row r="44" customFormat="false" ht="15" hidden="false" customHeight="false" outlineLevel="0" collapsed="false">
      <c r="A44" s="8" t="s">
        <v>26</v>
      </c>
      <c r="B44" s="8" t="s">
        <v>27</v>
      </c>
      <c r="C44" s="8" t="s">
        <v>60</v>
      </c>
      <c r="D44" s="21" t="n">
        <v>46049.4166666667</v>
      </c>
      <c r="E44" s="21" t="n">
        <v>46051.875</v>
      </c>
      <c r="F44" s="22" t="n">
        <f aca="false">DATE(YEAR(E44),MONTH(E44),1)</f>
        <v>46023</v>
      </c>
      <c r="G44" s="23" t="n">
        <v>385184</v>
      </c>
      <c r="H44" s="8" t="s">
        <v>61</v>
      </c>
      <c r="I44" s="24" t="n">
        <v>7620.89</v>
      </c>
      <c r="J44" s="25" t="n">
        <f aca="false">Summary!$B$4</f>
        <v>1</v>
      </c>
      <c r="K44" s="11" t="n">
        <f aca="false">I44*J44*IF(A44="SILVER",Summary!$B$5,Summary!$B$6)</f>
        <v>228626.7</v>
      </c>
      <c r="L44" s="26" t="n">
        <v>0.188</v>
      </c>
      <c r="M44" s="27" t="n">
        <f aca="false">IF(K44&gt;0,1,0)</f>
        <v>1</v>
      </c>
      <c r="N44" s="11" t="n">
        <f aca="false">SUMIFS(K$2:K44,A$2:A44,A44,B$2:B44,B44)</f>
        <v>1632222</v>
      </c>
      <c r="O44" s="11" t="n">
        <f aca="false">MAX(0,_xlfn.MAXIFS(N$2:N44,A$2:A44,A44,B$2:B44,B44))</f>
        <v>2938793.4</v>
      </c>
      <c r="P44" s="11" t="n">
        <f aca="false">N44-O44</f>
        <v>-1306571.4</v>
      </c>
    </row>
    <row r="45" customFormat="false" ht="15" hidden="false" customHeight="false" outlineLevel="0" collapsed="false">
      <c r="A45" s="8" t="s">
        <v>26</v>
      </c>
      <c r="B45" s="8" t="s">
        <v>27</v>
      </c>
      <c r="C45" s="8" t="s">
        <v>62</v>
      </c>
      <c r="D45" s="21" t="n">
        <v>46051.875</v>
      </c>
      <c r="E45" s="21" t="n">
        <v>46073.625</v>
      </c>
      <c r="F45" s="22" t="n">
        <f aca="false">DATE(YEAR(E45),MONTH(E45),1)</f>
        <v>46054</v>
      </c>
      <c r="G45" s="23" t="n">
        <v>392887</v>
      </c>
      <c r="H45" s="8" t="s">
        <v>61</v>
      </c>
      <c r="I45" s="24" t="n">
        <v>114404.57</v>
      </c>
      <c r="J45" s="25" t="n">
        <f aca="false">Summary!$B$4</f>
        <v>1</v>
      </c>
      <c r="K45" s="11" t="n">
        <f aca="false">I45*J45*IF(A45="SILVER",Summary!$B$5,Summary!$B$6)</f>
        <v>3432137.1</v>
      </c>
      <c r="L45" s="26" t="n">
        <v>1.549</v>
      </c>
      <c r="M45" s="27" t="n">
        <f aca="false">IF(K45&gt;0,1,0)</f>
        <v>1</v>
      </c>
      <c r="N45" s="11" t="n">
        <f aca="false">SUMIFS(K$2:K45,A$2:A45,A45,B$2:B45,B45)</f>
        <v>5064359.1</v>
      </c>
      <c r="O45" s="11" t="n">
        <f aca="false">MAX(0,_xlfn.MAXIFS(N$2:N45,A$2:A45,A45,B$2:B45,B45))</f>
        <v>5064359.1</v>
      </c>
      <c r="P45" s="11" t="n">
        <f aca="false">N45-O45</f>
        <v>0</v>
      </c>
    </row>
    <row r="46" customFormat="false" ht="15" hidden="false" customHeight="false" outlineLevel="0" collapsed="false">
      <c r="A46" s="8" t="s">
        <v>26</v>
      </c>
      <c r="B46" s="8" t="s">
        <v>27</v>
      </c>
      <c r="C46" s="8" t="s">
        <v>60</v>
      </c>
      <c r="D46" s="21" t="n">
        <v>46073.625</v>
      </c>
      <c r="E46" s="21" t="n">
        <v>46083.9201388889</v>
      </c>
      <c r="F46" s="22" t="n">
        <f aca="false">DATE(YEAR(E46),MONTH(E46),1)</f>
        <v>46082</v>
      </c>
      <c r="G46" s="23" t="n">
        <v>278411</v>
      </c>
      <c r="H46" s="8" t="s">
        <v>61</v>
      </c>
      <c r="I46" s="24" t="n">
        <v>18960.97</v>
      </c>
      <c r="J46" s="25" t="n">
        <f aca="false">Summary!$B$4</f>
        <v>1</v>
      </c>
      <c r="K46" s="11" t="n">
        <f aca="false">I46*J46*IF(A46="SILVER",Summary!$B$5,Summary!$B$6)</f>
        <v>568829.1</v>
      </c>
      <c r="L46" s="26" t="n">
        <v>1.054</v>
      </c>
      <c r="M46" s="27" t="n">
        <f aca="false">IF(K46&gt;0,1,0)</f>
        <v>1</v>
      </c>
      <c r="N46" s="11" t="n">
        <f aca="false">SUMIFS(K$2:K46,A$2:A46,A46,B$2:B46,B46)</f>
        <v>5633188.2</v>
      </c>
      <c r="O46" s="11" t="n">
        <f aca="false">MAX(0,_xlfn.MAXIFS(N$2:N46,A$2:A46,A46,B$2:B46,B46))</f>
        <v>5633188.2</v>
      </c>
      <c r="P46" s="11" t="n">
        <f aca="false">N46-O46</f>
        <v>0</v>
      </c>
    </row>
    <row r="47" customFormat="false" ht="15" hidden="false" customHeight="false" outlineLevel="0" collapsed="false">
      <c r="A47" s="8" t="s">
        <v>26</v>
      </c>
      <c r="B47" s="8" t="s">
        <v>27</v>
      </c>
      <c r="C47" s="8" t="s">
        <v>62</v>
      </c>
      <c r="D47" s="21" t="n">
        <v>46083.9201388889</v>
      </c>
      <c r="E47" s="21" t="n">
        <v>46091.7916666667</v>
      </c>
      <c r="F47" s="22" t="n">
        <f aca="false">DATE(YEAR(E47),MONTH(E47),1)</f>
        <v>46082</v>
      </c>
      <c r="G47" s="23" t="n">
        <v>297434</v>
      </c>
      <c r="H47" s="8" t="s">
        <v>61</v>
      </c>
      <c r="I47" s="24" t="n">
        <v>1419.37</v>
      </c>
      <c r="J47" s="25" t="n">
        <f aca="false">Summary!$B$4</f>
        <v>1</v>
      </c>
      <c r="K47" s="11" t="n">
        <f aca="false">I47*J47*IF(A47="SILVER",Summary!$B$5,Summary!$B$6)</f>
        <v>42581.1</v>
      </c>
      <c r="L47" s="26" t="n">
        <v>0.065</v>
      </c>
      <c r="M47" s="27" t="n">
        <f aca="false">IF(K47&gt;0,1,0)</f>
        <v>1</v>
      </c>
      <c r="N47" s="11" t="n">
        <f aca="false">SUMIFS(K$2:K47,A$2:A47,A47,B$2:B47,B47)</f>
        <v>5675769.3</v>
      </c>
      <c r="O47" s="11" t="n">
        <f aca="false">MAX(0,_xlfn.MAXIFS(N$2:N47,A$2:A47,A47,B$2:B47,B47))</f>
        <v>5675769.3</v>
      </c>
      <c r="P47" s="11" t="n">
        <f aca="false">N47-O47</f>
        <v>0</v>
      </c>
    </row>
    <row r="48" customFormat="false" ht="15" hidden="false" customHeight="false" outlineLevel="0" collapsed="false">
      <c r="A48" s="8" t="s">
        <v>26</v>
      </c>
      <c r="B48" s="8" t="s">
        <v>27</v>
      </c>
      <c r="C48" s="8" t="s">
        <v>60</v>
      </c>
      <c r="D48" s="21" t="n">
        <v>46091.7916666667</v>
      </c>
      <c r="E48" s="21" t="n">
        <v>46094.5</v>
      </c>
      <c r="F48" s="22" t="n">
        <f aca="false">DATE(YEAR(E48),MONTH(E48),1)</f>
        <v>46082</v>
      </c>
      <c r="G48" s="23" t="n">
        <v>295884</v>
      </c>
      <c r="H48" s="8" t="s">
        <v>61</v>
      </c>
      <c r="I48" s="24" t="n">
        <v>-14775.21</v>
      </c>
      <c r="J48" s="25" t="n">
        <f aca="false">Summary!$B$4</f>
        <v>1</v>
      </c>
      <c r="K48" s="11" t="n">
        <f aca="false">I48*J48*IF(A48="SILVER",Summary!$B$5,Summary!$B$6)</f>
        <v>-443256.3</v>
      </c>
      <c r="L48" s="26" t="n">
        <v>-0.879</v>
      </c>
      <c r="M48" s="27" t="n">
        <f aca="false">IF(K48&gt;0,1,0)</f>
        <v>0</v>
      </c>
      <c r="N48" s="11" t="n">
        <f aca="false">SUMIFS(K$2:K48,A$2:A48,A48,B$2:B48,B48)</f>
        <v>5232513</v>
      </c>
      <c r="O48" s="11" t="n">
        <f aca="false">MAX(0,_xlfn.MAXIFS(N$2:N48,A$2:A48,A48,B$2:B48,B48))</f>
        <v>5675769.3</v>
      </c>
      <c r="P48" s="11" t="n">
        <f aca="false">N48-O48</f>
        <v>-443256.3</v>
      </c>
    </row>
    <row r="49" customFormat="false" ht="15" hidden="false" customHeight="false" outlineLevel="0" collapsed="false">
      <c r="A49" s="8" t="s">
        <v>26</v>
      </c>
      <c r="B49" s="8" t="s">
        <v>27</v>
      </c>
      <c r="C49" s="8" t="s">
        <v>62</v>
      </c>
      <c r="D49" s="21" t="n">
        <v>46094.5</v>
      </c>
      <c r="E49" s="21" t="n">
        <v>46106.4166666667</v>
      </c>
      <c r="F49" s="22" t="n">
        <f aca="false">DATE(YEAR(E49),MONTH(E49),1)</f>
        <v>46082</v>
      </c>
      <c r="G49" s="23" t="n">
        <v>281173</v>
      </c>
      <c r="H49" s="8" t="s">
        <v>61</v>
      </c>
      <c r="I49" s="24" t="n">
        <v>27164.01</v>
      </c>
      <c r="J49" s="25" t="n">
        <f aca="false">Summary!$B$4</f>
        <v>1</v>
      </c>
      <c r="K49" s="11" t="n">
        <f aca="false">I49*J49*IF(A49="SILVER",Summary!$B$5,Summary!$B$6)</f>
        <v>814920.3</v>
      </c>
      <c r="L49" s="26" t="n">
        <v>1.721</v>
      </c>
      <c r="M49" s="27" t="n">
        <f aca="false">IF(K49&gt;0,1,0)</f>
        <v>1</v>
      </c>
      <c r="N49" s="11" t="n">
        <f aca="false">SUMIFS(K$2:K49,A$2:A49,A49,B$2:B49,B49)</f>
        <v>6047433.3</v>
      </c>
      <c r="O49" s="11" t="n">
        <f aca="false">MAX(0,_xlfn.MAXIFS(N$2:N49,A$2:A49,A49,B$2:B49,B49))</f>
        <v>6047433.3</v>
      </c>
      <c r="P49" s="11" t="n">
        <f aca="false">N49-O49</f>
        <v>0</v>
      </c>
    </row>
    <row r="50" customFormat="false" ht="15" hidden="false" customHeight="false" outlineLevel="0" collapsed="false">
      <c r="A50" s="8" t="s">
        <v>26</v>
      </c>
      <c r="B50" s="8" t="s">
        <v>27</v>
      </c>
      <c r="C50" s="8" t="s">
        <v>60</v>
      </c>
      <c r="D50" s="21" t="n">
        <v>46106.4166666667</v>
      </c>
      <c r="E50" s="21" t="n">
        <v>46114.5</v>
      </c>
      <c r="F50" s="22" t="n">
        <f aca="false">DATE(YEAR(E50),MONTH(E50),1)</f>
        <v>46113</v>
      </c>
      <c r="G50" s="23" t="n">
        <v>253949</v>
      </c>
      <c r="H50" s="8" t="s">
        <v>61</v>
      </c>
      <c r="I50" s="24" t="n">
        <v>-10336.29</v>
      </c>
      <c r="J50" s="25" t="n">
        <f aca="false">Summary!$B$4</f>
        <v>1</v>
      </c>
      <c r="K50" s="11" t="n">
        <f aca="false">I50*J50*IF(A50="SILVER",Summary!$B$5,Summary!$B$6)</f>
        <v>-310088.7</v>
      </c>
      <c r="L50" s="26" t="n">
        <v>-0.316</v>
      </c>
      <c r="M50" s="27" t="n">
        <f aca="false">IF(K50&gt;0,1,0)</f>
        <v>0</v>
      </c>
      <c r="N50" s="11" t="n">
        <f aca="false">SUMIFS(K$2:K50,A$2:A50,A50,B$2:B50,B50)</f>
        <v>5737344.6</v>
      </c>
      <c r="O50" s="11" t="n">
        <f aca="false">MAX(0,_xlfn.MAXIFS(N$2:N50,A$2:A50,A50,B$2:B50,B50))</f>
        <v>6047433.3</v>
      </c>
      <c r="P50" s="11" t="n">
        <f aca="false">N50-O50</f>
        <v>-310088.7</v>
      </c>
    </row>
    <row r="51" customFormat="false" ht="15" hidden="false" customHeight="false" outlineLevel="0" collapsed="false">
      <c r="A51" s="8" t="s">
        <v>26</v>
      </c>
      <c r="B51" s="8" t="s">
        <v>27</v>
      </c>
      <c r="C51" s="8" t="s">
        <v>62</v>
      </c>
      <c r="D51" s="21" t="n">
        <v>46114.5</v>
      </c>
      <c r="E51" s="21" t="n">
        <v>46120.4166666667</v>
      </c>
      <c r="F51" s="22" t="n">
        <f aca="false">DATE(YEAR(E51),MONTH(E51),1)</f>
        <v>46113</v>
      </c>
      <c r="G51" s="23" t="n">
        <v>243669</v>
      </c>
      <c r="H51" s="8" t="s">
        <v>61</v>
      </c>
      <c r="I51" s="24" t="n">
        <v>-17620.03</v>
      </c>
      <c r="J51" s="25" t="n">
        <f aca="false">Summary!$B$4</f>
        <v>1</v>
      </c>
      <c r="K51" s="11" t="n">
        <f aca="false">I51*J51*IF(A51="SILVER",Summary!$B$5,Summary!$B$6)</f>
        <v>-528600.9</v>
      </c>
      <c r="L51" s="26" t="n">
        <v>-0.852</v>
      </c>
      <c r="M51" s="27" t="n">
        <f aca="false">IF(K51&gt;0,1,0)</f>
        <v>0</v>
      </c>
      <c r="N51" s="11" t="n">
        <f aca="false">SUMIFS(K$2:K51,A$2:A51,A51,B$2:B51,B51)</f>
        <v>5208743.7</v>
      </c>
      <c r="O51" s="11" t="n">
        <f aca="false">MAX(0,_xlfn.MAXIFS(N$2:N51,A$2:A51,A51,B$2:B51,B51))</f>
        <v>6047433.3</v>
      </c>
      <c r="P51" s="11" t="n">
        <f aca="false">N51-O51</f>
        <v>-838689.600000001</v>
      </c>
    </row>
    <row r="52" customFormat="false" ht="15" hidden="false" customHeight="false" outlineLevel="0" collapsed="false">
      <c r="A52" s="8" t="s">
        <v>26</v>
      </c>
      <c r="B52" s="8" t="s">
        <v>27</v>
      </c>
      <c r="C52" s="8" t="s">
        <v>60</v>
      </c>
      <c r="D52" s="21" t="n">
        <v>46120.4166666667</v>
      </c>
      <c r="E52" s="21" t="n">
        <v>46133.875</v>
      </c>
      <c r="F52" s="22" t="n">
        <f aca="false">DATE(YEAR(E52),MONTH(E52),1)</f>
        <v>46113</v>
      </c>
      <c r="G52" s="23" t="n">
        <v>261232</v>
      </c>
      <c r="H52" s="8" t="s">
        <v>61</v>
      </c>
      <c r="I52" s="24" t="n">
        <v>1442.08</v>
      </c>
      <c r="J52" s="25" t="n">
        <f aca="false">Summary!$B$4</f>
        <v>1</v>
      </c>
      <c r="K52" s="11" t="n">
        <f aca="false">I52*J52*IF(A52="SILVER",Summary!$B$5,Summary!$B$6)</f>
        <v>43262.4</v>
      </c>
      <c r="L52" s="26" t="n">
        <v>0.076</v>
      </c>
      <c r="M52" s="27" t="n">
        <f aca="false">IF(K52&gt;0,1,0)</f>
        <v>1</v>
      </c>
      <c r="N52" s="11" t="n">
        <f aca="false">SUMIFS(K$2:K52,A$2:A52,A52,B$2:B52,B52)</f>
        <v>5252006.1</v>
      </c>
      <c r="O52" s="11" t="n">
        <f aca="false">MAX(0,_xlfn.MAXIFS(N$2:N52,A$2:A52,A52,B$2:B52,B52))</f>
        <v>6047433.3</v>
      </c>
      <c r="P52" s="11" t="n">
        <f aca="false">N52-O52</f>
        <v>-795427.2</v>
      </c>
    </row>
    <row r="53" customFormat="false" ht="15" hidden="false" customHeight="false" outlineLevel="0" collapsed="false">
      <c r="A53" s="8" t="s">
        <v>26</v>
      </c>
      <c r="B53" s="8" t="s">
        <v>27</v>
      </c>
      <c r="C53" s="8" t="s">
        <v>62</v>
      </c>
      <c r="D53" s="21" t="n">
        <v>46133.875</v>
      </c>
      <c r="E53" s="21" t="n">
        <v>46143.8340277778</v>
      </c>
      <c r="F53" s="22" t="n">
        <f aca="false">DATE(YEAR(E53),MONTH(E53),1)</f>
        <v>46143</v>
      </c>
      <c r="G53" s="23" t="n">
        <v>262733</v>
      </c>
      <c r="H53" s="8" t="s">
        <v>61</v>
      </c>
      <c r="I53" s="24" t="n">
        <v>-2211.31</v>
      </c>
      <c r="J53" s="25" t="n">
        <f aca="false">Summary!$B$4</f>
        <v>1</v>
      </c>
      <c r="K53" s="11" t="n">
        <f aca="false">I53*J53*IF(A53="SILVER",Summary!$B$5,Summary!$B$6)</f>
        <v>-66339.3</v>
      </c>
      <c r="L53" s="26" t="n">
        <v>-0.178</v>
      </c>
      <c r="M53" s="27" t="n">
        <f aca="false">IF(K53&gt;0,1,0)</f>
        <v>0</v>
      </c>
      <c r="N53" s="11" t="n">
        <f aca="false">SUMIFS(K$2:K53,A$2:A53,A53,B$2:B53,B53)</f>
        <v>5185666.8</v>
      </c>
      <c r="O53" s="11" t="n">
        <f aca="false">MAX(0,_xlfn.MAXIFS(N$2:N53,A$2:A53,A53,B$2:B53,B53))</f>
        <v>6047433.3</v>
      </c>
      <c r="P53" s="11" t="n">
        <f aca="false">N53-O53</f>
        <v>-861766.5</v>
      </c>
    </row>
    <row r="54" customFormat="false" ht="15" hidden="false" customHeight="false" outlineLevel="0" collapsed="false">
      <c r="A54" s="8" t="s">
        <v>26</v>
      </c>
      <c r="B54" s="8" t="s">
        <v>27</v>
      </c>
      <c r="C54" s="8" t="s">
        <v>60</v>
      </c>
      <c r="D54" s="21" t="n">
        <v>46143.8340277778</v>
      </c>
      <c r="E54" s="21" t="n">
        <v>46147.5819444444</v>
      </c>
      <c r="F54" s="22" t="n">
        <f aca="false">DATE(YEAR(E54),MONTH(E54),1)</f>
        <v>46143</v>
      </c>
      <c r="G54" s="23" t="n">
        <v>264885</v>
      </c>
      <c r="H54" s="8" t="s">
        <v>61</v>
      </c>
      <c r="I54" s="24" t="n">
        <v>-7558.37</v>
      </c>
      <c r="J54" s="25" t="n">
        <f aca="false">Summary!$B$4</f>
        <v>1</v>
      </c>
      <c r="K54" s="11" t="n">
        <f aca="false">I54*J54*IF(A54="SILVER",Summary!$B$5,Summary!$B$6)</f>
        <v>-226751.1</v>
      </c>
      <c r="L54" s="26" t="n">
        <v>-0.591</v>
      </c>
      <c r="M54" s="27" t="n">
        <f aca="false">IF(K54&gt;0,1,0)</f>
        <v>0</v>
      </c>
      <c r="N54" s="11" t="n">
        <f aca="false">SUMIFS(K$2:K54,A$2:A54,A54,B$2:B54,B54)</f>
        <v>4958915.7</v>
      </c>
      <c r="O54" s="11" t="n">
        <f aca="false">MAX(0,_xlfn.MAXIFS(N$2:N54,A$2:A54,A54,B$2:B54,B54))</f>
        <v>6047433.3</v>
      </c>
      <c r="P54" s="11" t="n">
        <f aca="false">N54-O54</f>
        <v>-1088517.6</v>
      </c>
    </row>
    <row r="55" customFormat="false" ht="15" hidden="false" customHeight="false" outlineLevel="0" collapsed="false">
      <c r="A55" s="8" t="s">
        <v>26</v>
      </c>
      <c r="B55" s="8" t="s">
        <v>27</v>
      </c>
      <c r="C55" s="8" t="s">
        <v>62</v>
      </c>
      <c r="D55" s="21" t="n">
        <v>46147.5819444444</v>
      </c>
      <c r="E55" s="21" t="n">
        <v>46149.6666666667</v>
      </c>
      <c r="F55" s="22" t="n">
        <f aca="false">DATE(YEAR(E55),MONTH(E55),1)</f>
        <v>46143</v>
      </c>
      <c r="G55" s="23" t="n">
        <v>257385</v>
      </c>
      <c r="H55" s="8" t="s">
        <v>61</v>
      </c>
      <c r="I55" s="24" t="n">
        <v>-10335.79</v>
      </c>
      <c r="J55" s="25" t="n">
        <f aca="false">Summary!$B$4</f>
        <v>1</v>
      </c>
      <c r="K55" s="11" t="n">
        <f aca="false">I55*J55*IF(A55="SILVER",Summary!$B$5,Summary!$B$6)</f>
        <v>-310073.7</v>
      </c>
      <c r="L55" s="26" t="n">
        <v>-1.065</v>
      </c>
      <c r="M55" s="27" t="n">
        <f aca="false">IF(K55&gt;0,1,0)</f>
        <v>0</v>
      </c>
      <c r="N55" s="11" t="n">
        <f aca="false">SUMIFS(K$2:K55,A$2:A55,A55,B$2:B55,B55)</f>
        <v>4648842</v>
      </c>
      <c r="O55" s="11" t="n">
        <f aca="false">MAX(0,_xlfn.MAXIFS(N$2:N55,A$2:A55,A55,B$2:B55,B55))</f>
        <v>6047433.3</v>
      </c>
      <c r="P55" s="11" t="n">
        <f aca="false">N55-O55</f>
        <v>-1398591.3</v>
      </c>
    </row>
    <row r="56" customFormat="false" ht="15" hidden="false" customHeight="false" outlineLevel="0" collapsed="false">
      <c r="A56" s="8" t="s">
        <v>26</v>
      </c>
      <c r="B56" s="8" t="s">
        <v>27</v>
      </c>
      <c r="C56" s="8" t="s">
        <v>60</v>
      </c>
      <c r="D56" s="21" t="n">
        <v>46149.6666666667</v>
      </c>
      <c r="E56" s="21" t="n">
        <v>46157.4166666667</v>
      </c>
      <c r="F56" s="22" t="n">
        <f aca="false">DATE(YEAR(E56),MONTH(E56),1)</f>
        <v>46143</v>
      </c>
      <c r="G56" s="23" t="n">
        <v>267599</v>
      </c>
      <c r="H56" s="8" t="s">
        <v>61</v>
      </c>
      <c r="I56" s="24" t="n">
        <v>21905.67</v>
      </c>
      <c r="J56" s="25" t="n">
        <f aca="false">Summary!$B$4</f>
        <v>1</v>
      </c>
      <c r="K56" s="11" t="n">
        <f aca="false">I56*J56*IF(A56="SILVER",Summary!$B$5,Summary!$B$6)</f>
        <v>657170.1</v>
      </c>
      <c r="L56" s="26" t="n">
        <v>1.911</v>
      </c>
      <c r="M56" s="27" t="n">
        <f aca="false">IF(K56&gt;0,1,0)</f>
        <v>1</v>
      </c>
      <c r="N56" s="11" t="n">
        <f aca="false">SUMIFS(K$2:K56,A$2:A56,A56,B$2:B56,B56)</f>
        <v>5306012.1</v>
      </c>
      <c r="O56" s="11" t="n">
        <f aca="false">MAX(0,_xlfn.MAXIFS(N$2:N56,A$2:A56,A56,B$2:B56,B56))</f>
        <v>6047433.3</v>
      </c>
      <c r="P56" s="11" t="n">
        <f aca="false">N56-O56</f>
        <v>-741421.2</v>
      </c>
    </row>
    <row r="57" customFormat="false" ht="15" hidden="false" customHeight="false" outlineLevel="0" collapsed="false">
      <c r="A57" s="8" t="s">
        <v>26</v>
      </c>
      <c r="B57" s="8" t="s">
        <v>27</v>
      </c>
      <c r="C57" s="8" t="s">
        <v>62</v>
      </c>
      <c r="D57" s="21" t="n">
        <v>46157.4166666667</v>
      </c>
      <c r="E57" s="21" t="n">
        <v>46188.375</v>
      </c>
      <c r="F57" s="22" t="n">
        <f aca="false">DATE(YEAR(E57),MONTH(E57),1)</f>
        <v>46174</v>
      </c>
      <c r="G57" s="23" t="n">
        <v>289569</v>
      </c>
      <c r="H57" s="8" t="s">
        <v>61</v>
      </c>
      <c r="I57" s="24" t="n">
        <v>30974.07</v>
      </c>
      <c r="J57" s="25" t="n">
        <f aca="false">Summary!$B$4</f>
        <v>1</v>
      </c>
      <c r="K57" s="11" t="n">
        <f aca="false">I57*J57*IF(A57="SILVER",Summary!$B$5,Summary!$B$6)</f>
        <v>929222.1</v>
      </c>
      <c r="L57" s="26" t="n">
        <v>1.771</v>
      </c>
      <c r="M57" s="27" t="n">
        <f aca="false">IF(K57&gt;0,1,0)</f>
        <v>1</v>
      </c>
      <c r="N57" s="11" t="n">
        <f aca="false">SUMIFS(K$2:K57,A$2:A57,A57,B$2:B57,B57)</f>
        <v>6235234.2</v>
      </c>
      <c r="O57" s="11" t="n">
        <f aca="false">MAX(0,_xlfn.MAXIFS(N$2:N57,A$2:A57,A57,B$2:B57,B57))</f>
        <v>6235234.2</v>
      </c>
      <c r="P57" s="11" t="n">
        <f aca="false">N57-O57</f>
        <v>0</v>
      </c>
    </row>
    <row r="58" customFormat="false" ht="15" hidden="false" customHeight="false" outlineLevel="0" collapsed="false">
      <c r="A58" s="8" t="s">
        <v>26</v>
      </c>
      <c r="B58" s="8" t="s">
        <v>27</v>
      </c>
      <c r="C58" s="8" t="s">
        <v>60</v>
      </c>
      <c r="D58" s="21" t="n">
        <v>46188.375</v>
      </c>
      <c r="E58" s="21" t="n">
        <v>46191.7083333333</v>
      </c>
      <c r="F58" s="22" t="n">
        <f aca="false">DATE(YEAR(E58),MONTH(E58),1)</f>
        <v>46174</v>
      </c>
      <c r="G58" s="23" t="n">
        <v>258532</v>
      </c>
      <c r="H58" s="8" t="s">
        <v>61</v>
      </c>
      <c r="I58" s="24" t="n">
        <v>-10326.78</v>
      </c>
      <c r="J58" s="25" t="n">
        <f aca="false">Summary!$B$4</f>
        <v>1</v>
      </c>
      <c r="K58" s="11" t="n">
        <f aca="false">I58*J58*IF(A58="SILVER",Summary!$B$5,Summary!$B$6)</f>
        <v>-309803.4</v>
      </c>
      <c r="L58" s="26" t="n">
        <v>-0.535</v>
      </c>
      <c r="M58" s="27" t="n">
        <f aca="false">IF(K58&gt;0,1,0)</f>
        <v>0</v>
      </c>
      <c r="N58" s="11" t="n">
        <f aca="false">SUMIFS(K$2:K58,A$2:A58,A58,B$2:B58,B58)</f>
        <v>5925430.8</v>
      </c>
      <c r="O58" s="11" t="n">
        <f aca="false">MAX(0,_xlfn.MAXIFS(N$2:N58,A$2:A58,A58,B$2:B58,B58))</f>
        <v>6235234.2</v>
      </c>
      <c r="P58" s="11" t="n">
        <f aca="false">N58-O58</f>
        <v>-309803.399999999</v>
      </c>
    </row>
    <row r="59" customFormat="false" ht="15" hidden="false" customHeight="false" outlineLevel="0" collapsed="false">
      <c r="A59" s="8" t="s">
        <v>26</v>
      </c>
      <c r="B59" s="8" t="s">
        <v>27</v>
      </c>
      <c r="C59" s="8" t="s">
        <v>62</v>
      </c>
      <c r="D59" s="21" t="n">
        <v>46191.7083333333</v>
      </c>
      <c r="E59" s="21" t="n">
        <v>46203.7958333333</v>
      </c>
      <c r="F59" s="22" t="n">
        <f aca="false">DATE(YEAR(E59),MONTH(E59),1)</f>
        <v>46174</v>
      </c>
      <c r="G59" s="23" t="n">
        <v>248264</v>
      </c>
      <c r="H59" s="8" t="s">
        <v>61</v>
      </c>
      <c r="I59" s="24" t="n">
        <v>16488.27</v>
      </c>
      <c r="J59" s="25" t="n">
        <f aca="false">Summary!$B$4</f>
        <v>1</v>
      </c>
      <c r="K59" s="11" t="n">
        <f aca="false">I59*J59*IF(A59="SILVER",Summary!$B$5,Summary!$B$6)</f>
        <v>494648.1</v>
      </c>
      <c r="L59" s="26" t="n">
        <v>1.458</v>
      </c>
      <c r="M59" s="27" t="n">
        <f aca="false">IF(K59&gt;0,1,0)</f>
        <v>1</v>
      </c>
      <c r="N59" s="11" t="n">
        <f aca="false">SUMIFS(K$2:K59,A$2:A59,A59,B$2:B59,B59)</f>
        <v>6420078.9</v>
      </c>
      <c r="O59" s="11" t="n">
        <f aca="false">MAX(0,_xlfn.MAXIFS(N$2:N59,A$2:A59,A59,B$2:B59,B59))</f>
        <v>6420078.9</v>
      </c>
      <c r="P59" s="11" t="n">
        <f aca="false">N59-O59</f>
        <v>0</v>
      </c>
    </row>
    <row r="60" customFormat="false" ht="15" hidden="false" customHeight="false" outlineLevel="0" collapsed="false">
      <c r="A60" s="8" t="s">
        <v>26</v>
      </c>
      <c r="B60" s="8" t="s">
        <v>27</v>
      </c>
      <c r="C60" s="8" t="s">
        <v>60</v>
      </c>
      <c r="D60" s="21" t="n">
        <v>46203.7958333333</v>
      </c>
      <c r="E60" s="21" t="n">
        <v>46211.4166666667</v>
      </c>
      <c r="F60" s="22" t="n">
        <f aca="false">DATE(YEAR(E60),MONTH(E60),1)</f>
        <v>46204</v>
      </c>
      <c r="G60" s="23" t="n">
        <v>231719</v>
      </c>
      <c r="H60" s="8" t="s">
        <v>61</v>
      </c>
      <c r="I60" s="24" t="n">
        <v>2216.57</v>
      </c>
      <c r="J60" s="25" t="n">
        <f aca="false">Summary!$B$4</f>
        <v>1</v>
      </c>
      <c r="K60" s="11" t="n">
        <f aca="false">I60*J60*IF(A60="SILVER",Summary!$B$5,Summary!$B$6)</f>
        <v>66497.1</v>
      </c>
      <c r="L60" s="26" t="n">
        <v>0.201</v>
      </c>
      <c r="M60" s="27" t="n">
        <f aca="false">IF(K60&gt;0,1,0)</f>
        <v>1</v>
      </c>
      <c r="N60" s="11" t="n">
        <f aca="false">SUMIFS(K$2:K60,A$2:A60,A60,B$2:B60,B60)</f>
        <v>6486576</v>
      </c>
      <c r="O60" s="11" t="n">
        <f aca="false">MAX(0,_xlfn.MAXIFS(N$2:N60,A$2:A60,A60,B$2:B60,B60))</f>
        <v>6486576</v>
      </c>
      <c r="P60" s="11" t="n">
        <f aca="false">N60-O60</f>
        <v>0</v>
      </c>
    </row>
    <row r="61" customFormat="false" ht="15" hidden="false" customHeight="false" outlineLevel="0" collapsed="false">
      <c r="A61" s="8" t="s">
        <v>26</v>
      </c>
      <c r="B61" s="8" t="s">
        <v>27</v>
      </c>
      <c r="C61" s="8" t="s">
        <v>62</v>
      </c>
      <c r="D61" s="21" t="n">
        <v>46211.4166666667</v>
      </c>
      <c r="E61" s="21" t="n">
        <v>46224.5</v>
      </c>
      <c r="F61" s="22" t="n">
        <f aca="false">DATE(YEAR(E61),MONTH(E61),1)</f>
        <v>46204</v>
      </c>
      <c r="G61" s="23" t="n">
        <v>234047</v>
      </c>
      <c r="H61" s="8" t="s">
        <v>61</v>
      </c>
      <c r="I61" s="24" t="n">
        <v>6933.82</v>
      </c>
      <c r="J61" s="25" t="n">
        <f aca="false">Summary!$B$4</f>
        <v>1</v>
      </c>
      <c r="K61" s="11" t="n">
        <f aca="false">I61*J61*IF(A61="SILVER",Summary!$B$5,Summary!$B$6)</f>
        <v>208014.6</v>
      </c>
      <c r="L61" s="26" t="n">
        <v>0.802</v>
      </c>
      <c r="M61" s="27" t="n">
        <f aca="false">IF(K61&gt;0,1,0)</f>
        <v>1</v>
      </c>
      <c r="N61" s="11" t="n">
        <f aca="false">SUMIFS(K$2:K61,A$2:A61,A61,B$2:B61,B61)</f>
        <v>6694590.6</v>
      </c>
      <c r="O61" s="11" t="n">
        <f aca="false">MAX(0,_xlfn.MAXIFS(N$2:N61,A$2:A61,A61,B$2:B61,B61))</f>
        <v>6694590.6</v>
      </c>
      <c r="P61" s="11" t="n">
        <f aca="false">N61-O61</f>
        <v>0</v>
      </c>
    </row>
    <row r="62" customFormat="false" ht="15" hidden="false" customHeight="false" outlineLevel="0" collapsed="false">
      <c r="A62" s="8" t="s">
        <v>26</v>
      </c>
      <c r="B62" s="8" t="s">
        <v>27</v>
      </c>
      <c r="C62" s="8" t="s">
        <v>60</v>
      </c>
      <c r="D62" s="21" t="n">
        <v>46224.5</v>
      </c>
      <c r="E62" s="21" t="n">
        <v>46226.7916666667</v>
      </c>
      <c r="F62" s="22" t="n">
        <f aca="false">DATE(YEAR(E62),MONTH(E62),1)</f>
        <v>46204</v>
      </c>
      <c r="G62" s="23" t="n">
        <v>227058</v>
      </c>
      <c r="H62" s="8" t="s">
        <v>61</v>
      </c>
      <c r="I62" s="24" t="n">
        <v>-2305.24</v>
      </c>
      <c r="J62" s="25" t="n">
        <f aca="false">Summary!$B$4</f>
        <v>1</v>
      </c>
      <c r="K62" s="11" t="n">
        <f aca="false">I62*J62*IF(A62="SILVER",Summary!$B$5,Summary!$B$6)</f>
        <v>-69157.2</v>
      </c>
      <c r="L62" s="26" t="n">
        <v>-0.303</v>
      </c>
      <c r="M62" s="27" t="n">
        <f aca="false">IF(K62&gt;0,1,0)</f>
        <v>0</v>
      </c>
      <c r="N62" s="11" t="n">
        <f aca="false">SUMIFS(K$2:K62,A$2:A62,A62,B$2:B62,B62)</f>
        <v>6625433.4</v>
      </c>
      <c r="O62" s="11" t="n">
        <f aca="false">MAX(0,_xlfn.MAXIFS(N$2:N62,A$2:A62,A62,B$2:B62,B62))</f>
        <v>6694590.6</v>
      </c>
      <c r="P62" s="11" t="n">
        <f aca="false">N62-O62</f>
        <v>-69157.2000000002</v>
      </c>
    </row>
    <row r="63" customFormat="false" ht="15" hidden="false" customHeight="false" outlineLevel="0" collapsed="false">
      <c r="A63" s="8" t="s">
        <v>26</v>
      </c>
      <c r="B63" s="8" t="s">
        <v>27</v>
      </c>
      <c r="C63" s="8" t="s">
        <v>62</v>
      </c>
      <c r="D63" s="21" t="n">
        <v>46226.7916666667</v>
      </c>
      <c r="E63" s="21" t="n">
        <v>46239.4166666667</v>
      </c>
      <c r="F63" s="22" t="n">
        <f aca="false">DATE(YEAR(E63),MONTH(E63),1)</f>
        <v>46235</v>
      </c>
      <c r="G63" s="23" t="n">
        <v>224807</v>
      </c>
      <c r="H63" s="8" t="s">
        <v>61</v>
      </c>
      <c r="I63" s="24" t="n">
        <v>-4032.41</v>
      </c>
      <c r="J63" s="25" t="n">
        <f aca="false">Summary!$B$4</f>
        <v>1</v>
      </c>
      <c r="K63" s="11" t="n">
        <f aca="false">I63*J63*IF(A63="SILVER",Summary!$B$5,Summary!$B$6)</f>
        <v>-120972.3</v>
      </c>
      <c r="L63" s="26" t="n">
        <v>-0.54</v>
      </c>
      <c r="M63" s="27" t="n">
        <f aca="false">IF(K63&gt;0,1,0)</f>
        <v>0</v>
      </c>
      <c r="N63" s="11" t="n">
        <f aca="false">SUMIFS(K$2:K63,A$2:A63,A63,B$2:B63,B63)</f>
        <v>6504461.1</v>
      </c>
      <c r="O63" s="11" t="n">
        <f aca="false">MAX(0,_xlfn.MAXIFS(N$2:N63,A$2:A63,A63,B$2:B63,B63))</f>
        <v>6694590.6</v>
      </c>
      <c r="P63" s="11" t="n">
        <f aca="false">N63-O63</f>
        <v>-190129.5</v>
      </c>
    </row>
    <row r="64" customFormat="false" ht="15" hidden="false" customHeight="false" outlineLevel="0" collapsed="false">
      <c r="A64" s="8" t="s">
        <v>26</v>
      </c>
      <c r="B64" s="8" t="s">
        <v>27</v>
      </c>
      <c r="C64" s="8" t="s">
        <v>60</v>
      </c>
      <c r="D64" s="21" t="n">
        <v>46239.4166666667</v>
      </c>
      <c r="E64" s="21" t="n">
        <v>46253.4166666667</v>
      </c>
      <c r="F64" s="22" t="n">
        <f aca="false">DATE(YEAR(E64),MONTH(E64),1)</f>
        <v>46235</v>
      </c>
      <c r="G64" s="23" t="n">
        <v>228785</v>
      </c>
      <c r="H64" s="8" t="s">
        <v>61</v>
      </c>
      <c r="I64" s="24" t="n">
        <v>4516.72</v>
      </c>
      <c r="J64" s="25" t="n">
        <f aca="false">Summary!$B$4</f>
        <v>1</v>
      </c>
      <c r="K64" s="11" t="n">
        <f aca="false">I64*J64*IF(A64="SILVER",Summary!$B$5,Summary!$B$6)</f>
        <v>135501.6</v>
      </c>
      <c r="L64" s="26" t="n">
        <v>0.635</v>
      </c>
      <c r="M64" s="27" t="n">
        <f aca="false">IF(K64&gt;0,1,0)</f>
        <v>1</v>
      </c>
      <c r="N64" s="11" t="n">
        <f aca="false">SUMIFS(K$2:K64,A$2:A64,A64,B$2:B64,B64)</f>
        <v>6639962.7</v>
      </c>
      <c r="O64" s="11" t="n">
        <f aca="false">MAX(0,_xlfn.MAXIFS(N$2:N64,A$2:A64,A64,B$2:B64,B64))</f>
        <v>6694590.6</v>
      </c>
      <c r="P64" s="11" t="n">
        <f aca="false">N64-O64</f>
        <v>-54627.9000000004</v>
      </c>
    </row>
    <row r="65" customFormat="false" ht="15" hidden="false" customHeight="false" outlineLevel="0" collapsed="false">
      <c r="A65" s="8" t="s">
        <v>26</v>
      </c>
      <c r="B65" s="8" t="s">
        <v>27</v>
      </c>
      <c r="C65" s="8" t="s">
        <v>62</v>
      </c>
      <c r="D65" s="21" t="n">
        <v>46253.4166666667</v>
      </c>
      <c r="E65" s="21" t="n">
        <v>46253.8333333333</v>
      </c>
      <c r="F65" s="22" t="n">
        <f aca="false">DATE(YEAR(E65),MONTH(E65),1)</f>
        <v>46235</v>
      </c>
      <c r="G65" s="23" t="n">
        <v>233357</v>
      </c>
      <c r="H65" s="8" t="s">
        <v>61</v>
      </c>
      <c r="I65" s="24" t="n">
        <v>-7502.47</v>
      </c>
      <c r="J65" s="25" t="n">
        <f aca="false">Summary!$B$4</f>
        <v>1</v>
      </c>
      <c r="K65" s="11" t="n">
        <f aca="false">I65*J65*IF(A65="SILVER",Summary!$B$5,Summary!$B$6)</f>
        <v>-225074.1</v>
      </c>
      <c r="L65" s="26" t="n">
        <v>-0.893</v>
      </c>
      <c r="M65" s="27" t="n">
        <f aca="false">IF(K65&gt;0,1,0)</f>
        <v>0</v>
      </c>
      <c r="N65" s="11" t="n">
        <f aca="false">SUMIFS(K$2:K65,A$2:A65,A65,B$2:B65,B65)</f>
        <v>6414888.6</v>
      </c>
      <c r="O65" s="11" t="n">
        <f aca="false">MAX(0,_xlfn.MAXIFS(N$2:N65,A$2:A65,A65,B$2:B65,B65))</f>
        <v>6694590.6</v>
      </c>
      <c r="P65" s="11" t="n">
        <f aca="false">N65-O65</f>
        <v>-279702</v>
      </c>
    </row>
    <row r="66" customFormat="false" ht="15" hidden="false" customHeight="false" outlineLevel="0" collapsed="false">
      <c r="A66" s="8" t="s">
        <v>26</v>
      </c>
      <c r="B66" s="8" t="s">
        <v>27</v>
      </c>
      <c r="C66" s="8" t="s">
        <v>60</v>
      </c>
      <c r="D66" s="21" t="n">
        <v>46253.8333333333</v>
      </c>
      <c r="E66" s="21" t="n">
        <v>46261.375</v>
      </c>
      <c r="F66" s="22" t="n">
        <f aca="false">DATE(YEAR(E66),MONTH(E66),1)</f>
        <v>46235</v>
      </c>
      <c r="G66" s="23" t="n">
        <v>240803</v>
      </c>
      <c r="H66" s="8" t="s">
        <v>61</v>
      </c>
      <c r="I66" s="24" t="n">
        <v>6795.5</v>
      </c>
      <c r="J66" s="25" t="n">
        <f aca="false">Summary!$B$4</f>
        <v>1</v>
      </c>
      <c r="K66" s="11" t="n">
        <f aca="false">I66*J66*IF(A66="SILVER",Summary!$B$5,Summary!$B$6)</f>
        <v>203865</v>
      </c>
      <c r="L66" s="26" t="n">
        <v>0.777</v>
      </c>
      <c r="M66" s="27" t="n">
        <f aca="false">IF(K66&gt;0,1,0)</f>
        <v>1</v>
      </c>
      <c r="N66" s="11" t="n">
        <f aca="false">SUMIFS(K$2:K66,A$2:A66,A66,B$2:B66,B66)</f>
        <v>6618753.6</v>
      </c>
      <c r="O66" s="11" t="n">
        <f aca="false">MAX(0,_xlfn.MAXIFS(N$2:N66,A$2:A66,A66,B$2:B66,B66))</f>
        <v>6694590.6</v>
      </c>
      <c r="P66" s="11" t="n">
        <f aca="false">N66-O66</f>
        <v>-75837</v>
      </c>
    </row>
    <row r="67" customFormat="false" ht="15" hidden="false" customHeight="false" outlineLevel="0" collapsed="false">
      <c r="A67" s="8" t="s">
        <v>26</v>
      </c>
      <c r="B67" s="8" t="s">
        <v>27</v>
      </c>
      <c r="C67" s="8" t="s">
        <v>62</v>
      </c>
      <c r="D67" s="21" t="n">
        <v>46261.375</v>
      </c>
      <c r="E67" s="21" t="n">
        <v>46268.9166666667</v>
      </c>
      <c r="F67" s="22" t="n">
        <f aca="false">DATE(YEAR(E67),MONTH(E67),1)</f>
        <v>46266</v>
      </c>
      <c r="G67" s="23" t="n">
        <v>247656</v>
      </c>
      <c r="H67" s="8" t="s">
        <v>61</v>
      </c>
      <c r="I67" s="24" t="n">
        <v>6983.45</v>
      </c>
      <c r="J67" s="25" t="n">
        <f aca="false">Summary!$B$4</f>
        <v>1</v>
      </c>
      <c r="K67" s="11" t="n">
        <f aca="false">I67*J67*IF(A67="SILVER",Summary!$B$5,Summary!$B$6)</f>
        <v>209503.5</v>
      </c>
      <c r="L67" s="26" t="n">
        <v>1.257</v>
      </c>
      <c r="M67" s="27" t="n">
        <f aca="false">IF(K67&gt;0,1,0)</f>
        <v>1</v>
      </c>
      <c r="N67" s="11" t="n">
        <f aca="false">SUMIFS(K$2:K67,A$2:A67,A67,B$2:B67,B67)</f>
        <v>6828257.1</v>
      </c>
      <c r="O67" s="11" t="n">
        <f aca="false">MAX(0,_xlfn.MAXIFS(N$2:N67,A$2:A67,A67,B$2:B67,B67))</f>
        <v>6828257.1</v>
      </c>
      <c r="P67" s="11" t="n">
        <f aca="false">N67-O67</f>
        <v>0</v>
      </c>
    </row>
    <row r="68" customFormat="false" ht="15" hidden="false" customHeight="false" outlineLevel="0" collapsed="false">
      <c r="A68" s="8" t="s">
        <v>26</v>
      </c>
      <c r="B68" s="8" t="s">
        <v>27</v>
      </c>
      <c r="C68" s="8" t="s">
        <v>60</v>
      </c>
      <c r="D68" s="21" t="n">
        <v>46268.9166666667</v>
      </c>
      <c r="E68" s="21" t="n">
        <v>46275.875</v>
      </c>
      <c r="F68" s="22" t="n">
        <f aca="false">DATE(YEAR(E68),MONTH(E68),1)</f>
        <v>46266</v>
      </c>
      <c r="G68" s="23" t="n">
        <v>240615</v>
      </c>
      <c r="H68" s="8" t="s">
        <v>61</v>
      </c>
      <c r="I68" s="24" t="n">
        <v>-5615.16</v>
      </c>
      <c r="J68" s="25" t="n">
        <f aca="false">Summary!$B$4</f>
        <v>1</v>
      </c>
      <c r="K68" s="11" t="n">
        <f aca="false">I68*J68*IF(A68="SILVER",Summary!$B$5,Summary!$B$6)</f>
        <v>-168454.8</v>
      </c>
      <c r="L68" s="26" t="n">
        <v>-0.671</v>
      </c>
      <c r="M68" s="27" t="n">
        <f aca="false">IF(K68&gt;0,1,0)</f>
        <v>0</v>
      </c>
      <c r="N68" s="11" t="n">
        <f aca="false">SUMIFS(K$2:K68,A$2:A68,A68,B$2:B68,B68)</f>
        <v>6659802.3</v>
      </c>
      <c r="O68" s="11" t="n">
        <f aca="false">MAX(0,_xlfn.MAXIFS(N$2:N68,A$2:A68,A68,B$2:B68,B68))</f>
        <v>6828257.1</v>
      </c>
      <c r="P68" s="11" t="n">
        <f aca="false">N68-O68</f>
        <v>-168454.8</v>
      </c>
    </row>
    <row r="69" customFormat="false" ht="15" hidden="false" customHeight="false" outlineLevel="0" collapsed="false">
      <c r="A69" s="8" t="s">
        <v>26</v>
      </c>
      <c r="B69" s="8" t="s">
        <v>27</v>
      </c>
      <c r="C69" s="8" t="s">
        <v>62</v>
      </c>
      <c r="D69" s="21" t="n">
        <v>46275.875</v>
      </c>
      <c r="E69" s="21" t="n">
        <v>46283.4583333333</v>
      </c>
      <c r="F69" s="22" t="n">
        <f aca="false">DATE(YEAR(E69),MONTH(E69),1)</f>
        <v>46266</v>
      </c>
      <c r="G69" s="23" t="n">
        <v>235114</v>
      </c>
      <c r="H69" s="8" t="s">
        <v>61</v>
      </c>
      <c r="I69" s="24" t="n">
        <v>-5172.52</v>
      </c>
      <c r="J69" s="25" t="n">
        <f aca="false">Summary!$B$4</f>
        <v>1</v>
      </c>
      <c r="K69" s="11" t="n">
        <f aca="false">I69*J69*IF(A69="SILVER",Summary!$B$5,Summary!$B$6)</f>
        <v>-155175.6</v>
      </c>
      <c r="L69" s="26" t="n">
        <v>-0.524</v>
      </c>
      <c r="M69" s="27" t="n">
        <f aca="false">IF(K69&gt;0,1,0)</f>
        <v>0</v>
      </c>
      <c r="N69" s="11" t="n">
        <f aca="false">SUMIFS(K$2:K69,A$2:A69,A69,B$2:B69,B69)</f>
        <v>6504626.7</v>
      </c>
      <c r="O69" s="11" t="n">
        <f aca="false">MAX(0,_xlfn.MAXIFS(N$2:N69,A$2:A69,A69,B$2:B69,B69))</f>
        <v>6828257.1</v>
      </c>
      <c r="P69" s="11" t="n">
        <f aca="false">N69-O69</f>
        <v>-323630.4</v>
      </c>
    </row>
    <row r="70" customFormat="false" ht="15" hidden="false" customHeight="false" outlineLevel="0" collapsed="false">
      <c r="A70" s="8" t="s">
        <v>26</v>
      </c>
      <c r="B70" s="8" t="s">
        <v>27</v>
      </c>
      <c r="C70" s="8" t="s">
        <v>60</v>
      </c>
      <c r="D70" s="21" t="n">
        <v>46283.4583333333</v>
      </c>
      <c r="E70" s="21" t="n">
        <v>46288.9784722222</v>
      </c>
      <c r="F70" s="22" t="n">
        <f aca="false">DATE(YEAR(E70),MONTH(E70),1)</f>
        <v>46266</v>
      </c>
      <c r="G70" s="23" t="n">
        <v>240229</v>
      </c>
      <c r="H70" s="8" t="s">
        <v>63</v>
      </c>
      <c r="I70" s="24" t="n">
        <v>-4201.62</v>
      </c>
      <c r="J70" s="25" t="n">
        <f aca="false">Summary!$B$4</f>
        <v>1</v>
      </c>
      <c r="K70" s="11" t="n">
        <f aca="false">I70*J70*IF(A70="SILVER",Summary!$B$5,Summary!$B$6)</f>
        <v>-126048.6</v>
      </c>
      <c r="L70" s="26" t="n">
        <v>-0.482</v>
      </c>
      <c r="M70" s="27" t="n">
        <f aca="false">IF(K70&gt;0,1,0)</f>
        <v>0</v>
      </c>
      <c r="N70" s="11" t="n">
        <f aca="false">SUMIFS(K$2:K70,A$2:A70,A70,B$2:B70,B70)</f>
        <v>6378578.1</v>
      </c>
      <c r="O70" s="11" t="n">
        <f aca="false">MAX(0,_xlfn.MAXIFS(N$2:N70,A$2:A70,A70,B$2:B70,B70))</f>
        <v>6828257.1</v>
      </c>
      <c r="P70" s="11" t="n">
        <f aca="false">N70-O70</f>
        <v>-449679</v>
      </c>
    </row>
    <row r="71" customFormat="false" ht="15" hidden="false" customHeight="false" outlineLevel="0" collapsed="false">
      <c r="A71" s="8" t="s">
        <v>26</v>
      </c>
      <c r="B71" s="8" t="s">
        <v>29</v>
      </c>
      <c r="C71" s="8" t="s">
        <v>62</v>
      </c>
      <c r="D71" s="21" t="n">
        <v>45699.7916666667</v>
      </c>
      <c r="E71" s="21" t="n">
        <v>45702.4166666667</v>
      </c>
      <c r="F71" s="22" t="n">
        <f aca="false">DATE(YEAR(E71),MONTH(E71),1)</f>
        <v>45689</v>
      </c>
      <c r="G71" s="23" t="n">
        <v>132343</v>
      </c>
      <c r="H71" s="8" t="s">
        <v>61</v>
      </c>
      <c r="I71" s="24" t="n">
        <v>-3073.97</v>
      </c>
      <c r="J71" s="25" t="n">
        <f aca="false">Summary!$B$4</f>
        <v>1</v>
      </c>
      <c r="K71" s="11" t="n">
        <f aca="false">I71*J71*IF(A71="SILVER",Summary!$B$5,Summary!$B$6)</f>
        <v>-92219.1</v>
      </c>
      <c r="L71" s="26" t="n">
        <v>-1.128</v>
      </c>
      <c r="M71" s="27" t="n">
        <f aca="false">IF(K71&gt;0,1,0)</f>
        <v>0</v>
      </c>
      <c r="N71" s="11" t="n">
        <f aca="false">SUMIFS(K$2:K71,A$2:A71,A71,B$2:B71,B71)</f>
        <v>-92219.1</v>
      </c>
      <c r="O71" s="11" t="n">
        <f aca="false">MAX(0,_xlfn.MAXIFS(N$2:N71,A$2:A71,A71,B$2:B71,B71))</f>
        <v>0</v>
      </c>
      <c r="P71" s="11" t="n">
        <f aca="false">N71-O71</f>
        <v>-92219.1</v>
      </c>
    </row>
    <row r="72" customFormat="false" ht="15" hidden="false" customHeight="false" outlineLevel="0" collapsed="false">
      <c r="A72" s="8" t="s">
        <v>26</v>
      </c>
      <c r="B72" s="8" t="s">
        <v>29</v>
      </c>
      <c r="C72" s="8" t="s">
        <v>62</v>
      </c>
      <c r="D72" s="21" t="n">
        <v>45702.9166666667</v>
      </c>
      <c r="E72" s="21" t="n">
        <v>45721.4631944444</v>
      </c>
      <c r="F72" s="22" t="n">
        <f aca="false">DATE(YEAR(E72),MONTH(E72),1)</f>
        <v>45717</v>
      </c>
      <c r="G72" s="23" t="n">
        <v>134632</v>
      </c>
      <c r="H72" s="8" t="s">
        <v>61</v>
      </c>
      <c r="I72" s="24" t="n">
        <v>430.92</v>
      </c>
      <c r="J72" s="25" t="n">
        <f aca="false">Summary!$B$4</f>
        <v>1</v>
      </c>
      <c r="K72" s="11" t="n">
        <f aca="false">I72*J72*IF(A72="SILVER",Summary!$B$5,Summary!$B$6)</f>
        <v>12927.6</v>
      </c>
      <c r="L72" s="26" t="n">
        <v>0.136</v>
      </c>
      <c r="M72" s="27" t="n">
        <f aca="false">IF(K72&gt;0,1,0)</f>
        <v>1</v>
      </c>
      <c r="N72" s="11" t="n">
        <f aca="false">SUMIFS(K$2:K72,A$2:A72,A72,B$2:B72,B72)</f>
        <v>-79291.5</v>
      </c>
      <c r="O72" s="11" t="n">
        <f aca="false">MAX(0,_xlfn.MAXIFS(N$2:N72,A$2:A72,A72,B$2:B72,B72))</f>
        <v>0</v>
      </c>
      <c r="P72" s="11" t="n">
        <f aca="false">N72-O72</f>
        <v>-79291.5</v>
      </c>
    </row>
    <row r="73" customFormat="false" ht="15" hidden="false" customHeight="false" outlineLevel="0" collapsed="false">
      <c r="A73" s="8" t="s">
        <v>26</v>
      </c>
      <c r="B73" s="8" t="s">
        <v>29</v>
      </c>
      <c r="C73" s="8" t="s">
        <v>62</v>
      </c>
      <c r="D73" s="21" t="n">
        <v>45736.6666666667</v>
      </c>
      <c r="E73" s="21" t="n">
        <v>45742.5</v>
      </c>
      <c r="F73" s="22" t="n">
        <f aca="false">DATE(YEAR(E73),MONTH(E73),1)</f>
        <v>45717</v>
      </c>
      <c r="G73" s="23" t="n">
        <v>135951</v>
      </c>
      <c r="H73" s="8" t="s">
        <v>61</v>
      </c>
      <c r="I73" s="24" t="n">
        <v>-732.87</v>
      </c>
      <c r="J73" s="25" t="n">
        <f aca="false">Summary!$B$4</f>
        <v>1</v>
      </c>
      <c r="K73" s="11" t="n">
        <f aca="false">I73*J73*IF(A73="SILVER",Summary!$B$5,Summary!$B$6)</f>
        <v>-21986.1</v>
      </c>
      <c r="L73" s="26" t="n">
        <v>-0.237</v>
      </c>
      <c r="M73" s="27" t="n">
        <f aca="false">IF(K73&gt;0,1,0)</f>
        <v>0</v>
      </c>
      <c r="N73" s="11" t="n">
        <f aca="false">SUMIFS(K$2:K73,A$2:A73,A73,B$2:B73,B73)</f>
        <v>-101277.6</v>
      </c>
      <c r="O73" s="11" t="n">
        <f aca="false">MAX(0,_xlfn.MAXIFS(N$2:N73,A$2:A73,A73,B$2:B73,B73))</f>
        <v>0</v>
      </c>
      <c r="P73" s="11" t="n">
        <f aca="false">N73-O73</f>
        <v>-101277.6</v>
      </c>
    </row>
    <row r="74" customFormat="false" ht="15" hidden="false" customHeight="false" outlineLevel="0" collapsed="false">
      <c r="A74" s="8" t="s">
        <v>26</v>
      </c>
      <c r="B74" s="8" t="s">
        <v>29</v>
      </c>
      <c r="C74" s="8" t="s">
        <v>62</v>
      </c>
      <c r="D74" s="21" t="n">
        <v>45748.9166666667</v>
      </c>
      <c r="E74" s="21" t="n">
        <v>45758.5833333333</v>
      </c>
      <c r="F74" s="22" t="n">
        <f aca="false">DATE(YEAR(E74),MONTH(E74),1)</f>
        <v>45748</v>
      </c>
      <c r="G74" s="23" t="n">
        <v>136297</v>
      </c>
      <c r="H74" s="8" t="s">
        <v>61</v>
      </c>
      <c r="I74" s="24" t="n">
        <v>6488.79</v>
      </c>
      <c r="J74" s="25" t="n">
        <f aca="false">Summary!$B$4</f>
        <v>1</v>
      </c>
      <c r="K74" s="11" t="n">
        <f aca="false">I74*J74*IF(A74="SILVER",Summary!$B$5,Summary!$B$6)</f>
        <v>194663.7</v>
      </c>
      <c r="L74" s="26" t="n">
        <v>2.033</v>
      </c>
      <c r="M74" s="27" t="n">
        <f aca="false">IF(K74&gt;0,1,0)</f>
        <v>1</v>
      </c>
      <c r="N74" s="11" t="n">
        <f aca="false">SUMIFS(K$2:K74,A$2:A74,A74,B$2:B74,B74)</f>
        <v>93386.1</v>
      </c>
      <c r="O74" s="11" t="n">
        <f aca="false">MAX(0,_xlfn.MAXIFS(N$2:N74,A$2:A74,A74,B$2:B74,B74))</f>
        <v>93386.1</v>
      </c>
      <c r="P74" s="11" t="n">
        <f aca="false">N74-O74</f>
        <v>0</v>
      </c>
    </row>
    <row r="75" customFormat="false" ht="15" hidden="false" customHeight="false" outlineLevel="0" collapsed="false">
      <c r="A75" s="8" t="s">
        <v>26</v>
      </c>
      <c r="B75" s="8" t="s">
        <v>29</v>
      </c>
      <c r="C75" s="8" t="s">
        <v>62</v>
      </c>
      <c r="D75" s="21" t="n">
        <v>45777.5833333333</v>
      </c>
      <c r="E75" s="21" t="n">
        <v>45790.5833333333</v>
      </c>
      <c r="F75" s="22" t="n">
        <f aca="false">DATE(YEAR(E75),MONTH(E75),1)</f>
        <v>45778</v>
      </c>
      <c r="G75" s="23" t="n">
        <v>131200</v>
      </c>
      <c r="H75" s="8" t="s">
        <v>61</v>
      </c>
      <c r="I75" s="24" t="n">
        <v>-1298.69</v>
      </c>
      <c r="J75" s="25" t="n">
        <f aca="false">Summary!$B$4</f>
        <v>1</v>
      </c>
      <c r="K75" s="11" t="n">
        <f aca="false">I75*J75*IF(A75="SILVER",Summary!$B$5,Summary!$B$6)</f>
        <v>-38960.7</v>
      </c>
      <c r="L75" s="26" t="n">
        <v>-0.351</v>
      </c>
      <c r="M75" s="27" t="n">
        <f aca="false">IF(K75&gt;0,1,0)</f>
        <v>0</v>
      </c>
      <c r="N75" s="11" t="n">
        <f aca="false">SUMIFS(K$2:K75,A$2:A75,A75,B$2:B75,B75)</f>
        <v>54425.4</v>
      </c>
      <c r="O75" s="11" t="n">
        <f aca="false">MAX(0,_xlfn.MAXIFS(N$2:N75,A$2:A75,A75,B$2:B75,B75))</f>
        <v>93386.1</v>
      </c>
      <c r="P75" s="11" t="n">
        <f aca="false">N75-O75</f>
        <v>-38960.7</v>
      </c>
    </row>
    <row r="76" customFormat="false" ht="15" hidden="false" customHeight="false" outlineLevel="0" collapsed="false">
      <c r="A76" s="8" t="s">
        <v>26</v>
      </c>
      <c r="B76" s="8" t="s">
        <v>29</v>
      </c>
      <c r="C76" s="8" t="s">
        <v>62</v>
      </c>
      <c r="D76" s="21" t="n">
        <v>45792.4583333333</v>
      </c>
      <c r="E76" s="21" t="n">
        <v>45797.9166666667</v>
      </c>
      <c r="F76" s="22" t="n">
        <f aca="false">DATE(YEAR(E76),MONTH(E76),1)</f>
        <v>45778</v>
      </c>
      <c r="G76" s="23" t="n">
        <v>129020</v>
      </c>
      <c r="H76" s="8" t="s">
        <v>61</v>
      </c>
      <c r="I76" s="24" t="n">
        <v>-2939.12</v>
      </c>
      <c r="J76" s="25" t="n">
        <f aca="false">Summary!$B$4</f>
        <v>1</v>
      </c>
      <c r="K76" s="11" t="n">
        <f aca="false">I76*J76*IF(A76="SILVER",Summary!$B$5,Summary!$B$6)</f>
        <v>-88173.6</v>
      </c>
      <c r="L76" s="26" t="n">
        <v>-0.983</v>
      </c>
      <c r="M76" s="27" t="n">
        <f aca="false">IF(K76&gt;0,1,0)</f>
        <v>0</v>
      </c>
      <c r="N76" s="11" t="n">
        <f aca="false">SUMIFS(K$2:K76,A$2:A76,A76,B$2:B76,B76)</f>
        <v>-33748.2</v>
      </c>
      <c r="O76" s="11" t="n">
        <f aca="false">MAX(0,_xlfn.MAXIFS(N$2:N76,A$2:A76,A76,B$2:B76,B76))</f>
        <v>93386.1</v>
      </c>
      <c r="P76" s="11" t="n">
        <f aca="false">N76-O76</f>
        <v>-127134.3</v>
      </c>
    </row>
    <row r="77" customFormat="false" ht="15" hidden="false" customHeight="false" outlineLevel="0" collapsed="false">
      <c r="A77" s="8" t="s">
        <v>26</v>
      </c>
      <c r="B77" s="8" t="s">
        <v>29</v>
      </c>
      <c r="C77" s="8" t="s">
        <v>62</v>
      </c>
      <c r="D77" s="21" t="n">
        <v>45799.7083333333</v>
      </c>
      <c r="E77" s="21" t="n">
        <v>45810.7916666667</v>
      </c>
      <c r="F77" s="22" t="n">
        <f aca="false">DATE(YEAR(E77),MONTH(E77),1)</f>
        <v>45809</v>
      </c>
      <c r="G77" s="23" t="n">
        <v>131701</v>
      </c>
      <c r="H77" s="8" t="s">
        <v>61</v>
      </c>
      <c r="I77" s="24" t="n">
        <v>-2677.64</v>
      </c>
      <c r="J77" s="25" t="n">
        <f aca="false">Summary!$B$4</f>
        <v>1</v>
      </c>
      <c r="K77" s="11" t="n">
        <f aca="false">I77*J77*IF(A77="SILVER",Summary!$B$5,Summary!$B$6)</f>
        <v>-80329.2</v>
      </c>
      <c r="L77" s="26" t="n">
        <v>-1.046</v>
      </c>
      <c r="M77" s="27" t="n">
        <f aca="false">IF(K77&gt;0,1,0)</f>
        <v>0</v>
      </c>
      <c r="N77" s="11" t="n">
        <f aca="false">SUMIFS(K$2:K77,A$2:A77,A77,B$2:B77,B77)</f>
        <v>-114077.4</v>
      </c>
      <c r="O77" s="11" t="n">
        <f aca="false">MAX(0,_xlfn.MAXIFS(N$2:N77,A$2:A77,A77,B$2:B77,B77))</f>
        <v>93386.1</v>
      </c>
      <c r="P77" s="11" t="n">
        <f aca="false">N77-O77</f>
        <v>-207463.5</v>
      </c>
    </row>
    <row r="78" customFormat="false" ht="15" hidden="false" customHeight="false" outlineLevel="0" collapsed="false">
      <c r="A78" s="8" t="s">
        <v>26</v>
      </c>
      <c r="B78" s="8" t="s">
        <v>29</v>
      </c>
      <c r="C78" s="8" t="s">
        <v>60</v>
      </c>
      <c r="D78" s="21" t="n">
        <v>45841.53125</v>
      </c>
      <c r="E78" s="21" t="n">
        <v>45853.875</v>
      </c>
      <c r="F78" s="22" t="n">
        <f aca="false">DATE(YEAR(E78),MONTH(E78),1)</f>
        <v>45839</v>
      </c>
      <c r="G78" s="23" t="n">
        <v>142205</v>
      </c>
      <c r="H78" s="8" t="s">
        <v>61</v>
      </c>
      <c r="I78" s="24" t="n">
        <v>3515.84</v>
      </c>
      <c r="J78" s="25" t="n">
        <f aca="false">Summary!$B$4</f>
        <v>1</v>
      </c>
      <c r="K78" s="11" t="n">
        <f aca="false">I78*J78*IF(A78="SILVER",Summary!$B$5,Summary!$B$6)</f>
        <v>105475.2</v>
      </c>
      <c r="L78" s="26" t="n">
        <v>1.461</v>
      </c>
      <c r="M78" s="27" t="n">
        <f aca="false">IF(K78&gt;0,1,0)</f>
        <v>1</v>
      </c>
      <c r="N78" s="11" t="n">
        <f aca="false">SUMIFS(K$2:K78,A$2:A78,A78,B$2:B78,B78)</f>
        <v>-8602.19999999996</v>
      </c>
      <c r="O78" s="11" t="n">
        <f aca="false">MAX(0,_xlfn.MAXIFS(N$2:N78,A$2:A78,A78,B$2:B78,B78))</f>
        <v>93386.1</v>
      </c>
      <c r="P78" s="11" t="n">
        <f aca="false">N78-O78</f>
        <v>-101988.3</v>
      </c>
    </row>
    <row r="79" customFormat="false" ht="15" hidden="false" customHeight="false" outlineLevel="0" collapsed="false">
      <c r="A79" s="8" t="s">
        <v>26</v>
      </c>
      <c r="B79" s="8" t="s">
        <v>29</v>
      </c>
      <c r="C79" s="8" t="s">
        <v>60</v>
      </c>
      <c r="D79" s="21" t="n">
        <v>45859.6666666667</v>
      </c>
      <c r="E79" s="21" t="n">
        <v>45863.875</v>
      </c>
      <c r="F79" s="22" t="n">
        <f aca="false">DATE(YEAR(E79),MONTH(E79),1)</f>
        <v>45839</v>
      </c>
      <c r="G79" s="23" t="n">
        <v>148364</v>
      </c>
      <c r="H79" s="8" t="s">
        <v>61</v>
      </c>
      <c r="I79" s="24" t="n">
        <v>-887.71</v>
      </c>
      <c r="J79" s="25" t="n">
        <f aca="false">Summary!$B$4</f>
        <v>1</v>
      </c>
      <c r="K79" s="11" t="n">
        <f aca="false">I79*J79*IF(A79="SILVER",Summary!$B$5,Summary!$B$6)</f>
        <v>-26631.3</v>
      </c>
      <c r="L79" s="26" t="n">
        <v>-0.376</v>
      </c>
      <c r="M79" s="27" t="n">
        <f aca="false">IF(K79&gt;0,1,0)</f>
        <v>0</v>
      </c>
      <c r="N79" s="11" t="n">
        <f aca="false">SUMIFS(K$2:K79,A$2:A79,A79,B$2:B79,B79)</f>
        <v>-35233.5</v>
      </c>
      <c r="O79" s="11" t="n">
        <f aca="false">MAX(0,_xlfn.MAXIFS(N$2:N79,A$2:A79,A79,B$2:B79,B79))</f>
        <v>93386.1</v>
      </c>
      <c r="P79" s="11" t="n">
        <f aca="false">N79-O79</f>
        <v>-128619.6</v>
      </c>
    </row>
    <row r="80" customFormat="false" ht="15" hidden="false" customHeight="false" outlineLevel="0" collapsed="false">
      <c r="A80" s="8" t="s">
        <v>26</v>
      </c>
      <c r="B80" s="8" t="s">
        <v>29</v>
      </c>
      <c r="C80" s="8" t="s">
        <v>60</v>
      </c>
      <c r="D80" s="21" t="n">
        <v>45873.5833333333</v>
      </c>
      <c r="E80" s="21" t="n">
        <v>45888.5</v>
      </c>
      <c r="F80" s="22" t="n">
        <f aca="false">DATE(YEAR(E80),MONTH(E80),1)</f>
        <v>45870</v>
      </c>
      <c r="G80" s="23" t="n">
        <v>146431</v>
      </c>
      <c r="H80" s="8" t="s">
        <v>61</v>
      </c>
      <c r="I80" s="24" t="n">
        <v>855.5</v>
      </c>
      <c r="J80" s="25" t="n">
        <f aca="false">Summary!$B$4</f>
        <v>1</v>
      </c>
      <c r="K80" s="11" t="n">
        <f aca="false">I80*J80*IF(A80="SILVER",Summary!$B$5,Summary!$B$6)</f>
        <v>25665</v>
      </c>
      <c r="L80" s="26" t="n">
        <v>0.278</v>
      </c>
      <c r="M80" s="27" t="n">
        <f aca="false">IF(K80&gt;0,1,0)</f>
        <v>1</v>
      </c>
      <c r="N80" s="11" t="n">
        <f aca="false">SUMIFS(K$2:K80,A$2:A80,A80,B$2:B80,B80)</f>
        <v>-9568.49999999996</v>
      </c>
      <c r="O80" s="11" t="n">
        <f aca="false">MAX(0,_xlfn.MAXIFS(N$2:N80,A$2:A80,A80,B$2:B80,B80))</f>
        <v>93386.1</v>
      </c>
      <c r="P80" s="11" t="n">
        <f aca="false">N80-O80</f>
        <v>-102954.6</v>
      </c>
    </row>
    <row r="81" customFormat="false" ht="15" hidden="false" customHeight="false" outlineLevel="0" collapsed="false">
      <c r="A81" s="8" t="s">
        <v>26</v>
      </c>
      <c r="B81" s="8" t="s">
        <v>29</v>
      </c>
      <c r="C81" s="8" t="s">
        <v>60</v>
      </c>
      <c r="D81" s="21" t="n">
        <v>45890.4166666667</v>
      </c>
      <c r="E81" s="21" t="n">
        <v>45908.4166666667</v>
      </c>
      <c r="F81" s="22" t="n">
        <f aca="false">DATE(YEAR(E81),MONTH(E81),1)</f>
        <v>45901</v>
      </c>
      <c r="G81" s="23" t="n">
        <v>147134</v>
      </c>
      <c r="H81" s="8" t="s">
        <v>61</v>
      </c>
      <c r="I81" s="24" t="n">
        <v>7960.59</v>
      </c>
      <c r="J81" s="25" t="n">
        <f aca="false">Summary!$B$4</f>
        <v>1</v>
      </c>
      <c r="K81" s="11" t="n">
        <f aca="false">I81*J81*IF(A81="SILVER",Summary!$B$5,Summary!$B$6)</f>
        <v>238817.7</v>
      </c>
      <c r="L81" s="26" t="n">
        <v>3.424</v>
      </c>
      <c r="M81" s="27" t="n">
        <f aca="false">IF(K81&gt;0,1,0)</f>
        <v>1</v>
      </c>
      <c r="N81" s="11" t="n">
        <f aca="false">SUMIFS(K$2:K81,A$2:A81,A81,B$2:B81,B81)</f>
        <v>229249.2</v>
      </c>
      <c r="O81" s="11" t="n">
        <f aca="false">MAX(0,_xlfn.MAXIFS(N$2:N81,A$2:A81,A81,B$2:B81,B81))</f>
        <v>229249.2</v>
      </c>
      <c r="P81" s="11" t="n">
        <f aca="false">N81-O81</f>
        <v>0</v>
      </c>
    </row>
    <row r="82" customFormat="false" ht="15" hidden="false" customHeight="false" outlineLevel="0" collapsed="false">
      <c r="A82" s="8" t="s">
        <v>26</v>
      </c>
      <c r="B82" s="8" t="s">
        <v>29</v>
      </c>
      <c r="C82" s="8" t="s">
        <v>60</v>
      </c>
      <c r="D82" s="21" t="n">
        <v>45912.4166666667</v>
      </c>
      <c r="E82" s="21" t="n">
        <v>45917.4166666667</v>
      </c>
      <c r="F82" s="22" t="n">
        <f aca="false">DATE(YEAR(E82),MONTH(E82),1)</f>
        <v>45901</v>
      </c>
      <c r="G82" s="23" t="n">
        <v>159701</v>
      </c>
      <c r="H82" s="8" t="s">
        <v>61</v>
      </c>
      <c r="I82" s="24" t="n">
        <v>-1053.57</v>
      </c>
      <c r="J82" s="25" t="n">
        <f aca="false">Summary!$B$4</f>
        <v>1</v>
      </c>
      <c r="K82" s="11" t="n">
        <f aca="false">I82*J82*IF(A82="SILVER",Summary!$B$5,Summary!$B$6)</f>
        <v>-31607.1</v>
      </c>
      <c r="L82" s="26" t="n">
        <v>-0.313</v>
      </c>
      <c r="M82" s="27" t="n">
        <f aca="false">IF(K82&gt;0,1,0)</f>
        <v>0</v>
      </c>
      <c r="N82" s="11" t="n">
        <f aca="false">SUMIFS(K$2:K82,A$2:A82,A82,B$2:B82,B82)</f>
        <v>197642.1</v>
      </c>
      <c r="O82" s="11" t="n">
        <f aca="false">MAX(0,_xlfn.MAXIFS(N$2:N82,A$2:A82,A82,B$2:B82,B82))</f>
        <v>229249.2</v>
      </c>
      <c r="P82" s="11" t="n">
        <f aca="false">N82-O82</f>
        <v>-31607.1</v>
      </c>
    </row>
    <row r="83" customFormat="false" ht="15" hidden="false" customHeight="false" outlineLevel="0" collapsed="false">
      <c r="A83" s="8" t="s">
        <v>26</v>
      </c>
      <c r="B83" s="8" t="s">
        <v>29</v>
      </c>
      <c r="C83" s="8" t="s">
        <v>60</v>
      </c>
      <c r="D83" s="21" t="n">
        <v>45919.875</v>
      </c>
      <c r="E83" s="21" t="n">
        <v>45940.4166666667</v>
      </c>
      <c r="F83" s="22" t="n">
        <f aca="false">DATE(YEAR(E83),MONTH(E83),1)</f>
        <v>45931</v>
      </c>
      <c r="G83" s="23" t="n">
        <v>160828</v>
      </c>
      <c r="H83" s="8" t="s">
        <v>61</v>
      </c>
      <c r="I83" s="24" t="n">
        <v>15943.5</v>
      </c>
      <c r="J83" s="25" t="n">
        <f aca="false">Summary!$B$4</f>
        <v>1</v>
      </c>
      <c r="K83" s="11" t="n">
        <f aca="false">I83*J83*IF(A83="SILVER",Summary!$B$5,Summary!$B$6)</f>
        <v>478305</v>
      </c>
      <c r="L83" s="26" t="n">
        <v>4.182</v>
      </c>
      <c r="M83" s="27" t="n">
        <f aca="false">IF(K83&gt;0,1,0)</f>
        <v>1</v>
      </c>
      <c r="N83" s="11" t="n">
        <f aca="false">SUMIFS(K$2:K83,A$2:A83,A83,B$2:B83,B83)</f>
        <v>675947.1</v>
      </c>
      <c r="O83" s="11" t="n">
        <f aca="false">MAX(0,_xlfn.MAXIFS(N$2:N83,A$2:A83,A83,B$2:B83,B83))</f>
        <v>675947.1</v>
      </c>
      <c r="P83" s="11" t="n">
        <f aca="false">N83-O83</f>
        <v>0</v>
      </c>
    </row>
    <row r="84" customFormat="false" ht="15" hidden="false" customHeight="false" outlineLevel="0" collapsed="false">
      <c r="A84" s="8" t="s">
        <v>26</v>
      </c>
      <c r="B84" s="8" t="s">
        <v>29</v>
      </c>
      <c r="C84" s="8" t="s">
        <v>60</v>
      </c>
      <c r="D84" s="21" t="n">
        <v>45943.8333333333</v>
      </c>
      <c r="E84" s="21" t="n">
        <v>45947.8333333333</v>
      </c>
      <c r="F84" s="22" t="n">
        <f aca="false">DATE(YEAR(E84),MONTH(E84),1)</f>
        <v>45931</v>
      </c>
      <c r="G84" s="23" t="n">
        <v>185630</v>
      </c>
      <c r="H84" s="8" t="s">
        <v>61</v>
      </c>
      <c r="I84" s="24" t="n">
        <v>7180.44</v>
      </c>
      <c r="J84" s="25" t="n">
        <f aca="false">Summary!$B$4</f>
        <v>1</v>
      </c>
      <c r="K84" s="11" t="n">
        <f aca="false">I84*J84*IF(A84="SILVER",Summary!$B$5,Summary!$B$6)</f>
        <v>215413.2</v>
      </c>
      <c r="L84" s="26" t="n">
        <v>0.85</v>
      </c>
      <c r="M84" s="27" t="n">
        <f aca="false">IF(K84&gt;0,1,0)</f>
        <v>1</v>
      </c>
      <c r="N84" s="11" t="n">
        <f aca="false">SUMIFS(K$2:K84,A$2:A84,A84,B$2:B84,B84)</f>
        <v>891360.3</v>
      </c>
      <c r="O84" s="11" t="n">
        <f aca="false">MAX(0,_xlfn.MAXIFS(N$2:N84,A$2:A84,A84,B$2:B84,B84))</f>
        <v>891360.3</v>
      </c>
      <c r="P84" s="11" t="n">
        <f aca="false">N84-O84</f>
        <v>0</v>
      </c>
    </row>
    <row r="85" customFormat="false" ht="15" hidden="false" customHeight="false" outlineLevel="0" collapsed="false">
      <c r="A85" s="8" t="s">
        <v>26</v>
      </c>
      <c r="B85" s="8" t="s">
        <v>29</v>
      </c>
      <c r="C85" s="8" t="s">
        <v>60</v>
      </c>
      <c r="D85" s="21" t="n">
        <v>45960.8333333333</v>
      </c>
      <c r="E85" s="21" t="n">
        <v>45975.75</v>
      </c>
      <c r="F85" s="22" t="n">
        <f aca="false">DATE(YEAR(E85),MONTH(E85),1)</f>
        <v>45962</v>
      </c>
      <c r="G85" s="23" t="n">
        <v>179635</v>
      </c>
      <c r="H85" s="8" t="s">
        <v>61</v>
      </c>
      <c r="I85" s="24" t="n">
        <v>9052.43</v>
      </c>
      <c r="J85" s="25" t="n">
        <f aca="false">Summary!$B$4</f>
        <v>1</v>
      </c>
      <c r="K85" s="11" t="n">
        <f aca="false">I85*J85*IF(A85="SILVER",Summary!$B$5,Summary!$B$6)</f>
        <v>271572.9</v>
      </c>
      <c r="L85" s="26" t="n">
        <v>1.197</v>
      </c>
      <c r="M85" s="27" t="n">
        <f aca="false">IF(K85&gt;0,1,0)</f>
        <v>1</v>
      </c>
      <c r="N85" s="11" t="n">
        <f aca="false">SUMIFS(K$2:K85,A$2:A85,A85,B$2:B85,B85)</f>
        <v>1162933.2</v>
      </c>
      <c r="O85" s="11" t="n">
        <f aca="false">MAX(0,_xlfn.MAXIFS(N$2:N85,A$2:A85,A85,B$2:B85,B85))</f>
        <v>1162933.2</v>
      </c>
      <c r="P85" s="11" t="n">
        <f aca="false">N85-O85</f>
        <v>0</v>
      </c>
    </row>
    <row r="86" customFormat="false" ht="15" hidden="false" customHeight="false" outlineLevel="0" collapsed="false">
      <c r="A86" s="8" t="s">
        <v>26</v>
      </c>
      <c r="B86" s="8" t="s">
        <v>29</v>
      </c>
      <c r="C86" s="8" t="s">
        <v>60</v>
      </c>
      <c r="D86" s="21" t="n">
        <v>45987.7083333333</v>
      </c>
      <c r="E86" s="21" t="n">
        <v>46003.9583333333</v>
      </c>
      <c r="F86" s="22" t="n">
        <f aca="false">DATE(YEAR(E86),MONTH(E86),1)</f>
        <v>45992</v>
      </c>
      <c r="G86" s="23" t="n">
        <v>190470</v>
      </c>
      <c r="H86" s="8" t="s">
        <v>61</v>
      </c>
      <c r="I86" s="24" t="n">
        <v>29264.67</v>
      </c>
      <c r="J86" s="25" t="n">
        <f aca="false">Summary!$B$4</f>
        <v>1</v>
      </c>
      <c r="K86" s="11" t="n">
        <f aca="false">I86*J86*IF(A86="SILVER",Summary!$B$5,Summary!$B$6)</f>
        <v>877940.1</v>
      </c>
      <c r="L86" s="26" t="n">
        <v>5.619</v>
      </c>
      <c r="M86" s="27" t="n">
        <f aca="false">IF(K86&gt;0,1,0)</f>
        <v>1</v>
      </c>
      <c r="N86" s="11" t="n">
        <f aca="false">SUMIFS(K$2:K86,A$2:A86,A86,B$2:B86,B86)</f>
        <v>2040873.3</v>
      </c>
      <c r="O86" s="11" t="n">
        <f aca="false">MAX(0,_xlfn.MAXIFS(N$2:N86,A$2:A86,A86,B$2:B86,B86))</f>
        <v>2040873.3</v>
      </c>
      <c r="P86" s="11" t="n">
        <f aca="false">N86-O86</f>
        <v>0</v>
      </c>
    </row>
    <row r="87" customFormat="false" ht="15" hidden="false" customHeight="false" outlineLevel="0" collapsed="false">
      <c r="A87" s="8" t="s">
        <v>26</v>
      </c>
      <c r="B87" s="8" t="s">
        <v>29</v>
      </c>
      <c r="C87" s="8" t="s">
        <v>60</v>
      </c>
      <c r="D87" s="21" t="n">
        <v>46008.4166666667</v>
      </c>
      <c r="E87" s="21" t="n">
        <v>46020.8333333333</v>
      </c>
      <c r="F87" s="22" t="n">
        <f aca="false">DATE(YEAR(E87),MONTH(E87),1)</f>
        <v>45992</v>
      </c>
      <c r="G87" s="23" t="n">
        <v>232886</v>
      </c>
      <c r="H87" s="8" t="s">
        <v>61</v>
      </c>
      <c r="I87" s="24" t="n">
        <v>21894.86</v>
      </c>
      <c r="J87" s="25" t="n">
        <f aca="false">Summary!$B$4</f>
        <v>1</v>
      </c>
      <c r="K87" s="11" t="n">
        <f aca="false">I87*J87*IF(A87="SILVER",Summary!$B$5,Summary!$B$6)</f>
        <v>656845.8</v>
      </c>
      <c r="L87" s="26" t="n">
        <v>1.672</v>
      </c>
      <c r="M87" s="27" t="n">
        <f aca="false">IF(K87&gt;0,1,0)</f>
        <v>1</v>
      </c>
      <c r="N87" s="11" t="n">
        <f aca="false">SUMIFS(K$2:K87,A$2:A87,A87,B$2:B87,B87)</f>
        <v>2697719.1</v>
      </c>
      <c r="O87" s="11" t="n">
        <f aca="false">MAX(0,_xlfn.MAXIFS(N$2:N87,A$2:A87,A87,B$2:B87,B87))</f>
        <v>2697719.1</v>
      </c>
      <c r="P87" s="11" t="n">
        <f aca="false">N87-O87</f>
        <v>0</v>
      </c>
    </row>
    <row r="88" customFormat="false" ht="15" hidden="false" customHeight="false" outlineLevel="0" collapsed="false">
      <c r="A88" s="8" t="s">
        <v>26</v>
      </c>
      <c r="B88" s="8" t="s">
        <v>29</v>
      </c>
      <c r="C88" s="8" t="s">
        <v>60</v>
      </c>
      <c r="D88" s="21" t="n">
        <v>46022.375</v>
      </c>
      <c r="E88" s="21" t="n">
        <v>46030.5</v>
      </c>
      <c r="F88" s="22" t="n">
        <f aca="false">DATE(YEAR(E88),MONTH(E88),1)</f>
        <v>46023</v>
      </c>
      <c r="G88" s="23" t="n">
        <v>269734</v>
      </c>
      <c r="H88" s="8" t="s">
        <v>61</v>
      </c>
      <c r="I88" s="24" t="n">
        <v>1395.57</v>
      </c>
      <c r="J88" s="25" t="n">
        <f aca="false">Summary!$B$4</f>
        <v>1</v>
      </c>
      <c r="K88" s="11" t="n">
        <f aca="false">I88*J88*IF(A88="SILVER",Summary!$B$5,Summary!$B$6)</f>
        <v>41867.1</v>
      </c>
      <c r="L88" s="26" t="n">
        <v>0.101</v>
      </c>
      <c r="M88" s="27" t="n">
        <f aca="false">IF(K88&gt;0,1,0)</f>
        <v>1</v>
      </c>
      <c r="N88" s="11" t="n">
        <f aca="false">SUMIFS(K$2:K88,A$2:A88,A88,B$2:B88,B88)</f>
        <v>2739586.2</v>
      </c>
      <c r="O88" s="11" t="n">
        <f aca="false">MAX(0,_xlfn.MAXIFS(N$2:N88,A$2:A88,A88,B$2:B88,B88))</f>
        <v>2739586.2</v>
      </c>
      <c r="P88" s="11" t="n">
        <f aca="false">N88-O88</f>
        <v>0</v>
      </c>
    </row>
    <row r="89" customFormat="false" ht="15" hidden="false" customHeight="false" outlineLevel="0" collapsed="false">
      <c r="A89" s="8" t="s">
        <v>26</v>
      </c>
      <c r="B89" s="8" t="s">
        <v>29</v>
      </c>
      <c r="C89" s="8" t="s">
        <v>60</v>
      </c>
      <c r="D89" s="21" t="n">
        <v>46031.875</v>
      </c>
      <c r="E89" s="21" t="n">
        <v>46044.4166666667</v>
      </c>
      <c r="F89" s="22" t="n">
        <f aca="false">DATE(YEAR(E89),MONTH(E89),1)</f>
        <v>46023</v>
      </c>
      <c r="G89" s="23" t="n">
        <v>282934</v>
      </c>
      <c r="H89" s="8" t="s">
        <v>61</v>
      </c>
      <c r="I89" s="24" t="n">
        <v>51086.97</v>
      </c>
      <c r="J89" s="25" t="n">
        <f aca="false">Summary!$B$4</f>
        <v>1</v>
      </c>
      <c r="K89" s="11" t="n">
        <f aca="false">I89*J89*IF(A89="SILVER",Summary!$B$5,Summary!$B$6)</f>
        <v>1532609.1</v>
      </c>
      <c r="L89" s="26" t="n">
        <v>2.62</v>
      </c>
      <c r="M89" s="27" t="n">
        <f aca="false">IF(K89&gt;0,1,0)</f>
        <v>1</v>
      </c>
      <c r="N89" s="11" t="n">
        <f aca="false">SUMIFS(K$2:K89,A$2:A89,A89,B$2:B89,B89)</f>
        <v>4272195.3</v>
      </c>
      <c r="O89" s="11" t="n">
        <f aca="false">MAX(0,_xlfn.MAXIFS(N$2:N89,A$2:A89,A89,B$2:B89,B89))</f>
        <v>4272195.3</v>
      </c>
      <c r="P89" s="11" t="n">
        <f aca="false">N89-O89</f>
        <v>0</v>
      </c>
    </row>
    <row r="90" customFormat="false" ht="15" hidden="false" customHeight="false" outlineLevel="0" collapsed="false">
      <c r="A90" s="8" t="s">
        <v>26</v>
      </c>
      <c r="B90" s="8" t="s">
        <v>29</v>
      </c>
      <c r="C90" s="8" t="s">
        <v>60</v>
      </c>
      <c r="D90" s="21" t="n">
        <v>46049.4166666667</v>
      </c>
      <c r="E90" s="21" t="n">
        <v>46051.875</v>
      </c>
      <c r="F90" s="22" t="n">
        <f aca="false">DATE(YEAR(E90),MONTH(E90),1)</f>
        <v>46023</v>
      </c>
      <c r="G90" s="23" t="n">
        <v>385184</v>
      </c>
      <c r="H90" s="8" t="s">
        <v>61</v>
      </c>
      <c r="I90" s="24" t="n">
        <v>7620.89</v>
      </c>
      <c r="J90" s="25" t="n">
        <f aca="false">Summary!$B$4</f>
        <v>1</v>
      </c>
      <c r="K90" s="11" t="n">
        <f aca="false">I90*J90*IF(A90="SILVER",Summary!$B$5,Summary!$B$6)</f>
        <v>228626.7</v>
      </c>
      <c r="L90" s="26" t="n">
        <v>0.188</v>
      </c>
      <c r="M90" s="27" t="n">
        <f aca="false">IF(K90&gt;0,1,0)</f>
        <v>1</v>
      </c>
      <c r="N90" s="11" t="n">
        <f aca="false">SUMIFS(K$2:K90,A$2:A90,A90,B$2:B90,B90)</f>
        <v>4500822</v>
      </c>
      <c r="O90" s="11" t="n">
        <f aca="false">MAX(0,_xlfn.MAXIFS(N$2:N90,A$2:A90,A90,B$2:B90,B90))</f>
        <v>4500822</v>
      </c>
      <c r="P90" s="11" t="n">
        <f aca="false">N90-O90</f>
        <v>0</v>
      </c>
    </row>
    <row r="91" customFormat="false" ht="15" hidden="false" customHeight="false" outlineLevel="0" collapsed="false">
      <c r="A91" s="8" t="s">
        <v>26</v>
      </c>
      <c r="B91" s="8" t="s">
        <v>29</v>
      </c>
      <c r="C91" s="8" t="s">
        <v>62</v>
      </c>
      <c r="D91" s="21" t="n">
        <v>46083.9201388889</v>
      </c>
      <c r="E91" s="21" t="n">
        <v>46091.7916666667</v>
      </c>
      <c r="F91" s="22" t="n">
        <f aca="false">DATE(YEAR(E91),MONTH(E91),1)</f>
        <v>46082</v>
      </c>
      <c r="G91" s="23" t="n">
        <v>297434</v>
      </c>
      <c r="H91" s="8" t="s">
        <v>61</v>
      </c>
      <c r="I91" s="24" t="n">
        <v>1419.37</v>
      </c>
      <c r="J91" s="25" t="n">
        <f aca="false">Summary!$B$4</f>
        <v>1</v>
      </c>
      <c r="K91" s="11" t="n">
        <f aca="false">I91*J91*IF(A91="SILVER",Summary!$B$5,Summary!$B$6)</f>
        <v>42581.1</v>
      </c>
      <c r="L91" s="26" t="n">
        <v>0.065</v>
      </c>
      <c r="M91" s="27" t="n">
        <f aca="false">IF(K91&gt;0,1,0)</f>
        <v>1</v>
      </c>
      <c r="N91" s="11" t="n">
        <f aca="false">SUMIFS(K$2:K91,A$2:A91,A91,B$2:B91,B91)</f>
        <v>4543403.1</v>
      </c>
      <c r="O91" s="11" t="n">
        <f aca="false">MAX(0,_xlfn.MAXIFS(N$2:N91,A$2:A91,A91,B$2:B91,B91))</f>
        <v>4543403.1</v>
      </c>
      <c r="P91" s="11" t="n">
        <f aca="false">N91-O91</f>
        <v>0</v>
      </c>
    </row>
    <row r="92" customFormat="false" ht="15" hidden="false" customHeight="false" outlineLevel="0" collapsed="false">
      <c r="A92" s="8" t="s">
        <v>26</v>
      </c>
      <c r="B92" s="8" t="s">
        <v>29</v>
      </c>
      <c r="C92" s="8" t="s">
        <v>62</v>
      </c>
      <c r="D92" s="21" t="n">
        <v>46094.5</v>
      </c>
      <c r="E92" s="21" t="n">
        <v>46106.4166666667</v>
      </c>
      <c r="F92" s="22" t="n">
        <f aca="false">DATE(YEAR(E92),MONTH(E92),1)</f>
        <v>46082</v>
      </c>
      <c r="G92" s="23" t="n">
        <v>281173</v>
      </c>
      <c r="H92" s="8" t="s">
        <v>61</v>
      </c>
      <c r="I92" s="24" t="n">
        <v>27164.01</v>
      </c>
      <c r="J92" s="25" t="n">
        <f aca="false">Summary!$B$4</f>
        <v>1</v>
      </c>
      <c r="K92" s="11" t="n">
        <f aca="false">I92*J92*IF(A92="SILVER",Summary!$B$5,Summary!$B$6)</f>
        <v>814920.3</v>
      </c>
      <c r="L92" s="26" t="n">
        <v>1.721</v>
      </c>
      <c r="M92" s="27" t="n">
        <f aca="false">IF(K92&gt;0,1,0)</f>
        <v>1</v>
      </c>
      <c r="N92" s="11" t="n">
        <f aca="false">SUMIFS(K$2:K92,A$2:A92,A92,B$2:B92,B92)</f>
        <v>5358323.4</v>
      </c>
      <c r="O92" s="11" t="n">
        <f aca="false">MAX(0,_xlfn.MAXIFS(N$2:N92,A$2:A92,A92,B$2:B92,B92))</f>
        <v>5358323.4</v>
      </c>
      <c r="P92" s="11" t="n">
        <f aca="false">N92-O92</f>
        <v>0</v>
      </c>
    </row>
    <row r="93" customFormat="false" ht="15" hidden="false" customHeight="false" outlineLevel="0" collapsed="false">
      <c r="A93" s="8" t="s">
        <v>26</v>
      </c>
      <c r="B93" s="8" t="s">
        <v>29</v>
      </c>
      <c r="C93" s="8" t="s">
        <v>62</v>
      </c>
      <c r="D93" s="21" t="n">
        <v>46114.5</v>
      </c>
      <c r="E93" s="21" t="n">
        <v>46120.4166666667</v>
      </c>
      <c r="F93" s="22" t="n">
        <f aca="false">DATE(YEAR(E93),MONTH(E93),1)</f>
        <v>46113</v>
      </c>
      <c r="G93" s="23" t="n">
        <v>243669</v>
      </c>
      <c r="H93" s="8" t="s">
        <v>61</v>
      </c>
      <c r="I93" s="24" t="n">
        <v>-17620.03</v>
      </c>
      <c r="J93" s="25" t="n">
        <f aca="false">Summary!$B$4</f>
        <v>1</v>
      </c>
      <c r="K93" s="11" t="n">
        <f aca="false">I93*J93*IF(A93="SILVER",Summary!$B$5,Summary!$B$6)</f>
        <v>-528600.9</v>
      </c>
      <c r="L93" s="26" t="n">
        <v>-0.852</v>
      </c>
      <c r="M93" s="27" t="n">
        <f aca="false">IF(K93&gt;0,1,0)</f>
        <v>0</v>
      </c>
      <c r="N93" s="11" t="n">
        <f aca="false">SUMIFS(K$2:K93,A$2:A93,A93,B$2:B93,B93)</f>
        <v>4829722.5</v>
      </c>
      <c r="O93" s="11" t="n">
        <f aca="false">MAX(0,_xlfn.MAXIFS(N$2:N93,A$2:A93,A93,B$2:B93,B93))</f>
        <v>5358323.4</v>
      </c>
      <c r="P93" s="11" t="n">
        <f aca="false">N93-O93</f>
        <v>-528600.9</v>
      </c>
    </row>
    <row r="94" customFormat="false" ht="15" hidden="false" customHeight="false" outlineLevel="0" collapsed="false">
      <c r="A94" s="8" t="s">
        <v>26</v>
      </c>
      <c r="B94" s="8" t="s">
        <v>29</v>
      </c>
      <c r="C94" s="8" t="s">
        <v>62</v>
      </c>
      <c r="D94" s="21" t="n">
        <v>46133.875</v>
      </c>
      <c r="E94" s="21" t="n">
        <v>46143.8340277778</v>
      </c>
      <c r="F94" s="22" t="n">
        <f aca="false">DATE(YEAR(E94),MONTH(E94),1)</f>
        <v>46143</v>
      </c>
      <c r="G94" s="23" t="n">
        <v>262733</v>
      </c>
      <c r="H94" s="8" t="s">
        <v>61</v>
      </c>
      <c r="I94" s="24" t="n">
        <v>-2211.31</v>
      </c>
      <c r="J94" s="25" t="n">
        <f aca="false">Summary!$B$4</f>
        <v>1</v>
      </c>
      <c r="K94" s="11" t="n">
        <f aca="false">I94*J94*IF(A94="SILVER",Summary!$B$5,Summary!$B$6)</f>
        <v>-66339.3</v>
      </c>
      <c r="L94" s="26" t="n">
        <v>-0.178</v>
      </c>
      <c r="M94" s="27" t="n">
        <f aca="false">IF(K94&gt;0,1,0)</f>
        <v>0</v>
      </c>
      <c r="N94" s="11" t="n">
        <f aca="false">SUMIFS(K$2:K94,A$2:A94,A94,B$2:B94,B94)</f>
        <v>4763383.2</v>
      </c>
      <c r="O94" s="11" t="n">
        <f aca="false">MAX(0,_xlfn.MAXIFS(N$2:N94,A$2:A94,A94,B$2:B94,B94))</f>
        <v>5358323.4</v>
      </c>
      <c r="P94" s="11" t="n">
        <f aca="false">N94-O94</f>
        <v>-594940.2</v>
      </c>
    </row>
    <row r="95" customFormat="false" ht="15" hidden="false" customHeight="false" outlineLevel="0" collapsed="false">
      <c r="A95" s="8" t="s">
        <v>26</v>
      </c>
      <c r="B95" s="8" t="s">
        <v>29</v>
      </c>
      <c r="C95" s="8" t="s">
        <v>62</v>
      </c>
      <c r="D95" s="21" t="n">
        <v>46147.5819444444</v>
      </c>
      <c r="E95" s="21" t="n">
        <v>46149.6666666667</v>
      </c>
      <c r="F95" s="22" t="n">
        <f aca="false">DATE(YEAR(E95),MONTH(E95),1)</f>
        <v>46143</v>
      </c>
      <c r="G95" s="23" t="n">
        <v>257385</v>
      </c>
      <c r="H95" s="8" t="s">
        <v>61</v>
      </c>
      <c r="I95" s="24" t="n">
        <v>-10335.79</v>
      </c>
      <c r="J95" s="25" t="n">
        <f aca="false">Summary!$B$4</f>
        <v>1</v>
      </c>
      <c r="K95" s="11" t="n">
        <f aca="false">I95*J95*IF(A95="SILVER",Summary!$B$5,Summary!$B$6)</f>
        <v>-310073.7</v>
      </c>
      <c r="L95" s="26" t="n">
        <v>-1.065</v>
      </c>
      <c r="M95" s="27" t="n">
        <f aca="false">IF(K95&gt;0,1,0)</f>
        <v>0</v>
      </c>
      <c r="N95" s="11" t="n">
        <f aca="false">SUMIFS(K$2:K95,A$2:A95,A95,B$2:B95,B95)</f>
        <v>4453309.5</v>
      </c>
      <c r="O95" s="11" t="n">
        <f aca="false">MAX(0,_xlfn.MAXIFS(N$2:N95,A$2:A95,A95,B$2:B95,B95))</f>
        <v>5358323.4</v>
      </c>
      <c r="P95" s="11" t="n">
        <f aca="false">N95-O95</f>
        <v>-905013.9</v>
      </c>
    </row>
    <row r="96" customFormat="false" ht="15" hidden="false" customHeight="false" outlineLevel="0" collapsed="false">
      <c r="A96" s="8" t="s">
        <v>26</v>
      </c>
      <c r="B96" s="8" t="s">
        <v>29</v>
      </c>
      <c r="C96" s="8" t="s">
        <v>62</v>
      </c>
      <c r="D96" s="21" t="n">
        <v>46157.4166666667</v>
      </c>
      <c r="E96" s="21" t="n">
        <v>46188.375</v>
      </c>
      <c r="F96" s="22" t="n">
        <f aca="false">DATE(YEAR(E96),MONTH(E96),1)</f>
        <v>46174</v>
      </c>
      <c r="G96" s="23" t="n">
        <v>289569</v>
      </c>
      <c r="H96" s="8" t="s">
        <v>61</v>
      </c>
      <c r="I96" s="24" t="n">
        <v>30974.07</v>
      </c>
      <c r="J96" s="25" t="n">
        <f aca="false">Summary!$B$4</f>
        <v>1</v>
      </c>
      <c r="K96" s="11" t="n">
        <f aca="false">I96*J96*IF(A96="SILVER",Summary!$B$5,Summary!$B$6)</f>
        <v>929222.1</v>
      </c>
      <c r="L96" s="26" t="n">
        <v>1.771</v>
      </c>
      <c r="M96" s="27" t="n">
        <f aca="false">IF(K96&gt;0,1,0)</f>
        <v>1</v>
      </c>
      <c r="N96" s="11" t="n">
        <f aca="false">SUMIFS(K$2:K96,A$2:A96,A96,B$2:B96,B96)</f>
        <v>5382531.6</v>
      </c>
      <c r="O96" s="11" t="n">
        <f aca="false">MAX(0,_xlfn.MAXIFS(N$2:N96,A$2:A96,A96,B$2:B96,B96))</f>
        <v>5382531.6</v>
      </c>
      <c r="P96" s="11" t="n">
        <f aca="false">N96-O96</f>
        <v>0</v>
      </c>
    </row>
    <row r="97" customFormat="false" ht="15" hidden="false" customHeight="false" outlineLevel="0" collapsed="false">
      <c r="A97" s="8" t="s">
        <v>26</v>
      </c>
      <c r="B97" s="8" t="s">
        <v>29</v>
      </c>
      <c r="C97" s="8" t="s">
        <v>62</v>
      </c>
      <c r="D97" s="21" t="n">
        <v>46191.7083333333</v>
      </c>
      <c r="E97" s="21" t="n">
        <v>46203.7958333333</v>
      </c>
      <c r="F97" s="22" t="n">
        <f aca="false">DATE(YEAR(E97),MONTH(E97),1)</f>
        <v>46174</v>
      </c>
      <c r="G97" s="23" t="n">
        <v>248264</v>
      </c>
      <c r="H97" s="8" t="s">
        <v>61</v>
      </c>
      <c r="I97" s="24" t="n">
        <v>16488.27</v>
      </c>
      <c r="J97" s="25" t="n">
        <f aca="false">Summary!$B$4</f>
        <v>1</v>
      </c>
      <c r="K97" s="11" t="n">
        <f aca="false">I97*J97*IF(A97="SILVER",Summary!$B$5,Summary!$B$6)</f>
        <v>494648.1</v>
      </c>
      <c r="L97" s="26" t="n">
        <v>1.458</v>
      </c>
      <c r="M97" s="27" t="n">
        <f aca="false">IF(K97&gt;0,1,0)</f>
        <v>1</v>
      </c>
      <c r="N97" s="11" t="n">
        <f aca="false">SUMIFS(K$2:K97,A$2:A97,A97,B$2:B97,B97)</f>
        <v>5877179.7</v>
      </c>
      <c r="O97" s="11" t="n">
        <f aca="false">MAX(0,_xlfn.MAXIFS(N$2:N97,A$2:A97,A97,B$2:B97,B97))</f>
        <v>5877179.7</v>
      </c>
      <c r="P97" s="11" t="n">
        <f aca="false">N97-O97</f>
        <v>0</v>
      </c>
    </row>
    <row r="98" customFormat="false" ht="15" hidden="false" customHeight="false" outlineLevel="0" collapsed="false">
      <c r="A98" s="8" t="s">
        <v>26</v>
      </c>
      <c r="B98" s="8" t="s">
        <v>29</v>
      </c>
      <c r="C98" s="8" t="s">
        <v>62</v>
      </c>
      <c r="D98" s="21" t="n">
        <v>46211.4166666667</v>
      </c>
      <c r="E98" s="21" t="n">
        <v>46224.5</v>
      </c>
      <c r="F98" s="22" t="n">
        <f aca="false">DATE(YEAR(E98),MONTH(E98),1)</f>
        <v>46204</v>
      </c>
      <c r="G98" s="23" t="n">
        <v>234047</v>
      </c>
      <c r="H98" s="8" t="s">
        <v>61</v>
      </c>
      <c r="I98" s="24" t="n">
        <v>6933.82</v>
      </c>
      <c r="J98" s="25" t="n">
        <f aca="false">Summary!$B$4</f>
        <v>1</v>
      </c>
      <c r="K98" s="11" t="n">
        <f aca="false">I98*J98*IF(A98="SILVER",Summary!$B$5,Summary!$B$6)</f>
        <v>208014.6</v>
      </c>
      <c r="L98" s="26" t="n">
        <v>0.802</v>
      </c>
      <c r="M98" s="27" t="n">
        <f aca="false">IF(K98&gt;0,1,0)</f>
        <v>1</v>
      </c>
      <c r="N98" s="11" t="n">
        <f aca="false">SUMIFS(K$2:K98,A$2:A98,A98,B$2:B98,B98)</f>
        <v>6085194.3</v>
      </c>
      <c r="O98" s="11" t="n">
        <f aca="false">MAX(0,_xlfn.MAXIFS(N$2:N98,A$2:A98,A98,B$2:B98,B98))</f>
        <v>6085194.3</v>
      </c>
      <c r="P98" s="11" t="n">
        <f aca="false">N98-O98</f>
        <v>0</v>
      </c>
    </row>
    <row r="99" customFormat="false" ht="15" hidden="false" customHeight="false" outlineLevel="0" collapsed="false">
      <c r="A99" s="8" t="s">
        <v>26</v>
      </c>
      <c r="B99" s="8" t="s">
        <v>29</v>
      </c>
      <c r="C99" s="8" t="s">
        <v>62</v>
      </c>
      <c r="D99" s="21" t="n">
        <v>46226.7916666667</v>
      </c>
      <c r="E99" s="21" t="n">
        <v>46239.4166666667</v>
      </c>
      <c r="F99" s="22" t="n">
        <f aca="false">DATE(YEAR(E99),MONTH(E99),1)</f>
        <v>46235</v>
      </c>
      <c r="G99" s="23" t="n">
        <v>224807</v>
      </c>
      <c r="H99" s="8" t="s">
        <v>61</v>
      </c>
      <c r="I99" s="24" t="n">
        <v>-4032.41</v>
      </c>
      <c r="J99" s="25" t="n">
        <f aca="false">Summary!$B$4</f>
        <v>1</v>
      </c>
      <c r="K99" s="11" t="n">
        <f aca="false">I99*J99*IF(A99="SILVER",Summary!$B$5,Summary!$B$6)</f>
        <v>-120972.3</v>
      </c>
      <c r="L99" s="26" t="n">
        <v>-0.54</v>
      </c>
      <c r="M99" s="27" t="n">
        <f aca="false">IF(K99&gt;0,1,0)</f>
        <v>0</v>
      </c>
      <c r="N99" s="11" t="n">
        <f aca="false">SUMIFS(K$2:K99,A$2:A99,A99,B$2:B99,B99)</f>
        <v>5964222</v>
      </c>
      <c r="O99" s="11" t="n">
        <f aca="false">MAX(0,_xlfn.MAXIFS(N$2:N99,A$2:A99,A99,B$2:B99,B99))</f>
        <v>6085194.3</v>
      </c>
      <c r="P99" s="11" t="n">
        <f aca="false">N99-O99</f>
        <v>-120972.3</v>
      </c>
    </row>
    <row r="100" customFormat="false" ht="15" hidden="false" customHeight="false" outlineLevel="0" collapsed="false">
      <c r="A100" s="8" t="s">
        <v>26</v>
      </c>
      <c r="B100" s="8" t="s">
        <v>29</v>
      </c>
      <c r="C100" s="8" t="s">
        <v>62</v>
      </c>
      <c r="D100" s="21" t="n">
        <v>46253.4166666667</v>
      </c>
      <c r="E100" s="21" t="n">
        <v>46253.8333333333</v>
      </c>
      <c r="F100" s="22" t="n">
        <f aca="false">DATE(YEAR(E100),MONTH(E100),1)</f>
        <v>46235</v>
      </c>
      <c r="G100" s="23" t="n">
        <v>233357</v>
      </c>
      <c r="H100" s="8" t="s">
        <v>61</v>
      </c>
      <c r="I100" s="24" t="n">
        <v>-7502.47</v>
      </c>
      <c r="J100" s="25" t="n">
        <f aca="false">Summary!$B$4</f>
        <v>1</v>
      </c>
      <c r="K100" s="11" t="n">
        <f aca="false">I100*J100*IF(A100="SILVER",Summary!$B$5,Summary!$B$6)</f>
        <v>-225074.1</v>
      </c>
      <c r="L100" s="26" t="n">
        <v>-0.893</v>
      </c>
      <c r="M100" s="27" t="n">
        <f aca="false">IF(K100&gt;0,1,0)</f>
        <v>0</v>
      </c>
      <c r="N100" s="11" t="n">
        <f aca="false">SUMIFS(K$2:K100,A$2:A100,A100,B$2:B100,B100)</f>
        <v>5739147.9</v>
      </c>
      <c r="O100" s="11" t="n">
        <f aca="false">MAX(0,_xlfn.MAXIFS(N$2:N100,A$2:A100,A100,B$2:B100,B100))</f>
        <v>6085194.3</v>
      </c>
      <c r="P100" s="11" t="n">
        <f aca="false">N100-O100</f>
        <v>-346046.399999999</v>
      </c>
    </row>
    <row r="101" customFormat="false" ht="15" hidden="false" customHeight="false" outlineLevel="0" collapsed="false">
      <c r="A101" s="8" t="s">
        <v>26</v>
      </c>
      <c r="B101" s="8" t="s">
        <v>29</v>
      </c>
      <c r="C101" s="8" t="s">
        <v>62</v>
      </c>
      <c r="D101" s="21" t="n">
        <v>46261.375</v>
      </c>
      <c r="E101" s="21" t="n">
        <v>46268.9166666667</v>
      </c>
      <c r="F101" s="22" t="n">
        <f aca="false">DATE(YEAR(E101),MONTH(E101),1)</f>
        <v>46266</v>
      </c>
      <c r="G101" s="23" t="n">
        <v>247656</v>
      </c>
      <c r="H101" s="8" t="s">
        <v>61</v>
      </c>
      <c r="I101" s="24" t="n">
        <v>6983.45</v>
      </c>
      <c r="J101" s="25" t="n">
        <f aca="false">Summary!$B$4</f>
        <v>1</v>
      </c>
      <c r="K101" s="11" t="n">
        <f aca="false">I101*J101*IF(A101="SILVER",Summary!$B$5,Summary!$B$6)</f>
        <v>209503.5</v>
      </c>
      <c r="L101" s="26" t="n">
        <v>1.257</v>
      </c>
      <c r="M101" s="27" t="n">
        <f aca="false">IF(K101&gt;0,1,0)</f>
        <v>1</v>
      </c>
      <c r="N101" s="11" t="n">
        <f aca="false">SUMIFS(K$2:K101,A$2:A101,A101,B$2:B101,B101)</f>
        <v>5948651.4</v>
      </c>
      <c r="O101" s="11" t="n">
        <f aca="false">MAX(0,_xlfn.MAXIFS(N$2:N101,A$2:A101,A101,B$2:B101,B101))</f>
        <v>6085194.3</v>
      </c>
      <c r="P101" s="11" t="n">
        <f aca="false">N101-O101</f>
        <v>-136542.899999999</v>
      </c>
    </row>
    <row r="102" customFormat="false" ht="15" hidden="false" customHeight="false" outlineLevel="0" collapsed="false">
      <c r="A102" s="8" t="s">
        <v>26</v>
      </c>
      <c r="B102" s="8" t="s">
        <v>29</v>
      </c>
      <c r="C102" s="8" t="s">
        <v>62</v>
      </c>
      <c r="D102" s="21" t="n">
        <v>46275.875</v>
      </c>
      <c r="E102" s="21" t="n">
        <v>46283.4583333333</v>
      </c>
      <c r="F102" s="22" t="n">
        <f aca="false">DATE(YEAR(E102),MONTH(E102),1)</f>
        <v>46266</v>
      </c>
      <c r="G102" s="23" t="n">
        <v>235114</v>
      </c>
      <c r="H102" s="8" t="s">
        <v>61</v>
      </c>
      <c r="I102" s="24" t="n">
        <v>-5172.52</v>
      </c>
      <c r="J102" s="25" t="n">
        <f aca="false">Summary!$B$4</f>
        <v>1</v>
      </c>
      <c r="K102" s="11" t="n">
        <f aca="false">I102*J102*IF(A102="SILVER",Summary!$B$5,Summary!$B$6)</f>
        <v>-155175.6</v>
      </c>
      <c r="L102" s="26" t="n">
        <v>-0.524</v>
      </c>
      <c r="M102" s="27" t="n">
        <f aca="false">IF(K102&gt;0,1,0)</f>
        <v>0</v>
      </c>
      <c r="N102" s="11" t="n">
        <f aca="false">SUMIFS(K$2:K102,A$2:A102,A102,B$2:B102,B102)</f>
        <v>5793475.8</v>
      </c>
      <c r="O102" s="11" t="n">
        <f aca="false">MAX(0,_xlfn.MAXIFS(N$2:N102,A$2:A102,A102,B$2:B102,B102))</f>
        <v>6085194.3</v>
      </c>
      <c r="P102" s="11" t="n">
        <f aca="false">N102-O102</f>
        <v>-291718.5</v>
      </c>
    </row>
    <row r="103" customFormat="false" ht="15" hidden="false" customHeight="false" outlineLevel="0" collapsed="false">
      <c r="A103" s="8" t="s">
        <v>26</v>
      </c>
      <c r="B103" s="8" t="s">
        <v>31</v>
      </c>
      <c r="C103" s="8" t="s">
        <v>62</v>
      </c>
      <c r="D103" s="21" t="n">
        <v>45699.7916666667</v>
      </c>
      <c r="E103" s="21" t="n">
        <v>45702.4166666667</v>
      </c>
      <c r="F103" s="22" t="n">
        <f aca="false">DATE(YEAR(E103),MONTH(E103),1)</f>
        <v>45689</v>
      </c>
      <c r="G103" s="23" t="n">
        <v>132343</v>
      </c>
      <c r="H103" s="8" t="s">
        <v>61</v>
      </c>
      <c r="I103" s="24" t="n">
        <v>-3073.97</v>
      </c>
      <c r="J103" s="25" t="n">
        <f aca="false">Summary!$B$4</f>
        <v>1</v>
      </c>
      <c r="K103" s="11" t="n">
        <f aca="false">I103*J103*IF(A103="SILVER",Summary!$B$5,Summary!$B$6)</f>
        <v>-92219.1</v>
      </c>
      <c r="L103" s="26" t="n">
        <v>-1.128</v>
      </c>
      <c r="M103" s="27" t="n">
        <f aca="false">IF(K103&gt;0,1,0)</f>
        <v>0</v>
      </c>
      <c r="N103" s="11" t="n">
        <f aca="false">SUMIFS(K$2:K103,A$2:A103,A103,B$2:B103,B103)</f>
        <v>-92219.1</v>
      </c>
      <c r="O103" s="11" t="n">
        <f aca="false">MAX(0,_xlfn.MAXIFS(N$2:N103,A$2:A103,A103,B$2:B103,B103))</f>
        <v>0</v>
      </c>
      <c r="P103" s="11" t="n">
        <f aca="false">N103-O103</f>
        <v>-92219.1</v>
      </c>
    </row>
    <row r="104" customFormat="false" ht="15" hidden="false" customHeight="false" outlineLevel="0" collapsed="false">
      <c r="A104" s="8" t="s">
        <v>26</v>
      </c>
      <c r="B104" s="8" t="s">
        <v>31</v>
      </c>
      <c r="C104" s="8" t="s">
        <v>62</v>
      </c>
      <c r="D104" s="21" t="n">
        <v>45702.9166666667</v>
      </c>
      <c r="E104" s="21" t="n">
        <v>45721.4631944444</v>
      </c>
      <c r="F104" s="22" t="n">
        <f aca="false">DATE(YEAR(E104),MONTH(E104),1)</f>
        <v>45717</v>
      </c>
      <c r="G104" s="23" t="n">
        <v>134632</v>
      </c>
      <c r="H104" s="8" t="s">
        <v>61</v>
      </c>
      <c r="I104" s="24" t="n">
        <v>430.92</v>
      </c>
      <c r="J104" s="25" t="n">
        <f aca="false">Summary!$B$4</f>
        <v>1</v>
      </c>
      <c r="K104" s="11" t="n">
        <f aca="false">I104*J104*IF(A104="SILVER",Summary!$B$5,Summary!$B$6)</f>
        <v>12927.6</v>
      </c>
      <c r="L104" s="26" t="n">
        <v>0.136</v>
      </c>
      <c r="M104" s="27" t="n">
        <f aca="false">IF(K104&gt;0,1,0)</f>
        <v>1</v>
      </c>
      <c r="N104" s="11" t="n">
        <f aca="false">SUMIFS(K$2:K104,A$2:A104,A104,B$2:B104,B104)</f>
        <v>-79291.5</v>
      </c>
      <c r="O104" s="11" t="n">
        <f aca="false">MAX(0,_xlfn.MAXIFS(N$2:N104,A$2:A104,A104,B$2:B104,B104))</f>
        <v>0</v>
      </c>
      <c r="P104" s="11" t="n">
        <f aca="false">N104-O104</f>
        <v>-79291.5</v>
      </c>
    </row>
    <row r="105" customFormat="false" ht="15" hidden="false" customHeight="false" outlineLevel="0" collapsed="false">
      <c r="A105" s="8" t="s">
        <v>26</v>
      </c>
      <c r="B105" s="8" t="s">
        <v>31</v>
      </c>
      <c r="C105" s="8" t="s">
        <v>62</v>
      </c>
      <c r="D105" s="21" t="n">
        <v>45736.6666666667</v>
      </c>
      <c r="E105" s="21" t="n">
        <v>45741.6909722222</v>
      </c>
      <c r="F105" s="22" t="n">
        <f aca="false">DATE(YEAR(E105),MONTH(E105),1)</f>
        <v>45717</v>
      </c>
      <c r="G105" s="23" t="n">
        <v>135951</v>
      </c>
      <c r="H105" s="8" t="s">
        <v>64</v>
      </c>
      <c r="I105" s="24" t="n">
        <v>279.79</v>
      </c>
      <c r="J105" s="25" t="n">
        <f aca="false">Summary!$B$4</f>
        <v>1</v>
      </c>
      <c r="K105" s="11" t="n">
        <f aca="false">I105*J105*IF(A105="SILVER",Summary!$B$5,Summary!$B$6)</f>
        <v>8393.7</v>
      </c>
      <c r="L105" s="26" t="n">
        <v>0.09</v>
      </c>
      <c r="M105" s="27" t="n">
        <f aca="false">IF(K105&gt;0,1,0)</f>
        <v>1</v>
      </c>
      <c r="N105" s="11" t="n">
        <f aca="false">SUMIFS(K$2:K105,A$2:A105,A105,B$2:B105,B105)</f>
        <v>-70897.8</v>
      </c>
      <c r="O105" s="11" t="n">
        <f aca="false">MAX(0,_xlfn.MAXIFS(N$2:N105,A$2:A105,A105,B$2:B105,B105))</f>
        <v>0</v>
      </c>
      <c r="P105" s="11" t="n">
        <f aca="false">N105-O105</f>
        <v>-70897.8</v>
      </c>
    </row>
    <row r="106" customFormat="false" ht="15" hidden="false" customHeight="false" outlineLevel="0" collapsed="false">
      <c r="A106" s="8" t="s">
        <v>26</v>
      </c>
      <c r="B106" s="8" t="s">
        <v>31</v>
      </c>
      <c r="C106" s="8" t="s">
        <v>62</v>
      </c>
      <c r="D106" s="21" t="n">
        <v>45748.9166666667</v>
      </c>
      <c r="E106" s="21" t="n">
        <v>45758.5833333333</v>
      </c>
      <c r="F106" s="22" t="n">
        <f aca="false">DATE(YEAR(E106),MONTH(E106),1)</f>
        <v>45748</v>
      </c>
      <c r="G106" s="23" t="n">
        <v>136297</v>
      </c>
      <c r="H106" s="8" t="s">
        <v>61</v>
      </c>
      <c r="I106" s="24" t="n">
        <v>6488.79</v>
      </c>
      <c r="J106" s="25" t="n">
        <f aca="false">Summary!$B$4</f>
        <v>1</v>
      </c>
      <c r="K106" s="11" t="n">
        <f aca="false">I106*J106*IF(A106="SILVER",Summary!$B$5,Summary!$B$6)</f>
        <v>194663.7</v>
      </c>
      <c r="L106" s="26" t="n">
        <v>2.033</v>
      </c>
      <c r="M106" s="27" t="n">
        <f aca="false">IF(K106&gt;0,1,0)</f>
        <v>1</v>
      </c>
      <c r="N106" s="11" t="n">
        <f aca="false">SUMIFS(K$2:K106,A$2:A106,A106,B$2:B106,B106)</f>
        <v>123765.9</v>
      </c>
      <c r="O106" s="11" t="n">
        <f aca="false">MAX(0,_xlfn.MAXIFS(N$2:N106,A$2:A106,A106,B$2:B106,B106))</f>
        <v>123765.9</v>
      </c>
      <c r="P106" s="11" t="n">
        <f aca="false">N106-O106</f>
        <v>0</v>
      </c>
    </row>
    <row r="107" customFormat="false" ht="15" hidden="false" customHeight="false" outlineLevel="0" collapsed="false">
      <c r="A107" s="8" t="s">
        <v>26</v>
      </c>
      <c r="B107" s="8" t="s">
        <v>31</v>
      </c>
      <c r="C107" s="8" t="s">
        <v>62</v>
      </c>
      <c r="D107" s="21" t="n">
        <v>45777.5833333333</v>
      </c>
      <c r="E107" s="21" t="n">
        <v>45778.7666666667</v>
      </c>
      <c r="F107" s="22" t="n">
        <f aca="false">DATE(YEAR(E107),MONTH(E107),1)</f>
        <v>45778</v>
      </c>
      <c r="G107" s="23" t="n">
        <v>131200</v>
      </c>
      <c r="H107" s="8" t="s">
        <v>64</v>
      </c>
      <c r="I107" s="24" t="n">
        <v>274.19</v>
      </c>
      <c r="J107" s="25" t="n">
        <f aca="false">Summary!$B$4</f>
        <v>1</v>
      </c>
      <c r="K107" s="11" t="n">
        <f aca="false">I107*J107*IF(A107="SILVER",Summary!$B$5,Summary!$B$6)</f>
        <v>8225.7</v>
      </c>
      <c r="L107" s="26" t="n">
        <v>0.074</v>
      </c>
      <c r="M107" s="27" t="n">
        <f aca="false">IF(K107&gt;0,1,0)</f>
        <v>1</v>
      </c>
      <c r="N107" s="11" t="n">
        <f aca="false">SUMIFS(K$2:K107,A$2:A107,A107,B$2:B107,B107)</f>
        <v>131991.6</v>
      </c>
      <c r="O107" s="11" t="n">
        <f aca="false">MAX(0,_xlfn.MAXIFS(N$2:N107,A$2:A107,A107,B$2:B107,B107))</f>
        <v>131991.6</v>
      </c>
      <c r="P107" s="11" t="n">
        <f aca="false">N107-O107</f>
        <v>0</v>
      </c>
    </row>
    <row r="108" customFormat="false" ht="15" hidden="false" customHeight="false" outlineLevel="0" collapsed="false">
      <c r="A108" s="8" t="s">
        <v>26</v>
      </c>
      <c r="B108" s="8" t="s">
        <v>31</v>
      </c>
      <c r="C108" s="8" t="s">
        <v>62</v>
      </c>
      <c r="D108" s="21" t="n">
        <v>45792.4583333333</v>
      </c>
      <c r="E108" s="21" t="n">
        <v>45797.9166666667</v>
      </c>
      <c r="F108" s="22" t="n">
        <f aca="false">DATE(YEAR(E108),MONTH(E108),1)</f>
        <v>45778</v>
      </c>
      <c r="G108" s="23" t="n">
        <v>129020</v>
      </c>
      <c r="H108" s="8" t="s">
        <v>61</v>
      </c>
      <c r="I108" s="24" t="n">
        <v>-2939.12</v>
      </c>
      <c r="J108" s="25" t="n">
        <f aca="false">Summary!$B$4</f>
        <v>1</v>
      </c>
      <c r="K108" s="11" t="n">
        <f aca="false">I108*J108*IF(A108="SILVER",Summary!$B$5,Summary!$B$6)</f>
        <v>-88173.6</v>
      </c>
      <c r="L108" s="26" t="n">
        <v>-0.983</v>
      </c>
      <c r="M108" s="27" t="n">
        <f aca="false">IF(K108&gt;0,1,0)</f>
        <v>0</v>
      </c>
      <c r="N108" s="11" t="n">
        <f aca="false">SUMIFS(K$2:K108,A$2:A108,A108,B$2:B108,B108)</f>
        <v>43818</v>
      </c>
      <c r="O108" s="11" t="n">
        <f aca="false">MAX(0,_xlfn.MAXIFS(N$2:N108,A$2:A108,A108,B$2:B108,B108))</f>
        <v>131991.6</v>
      </c>
      <c r="P108" s="11" t="n">
        <f aca="false">N108-O108</f>
        <v>-88173.6</v>
      </c>
    </row>
    <row r="109" customFormat="false" ht="15" hidden="false" customHeight="false" outlineLevel="0" collapsed="false">
      <c r="A109" s="8" t="s">
        <v>26</v>
      </c>
      <c r="B109" s="8" t="s">
        <v>31</v>
      </c>
      <c r="C109" s="8" t="s">
        <v>62</v>
      </c>
      <c r="D109" s="21" t="n">
        <v>45799.7083333333</v>
      </c>
      <c r="E109" s="21" t="n">
        <v>45810.7916666667</v>
      </c>
      <c r="F109" s="22" t="n">
        <f aca="false">DATE(YEAR(E109),MONTH(E109),1)</f>
        <v>45809</v>
      </c>
      <c r="G109" s="23" t="n">
        <v>131701</v>
      </c>
      <c r="H109" s="8" t="s">
        <v>61</v>
      </c>
      <c r="I109" s="24" t="n">
        <v>-2677.64</v>
      </c>
      <c r="J109" s="25" t="n">
        <f aca="false">Summary!$B$4</f>
        <v>1</v>
      </c>
      <c r="K109" s="11" t="n">
        <f aca="false">I109*J109*IF(A109="SILVER",Summary!$B$5,Summary!$B$6)</f>
        <v>-80329.2</v>
      </c>
      <c r="L109" s="26" t="n">
        <v>-1.046</v>
      </c>
      <c r="M109" s="27" t="n">
        <f aca="false">IF(K109&gt;0,1,0)</f>
        <v>0</v>
      </c>
      <c r="N109" s="11" t="n">
        <f aca="false">SUMIFS(K$2:K109,A$2:A109,A109,B$2:B109,B109)</f>
        <v>-36511.2</v>
      </c>
      <c r="O109" s="11" t="n">
        <f aca="false">MAX(0,_xlfn.MAXIFS(N$2:N109,A$2:A109,A109,B$2:B109,B109))</f>
        <v>131991.6</v>
      </c>
      <c r="P109" s="11" t="n">
        <f aca="false">N109-O109</f>
        <v>-168502.8</v>
      </c>
    </row>
    <row r="110" customFormat="false" ht="15" hidden="false" customHeight="false" outlineLevel="0" collapsed="false">
      <c r="A110" s="8" t="s">
        <v>26</v>
      </c>
      <c r="B110" s="8" t="s">
        <v>31</v>
      </c>
      <c r="C110" s="8" t="s">
        <v>60</v>
      </c>
      <c r="D110" s="21" t="n">
        <v>45841.53125</v>
      </c>
      <c r="E110" s="21" t="n">
        <v>45853.875</v>
      </c>
      <c r="F110" s="22" t="n">
        <f aca="false">DATE(YEAR(E110),MONTH(E110),1)</f>
        <v>45839</v>
      </c>
      <c r="G110" s="23" t="n">
        <v>142205</v>
      </c>
      <c r="H110" s="8" t="s">
        <v>61</v>
      </c>
      <c r="I110" s="24" t="n">
        <v>3515.84</v>
      </c>
      <c r="J110" s="25" t="n">
        <f aca="false">Summary!$B$4</f>
        <v>1</v>
      </c>
      <c r="K110" s="11" t="n">
        <f aca="false">I110*J110*IF(A110="SILVER",Summary!$B$5,Summary!$B$6)</f>
        <v>105475.2</v>
      </c>
      <c r="L110" s="26" t="n">
        <v>1.461</v>
      </c>
      <c r="M110" s="27" t="n">
        <f aca="false">IF(K110&gt;0,1,0)</f>
        <v>1</v>
      </c>
      <c r="N110" s="11" t="n">
        <f aca="false">SUMIFS(K$2:K110,A$2:A110,A110,B$2:B110,B110)</f>
        <v>68964</v>
      </c>
      <c r="O110" s="11" t="n">
        <f aca="false">MAX(0,_xlfn.MAXIFS(N$2:N110,A$2:A110,A110,B$2:B110,B110))</f>
        <v>131991.6</v>
      </c>
      <c r="P110" s="11" t="n">
        <f aca="false">N110-O110</f>
        <v>-63027.6</v>
      </c>
    </row>
    <row r="111" customFormat="false" ht="15" hidden="false" customHeight="false" outlineLevel="0" collapsed="false">
      <c r="A111" s="8" t="s">
        <v>26</v>
      </c>
      <c r="B111" s="8" t="s">
        <v>31</v>
      </c>
      <c r="C111" s="8" t="s">
        <v>60</v>
      </c>
      <c r="D111" s="21" t="n">
        <v>45859.6666666667</v>
      </c>
      <c r="E111" s="21" t="n">
        <v>45863.8243055556</v>
      </c>
      <c r="F111" s="22" t="n">
        <f aca="false">DATE(YEAR(E111),MONTH(E111),1)</f>
        <v>45839</v>
      </c>
      <c r="G111" s="23" t="n">
        <v>148364</v>
      </c>
      <c r="H111" s="8" t="s">
        <v>64</v>
      </c>
      <c r="I111" s="24" t="n">
        <v>203.56</v>
      </c>
      <c r="J111" s="25" t="n">
        <f aca="false">Summary!$B$4</f>
        <v>1</v>
      </c>
      <c r="K111" s="11" t="n">
        <f aca="false">I111*J111*IF(A111="SILVER",Summary!$B$5,Summary!$B$6)</f>
        <v>6106.8</v>
      </c>
      <c r="L111" s="26" t="n">
        <v>0.086</v>
      </c>
      <c r="M111" s="27" t="n">
        <f aca="false">IF(K111&gt;0,1,0)</f>
        <v>1</v>
      </c>
      <c r="N111" s="11" t="n">
        <f aca="false">SUMIFS(K$2:K111,A$2:A111,A111,B$2:B111,B111)</f>
        <v>75070.8000000001</v>
      </c>
      <c r="O111" s="11" t="n">
        <f aca="false">MAX(0,_xlfn.MAXIFS(N$2:N111,A$2:A111,A111,B$2:B111,B111))</f>
        <v>131991.6</v>
      </c>
      <c r="P111" s="11" t="n">
        <f aca="false">N111-O111</f>
        <v>-56920.8</v>
      </c>
    </row>
    <row r="112" customFormat="false" ht="15" hidden="false" customHeight="false" outlineLevel="0" collapsed="false">
      <c r="A112" s="8" t="s">
        <v>26</v>
      </c>
      <c r="B112" s="8" t="s">
        <v>31</v>
      </c>
      <c r="C112" s="8" t="s">
        <v>60</v>
      </c>
      <c r="D112" s="21" t="n">
        <v>45873.5833333333</v>
      </c>
      <c r="E112" s="21" t="n">
        <v>45888.5</v>
      </c>
      <c r="F112" s="22" t="n">
        <f aca="false">DATE(YEAR(E112),MONTH(E112),1)</f>
        <v>45870</v>
      </c>
      <c r="G112" s="23" t="n">
        <v>146431</v>
      </c>
      <c r="H112" s="8" t="s">
        <v>61</v>
      </c>
      <c r="I112" s="24" t="n">
        <v>855.5</v>
      </c>
      <c r="J112" s="25" t="n">
        <f aca="false">Summary!$B$4</f>
        <v>1</v>
      </c>
      <c r="K112" s="11" t="n">
        <f aca="false">I112*J112*IF(A112="SILVER",Summary!$B$5,Summary!$B$6)</f>
        <v>25665</v>
      </c>
      <c r="L112" s="26" t="n">
        <v>0.278</v>
      </c>
      <c r="M112" s="27" t="n">
        <f aca="false">IF(K112&gt;0,1,0)</f>
        <v>1</v>
      </c>
      <c r="N112" s="11" t="n">
        <f aca="false">SUMIFS(K$2:K112,A$2:A112,A112,B$2:B112,B112)</f>
        <v>100735.8</v>
      </c>
      <c r="O112" s="11" t="n">
        <f aca="false">MAX(0,_xlfn.MAXIFS(N$2:N112,A$2:A112,A112,B$2:B112,B112))</f>
        <v>131991.6</v>
      </c>
      <c r="P112" s="11" t="n">
        <f aca="false">N112-O112</f>
        <v>-31255.8</v>
      </c>
    </row>
    <row r="113" customFormat="false" ht="15" hidden="false" customHeight="false" outlineLevel="0" collapsed="false">
      <c r="A113" s="8" t="s">
        <v>26</v>
      </c>
      <c r="B113" s="8" t="s">
        <v>31</v>
      </c>
      <c r="C113" s="8" t="s">
        <v>60</v>
      </c>
      <c r="D113" s="21" t="n">
        <v>45890.4166666667</v>
      </c>
      <c r="E113" s="21" t="n">
        <v>45908.4166666667</v>
      </c>
      <c r="F113" s="22" t="n">
        <f aca="false">DATE(YEAR(E113),MONTH(E113),1)</f>
        <v>45901</v>
      </c>
      <c r="G113" s="23" t="n">
        <v>147134</v>
      </c>
      <c r="H113" s="8" t="s">
        <v>61</v>
      </c>
      <c r="I113" s="24" t="n">
        <v>7960.59</v>
      </c>
      <c r="J113" s="25" t="n">
        <f aca="false">Summary!$B$4</f>
        <v>1</v>
      </c>
      <c r="K113" s="11" t="n">
        <f aca="false">I113*J113*IF(A113="SILVER",Summary!$B$5,Summary!$B$6)</f>
        <v>238817.7</v>
      </c>
      <c r="L113" s="26" t="n">
        <v>3.424</v>
      </c>
      <c r="M113" s="27" t="n">
        <f aca="false">IF(K113&gt;0,1,0)</f>
        <v>1</v>
      </c>
      <c r="N113" s="11" t="n">
        <f aca="false">SUMIFS(K$2:K113,A$2:A113,A113,B$2:B113,B113)</f>
        <v>339553.5</v>
      </c>
      <c r="O113" s="11" t="n">
        <f aca="false">MAX(0,_xlfn.MAXIFS(N$2:N113,A$2:A113,A113,B$2:B113,B113))</f>
        <v>339553.5</v>
      </c>
      <c r="P113" s="11" t="n">
        <f aca="false">N113-O113</f>
        <v>0</v>
      </c>
    </row>
    <row r="114" customFormat="false" ht="15" hidden="false" customHeight="false" outlineLevel="0" collapsed="false">
      <c r="A114" s="8" t="s">
        <v>26</v>
      </c>
      <c r="B114" s="8" t="s">
        <v>31</v>
      </c>
      <c r="C114" s="8" t="s">
        <v>60</v>
      </c>
      <c r="D114" s="21" t="n">
        <v>45912.4166666667</v>
      </c>
      <c r="E114" s="21" t="n">
        <v>45916.8756944445</v>
      </c>
      <c r="F114" s="22" t="n">
        <f aca="false">DATE(YEAR(E114),MONTH(E114),1)</f>
        <v>45901</v>
      </c>
      <c r="G114" s="23" t="n">
        <v>159701</v>
      </c>
      <c r="H114" s="8" t="s">
        <v>64</v>
      </c>
      <c r="I114" s="24" t="n">
        <v>300.43</v>
      </c>
      <c r="J114" s="25" t="n">
        <f aca="false">Summary!$B$4</f>
        <v>1</v>
      </c>
      <c r="K114" s="11" t="n">
        <f aca="false">I114*J114*IF(A114="SILVER",Summary!$B$5,Summary!$B$6)</f>
        <v>9012.9</v>
      </c>
      <c r="L114" s="26" t="n">
        <v>0.089</v>
      </c>
      <c r="M114" s="27" t="n">
        <f aca="false">IF(K114&gt;0,1,0)</f>
        <v>1</v>
      </c>
      <c r="N114" s="11" t="n">
        <f aca="false">SUMIFS(K$2:K114,A$2:A114,A114,B$2:B114,B114)</f>
        <v>348566.4</v>
      </c>
      <c r="O114" s="11" t="n">
        <f aca="false">MAX(0,_xlfn.MAXIFS(N$2:N114,A$2:A114,A114,B$2:B114,B114))</f>
        <v>348566.4</v>
      </c>
      <c r="P114" s="11" t="n">
        <f aca="false">N114-O114</f>
        <v>0</v>
      </c>
    </row>
    <row r="115" customFormat="false" ht="15" hidden="false" customHeight="false" outlineLevel="0" collapsed="false">
      <c r="A115" s="8" t="s">
        <v>26</v>
      </c>
      <c r="B115" s="8" t="s">
        <v>31</v>
      </c>
      <c r="C115" s="8" t="s">
        <v>60</v>
      </c>
      <c r="D115" s="21" t="n">
        <v>45919.875</v>
      </c>
      <c r="E115" s="21" t="n">
        <v>45940.4166666667</v>
      </c>
      <c r="F115" s="22" t="n">
        <f aca="false">DATE(YEAR(E115),MONTH(E115),1)</f>
        <v>45931</v>
      </c>
      <c r="G115" s="23" t="n">
        <v>160828</v>
      </c>
      <c r="H115" s="8" t="s">
        <v>61</v>
      </c>
      <c r="I115" s="24" t="n">
        <v>15943.5</v>
      </c>
      <c r="J115" s="25" t="n">
        <f aca="false">Summary!$B$4</f>
        <v>1</v>
      </c>
      <c r="K115" s="11" t="n">
        <f aca="false">I115*J115*IF(A115="SILVER",Summary!$B$5,Summary!$B$6)</f>
        <v>478305</v>
      </c>
      <c r="L115" s="26" t="n">
        <v>4.182</v>
      </c>
      <c r="M115" s="27" t="n">
        <f aca="false">IF(K115&gt;0,1,0)</f>
        <v>1</v>
      </c>
      <c r="N115" s="11" t="n">
        <f aca="false">SUMIFS(K$2:K115,A$2:A115,A115,B$2:B115,B115)</f>
        <v>826871.4</v>
      </c>
      <c r="O115" s="11" t="n">
        <f aca="false">MAX(0,_xlfn.MAXIFS(N$2:N115,A$2:A115,A115,B$2:B115,B115))</f>
        <v>826871.4</v>
      </c>
      <c r="P115" s="11" t="n">
        <f aca="false">N115-O115</f>
        <v>0</v>
      </c>
    </row>
    <row r="116" customFormat="false" ht="15" hidden="false" customHeight="false" outlineLevel="0" collapsed="false">
      <c r="A116" s="8" t="s">
        <v>26</v>
      </c>
      <c r="B116" s="8" t="s">
        <v>31</v>
      </c>
      <c r="C116" s="8" t="s">
        <v>60</v>
      </c>
      <c r="D116" s="21" t="n">
        <v>45943.8333333333</v>
      </c>
      <c r="E116" s="21" t="n">
        <v>45944.4951388889</v>
      </c>
      <c r="F116" s="22" t="n">
        <f aca="false">DATE(YEAR(E116),MONTH(E116),1)</f>
        <v>45931</v>
      </c>
      <c r="G116" s="23" t="n">
        <v>185630</v>
      </c>
      <c r="H116" s="8" t="s">
        <v>64</v>
      </c>
      <c r="I116" s="24" t="n">
        <v>803.57</v>
      </c>
      <c r="J116" s="25" t="n">
        <f aca="false">Summary!$B$4</f>
        <v>1</v>
      </c>
      <c r="K116" s="11" t="n">
        <f aca="false">I116*J116*IF(A116="SILVER",Summary!$B$5,Summary!$B$6)</f>
        <v>24107.1</v>
      </c>
      <c r="L116" s="26" t="n">
        <v>0.095</v>
      </c>
      <c r="M116" s="27" t="n">
        <f aca="false">IF(K116&gt;0,1,0)</f>
        <v>1</v>
      </c>
      <c r="N116" s="11" t="n">
        <f aca="false">SUMIFS(K$2:K116,A$2:A116,A116,B$2:B116,B116)</f>
        <v>850978.5</v>
      </c>
      <c r="O116" s="11" t="n">
        <f aca="false">MAX(0,_xlfn.MAXIFS(N$2:N116,A$2:A116,A116,B$2:B116,B116))</f>
        <v>850978.5</v>
      </c>
      <c r="P116" s="11" t="n">
        <f aca="false">N116-O116</f>
        <v>0</v>
      </c>
    </row>
    <row r="117" customFormat="false" ht="15" hidden="false" customHeight="false" outlineLevel="0" collapsed="false">
      <c r="A117" s="8" t="s">
        <v>26</v>
      </c>
      <c r="B117" s="8" t="s">
        <v>31</v>
      </c>
      <c r="C117" s="8" t="s">
        <v>60</v>
      </c>
      <c r="D117" s="21" t="n">
        <v>45960.8333333333</v>
      </c>
      <c r="E117" s="21" t="n">
        <v>45975.75</v>
      </c>
      <c r="F117" s="22" t="n">
        <f aca="false">DATE(YEAR(E117),MONTH(E117),1)</f>
        <v>45962</v>
      </c>
      <c r="G117" s="23" t="n">
        <v>179635</v>
      </c>
      <c r="H117" s="8" t="s">
        <v>61</v>
      </c>
      <c r="I117" s="24" t="n">
        <v>9052.43</v>
      </c>
      <c r="J117" s="25" t="n">
        <f aca="false">Summary!$B$4</f>
        <v>1</v>
      </c>
      <c r="K117" s="11" t="n">
        <f aca="false">I117*J117*IF(A117="SILVER",Summary!$B$5,Summary!$B$6)</f>
        <v>271572.9</v>
      </c>
      <c r="L117" s="26" t="n">
        <v>1.197</v>
      </c>
      <c r="M117" s="27" t="n">
        <f aca="false">IF(K117&gt;0,1,0)</f>
        <v>1</v>
      </c>
      <c r="N117" s="11" t="n">
        <f aca="false">SUMIFS(K$2:K117,A$2:A117,A117,B$2:B117,B117)</f>
        <v>1122551.4</v>
      </c>
      <c r="O117" s="11" t="n">
        <f aca="false">MAX(0,_xlfn.MAXIFS(N$2:N117,A$2:A117,A117,B$2:B117,B117))</f>
        <v>1122551.4</v>
      </c>
      <c r="P117" s="11" t="n">
        <f aca="false">N117-O117</f>
        <v>0</v>
      </c>
    </row>
    <row r="118" customFormat="false" ht="15" hidden="false" customHeight="false" outlineLevel="0" collapsed="false">
      <c r="A118" s="8" t="s">
        <v>26</v>
      </c>
      <c r="B118" s="8" t="s">
        <v>31</v>
      </c>
      <c r="C118" s="8" t="s">
        <v>60</v>
      </c>
      <c r="D118" s="21" t="n">
        <v>45987.7083333333</v>
      </c>
      <c r="E118" s="21" t="n">
        <v>46003.9583333333</v>
      </c>
      <c r="F118" s="22" t="n">
        <f aca="false">DATE(YEAR(E118),MONTH(E118),1)</f>
        <v>45992</v>
      </c>
      <c r="G118" s="23" t="n">
        <v>190470</v>
      </c>
      <c r="H118" s="8" t="s">
        <v>61</v>
      </c>
      <c r="I118" s="24" t="n">
        <v>29264.67</v>
      </c>
      <c r="J118" s="25" t="n">
        <f aca="false">Summary!$B$4</f>
        <v>1</v>
      </c>
      <c r="K118" s="11" t="n">
        <f aca="false">I118*J118*IF(A118="SILVER",Summary!$B$5,Summary!$B$6)</f>
        <v>877940.1</v>
      </c>
      <c r="L118" s="26" t="n">
        <v>5.619</v>
      </c>
      <c r="M118" s="27" t="n">
        <f aca="false">IF(K118&gt;0,1,0)</f>
        <v>1</v>
      </c>
      <c r="N118" s="11" t="n">
        <f aca="false">SUMIFS(K$2:K118,A$2:A118,A118,B$2:B118,B118)</f>
        <v>2000491.5</v>
      </c>
      <c r="O118" s="11" t="n">
        <f aca="false">MAX(0,_xlfn.MAXIFS(N$2:N118,A$2:A118,A118,B$2:B118,B118))</f>
        <v>2000491.5</v>
      </c>
      <c r="P118" s="11" t="n">
        <f aca="false">N118-O118</f>
        <v>0</v>
      </c>
    </row>
    <row r="119" customFormat="false" ht="15" hidden="false" customHeight="false" outlineLevel="0" collapsed="false">
      <c r="A119" s="8" t="s">
        <v>26</v>
      </c>
      <c r="B119" s="8" t="s">
        <v>31</v>
      </c>
      <c r="C119" s="8" t="s">
        <v>60</v>
      </c>
      <c r="D119" s="21" t="n">
        <v>46008.4166666667</v>
      </c>
      <c r="E119" s="21" t="n">
        <v>46020.8333333333</v>
      </c>
      <c r="F119" s="22" t="n">
        <f aca="false">DATE(YEAR(E119),MONTH(E119),1)</f>
        <v>45992</v>
      </c>
      <c r="G119" s="23" t="n">
        <v>232886</v>
      </c>
      <c r="H119" s="8" t="s">
        <v>61</v>
      </c>
      <c r="I119" s="24" t="n">
        <v>21894.86</v>
      </c>
      <c r="J119" s="25" t="n">
        <f aca="false">Summary!$B$4</f>
        <v>1</v>
      </c>
      <c r="K119" s="11" t="n">
        <f aca="false">I119*J119*IF(A119="SILVER",Summary!$B$5,Summary!$B$6)</f>
        <v>656845.8</v>
      </c>
      <c r="L119" s="26" t="n">
        <v>1.672</v>
      </c>
      <c r="M119" s="27" t="n">
        <f aca="false">IF(K119&gt;0,1,0)</f>
        <v>1</v>
      </c>
      <c r="N119" s="11" t="n">
        <f aca="false">SUMIFS(K$2:K119,A$2:A119,A119,B$2:B119,B119)</f>
        <v>2657337.3</v>
      </c>
      <c r="O119" s="11" t="n">
        <f aca="false">MAX(0,_xlfn.MAXIFS(N$2:N119,A$2:A119,A119,B$2:B119,B119))</f>
        <v>2657337.3</v>
      </c>
      <c r="P119" s="11" t="n">
        <f aca="false">N119-O119</f>
        <v>0</v>
      </c>
    </row>
    <row r="120" customFormat="false" ht="15" hidden="false" customHeight="false" outlineLevel="0" collapsed="false">
      <c r="A120" s="8" t="s">
        <v>26</v>
      </c>
      <c r="B120" s="8" t="s">
        <v>31</v>
      </c>
      <c r="C120" s="8" t="s">
        <v>60</v>
      </c>
      <c r="D120" s="21" t="n">
        <v>46022.375</v>
      </c>
      <c r="E120" s="21" t="n">
        <v>46027.3770833333</v>
      </c>
      <c r="F120" s="22" t="n">
        <f aca="false">DATE(YEAR(E120),MONTH(E120),1)</f>
        <v>46023</v>
      </c>
      <c r="G120" s="23" t="n">
        <v>269734</v>
      </c>
      <c r="H120" s="8" t="s">
        <v>64</v>
      </c>
      <c r="I120" s="24" t="n">
        <v>1315.87</v>
      </c>
      <c r="J120" s="25" t="n">
        <f aca="false">Summary!$B$4</f>
        <v>1</v>
      </c>
      <c r="K120" s="11" t="n">
        <f aca="false">I120*J120*IF(A120="SILVER",Summary!$B$5,Summary!$B$6)</f>
        <v>39476.1</v>
      </c>
      <c r="L120" s="26" t="n">
        <v>0.096</v>
      </c>
      <c r="M120" s="27" t="n">
        <f aca="false">IF(K120&gt;0,1,0)</f>
        <v>1</v>
      </c>
      <c r="N120" s="11" t="n">
        <f aca="false">SUMIFS(K$2:K120,A$2:A120,A120,B$2:B120,B120)</f>
        <v>2696813.4</v>
      </c>
      <c r="O120" s="11" t="n">
        <f aca="false">MAX(0,_xlfn.MAXIFS(N$2:N120,A$2:A120,A120,B$2:B120,B120))</f>
        <v>2696813.4</v>
      </c>
      <c r="P120" s="11" t="n">
        <f aca="false">N120-O120</f>
        <v>0</v>
      </c>
    </row>
    <row r="121" customFormat="false" ht="15" hidden="false" customHeight="false" outlineLevel="0" collapsed="false">
      <c r="A121" s="8" t="s">
        <v>26</v>
      </c>
      <c r="B121" s="8" t="s">
        <v>31</v>
      </c>
      <c r="C121" s="8" t="s">
        <v>60</v>
      </c>
      <c r="D121" s="21" t="n">
        <v>46031.875</v>
      </c>
      <c r="E121" s="21" t="n">
        <v>46044.4166666667</v>
      </c>
      <c r="F121" s="22" t="n">
        <f aca="false">DATE(YEAR(E121),MONTH(E121),1)</f>
        <v>46023</v>
      </c>
      <c r="G121" s="23" t="n">
        <v>282934</v>
      </c>
      <c r="H121" s="8" t="s">
        <v>61</v>
      </c>
      <c r="I121" s="24" t="n">
        <v>51086.97</v>
      </c>
      <c r="J121" s="25" t="n">
        <f aca="false">Summary!$B$4</f>
        <v>1</v>
      </c>
      <c r="K121" s="11" t="n">
        <f aca="false">I121*J121*IF(A121="SILVER",Summary!$B$5,Summary!$B$6)</f>
        <v>1532609.1</v>
      </c>
      <c r="L121" s="26" t="n">
        <v>2.62</v>
      </c>
      <c r="M121" s="27" t="n">
        <f aca="false">IF(K121&gt;0,1,0)</f>
        <v>1</v>
      </c>
      <c r="N121" s="11" t="n">
        <f aca="false">SUMIFS(K$2:K121,A$2:A121,A121,B$2:B121,B121)</f>
        <v>4229422.5</v>
      </c>
      <c r="O121" s="11" t="n">
        <f aca="false">MAX(0,_xlfn.MAXIFS(N$2:N121,A$2:A121,A121,B$2:B121,B121))</f>
        <v>4229422.5</v>
      </c>
      <c r="P121" s="11" t="n">
        <f aca="false">N121-O121</f>
        <v>0</v>
      </c>
    </row>
    <row r="122" customFormat="false" ht="15" hidden="false" customHeight="false" outlineLevel="0" collapsed="false">
      <c r="A122" s="8" t="s">
        <v>26</v>
      </c>
      <c r="B122" s="8" t="s">
        <v>31</v>
      </c>
      <c r="C122" s="8" t="s">
        <v>60</v>
      </c>
      <c r="D122" s="21" t="n">
        <v>46049.4166666667</v>
      </c>
      <c r="E122" s="21" t="n">
        <v>46051.8659722222</v>
      </c>
      <c r="F122" s="22" t="n">
        <f aca="false">DATE(YEAR(E122),MONTH(E122),1)</f>
        <v>46023</v>
      </c>
      <c r="G122" s="23" t="n">
        <v>385184</v>
      </c>
      <c r="H122" s="8" t="s">
        <v>64</v>
      </c>
      <c r="I122" s="24" t="n">
        <v>3975.44</v>
      </c>
      <c r="J122" s="25" t="n">
        <f aca="false">Summary!$B$4</f>
        <v>1</v>
      </c>
      <c r="K122" s="11" t="n">
        <f aca="false">I122*J122*IF(A122="SILVER",Summary!$B$5,Summary!$B$6)</f>
        <v>119263.2</v>
      </c>
      <c r="L122" s="26" t="n">
        <v>0.098</v>
      </c>
      <c r="M122" s="27" t="n">
        <f aca="false">IF(K122&gt;0,1,0)</f>
        <v>1</v>
      </c>
      <c r="N122" s="11" t="n">
        <f aca="false">SUMIFS(K$2:K122,A$2:A122,A122,B$2:B122,B122)</f>
        <v>4348685.7</v>
      </c>
      <c r="O122" s="11" t="n">
        <f aca="false">MAX(0,_xlfn.MAXIFS(N$2:N122,A$2:A122,A122,B$2:B122,B122))</f>
        <v>4348685.7</v>
      </c>
      <c r="P122" s="11" t="n">
        <f aca="false">N122-O122</f>
        <v>0</v>
      </c>
    </row>
    <row r="123" customFormat="false" ht="15" hidden="false" customHeight="false" outlineLevel="0" collapsed="false">
      <c r="A123" s="8" t="s">
        <v>26</v>
      </c>
      <c r="B123" s="8" t="s">
        <v>31</v>
      </c>
      <c r="C123" s="8" t="s">
        <v>62</v>
      </c>
      <c r="D123" s="21" t="n">
        <v>46083.9201388889</v>
      </c>
      <c r="E123" s="21" t="n">
        <v>46085.3993055556</v>
      </c>
      <c r="F123" s="22" t="n">
        <f aca="false">DATE(YEAR(E123),MONTH(E123),1)</f>
        <v>46082</v>
      </c>
      <c r="G123" s="23" t="n">
        <v>297434</v>
      </c>
      <c r="H123" s="8" t="s">
        <v>64</v>
      </c>
      <c r="I123" s="24" t="n">
        <v>2036.15</v>
      </c>
      <c r="J123" s="25" t="n">
        <f aca="false">Summary!$B$4</f>
        <v>1</v>
      </c>
      <c r="K123" s="11" t="n">
        <f aca="false">I123*J123*IF(A123="SILVER",Summary!$B$5,Summary!$B$6)</f>
        <v>61084.5</v>
      </c>
      <c r="L123" s="26" t="n">
        <v>0.093</v>
      </c>
      <c r="M123" s="27" t="n">
        <f aca="false">IF(K123&gt;0,1,0)</f>
        <v>1</v>
      </c>
      <c r="N123" s="11" t="n">
        <f aca="false">SUMIFS(K$2:K123,A$2:A123,A123,B$2:B123,B123)</f>
        <v>4409770.2</v>
      </c>
      <c r="O123" s="11" t="n">
        <f aca="false">MAX(0,_xlfn.MAXIFS(N$2:N123,A$2:A123,A123,B$2:B123,B123))</f>
        <v>4409770.2</v>
      </c>
      <c r="P123" s="11" t="n">
        <f aca="false">N123-O123</f>
        <v>0</v>
      </c>
    </row>
    <row r="124" customFormat="false" ht="15" hidden="false" customHeight="false" outlineLevel="0" collapsed="false">
      <c r="A124" s="8" t="s">
        <v>26</v>
      </c>
      <c r="B124" s="8" t="s">
        <v>31</v>
      </c>
      <c r="C124" s="8" t="s">
        <v>62</v>
      </c>
      <c r="D124" s="21" t="n">
        <v>46094.5</v>
      </c>
      <c r="E124" s="21" t="n">
        <v>46098.4166666667</v>
      </c>
      <c r="F124" s="22" t="n">
        <f aca="false">DATE(YEAR(E124),MONTH(E124),1)</f>
        <v>46082</v>
      </c>
      <c r="G124" s="23" t="n">
        <v>281173</v>
      </c>
      <c r="H124" s="8" t="s">
        <v>64</v>
      </c>
      <c r="I124" s="24" t="n">
        <v>1515.94</v>
      </c>
      <c r="J124" s="25" t="n">
        <f aca="false">Summary!$B$4</f>
        <v>1</v>
      </c>
      <c r="K124" s="11" t="n">
        <f aca="false">I124*J124*IF(A124="SILVER",Summary!$B$5,Summary!$B$6)</f>
        <v>45478.2</v>
      </c>
      <c r="L124" s="26" t="n">
        <v>0.096</v>
      </c>
      <c r="M124" s="27" t="n">
        <f aca="false">IF(K124&gt;0,1,0)</f>
        <v>1</v>
      </c>
      <c r="N124" s="11" t="n">
        <f aca="false">SUMIFS(K$2:K124,A$2:A124,A124,B$2:B124,B124)</f>
        <v>4455248.4</v>
      </c>
      <c r="O124" s="11" t="n">
        <f aca="false">MAX(0,_xlfn.MAXIFS(N$2:N124,A$2:A124,A124,B$2:B124,B124))</f>
        <v>4455248.4</v>
      </c>
      <c r="P124" s="11" t="n">
        <f aca="false">N124-O124</f>
        <v>0</v>
      </c>
    </row>
    <row r="125" customFormat="false" ht="15" hidden="false" customHeight="false" outlineLevel="0" collapsed="false">
      <c r="A125" s="8" t="s">
        <v>26</v>
      </c>
      <c r="B125" s="8" t="s">
        <v>31</v>
      </c>
      <c r="C125" s="8" t="s">
        <v>62</v>
      </c>
      <c r="D125" s="21" t="n">
        <v>46114.5</v>
      </c>
      <c r="E125" s="21" t="n">
        <v>46120.4166666667</v>
      </c>
      <c r="F125" s="22" t="n">
        <f aca="false">DATE(YEAR(E125),MONTH(E125),1)</f>
        <v>46113</v>
      </c>
      <c r="G125" s="23" t="n">
        <v>243669</v>
      </c>
      <c r="H125" s="8" t="s">
        <v>61</v>
      </c>
      <c r="I125" s="24" t="n">
        <v>-17620.03</v>
      </c>
      <c r="J125" s="25" t="n">
        <f aca="false">Summary!$B$4</f>
        <v>1</v>
      </c>
      <c r="K125" s="11" t="n">
        <f aca="false">I125*J125*IF(A125="SILVER",Summary!$B$5,Summary!$B$6)</f>
        <v>-528600.9</v>
      </c>
      <c r="L125" s="26" t="n">
        <v>-0.852</v>
      </c>
      <c r="M125" s="27" t="n">
        <f aca="false">IF(K125&gt;0,1,0)</f>
        <v>0</v>
      </c>
      <c r="N125" s="11" t="n">
        <f aca="false">SUMIFS(K$2:K125,A$2:A125,A125,B$2:B125,B125)</f>
        <v>3926647.5</v>
      </c>
      <c r="O125" s="11" t="n">
        <f aca="false">MAX(0,_xlfn.MAXIFS(N$2:N125,A$2:A125,A125,B$2:B125,B125))</f>
        <v>4455248.4</v>
      </c>
      <c r="P125" s="11" t="n">
        <f aca="false">N125-O125</f>
        <v>-528600.9</v>
      </c>
    </row>
    <row r="126" customFormat="false" ht="15" hidden="false" customHeight="false" outlineLevel="0" collapsed="false">
      <c r="A126" s="8" t="s">
        <v>26</v>
      </c>
      <c r="B126" s="8" t="s">
        <v>31</v>
      </c>
      <c r="C126" s="8" t="s">
        <v>62</v>
      </c>
      <c r="D126" s="21" t="n">
        <v>46133.875</v>
      </c>
      <c r="E126" s="21" t="n">
        <v>46136.70625</v>
      </c>
      <c r="F126" s="22" t="n">
        <f aca="false">DATE(YEAR(E126),MONTH(E126),1)</f>
        <v>46113</v>
      </c>
      <c r="G126" s="23" t="n">
        <v>262733</v>
      </c>
      <c r="H126" s="8" t="s">
        <v>64</v>
      </c>
      <c r="I126" s="24" t="n">
        <v>1181.78</v>
      </c>
      <c r="J126" s="25" t="n">
        <f aca="false">Summary!$B$4</f>
        <v>1</v>
      </c>
      <c r="K126" s="11" t="n">
        <f aca="false">I126*J126*IF(A126="SILVER",Summary!$B$5,Summary!$B$6)</f>
        <v>35453.4</v>
      </c>
      <c r="L126" s="26" t="n">
        <v>0.095</v>
      </c>
      <c r="M126" s="27" t="n">
        <f aca="false">IF(K126&gt;0,1,0)</f>
        <v>1</v>
      </c>
      <c r="N126" s="11" t="n">
        <f aca="false">SUMIFS(K$2:K126,A$2:A126,A126,B$2:B126,B126)</f>
        <v>3962100.9</v>
      </c>
      <c r="O126" s="11" t="n">
        <f aca="false">MAX(0,_xlfn.MAXIFS(N$2:N126,A$2:A126,A126,B$2:B126,B126))</f>
        <v>4455248.4</v>
      </c>
      <c r="P126" s="11" t="n">
        <f aca="false">N126-O126</f>
        <v>-493147.5</v>
      </c>
    </row>
    <row r="127" customFormat="false" ht="15" hidden="false" customHeight="false" outlineLevel="0" collapsed="false">
      <c r="A127" s="8" t="s">
        <v>26</v>
      </c>
      <c r="B127" s="8" t="s">
        <v>31</v>
      </c>
      <c r="C127" s="8" t="s">
        <v>62</v>
      </c>
      <c r="D127" s="21" t="n">
        <v>46147.5819444444</v>
      </c>
      <c r="E127" s="21" t="n">
        <v>46149.6666666667</v>
      </c>
      <c r="F127" s="22" t="n">
        <f aca="false">DATE(YEAR(E127),MONTH(E127),1)</f>
        <v>46143</v>
      </c>
      <c r="G127" s="23" t="n">
        <v>257385</v>
      </c>
      <c r="H127" s="8" t="s">
        <v>61</v>
      </c>
      <c r="I127" s="24" t="n">
        <v>-10335.79</v>
      </c>
      <c r="J127" s="25" t="n">
        <f aca="false">Summary!$B$4</f>
        <v>1</v>
      </c>
      <c r="K127" s="11" t="n">
        <f aca="false">I127*J127*IF(A127="SILVER",Summary!$B$5,Summary!$B$6)</f>
        <v>-310073.7</v>
      </c>
      <c r="L127" s="26" t="n">
        <v>-1.065</v>
      </c>
      <c r="M127" s="27" t="n">
        <f aca="false">IF(K127&gt;0,1,0)</f>
        <v>0</v>
      </c>
      <c r="N127" s="11" t="n">
        <f aca="false">SUMIFS(K$2:K127,A$2:A127,A127,B$2:B127,B127)</f>
        <v>3652027.2</v>
      </c>
      <c r="O127" s="11" t="n">
        <f aca="false">MAX(0,_xlfn.MAXIFS(N$2:N127,A$2:A127,A127,B$2:B127,B127))</f>
        <v>4455248.4</v>
      </c>
      <c r="P127" s="11" t="n">
        <f aca="false">N127-O127</f>
        <v>-803221.2</v>
      </c>
    </row>
    <row r="128" customFormat="false" ht="15" hidden="false" customHeight="false" outlineLevel="0" collapsed="false">
      <c r="A128" s="8" t="s">
        <v>26</v>
      </c>
      <c r="B128" s="8" t="s">
        <v>31</v>
      </c>
      <c r="C128" s="8" t="s">
        <v>62</v>
      </c>
      <c r="D128" s="21" t="n">
        <v>46157.4166666667</v>
      </c>
      <c r="E128" s="21" t="n">
        <v>46188.375</v>
      </c>
      <c r="F128" s="22" t="n">
        <f aca="false">DATE(YEAR(E128),MONTH(E128),1)</f>
        <v>46174</v>
      </c>
      <c r="G128" s="23" t="n">
        <v>289569</v>
      </c>
      <c r="H128" s="8" t="s">
        <v>61</v>
      </c>
      <c r="I128" s="24" t="n">
        <v>30974.07</v>
      </c>
      <c r="J128" s="25" t="n">
        <f aca="false">Summary!$B$4</f>
        <v>1</v>
      </c>
      <c r="K128" s="11" t="n">
        <f aca="false">I128*J128*IF(A128="SILVER",Summary!$B$5,Summary!$B$6)</f>
        <v>929222.1</v>
      </c>
      <c r="L128" s="26" t="n">
        <v>1.771</v>
      </c>
      <c r="M128" s="27" t="n">
        <f aca="false">IF(K128&gt;0,1,0)</f>
        <v>1</v>
      </c>
      <c r="N128" s="11" t="n">
        <f aca="false">SUMIFS(K$2:K128,A$2:A128,A128,B$2:B128,B128)</f>
        <v>4581249.3</v>
      </c>
      <c r="O128" s="11" t="n">
        <f aca="false">MAX(0,_xlfn.MAXIFS(N$2:N128,A$2:A128,A128,B$2:B128,B128))</f>
        <v>4581249.3</v>
      </c>
      <c r="P128" s="11" t="n">
        <f aca="false">N128-O128</f>
        <v>0</v>
      </c>
    </row>
    <row r="129" customFormat="false" ht="15" hidden="false" customHeight="false" outlineLevel="0" collapsed="false">
      <c r="A129" s="8" t="s">
        <v>26</v>
      </c>
      <c r="B129" s="8" t="s">
        <v>31</v>
      </c>
      <c r="C129" s="8" t="s">
        <v>62</v>
      </c>
      <c r="D129" s="21" t="n">
        <v>46191.7083333333</v>
      </c>
      <c r="E129" s="21" t="n">
        <v>46203.7958333333</v>
      </c>
      <c r="F129" s="22" t="n">
        <f aca="false">DATE(YEAR(E129),MONTH(E129),1)</f>
        <v>46174</v>
      </c>
      <c r="G129" s="23" t="n">
        <v>248264</v>
      </c>
      <c r="H129" s="8" t="s">
        <v>61</v>
      </c>
      <c r="I129" s="24" t="n">
        <v>16488.27</v>
      </c>
      <c r="J129" s="25" t="n">
        <f aca="false">Summary!$B$4</f>
        <v>1</v>
      </c>
      <c r="K129" s="11" t="n">
        <f aca="false">I129*J129*IF(A129="SILVER",Summary!$B$5,Summary!$B$6)</f>
        <v>494648.1</v>
      </c>
      <c r="L129" s="26" t="n">
        <v>1.458</v>
      </c>
      <c r="M129" s="27" t="n">
        <f aca="false">IF(K129&gt;0,1,0)</f>
        <v>1</v>
      </c>
      <c r="N129" s="11" t="n">
        <f aca="false">SUMIFS(K$2:K129,A$2:A129,A129,B$2:B129,B129)</f>
        <v>5075897.4</v>
      </c>
      <c r="O129" s="11" t="n">
        <f aca="false">MAX(0,_xlfn.MAXIFS(N$2:N129,A$2:A129,A129,B$2:B129,B129))</f>
        <v>5075897.4</v>
      </c>
      <c r="P129" s="11" t="n">
        <f aca="false">N129-O129</f>
        <v>0</v>
      </c>
    </row>
    <row r="130" customFormat="false" ht="15" hidden="false" customHeight="false" outlineLevel="0" collapsed="false">
      <c r="A130" s="8" t="s">
        <v>26</v>
      </c>
      <c r="B130" s="8" t="s">
        <v>31</v>
      </c>
      <c r="C130" s="8" t="s">
        <v>62</v>
      </c>
      <c r="D130" s="21" t="n">
        <v>46211.4166666667</v>
      </c>
      <c r="E130" s="21" t="n">
        <v>46224.5</v>
      </c>
      <c r="F130" s="22" t="n">
        <f aca="false">DATE(YEAR(E130),MONTH(E130),1)</f>
        <v>46204</v>
      </c>
      <c r="G130" s="23" t="n">
        <v>234047</v>
      </c>
      <c r="H130" s="8" t="s">
        <v>61</v>
      </c>
      <c r="I130" s="24" t="n">
        <v>6933.82</v>
      </c>
      <c r="J130" s="25" t="n">
        <f aca="false">Summary!$B$4</f>
        <v>1</v>
      </c>
      <c r="K130" s="11" t="n">
        <f aca="false">I130*J130*IF(A130="SILVER",Summary!$B$5,Summary!$B$6)</f>
        <v>208014.6</v>
      </c>
      <c r="L130" s="26" t="n">
        <v>0.802</v>
      </c>
      <c r="M130" s="27" t="n">
        <f aca="false">IF(K130&gt;0,1,0)</f>
        <v>1</v>
      </c>
      <c r="N130" s="11" t="n">
        <f aca="false">SUMIFS(K$2:K130,A$2:A130,A130,B$2:B130,B130)</f>
        <v>5283912</v>
      </c>
      <c r="O130" s="11" t="n">
        <f aca="false">MAX(0,_xlfn.MAXIFS(N$2:N130,A$2:A130,A130,B$2:B130,B130))</f>
        <v>5283912</v>
      </c>
      <c r="P130" s="11" t="n">
        <f aca="false">N130-O130</f>
        <v>0</v>
      </c>
    </row>
    <row r="131" customFormat="false" ht="15" hidden="false" customHeight="false" outlineLevel="0" collapsed="false">
      <c r="A131" s="8" t="s">
        <v>26</v>
      </c>
      <c r="B131" s="8" t="s">
        <v>31</v>
      </c>
      <c r="C131" s="8" t="s">
        <v>62</v>
      </c>
      <c r="D131" s="21" t="n">
        <v>46226.7916666667</v>
      </c>
      <c r="E131" s="21" t="n">
        <v>46233.7326388889</v>
      </c>
      <c r="F131" s="22" t="n">
        <f aca="false">DATE(YEAR(E131),MONTH(E131),1)</f>
        <v>46204</v>
      </c>
      <c r="G131" s="23" t="n">
        <v>224807</v>
      </c>
      <c r="H131" s="8" t="s">
        <v>64</v>
      </c>
      <c r="I131" s="24" t="n">
        <v>693.5</v>
      </c>
      <c r="J131" s="25" t="n">
        <f aca="false">Summary!$B$4</f>
        <v>1</v>
      </c>
      <c r="K131" s="11" t="n">
        <f aca="false">I131*J131*IF(A131="SILVER",Summary!$B$5,Summary!$B$6)</f>
        <v>20805</v>
      </c>
      <c r="L131" s="26" t="n">
        <v>0.093</v>
      </c>
      <c r="M131" s="27" t="n">
        <f aca="false">IF(K131&gt;0,1,0)</f>
        <v>1</v>
      </c>
      <c r="N131" s="11" t="n">
        <f aca="false">SUMIFS(K$2:K131,A$2:A131,A131,B$2:B131,B131)</f>
        <v>5304717</v>
      </c>
      <c r="O131" s="11" t="n">
        <f aca="false">MAX(0,_xlfn.MAXIFS(N$2:N131,A$2:A131,A131,B$2:B131,B131))</f>
        <v>5304717</v>
      </c>
      <c r="P131" s="11" t="n">
        <f aca="false">N131-O131</f>
        <v>0</v>
      </c>
    </row>
    <row r="132" customFormat="false" ht="15" hidden="false" customHeight="false" outlineLevel="0" collapsed="false">
      <c r="A132" s="8" t="s">
        <v>26</v>
      </c>
      <c r="B132" s="8" t="s">
        <v>31</v>
      </c>
      <c r="C132" s="8" t="s">
        <v>62</v>
      </c>
      <c r="D132" s="21" t="n">
        <v>46253.4166666667</v>
      </c>
      <c r="E132" s="21" t="n">
        <v>46253.8333333333</v>
      </c>
      <c r="F132" s="22" t="n">
        <f aca="false">DATE(YEAR(E132),MONTH(E132),1)</f>
        <v>46235</v>
      </c>
      <c r="G132" s="23" t="n">
        <v>233357</v>
      </c>
      <c r="H132" s="8" t="s">
        <v>61</v>
      </c>
      <c r="I132" s="24" t="n">
        <v>-7502.47</v>
      </c>
      <c r="J132" s="25" t="n">
        <f aca="false">Summary!$B$4</f>
        <v>1</v>
      </c>
      <c r="K132" s="11" t="n">
        <f aca="false">I132*J132*IF(A132="SILVER",Summary!$B$5,Summary!$B$6)</f>
        <v>-225074.1</v>
      </c>
      <c r="L132" s="26" t="n">
        <v>-0.893</v>
      </c>
      <c r="M132" s="27" t="n">
        <f aca="false">IF(K132&gt;0,1,0)</f>
        <v>0</v>
      </c>
      <c r="N132" s="11" t="n">
        <f aca="false">SUMIFS(K$2:K132,A$2:A132,A132,B$2:B132,B132)</f>
        <v>5079642.9</v>
      </c>
      <c r="O132" s="11" t="n">
        <f aca="false">MAX(0,_xlfn.MAXIFS(N$2:N132,A$2:A132,A132,B$2:B132,B132))</f>
        <v>5304717</v>
      </c>
      <c r="P132" s="11" t="n">
        <f aca="false">N132-O132</f>
        <v>-225074.1</v>
      </c>
    </row>
    <row r="133" customFormat="false" ht="15" hidden="false" customHeight="false" outlineLevel="0" collapsed="false">
      <c r="A133" s="8" t="s">
        <v>26</v>
      </c>
      <c r="B133" s="8" t="s">
        <v>31</v>
      </c>
      <c r="C133" s="8" t="s">
        <v>62</v>
      </c>
      <c r="D133" s="21" t="n">
        <v>46261.375</v>
      </c>
      <c r="E133" s="21" t="n">
        <v>46262.5173611111</v>
      </c>
      <c r="F133" s="22" t="n">
        <f aca="false">DATE(YEAR(E133),MONTH(E133),1)</f>
        <v>46235</v>
      </c>
      <c r="G133" s="23" t="n">
        <v>247656</v>
      </c>
      <c r="H133" s="8" t="s">
        <v>64</v>
      </c>
      <c r="I133" s="24" t="n">
        <v>497.09</v>
      </c>
      <c r="J133" s="25" t="n">
        <f aca="false">Summary!$B$4</f>
        <v>1</v>
      </c>
      <c r="K133" s="11" t="n">
        <f aca="false">I133*J133*IF(A133="SILVER",Summary!$B$5,Summary!$B$6)</f>
        <v>14912.7</v>
      </c>
      <c r="L133" s="26" t="n">
        <v>0.09</v>
      </c>
      <c r="M133" s="27" t="n">
        <f aca="false">IF(K133&gt;0,1,0)</f>
        <v>1</v>
      </c>
      <c r="N133" s="11" t="n">
        <f aca="false">SUMIFS(K$2:K133,A$2:A133,A133,B$2:B133,B133)</f>
        <v>5094555.6</v>
      </c>
      <c r="O133" s="11" t="n">
        <f aca="false">MAX(0,_xlfn.MAXIFS(N$2:N133,A$2:A133,A133,B$2:B133,B133))</f>
        <v>5304717</v>
      </c>
      <c r="P133" s="11" t="n">
        <f aca="false">N133-O133</f>
        <v>-210161.399999999</v>
      </c>
    </row>
    <row r="134" customFormat="false" ht="15" hidden="false" customHeight="false" outlineLevel="0" collapsed="false">
      <c r="A134" s="8" t="s">
        <v>26</v>
      </c>
      <c r="B134" s="8" t="s">
        <v>31</v>
      </c>
      <c r="C134" s="8" t="s">
        <v>62</v>
      </c>
      <c r="D134" s="21" t="n">
        <v>46275.875</v>
      </c>
      <c r="E134" s="21" t="n">
        <v>46281.375</v>
      </c>
      <c r="F134" s="22" t="n">
        <f aca="false">DATE(YEAR(E134),MONTH(E134),1)</f>
        <v>46266</v>
      </c>
      <c r="G134" s="23" t="n">
        <v>235114</v>
      </c>
      <c r="H134" s="8" t="s">
        <v>64</v>
      </c>
      <c r="I134" s="24" t="n">
        <v>-728.01</v>
      </c>
      <c r="J134" s="25" t="n">
        <f aca="false">Summary!$B$4</f>
        <v>1</v>
      </c>
      <c r="K134" s="11" t="n">
        <f aca="false">I134*J134*IF(A134="SILVER",Summary!$B$5,Summary!$B$6)</f>
        <v>-21840.3</v>
      </c>
      <c r="L134" s="26" t="n">
        <v>-0.074</v>
      </c>
      <c r="M134" s="27" t="n">
        <f aca="false">IF(K134&gt;0,1,0)</f>
        <v>0</v>
      </c>
      <c r="N134" s="11" t="n">
        <f aca="false">SUMIFS(K$2:K134,A$2:A134,A134,B$2:B134,B134)</f>
        <v>5072715.3</v>
      </c>
      <c r="O134" s="11" t="n">
        <f aca="false">MAX(0,_xlfn.MAXIFS(N$2:N134,A$2:A134,A134,B$2:B134,B134))</f>
        <v>5304717</v>
      </c>
      <c r="P134" s="11" t="n">
        <f aca="false">N134-O134</f>
        <v>-232001.7</v>
      </c>
    </row>
    <row r="135" customFormat="false" ht="15" hidden="false" customHeight="false" outlineLevel="0" collapsed="false">
      <c r="A135" s="8" t="s">
        <v>26</v>
      </c>
      <c r="B135" s="8" t="s">
        <v>33</v>
      </c>
      <c r="C135" s="8" t="s">
        <v>62</v>
      </c>
      <c r="D135" s="21" t="n">
        <v>45702.9583333333</v>
      </c>
      <c r="E135" s="21" t="n">
        <v>45721.4493055556</v>
      </c>
      <c r="F135" s="22" t="n">
        <f aca="false">DATE(YEAR(E135),MONTH(E135),1)</f>
        <v>45717</v>
      </c>
      <c r="G135" s="23" t="n">
        <v>134531</v>
      </c>
      <c r="H135" s="8" t="s">
        <v>64</v>
      </c>
      <c r="I135" s="24" t="n">
        <v>278.93</v>
      </c>
      <c r="J135" s="25" t="n">
        <f aca="false">Summary!$B$4</f>
        <v>1</v>
      </c>
      <c r="K135" s="11" t="n">
        <f aca="false">I135*J135*IF(A135="SILVER",Summary!$B$5,Summary!$B$6)</f>
        <v>8367.9</v>
      </c>
      <c r="L135" s="26" t="n">
        <v>0.085</v>
      </c>
      <c r="M135" s="27" t="n">
        <f aca="false">IF(K135&gt;0,1,0)</f>
        <v>1</v>
      </c>
      <c r="N135" s="11" t="n">
        <f aca="false">SUMIFS(K$2:K135,A$2:A135,A135,B$2:B135,B135)</f>
        <v>8367.9</v>
      </c>
      <c r="O135" s="11" t="n">
        <f aca="false">MAX(0,_xlfn.MAXIFS(N$2:N135,A$2:A135,A135,B$2:B135,B135))</f>
        <v>8367.9</v>
      </c>
      <c r="P135" s="11" t="n">
        <f aca="false">N135-O135</f>
        <v>0</v>
      </c>
    </row>
    <row r="136" customFormat="false" ht="15" hidden="false" customHeight="false" outlineLevel="0" collapsed="false">
      <c r="A136" s="8" t="s">
        <v>26</v>
      </c>
      <c r="B136" s="8" t="s">
        <v>33</v>
      </c>
      <c r="C136" s="8" t="s">
        <v>62</v>
      </c>
      <c r="D136" s="21" t="n">
        <v>45736.7083333333</v>
      </c>
      <c r="E136" s="21" t="n">
        <v>45741.7</v>
      </c>
      <c r="F136" s="22" t="n">
        <f aca="false">DATE(YEAR(E136),MONTH(E136),1)</f>
        <v>45717</v>
      </c>
      <c r="G136" s="23" t="n">
        <v>135923</v>
      </c>
      <c r="H136" s="8" t="s">
        <v>64</v>
      </c>
      <c r="I136" s="24" t="n">
        <v>223.15</v>
      </c>
      <c r="J136" s="25" t="n">
        <f aca="false">Summary!$B$4</f>
        <v>1</v>
      </c>
      <c r="K136" s="11" t="n">
        <f aca="false">I136*J136*IF(A136="SILVER",Summary!$B$5,Summary!$B$6)</f>
        <v>6694.5</v>
      </c>
      <c r="L136" s="26" t="n">
        <v>0.088</v>
      </c>
      <c r="M136" s="27" t="n">
        <f aca="false">IF(K136&gt;0,1,0)</f>
        <v>1</v>
      </c>
      <c r="N136" s="11" t="n">
        <f aca="false">SUMIFS(K$2:K136,A$2:A136,A136,B$2:B136,B136)</f>
        <v>15062.4</v>
      </c>
      <c r="O136" s="11" t="n">
        <f aca="false">MAX(0,_xlfn.MAXIFS(N$2:N136,A$2:A136,A136,B$2:B136,B136))</f>
        <v>15062.4</v>
      </c>
      <c r="P136" s="11" t="n">
        <f aca="false">N136-O136</f>
        <v>0</v>
      </c>
    </row>
    <row r="137" customFormat="false" ht="15" hidden="false" customHeight="false" outlineLevel="0" collapsed="false">
      <c r="A137" s="8" t="s">
        <v>26</v>
      </c>
      <c r="B137" s="8" t="s">
        <v>33</v>
      </c>
      <c r="C137" s="8" t="s">
        <v>62</v>
      </c>
      <c r="D137" s="21" t="n">
        <v>45777.6263888889</v>
      </c>
      <c r="E137" s="21" t="n">
        <v>45778.7666666667</v>
      </c>
      <c r="F137" s="22" t="n">
        <f aca="false">DATE(YEAR(E137),MONTH(E137),1)</f>
        <v>45778</v>
      </c>
      <c r="G137" s="23" t="n">
        <v>131167</v>
      </c>
      <c r="H137" s="8" t="s">
        <v>64</v>
      </c>
      <c r="I137" s="24" t="n">
        <v>241.2</v>
      </c>
      <c r="J137" s="25" t="n">
        <f aca="false">Summary!$B$4</f>
        <v>1</v>
      </c>
      <c r="K137" s="11" t="n">
        <f aca="false">I137*J137*IF(A137="SILVER",Summary!$B$5,Summary!$B$6)</f>
        <v>7236</v>
      </c>
      <c r="L137" s="26" t="n">
        <v>0.082</v>
      </c>
      <c r="M137" s="27" t="n">
        <f aca="false">IF(K137&gt;0,1,0)</f>
        <v>1</v>
      </c>
      <c r="N137" s="11" t="n">
        <f aca="false">SUMIFS(K$2:K137,A$2:A137,A137,B$2:B137,B137)</f>
        <v>22298.4</v>
      </c>
      <c r="O137" s="11" t="n">
        <f aca="false">MAX(0,_xlfn.MAXIFS(N$2:N137,A$2:A137,A137,B$2:B137,B137))</f>
        <v>22298.4</v>
      </c>
      <c r="P137" s="11" t="n">
        <f aca="false">N137-O137</f>
        <v>0</v>
      </c>
    </row>
    <row r="138" customFormat="false" ht="15" hidden="false" customHeight="false" outlineLevel="0" collapsed="false">
      <c r="A138" s="8" t="s">
        <v>26</v>
      </c>
      <c r="B138" s="8" t="s">
        <v>33</v>
      </c>
      <c r="C138" s="8" t="s">
        <v>60</v>
      </c>
      <c r="D138" s="21" t="n">
        <v>45841.5423611111</v>
      </c>
      <c r="E138" s="21" t="n">
        <v>45848.8048611111</v>
      </c>
      <c r="F138" s="22" t="n">
        <f aca="false">DATE(YEAR(E138),MONTH(E138),1)</f>
        <v>45839</v>
      </c>
      <c r="G138" s="23" t="n">
        <v>142559</v>
      </c>
      <c r="H138" s="8" t="s">
        <v>64</v>
      </c>
      <c r="I138" s="24" t="n">
        <v>185.2</v>
      </c>
      <c r="J138" s="25" t="n">
        <f aca="false">Summary!$B$4</f>
        <v>1</v>
      </c>
      <c r="K138" s="11" t="n">
        <f aca="false">I138*J138*IF(A138="SILVER",Summary!$B$5,Summary!$B$6)</f>
        <v>5556</v>
      </c>
      <c r="L138" s="26" t="n">
        <v>0.075</v>
      </c>
      <c r="M138" s="27" t="n">
        <f aca="false">IF(K138&gt;0,1,0)</f>
        <v>1</v>
      </c>
      <c r="N138" s="11" t="n">
        <f aca="false">SUMIFS(K$2:K138,A$2:A138,A138,B$2:B138,B138)</f>
        <v>27854.4</v>
      </c>
      <c r="O138" s="11" t="n">
        <f aca="false">MAX(0,_xlfn.MAXIFS(N$2:N138,A$2:A138,A138,B$2:B138,B138))</f>
        <v>27854.4</v>
      </c>
      <c r="P138" s="11" t="n">
        <f aca="false">N138-O138</f>
        <v>0</v>
      </c>
    </row>
    <row r="139" customFormat="false" ht="15" hidden="false" customHeight="false" outlineLevel="0" collapsed="false">
      <c r="A139" s="8" t="s">
        <v>26</v>
      </c>
      <c r="B139" s="8" t="s">
        <v>33</v>
      </c>
      <c r="C139" s="8" t="s">
        <v>60</v>
      </c>
      <c r="D139" s="21" t="n">
        <v>45890.4583333333</v>
      </c>
      <c r="E139" s="21" t="n">
        <v>45908.4166666667</v>
      </c>
      <c r="F139" s="22" t="n">
        <f aca="false">DATE(YEAR(E139),MONTH(E139),1)</f>
        <v>45901</v>
      </c>
      <c r="G139" s="23" t="n">
        <v>147184</v>
      </c>
      <c r="H139" s="8" t="s">
        <v>61</v>
      </c>
      <c r="I139" s="24" t="n">
        <v>7910.58</v>
      </c>
      <c r="J139" s="25" t="n">
        <f aca="false">Summary!$B$4</f>
        <v>1</v>
      </c>
      <c r="K139" s="11" t="n">
        <f aca="false">I139*J139*IF(A139="SILVER",Summary!$B$5,Summary!$B$6)</f>
        <v>237317.4</v>
      </c>
      <c r="L139" s="26" t="n">
        <v>3.536</v>
      </c>
      <c r="M139" s="27" t="n">
        <f aca="false">IF(K139&gt;0,1,0)</f>
        <v>1</v>
      </c>
      <c r="N139" s="11" t="n">
        <f aca="false">SUMIFS(K$2:K139,A$2:A139,A139,B$2:B139,B139)</f>
        <v>265171.8</v>
      </c>
      <c r="O139" s="11" t="n">
        <f aca="false">MAX(0,_xlfn.MAXIFS(N$2:N139,A$2:A139,A139,B$2:B139,B139))</f>
        <v>265171.8</v>
      </c>
      <c r="P139" s="11" t="n">
        <f aca="false">N139-O139</f>
        <v>0</v>
      </c>
    </row>
    <row r="140" customFormat="false" ht="15" hidden="false" customHeight="false" outlineLevel="0" collapsed="false">
      <c r="A140" s="8" t="s">
        <v>26</v>
      </c>
      <c r="B140" s="8" t="s">
        <v>33</v>
      </c>
      <c r="C140" s="8" t="s">
        <v>60</v>
      </c>
      <c r="D140" s="21" t="n">
        <v>45912.4583333333</v>
      </c>
      <c r="E140" s="21" t="n">
        <v>45916.8756944445</v>
      </c>
      <c r="F140" s="22" t="n">
        <f aca="false">DATE(YEAR(E140),MONTH(E140),1)</f>
        <v>45901</v>
      </c>
      <c r="G140" s="23" t="n">
        <v>159736</v>
      </c>
      <c r="H140" s="8" t="s">
        <v>64</v>
      </c>
      <c r="I140" s="24" t="n">
        <v>261.88</v>
      </c>
      <c r="J140" s="25" t="n">
        <f aca="false">Summary!$B$4</f>
        <v>1</v>
      </c>
      <c r="K140" s="11" t="n">
        <f aca="false">I140*J140*IF(A140="SILVER",Summary!$B$5,Summary!$B$6)</f>
        <v>7856.4</v>
      </c>
      <c r="L140" s="26" t="n">
        <v>0.088</v>
      </c>
      <c r="M140" s="27" t="n">
        <f aca="false">IF(K140&gt;0,1,0)</f>
        <v>1</v>
      </c>
      <c r="N140" s="11" t="n">
        <f aca="false">SUMIFS(K$2:K140,A$2:A140,A140,B$2:B140,B140)</f>
        <v>273028.2</v>
      </c>
      <c r="O140" s="11" t="n">
        <f aca="false">MAX(0,_xlfn.MAXIFS(N$2:N140,A$2:A140,A140,B$2:B140,B140))</f>
        <v>273028.2</v>
      </c>
      <c r="P140" s="11" t="n">
        <f aca="false">N140-O140</f>
        <v>0</v>
      </c>
    </row>
    <row r="141" customFormat="false" ht="15" hidden="false" customHeight="false" outlineLevel="0" collapsed="false">
      <c r="A141" s="8" t="s">
        <v>26</v>
      </c>
      <c r="B141" s="8" t="s">
        <v>33</v>
      </c>
      <c r="C141" s="8" t="s">
        <v>60</v>
      </c>
      <c r="D141" s="21" t="n">
        <v>45960.875</v>
      </c>
      <c r="E141" s="21" t="n">
        <v>45975.75</v>
      </c>
      <c r="F141" s="22" t="n">
        <f aca="false">DATE(YEAR(E141),MONTH(E141),1)</f>
        <v>45962</v>
      </c>
      <c r="G141" s="23" t="n">
        <v>180058</v>
      </c>
      <c r="H141" s="8" t="s">
        <v>61</v>
      </c>
      <c r="I141" s="24" t="n">
        <v>8629.39</v>
      </c>
      <c r="J141" s="25" t="n">
        <f aca="false">Summary!$B$4</f>
        <v>1</v>
      </c>
      <c r="K141" s="11" t="n">
        <f aca="false">I141*J141*IF(A141="SILVER",Summary!$B$5,Summary!$B$6)</f>
        <v>258881.7</v>
      </c>
      <c r="L141" s="26" t="n">
        <v>1.2</v>
      </c>
      <c r="M141" s="27" t="n">
        <f aca="false">IF(K141&gt;0,1,0)</f>
        <v>1</v>
      </c>
      <c r="N141" s="11" t="n">
        <f aca="false">SUMIFS(K$2:K141,A$2:A141,A141,B$2:B141,B141)</f>
        <v>531909.9</v>
      </c>
      <c r="O141" s="11" t="n">
        <f aca="false">MAX(0,_xlfn.MAXIFS(N$2:N141,A$2:A141,A141,B$2:B141,B141))</f>
        <v>531909.9</v>
      </c>
      <c r="P141" s="11" t="n">
        <f aca="false">N141-O141</f>
        <v>0</v>
      </c>
    </row>
    <row r="142" customFormat="false" ht="15" hidden="false" customHeight="false" outlineLevel="0" collapsed="false">
      <c r="A142" s="8" t="s">
        <v>26</v>
      </c>
      <c r="B142" s="8" t="s">
        <v>33</v>
      </c>
      <c r="C142" s="8" t="s">
        <v>60</v>
      </c>
      <c r="D142" s="21" t="n">
        <v>46008.4583333333</v>
      </c>
      <c r="E142" s="21" t="n">
        <v>46020.8333333333</v>
      </c>
      <c r="F142" s="22" t="n">
        <f aca="false">DATE(YEAR(E142),MONTH(E142),1)</f>
        <v>45992</v>
      </c>
      <c r="G142" s="23" t="n">
        <v>233232</v>
      </c>
      <c r="H142" s="8" t="s">
        <v>61</v>
      </c>
      <c r="I142" s="24" t="n">
        <v>21548.83</v>
      </c>
      <c r="J142" s="25" t="n">
        <f aca="false">Summary!$B$4</f>
        <v>1</v>
      </c>
      <c r="K142" s="11" t="n">
        <f aca="false">I142*J142*IF(A142="SILVER",Summary!$B$5,Summary!$B$6)</f>
        <v>646464.9</v>
      </c>
      <c r="L142" s="26" t="n">
        <v>1.975</v>
      </c>
      <c r="M142" s="27" t="n">
        <f aca="false">IF(K142&gt;0,1,0)</f>
        <v>1</v>
      </c>
      <c r="N142" s="11" t="n">
        <f aca="false">SUMIFS(K$2:K142,A$2:A142,A142,B$2:B142,B142)</f>
        <v>1178374.8</v>
      </c>
      <c r="O142" s="11" t="n">
        <f aca="false">MAX(0,_xlfn.MAXIFS(N$2:N142,A$2:A142,A142,B$2:B142,B142))</f>
        <v>1178374.8</v>
      </c>
      <c r="P142" s="11" t="n">
        <f aca="false">N142-O142</f>
        <v>0</v>
      </c>
    </row>
    <row r="143" customFormat="false" ht="15" hidden="false" customHeight="false" outlineLevel="0" collapsed="false">
      <c r="A143" s="8" t="s">
        <v>26</v>
      </c>
      <c r="B143" s="8" t="s">
        <v>33</v>
      </c>
      <c r="C143" s="8" t="s">
        <v>60</v>
      </c>
      <c r="D143" s="21" t="n">
        <v>46031.9166666667</v>
      </c>
      <c r="E143" s="21" t="n">
        <v>46044.4166666667</v>
      </c>
      <c r="F143" s="22" t="n">
        <f aca="false">DATE(YEAR(E143),MONTH(E143),1)</f>
        <v>46023</v>
      </c>
      <c r="G143" s="23" t="n">
        <v>283054</v>
      </c>
      <c r="H143" s="8" t="s">
        <v>61</v>
      </c>
      <c r="I143" s="24" t="n">
        <v>50966.94</v>
      </c>
      <c r="J143" s="25" t="n">
        <f aca="false">Summary!$B$4</f>
        <v>1</v>
      </c>
      <c r="K143" s="11" t="n">
        <f aca="false">I143*J143*IF(A143="SILVER",Summary!$B$5,Summary!$B$6)</f>
        <v>1529008.2</v>
      </c>
      <c r="L143" s="26" t="n">
        <v>2.974</v>
      </c>
      <c r="M143" s="27" t="n">
        <f aca="false">IF(K143&gt;0,1,0)</f>
        <v>1</v>
      </c>
      <c r="N143" s="11" t="n">
        <f aca="false">SUMIFS(K$2:K143,A$2:A143,A143,B$2:B143,B143)</f>
        <v>2707383</v>
      </c>
      <c r="O143" s="11" t="n">
        <f aca="false">MAX(0,_xlfn.MAXIFS(N$2:N143,A$2:A143,A143,B$2:B143,B143))</f>
        <v>2707383</v>
      </c>
      <c r="P143" s="11" t="n">
        <f aca="false">N143-O143</f>
        <v>0</v>
      </c>
    </row>
    <row r="144" customFormat="false" ht="15" hidden="false" customHeight="false" outlineLevel="0" collapsed="false">
      <c r="A144" s="8" t="s">
        <v>26</v>
      </c>
      <c r="B144" s="8" t="s">
        <v>33</v>
      </c>
      <c r="C144" s="8" t="s">
        <v>62</v>
      </c>
      <c r="D144" s="21" t="n">
        <v>46094.5416666667</v>
      </c>
      <c r="E144" s="21" t="n">
        <v>46098.375</v>
      </c>
      <c r="F144" s="22" t="n">
        <f aca="false">DATE(YEAR(E144),MONTH(E144),1)</f>
        <v>46082</v>
      </c>
      <c r="G144" s="23" t="n">
        <v>279385</v>
      </c>
      <c r="H144" s="8" t="s">
        <v>64</v>
      </c>
      <c r="I144" s="24" t="n">
        <v>480.61</v>
      </c>
      <c r="J144" s="25" t="n">
        <f aca="false">Summary!$B$4</f>
        <v>1</v>
      </c>
      <c r="K144" s="11" t="n">
        <f aca="false">I144*J144*IF(A144="SILVER",Summary!$B$5,Summary!$B$6)</f>
        <v>14418.3</v>
      </c>
      <c r="L144" s="26" t="n">
        <v>0.032</v>
      </c>
      <c r="M144" s="27" t="n">
        <f aca="false">IF(K144&gt;0,1,0)</f>
        <v>1</v>
      </c>
      <c r="N144" s="11" t="n">
        <f aca="false">SUMIFS(K$2:K144,A$2:A144,A144,B$2:B144,B144)</f>
        <v>2721801.3</v>
      </c>
      <c r="O144" s="11" t="n">
        <f aca="false">MAX(0,_xlfn.MAXIFS(N$2:N144,A$2:A144,A144,B$2:B144,B144))</f>
        <v>2721801.3</v>
      </c>
      <c r="P144" s="11" t="n">
        <f aca="false">N144-O144</f>
        <v>0</v>
      </c>
    </row>
    <row r="145" customFormat="false" ht="15" hidden="false" customHeight="false" outlineLevel="0" collapsed="false">
      <c r="A145" s="8" t="s">
        <v>26</v>
      </c>
      <c r="B145" s="8" t="s">
        <v>33</v>
      </c>
      <c r="C145" s="8" t="s">
        <v>62</v>
      </c>
      <c r="D145" s="21" t="n">
        <v>46133.9166666667</v>
      </c>
      <c r="E145" s="21" t="n">
        <v>46136.6923611111</v>
      </c>
      <c r="F145" s="22" t="n">
        <f aca="false">DATE(YEAR(E145),MONTH(E145),1)</f>
        <v>46113</v>
      </c>
      <c r="G145" s="23" t="n">
        <v>261514</v>
      </c>
      <c r="H145" s="8" t="s">
        <v>64</v>
      </c>
      <c r="I145" s="24" t="n">
        <v>1079.4</v>
      </c>
      <c r="J145" s="25" t="n">
        <f aca="false">Summary!$B$4</f>
        <v>1</v>
      </c>
      <c r="K145" s="11" t="n">
        <f aca="false">I145*J145*IF(A145="SILVER",Summary!$B$5,Summary!$B$6)</f>
        <v>32382</v>
      </c>
      <c r="L145" s="26" t="n">
        <v>0.095</v>
      </c>
      <c r="M145" s="27" t="n">
        <f aca="false">IF(K145&gt;0,1,0)</f>
        <v>1</v>
      </c>
      <c r="N145" s="11" t="n">
        <f aca="false">SUMIFS(K$2:K145,A$2:A145,A145,B$2:B145,B145)</f>
        <v>2754183.3</v>
      </c>
      <c r="O145" s="11" t="n">
        <f aca="false">MAX(0,_xlfn.MAXIFS(N$2:N145,A$2:A145,A145,B$2:B145,B145))</f>
        <v>2754183.3</v>
      </c>
      <c r="P145" s="11" t="n">
        <f aca="false">N145-O145</f>
        <v>0</v>
      </c>
    </row>
    <row r="146" customFormat="false" ht="15" hidden="false" customHeight="false" outlineLevel="0" collapsed="false">
      <c r="A146" s="8" t="s">
        <v>26</v>
      </c>
      <c r="B146" s="8" t="s">
        <v>33</v>
      </c>
      <c r="C146" s="8" t="s">
        <v>62</v>
      </c>
      <c r="D146" s="21" t="n">
        <v>46157.4583333333</v>
      </c>
      <c r="E146" s="21" t="n">
        <v>46160.7180555556</v>
      </c>
      <c r="F146" s="22" t="n">
        <f aca="false">DATE(YEAR(E146),MONTH(E146),1)</f>
        <v>46143</v>
      </c>
      <c r="G146" s="23" t="n">
        <v>285797</v>
      </c>
      <c r="H146" s="8" t="s">
        <v>64</v>
      </c>
      <c r="I146" s="24" t="n">
        <v>2003.76</v>
      </c>
      <c r="J146" s="25" t="n">
        <f aca="false">Summary!$B$4</f>
        <v>1</v>
      </c>
      <c r="K146" s="11" t="n">
        <f aca="false">I146*J146*IF(A146="SILVER",Summary!$B$5,Summary!$B$6)</f>
        <v>60112.8</v>
      </c>
      <c r="L146" s="26" t="n">
        <v>0.097</v>
      </c>
      <c r="M146" s="27" t="n">
        <f aca="false">IF(K146&gt;0,1,0)</f>
        <v>1</v>
      </c>
      <c r="N146" s="11" t="n">
        <f aca="false">SUMIFS(K$2:K146,A$2:A146,A146,B$2:B146,B146)</f>
        <v>2814296.1</v>
      </c>
      <c r="O146" s="11" t="n">
        <f aca="false">MAX(0,_xlfn.MAXIFS(N$2:N146,A$2:A146,A146,B$2:B146,B146))</f>
        <v>2814296.1</v>
      </c>
      <c r="P146" s="11" t="n">
        <f aca="false">N146-O146</f>
        <v>0</v>
      </c>
    </row>
    <row r="147" customFormat="false" ht="15" hidden="false" customHeight="false" outlineLevel="0" collapsed="false">
      <c r="A147" s="8" t="s">
        <v>26</v>
      </c>
      <c r="B147" s="8" t="s">
        <v>33</v>
      </c>
      <c r="C147" s="8" t="s">
        <v>62</v>
      </c>
      <c r="D147" s="21" t="n">
        <v>46191.75</v>
      </c>
      <c r="E147" s="21" t="n">
        <v>46203.7958333333</v>
      </c>
      <c r="F147" s="22" t="n">
        <f aca="false">DATE(YEAR(E147),MONTH(E147),1)</f>
        <v>46174</v>
      </c>
      <c r="G147" s="23" t="n">
        <v>246858</v>
      </c>
      <c r="H147" s="8" t="s">
        <v>61</v>
      </c>
      <c r="I147" s="24" t="n">
        <v>15082.41</v>
      </c>
      <c r="J147" s="25" t="n">
        <f aca="false">Summary!$B$4</f>
        <v>1</v>
      </c>
      <c r="K147" s="11" t="n">
        <f aca="false">I147*J147*IF(A147="SILVER",Summary!$B$5,Summary!$B$6)</f>
        <v>452472.3</v>
      </c>
      <c r="L147" s="26" t="n">
        <v>1.394</v>
      </c>
      <c r="M147" s="27" t="n">
        <f aca="false">IF(K147&gt;0,1,0)</f>
        <v>1</v>
      </c>
      <c r="N147" s="11" t="n">
        <f aca="false">SUMIFS(K$2:K147,A$2:A147,A147,B$2:B147,B147)</f>
        <v>3266768.4</v>
      </c>
      <c r="O147" s="11" t="n">
        <f aca="false">MAX(0,_xlfn.MAXIFS(N$2:N147,A$2:A147,A147,B$2:B147,B147))</f>
        <v>3266768.4</v>
      </c>
      <c r="P147" s="11" t="n">
        <f aca="false">N147-O147</f>
        <v>0</v>
      </c>
    </row>
    <row r="148" customFormat="false" ht="15" hidden="false" customHeight="false" outlineLevel="0" collapsed="false">
      <c r="A148" s="8" t="s">
        <v>26</v>
      </c>
      <c r="B148" s="8" t="s">
        <v>33</v>
      </c>
      <c r="C148" s="8" t="s">
        <v>62</v>
      </c>
      <c r="D148" s="21" t="n">
        <v>46211.4583333333</v>
      </c>
      <c r="E148" s="21" t="n">
        <v>46224.5</v>
      </c>
      <c r="F148" s="22" t="n">
        <f aca="false">DATE(YEAR(E148),MONTH(E148),1)</f>
        <v>46204</v>
      </c>
      <c r="G148" s="23" t="n">
        <v>233719</v>
      </c>
      <c r="H148" s="8" t="s">
        <v>61</v>
      </c>
      <c r="I148" s="24" t="n">
        <v>6605.85</v>
      </c>
      <c r="J148" s="25" t="n">
        <f aca="false">Summary!$B$4</f>
        <v>1</v>
      </c>
      <c r="K148" s="11" t="n">
        <f aca="false">I148*J148*IF(A148="SILVER",Summary!$B$5,Summary!$B$6)</f>
        <v>198175.5</v>
      </c>
      <c r="L148" s="26" t="n">
        <v>0.767</v>
      </c>
      <c r="M148" s="27" t="n">
        <f aca="false">IF(K148&gt;0,1,0)</f>
        <v>1</v>
      </c>
      <c r="N148" s="11" t="n">
        <f aca="false">SUMIFS(K$2:K148,A$2:A148,A148,B$2:B148,B148)</f>
        <v>3464943.9</v>
      </c>
      <c r="O148" s="11" t="n">
        <f aca="false">MAX(0,_xlfn.MAXIFS(N$2:N148,A$2:A148,A148,B$2:B148,B148))</f>
        <v>3464943.9</v>
      </c>
      <c r="P148" s="11" t="n">
        <f aca="false">N148-O148</f>
        <v>0</v>
      </c>
    </row>
    <row r="149" customFormat="false" ht="15" hidden="false" customHeight="false" outlineLevel="0" collapsed="false">
      <c r="A149" s="8" t="s">
        <v>26</v>
      </c>
      <c r="B149" s="8" t="s">
        <v>33</v>
      </c>
      <c r="C149" s="8" t="s">
        <v>62</v>
      </c>
      <c r="D149" s="21" t="n">
        <v>46261.4166666667</v>
      </c>
      <c r="E149" s="21" t="n">
        <v>46268.8743055556</v>
      </c>
      <c r="F149" s="22" t="n">
        <f aca="false">DATE(YEAR(E149),MONTH(E149),1)</f>
        <v>46266</v>
      </c>
      <c r="G149" s="23" t="n">
        <v>242161</v>
      </c>
      <c r="H149" s="8" t="s">
        <v>64</v>
      </c>
      <c r="I149" s="24" t="n">
        <v>976.61</v>
      </c>
      <c r="J149" s="25" t="n">
        <f aca="false">Summary!$B$4</f>
        <v>1</v>
      </c>
      <c r="K149" s="11" t="n">
        <f aca="false">I149*J149*IF(A149="SILVER",Summary!$B$5,Summary!$B$6)</f>
        <v>29298.3</v>
      </c>
      <c r="L149" s="26" t="n">
        <v>0.088</v>
      </c>
      <c r="M149" s="27" t="n">
        <f aca="false">IF(K149&gt;0,1,0)</f>
        <v>1</v>
      </c>
      <c r="N149" s="11" t="n">
        <f aca="false">SUMIFS(K$2:K149,A$2:A149,A149,B$2:B149,B149)</f>
        <v>3494242.2</v>
      </c>
      <c r="O149" s="11" t="n">
        <f aca="false">MAX(0,_xlfn.MAXIFS(N$2:N149,A$2:A149,A149,B$2:B149,B149))</f>
        <v>3494242.2</v>
      </c>
      <c r="P149" s="11" t="n">
        <f aca="false">N149-O149</f>
        <v>0</v>
      </c>
    </row>
    <row r="150" customFormat="false" ht="15" hidden="false" customHeight="false" outlineLevel="0" collapsed="false">
      <c r="A150" s="8" t="s">
        <v>26</v>
      </c>
      <c r="B150" s="8" t="s">
        <v>33</v>
      </c>
      <c r="C150" s="8" t="s">
        <v>62</v>
      </c>
      <c r="D150" s="21" t="n">
        <v>46275.9166666667</v>
      </c>
      <c r="E150" s="21" t="n">
        <v>46283.4583333333</v>
      </c>
      <c r="F150" s="22" t="n">
        <f aca="false">DATE(YEAR(E150),MONTH(E150),1)</f>
        <v>46266</v>
      </c>
      <c r="G150" s="23" t="n">
        <v>234352</v>
      </c>
      <c r="H150" s="8" t="s">
        <v>61</v>
      </c>
      <c r="I150" s="24" t="n">
        <v>-5934.46</v>
      </c>
      <c r="J150" s="25" t="n">
        <f aca="false">Summary!$B$4</f>
        <v>1</v>
      </c>
      <c r="K150" s="11" t="n">
        <f aca="false">I150*J150*IF(A150="SILVER",Summary!$B$5,Summary!$B$6)</f>
        <v>-178033.8</v>
      </c>
      <c r="L150" s="26" t="n">
        <v>-0.601</v>
      </c>
      <c r="M150" s="27" t="n">
        <f aca="false">IF(K150&gt;0,1,0)</f>
        <v>0</v>
      </c>
      <c r="N150" s="11" t="n">
        <f aca="false">SUMIFS(K$2:K150,A$2:A150,A150,B$2:B150,B150)</f>
        <v>3316208.4</v>
      </c>
      <c r="O150" s="11" t="n">
        <f aca="false">MAX(0,_xlfn.MAXIFS(N$2:N150,A$2:A150,A150,B$2:B150,B150))</f>
        <v>3494242.2</v>
      </c>
      <c r="P150" s="11" t="n">
        <f aca="false">N150-O150</f>
        <v>-178033.8</v>
      </c>
    </row>
    <row r="151" customFormat="false" ht="15" hidden="false" customHeight="false" outlineLevel="0" collapsed="false">
      <c r="A151" s="8" t="s">
        <v>26</v>
      </c>
      <c r="B151" s="8" t="s">
        <v>35</v>
      </c>
      <c r="C151" s="8" t="s">
        <v>62</v>
      </c>
      <c r="D151" s="21" t="n">
        <v>45699.4166666667</v>
      </c>
      <c r="E151" s="21" t="n">
        <v>45699.8423611111</v>
      </c>
      <c r="F151" s="22" t="n">
        <f aca="false">DATE(YEAR(E151),MONTH(E151),1)</f>
        <v>45689</v>
      </c>
      <c r="G151" s="23" t="n">
        <v>133508</v>
      </c>
      <c r="H151" s="8" t="s">
        <v>64</v>
      </c>
      <c r="I151" s="24" t="n">
        <v>167.07</v>
      </c>
      <c r="J151" s="25" t="n">
        <f aca="false">Summary!$B$4</f>
        <v>1</v>
      </c>
      <c r="K151" s="11" t="n">
        <f aca="false">I151*J151*IF(A151="SILVER",Summary!$B$5,Summary!$B$6)</f>
        <v>5012.1</v>
      </c>
      <c r="L151" s="26" t="n">
        <v>0.085</v>
      </c>
      <c r="M151" s="27" t="n">
        <f aca="false">IF(K151&gt;0,1,0)</f>
        <v>1</v>
      </c>
      <c r="N151" s="11" t="n">
        <f aca="false">SUMIFS(K$2:K151,A$2:A151,A151,B$2:B151,B151)</f>
        <v>5012.1</v>
      </c>
      <c r="O151" s="11" t="n">
        <f aca="false">MAX(0,_xlfn.MAXIFS(N$2:N151,A$2:A151,A151,B$2:B151,B151))</f>
        <v>5012.1</v>
      </c>
      <c r="P151" s="11" t="n">
        <f aca="false">N151-O151</f>
        <v>0</v>
      </c>
    </row>
    <row r="152" customFormat="false" ht="15" hidden="false" customHeight="false" outlineLevel="0" collapsed="false">
      <c r="A152" s="8" t="s">
        <v>26</v>
      </c>
      <c r="B152" s="8" t="s">
        <v>35</v>
      </c>
      <c r="C152" s="8" t="s">
        <v>62</v>
      </c>
      <c r="D152" s="21" t="n">
        <v>45702.875</v>
      </c>
      <c r="E152" s="21" t="n">
        <v>45706.4597222222</v>
      </c>
      <c r="F152" s="22" t="n">
        <f aca="false">DATE(YEAR(E152),MONTH(E152),1)</f>
        <v>45689</v>
      </c>
      <c r="G152" s="23" t="n">
        <v>135364</v>
      </c>
      <c r="H152" s="8" t="s">
        <v>64</v>
      </c>
      <c r="I152" s="24" t="n">
        <v>220.24</v>
      </c>
      <c r="J152" s="25" t="n">
        <f aca="false">Summary!$B$4</f>
        <v>1</v>
      </c>
      <c r="K152" s="11" t="n">
        <f aca="false">I152*J152*IF(A152="SILVER",Summary!$B$5,Summary!$B$6)</f>
        <v>6607.2</v>
      </c>
      <c r="L152" s="26" t="n">
        <v>0.088</v>
      </c>
      <c r="M152" s="27" t="n">
        <f aca="false">IF(K152&gt;0,1,0)</f>
        <v>1</v>
      </c>
      <c r="N152" s="11" t="n">
        <f aca="false">SUMIFS(K$2:K152,A$2:A152,A152,B$2:B152,B152)</f>
        <v>11619.3</v>
      </c>
      <c r="O152" s="11" t="n">
        <f aca="false">MAX(0,_xlfn.MAXIFS(N$2:N152,A$2:A152,A152,B$2:B152,B152))</f>
        <v>11619.3</v>
      </c>
      <c r="P152" s="11" t="n">
        <f aca="false">N152-O152</f>
        <v>0</v>
      </c>
    </row>
    <row r="153" customFormat="false" ht="15" hidden="false" customHeight="false" outlineLevel="0" collapsed="false">
      <c r="A153" s="8" t="s">
        <v>26</v>
      </c>
      <c r="B153" s="8" t="s">
        <v>35</v>
      </c>
      <c r="C153" s="8" t="s">
        <v>60</v>
      </c>
      <c r="D153" s="21" t="n">
        <v>45707.5833333333</v>
      </c>
      <c r="E153" s="21" t="n">
        <v>45709.875</v>
      </c>
      <c r="F153" s="22" t="n">
        <f aca="false">DATE(YEAR(E153),MONTH(E153),1)</f>
        <v>45689</v>
      </c>
      <c r="G153" s="23" t="n">
        <v>136433</v>
      </c>
      <c r="H153" s="8" t="s">
        <v>61</v>
      </c>
      <c r="I153" s="24" t="n">
        <v>-1344.35</v>
      </c>
      <c r="J153" s="25" t="n">
        <f aca="false">Summary!$B$4</f>
        <v>1</v>
      </c>
      <c r="K153" s="11" t="n">
        <f aca="false">I153*J153*IF(A153="SILVER",Summary!$B$5,Summary!$B$6)</f>
        <v>-40330.5</v>
      </c>
      <c r="L153" s="26" t="n">
        <v>-0.789</v>
      </c>
      <c r="M153" s="27" t="n">
        <f aca="false">IF(K153&gt;0,1,0)</f>
        <v>0</v>
      </c>
      <c r="N153" s="11" t="n">
        <f aca="false">SUMIFS(K$2:K153,A$2:A153,A153,B$2:B153,B153)</f>
        <v>-28711.2</v>
      </c>
      <c r="O153" s="11" t="n">
        <f aca="false">MAX(0,_xlfn.MAXIFS(N$2:N153,A$2:A153,A153,B$2:B153,B153))</f>
        <v>11619.3</v>
      </c>
      <c r="P153" s="11" t="n">
        <f aca="false">N153-O153</f>
        <v>-40330.5</v>
      </c>
    </row>
    <row r="154" customFormat="false" ht="15" hidden="false" customHeight="false" outlineLevel="0" collapsed="false">
      <c r="A154" s="8" t="s">
        <v>26</v>
      </c>
      <c r="B154" s="8" t="s">
        <v>35</v>
      </c>
      <c r="C154" s="8" t="s">
        <v>60</v>
      </c>
      <c r="D154" s="21" t="n">
        <v>45719.8402777778</v>
      </c>
      <c r="E154" s="21" t="n">
        <v>45721.8048611111</v>
      </c>
      <c r="F154" s="22" t="n">
        <f aca="false">DATE(YEAR(E154),MONTH(E154),1)</f>
        <v>45717</v>
      </c>
      <c r="G154" s="23" t="n">
        <v>133879</v>
      </c>
      <c r="H154" s="8" t="s">
        <v>64</v>
      </c>
      <c r="I154" s="24" t="n">
        <v>134.05</v>
      </c>
      <c r="J154" s="25" t="n">
        <f aca="false">Summary!$B$4</f>
        <v>1</v>
      </c>
      <c r="K154" s="11" t="n">
        <f aca="false">I154*J154*IF(A154="SILVER",Summary!$B$5,Summary!$B$6)</f>
        <v>4021.5</v>
      </c>
      <c r="L154" s="26" t="n">
        <v>0.08</v>
      </c>
      <c r="M154" s="27" t="n">
        <f aca="false">IF(K154&gt;0,1,0)</f>
        <v>1</v>
      </c>
      <c r="N154" s="11" t="n">
        <f aca="false">SUMIFS(K$2:K154,A$2:A154,A154,B$2:B154,B154)</f>
        <v>-24689.7</v>
      </c>
      <c r="O154" s="11" t="n">
        <f aca="false">MAX(0,_xlfn.MAXIFS(N$2:N154,A$2:A154,A154,B$2:B154,B154))</f>
        <v>11619.3</v>
      </c>
      <c r="P154" s="11" t="n">
        <f aca="false">N154-O154</f>
        <v>-36309</v>
      </c>
    </row>
    <row r="155" customFormat="false" ht="15" hidden="false" customHeight="false" outlineLevel="0" collapsed="false">
      <c r="A155" s="8" t="s">
        <v>26</v>
      </c>
      <c r="B155" s="8" t="s">
        <v>35</v>
      </c>
      <c r="C155" s="8" t="s">
        <v>60</v>
      </c>
      <c r="D155" s="21" t="n">
        <v>45727.9166666667</v>
      </c>
      <c r="E155" s="21" t="n">
        <v>45735.8333333333</v>
      </c>
      <c r="F155" s="22" t="n">
        <f aca="false">DATE(YEAR(E155),MONTH(E155),1)</f>
        <v>45717</v>
      </c>
      <c r="G155" s="23" t="n">
        <v>135255</v>
      </c>
      <c r="H155" s="8" t="s">
        <v>61</v>
      </c>
      <c r="I155" s="24" t="n">
        <v>1674.19</v>
      </c>
      <c r="J155" s="25" t="n">
        <f aca="false">Summary!$B$4</f>
        <v>1</v>
      </c>
      <c r="K155" s="11" t="n">
        <f aca="false">I155*J155*IF(A155="SILVER",Summary!$B$5,Summary!$B$6)</f>
        <v>50225.7</v>
      </c>
      <c r="L155" s="26" t="n">
        <v>0.999</v>
      </c>
      <c r="M155" s="27" t="n">
        <f aca="false">IF(K155&gt;0,1,0)</f>
        <v>1</v>
      </c>
      <c r="N155" s="11" t="n">
        <f aca="false">SUMIFS(K$2:K155,A$2:A155,A155,B$2:B155,B155)</f>
        <v>25536</v>
      </c>
      <c r="O155" s="11" t="n">
        <f aca="false">MAX(0,_xlfn.MAXIFS(N$2:N155,A$2:A155,A155,B$2:B155,B155))</f>
        <v>25536</v>
      </c>
      <c r="P155" s="11" t="n">
        <f aca="false">N155-O155</f>
        <v>0</v>
      </c>
    </row>
    <row r="156" customFormat="false" ht="15" hidden="false" customHeight="false" outlineLevel="0" collapsed="false">
      <c r="A156" s="8" t="s">
        <v>26</v>
      </c>
      <c r="B156" s="8" t="s">
        <v>35</v>
      </c>
      <c r="C156" s="8" t="s">
        <v>60</v>
      </c>
      <c r="D156" s="21" t="n">
        <v>45741.7916666667</v>
      </c>
      <c r="E156" s="21" t="n">
        <v>45742.8097222222</v>
      </c>
      <c r="F156" s="22" t="n">
        <f aca="false">DATE(YEAR(E156),MONTH(E156),1)</f>
        <v>45717</v>
      </c>
      <c r="G156" s="23" t="n">
        <v>136189</v>
      </c>
      <c r="H156" s="8" t="s">
        <v>64</v>
      </c>
      <c r="I156" s="24" t="n">
        <v>121.5</v>
      </c>
      <c r="J156" s="25" t="n">
        <f aca="false">Summary!$B$4</f>
        <v>1</v>
      </c>
      <c r="K156" s="11" t="n">
        <f aca="false">I156*J156*IF(A156="SILVER",Summary!$B$5,Summary!$B$6)</f>
        <v>3645</v>
      </c>
      <c r="L156" s="26" t="n">
        <v>0.08</v>
      </c>
      <c r="M156" s="27" t="n">
        <f aca="false">IF(K156&gt;0,1,0)</f>
        <v>1</v>
      </c>
      <c r="N156" s="11" t="n">
        <f aca="false">SUMIFS(K$2:K156,A$2:A156,A156,B$2:B156,B156)</f>
        <v>29181</v>
      </c>
      <c r="O156" s="11" t="n">
        <f aca="false">MAX(0,_xlfn.MAXIFS(N$2:N156,A$2:A156,A156,B$2:B156,B156))</f>
        <v>29181</v>
      </c>
      <c r="P156" s="11" t="n">
        <f aca="false">N156-O156</f>
        <v>0</v>
      </c>
    </row>
    <row r="157" customFormat="false" ht="15" hidden="false" customHeight="false" outlineLevel="0" collapsed="false">
      <c r="A157" s="8" t="s">
        <v>26</v>
      </c>
      <c r="B157" s="8" t="s">
        <v>35</v>
      </c>
      <c r="C157" s="8" t="s">
        <v>62</v>
      </c>
      <c r="D157" s="21" t="n">
        <v>45764.875</v>
      </c>
      <c r="E157" s="21" t="n">
        <v>45770.625</v>
      </c>
      <c r="F157" s="22" t="n">
        <f aca="false">DATE(YEAR(E157),MONTH(E157),1)</f>
        <v>45748</v>
      </c>
      <c r="G157" s="23" t="n">
        <v>131416</v>
      </c>
      <c r="H157" s="8" t="s">
        <v>61</v>
      </c>
      <c r="I157" s="24" t="n">
        <v>-2072.08</v>
      </c>
      <c r="J157" s="25" t="n">
        <f aca="false">Summary!$B$4</f>
        <v>1</v>
      </c>
      <c r="K157" s="11" t="n">
        <f aca="false">I157*J157*IF(A157="SILVER",Summary!$B$5,Summary!$B$6)</f>
        <v>-62162.4</v>
      </c>
      <c r="L157" s="26" t="n">
        <v>-1.05</v>
      </c>
      <c r="M157" s="27" t="n">
        <f aca="false">IF(K157&gt;0,1,0)</f>
        <v>0</v>
      </c>
      <c r="N157" s="11" t="n">
        <f aca="false">SUMIFS(K$2:K157,A$2:A157,A157,B$2:B157,B157)</f>
        <v>-32981.4</v>
      </c>
      <c r="O157" s="11" t="n">
        <f aca="false">MAX(0,_xlfn.MAXIFS(N$2:N157,A$2:A157,A157,B$2:B157,B157))</f>
        <v>29181</v>
      </c>
      <c r="P157" s="11" t="n">
        <f aca="false">N157-O157</f>
        <v>-62162.4</v>
      </c>
    </row>
    <row r="158" customFormat="false" ht="15" hidden="false" customHeight="false" outlineLevel="0" collapsed="false">
      <c r="A158" s="8" t="s">
        <v>26</v>
      </c>
      <c r="B158" s="8" t="s">
        <v>35</v>
      </c>
      <c r="C158" s="8" t="s">
        <v>62</v>
      </c>
      <c r="D158" s="21" t="n">
        <v>45775.5</v>
      </c>
      <c r="E158" s="21" t="n">
        <v>45776.7916666667</v>
      </c>
      <c r="F158" s="22" t="n">
        <f aca="false">DATE(YEAR(E158),MONTH(E158),1)</f>
        <v>45748</v>
      </c>
      <c r="G158" s="23" t="n">
        <v>132629</v>
      </c>
      <c r="H158" s="8" t="s">
        <v>61</v>
      </c>
      <c r="I158" s="24" t="n">
        <v>-1898.32</v>
      </c>
      <c r="J158" s="25" t="n">
        <f aca="false">Summary!$B$4</f>
        <v>1</v>
      </c>
      <c r="K158" s="11" t="n">
        <f aca="false">I158*J158*IF(A158="SILVER",Summary!$B$5,Summary!$B$6)</f>
        <v>-56949.6</v>
      </c>
      <c r="L158" s="26" t="n">
        <v>-0.954</v>
      </c>
      <c r="M158" s="27" t="n">
        <f aca="false">IF(K158&gt;0,1,0)</f>
        <v>0</v>
      </c>
      <c r="N158" s="11" t="n">
        <f aca="false">SUMIFS(K$2:K158,A$2:A158,A158,B$2:B158,B158)</f>
        <v>-89931</v>
      </c>
      <c r="O158" s="11" t="n">
        <f aca="false">MAX(0,_xlfn.MAXIFS(N$2:N158,A$2:A158,A158,B$2:B158,B158))</f>
        <v>29181</v>
      </c>
      <c r="P158" s="11" t="n">
        <f aca="false">N158-O158</f>
        <v>-119112</v>
      </c>
    </row>
    <row r="159" customFormat="false" ht="15" hidden="false" customHeight="false" outlineLevel="0" collapsed="false">
      <c r="A159" s="8" t="s">
        <v>26</v>
      </c>
      <c r="B159" s="8" t="s">
        <v>35</v>
      </c>
      <c r="C159" s="8" t="s">
        <v>62</v>
      </c>
      <c r="D159" s="21" t="n">
        <v>45777.4166666667</v>
      </c>
      <c r="E159" s="21" t="n">
        <v>45790.4166666667</v>
      </c>
      <c r="F159" s="22" t="n">
        <f aca="false">DATE(YEAR(E159),MONTH(E159),1)</f>
        <v>45778</v>
      </c>
      <c r="G159" s="23" t="n">
        <v>132610</v>
      </c>
      <c r="H159" s="8" t="s">
        <v>61</v>
      </c>
      <c r="I159" s="24" t="n">
        <v>873.42</v>
      </c>
      <c r="J159" s="25" t="n">
        <f aca="false">Summary!$B$4</f>
        <v>1</v>
      </c>
      <c r="K159" s="11" t="n">
        <f aca="false">I159*J159*IF(A159="SILVER",Summary!$B$5,Summary!$B$6)</f>
        <v>26202.6</v>
      </c>
      <c r="L159" s="26" t="n">
        <v>0.412</v>
      </c>
      <c r="M159" s="27" t="n">
        <f aca="false">IF(K159&gt;0,1,0)</f>
        <v>1</v>
      </c>
      <c r="N159" s="11" t="n">
        <f aca="false">SUMIFS(K$2:K159,A$2:A159,A159,B$2:B159,B159)</f>
        <v>-63728.4</v>
      </c>
      <c r="O159" s="11" t="n">
        <f aca="false">MAX(0,_xlfn.MAXIFS(N$2:N159,A$2:A159,A159,B$2:B159,B159))</f>
        <v>29181</v>
      </c>
      <c r="P159" s="11" t="n">
        <f aca="false">N159-O159</f>
        <v>-92909.4</v>
      </c>
    </row>
    <row r="160" customFormat="false" ht="15" hidden="false" customHeight="false" outlineLevel="0" collapsed="false">
      <c r="A160" s="8" t="s">
        <v>26</v>
      </c>
      <c r="B160" s="8" t="s">
        <v>35</v>
      </c>
      <c r="C160" s="8" t="s">
        <v>62</v>
      </c>
      <c r="D160" s="21" t="n">
        <v>45791.8763888889</v>
      </c>
      <c r="E160" s="21" t="n">
        <v>45792.7194444445</v>
      </c>
      <c r="F160" s="22" t="n">
        <f aca="false">DATE(YEAR(E160),MONTH(E160),1)</f>
        <v>45778</v>
      </c>
      <c r="G160" s="23" t="n">
        <v>130195</v>
      </c>
      <c r="H160" s="8" t="s">
        <v>64</v>
      </c>
      <c r="I160" s="24" t="n">
        <v>165.44</v>
      </c>
      <c r="J160" s="25" t="n">
        <f aca="false">Summary!$B$4</f>
        <v>1</v>
      </c>
      <c r="K160" s="11" t="n">
        <f aca="false">I160*J160*IF(A160="SILVER",Summary!$B$5,Summary!$B$6)</f>
        <v>4963.2</v>
      </c>
      <c r="L160" s="26" t="n">
        <v>0.085</v>
      </c>
      <c r="M160" s="27" t="n">
        <f aca="false">IF(K160&gt;0,1,0)</f>
        <v>1</v>
      </c>
      <c r="N160" s="11" t="n">
        <f aca="false">SUMIFS(K$2:K160,A$2:A160,A160,B$2:B160,B160)</f>
        <v>-58765.2</v>
      </c>
      <c r="O160" s="11" t="n">
        <f aca="false">MAX(0,_xlfn.MAXIFS(N$2:N160,A$2:A160,A160,B$2:B160,B160))</f>
        <v>29181</v>
      </c>
      <c r="P160" s="11" t="n">
        <f aca="false">N160-O160</f>
        <v>-87946.2</v>
      </c>
    </row>
    <row r="161" customFormat="false" ht="15" hidden="false" customHeight="false" outlineLevel="0" collapsed="false">
      <c r="A161" s="8" t="s">
        <v>26</v>
      </c>
      <c r="B161" s="8" t="s">
        <v>35</v>
      </c>
      <c r="C161" s="8" t="s">
        <v>62</v>
      </c>
      <c r="D161" s="21" t="n">
        <v>45799.7083333333</v>
      </c>
      <c r="E161" s="21" t="n">
        <v>45810.7916666667</v>
      </c>
      <c r="F161" s="22" t="n">
        <f aca="false">DATE(YEAR(E161),MONTH(E161),1)</f>
        <v>45809</v>
      </c>
      <c r="G161" s="23" t="n">
        <v>131701</v>
      </c>
      <c r="H161" s="8" t="s">
        <v>61</v>
      </c>
      <c r="I161" s="24" t="n">
        <v>-2677.64</v>
      </c>
      <c r="J161" s="25" t="n">
        <f aca="false">Summary!$B$4</f>
        <v>1</v>
      </c>
      <c r="K161" s="11" t="n">
        <f aca="false">I161*J161*IF(A161="SILVER",Summary!$B$5,Summary!$B$6)</f>
        <v>-80329.2</v>
      </c>
      <c r="L161" s="26" t="n">
        <v>-1.152</v>
      </c>
      <c r="M161" s="27" t="n">
        <f aca="false">IF(K161&gt;0,1,0)</f>
        <v>0</v>
      </c>
      <c r="N161" s="11" t="n">
        <f aca="false">SUMIFS(K$2:K161,A$2:A161,A161,B$2:B161,B161)</f>
        <v>-139094.4</v>
      </c>
      <c r="O161" s="11" t="n">
        <f aca="false">MAX(0,_xlfn.MAXIFS(N$2:N161,A$2:A161,A161,B$2:B161,B161))</f>
        <v>29181</v>
      </c>
      <c r="P161" s="11" t="n">
        <f aca="false">N161-O161</f>
        <v>-168275.4</v>
      </c>
    </row>
    <row r="162" customFormat="false" ht="15" hidden="false" customHeight="false" outlineLevel="0" collapsed="false">
      <c r="A162" s="8" t="s">
        <v>26</v>
      </c>
      <c r="B162" s="8" t="s">
        <v>35</v>
      </c>
      <c r="C162" s="8" t="s">
        <v>60</v>
      </c>
      <c r="D162" s="21" t="n">
        <v>45824.5416666667</v>
      </c>
      <c r="E162" s="21" t="n">
        <v>45827.4965277778</v>
      </c>
      <c r="F162" s="22" t="n">
        <f aca="false">DATE(YEAR(E162),MONTH(E162),1)</f>
        <v>45809</v>
      </c>
      <c r="G162" s="23" t="n">
        <v>141840</v>
      </c>
      <c r="H162" s="8" t="s">
        <v>64</v>
      </c>
      <c r="I162" s="24" t="n">
        <v>158.41</v>
      </c>
      <c r="J162" s="25" t="n">
        <f aca="false">Summary!$B$4</f>
        <v>1</v>
      </c>
      <c r="K162" s="11" t="n">
        <f aca="false">I162*J162*IF(A162="SILVER",Summary!$B$5,Summary!$B$6)</f>
        <v>4752.3</v>
      </c>
      <c r="L162" s="26" t="n">
        <v>0.083</v>
      </c>
      <c r="M162" s="27" t="n">
        <f aca="false">IF(K162&gt;0,1,0)</f>
        <v>1</v>
      </c>
      <c r="N162" s="11" t="n">
        <f aca="false">SUMIFS(K$2:K162,A$2:A162,A162,B$2:B162,B162)</f>
        <v>-134342.1</v>
      </c>
      <c r="O162" s="11" t="n">
        <f aca="false">MAX(0,_xlfn.MAXIFS(N$2:N162,A$2:A162,A162,B$2:B162,B162))</f>
        <v>29181</v>
      </c>
      <c r="P162" s="11" t="n">
        <f aca="false">N162-O162</f>
        <v>-163523.1</v>
      </c>
    </row>
    <row r="163" customFormat="false" ht="15" hidden="false" customHeight="false" outlineLevel="0" collapsed="false">
      <c r="A163" s="8" t="s">
        <v>26</v>
      </c>
      <c r="B163" s="8" t="s">
        <v>35</v>
      </c>
      <c r="C163" s="8" t="s">
        <v>60</v>
      </c>
      <c r="D163" s="21" t="n">
        <v>45834.4166666667</v>
      </c>
      <c r="E163" s="21" t="n">
        <v>45834.6708333333</v>
      </c>
      <c r="F163" s="22" t="n">
        <f aca="false">DATE(YEAR(E163),MONTH(E163),1)</f>
        <v>45809</v>
      </c>
      <c r="G163" s="23" t="n">
        <v>141424</v>
      </c>
      <c r="H163" s="8" t="s">
        <v>64</v>
      </c>
      <c r="I163" s="24" t="n">
        <v>132.38</v>
      </c>
      <c r="J163" s="25" t="n">
        <f aca="false">Summary!$B$4</f>
        <v>1</v>
      </c>
      <c r="K163" s="11" t="n">
        <f aca="false">I163*J163*IF(A163="SILVER",Summary!$B$5,Summary!$B$6)</f>
        <v>3971.4</v>
      </c>
      <c r="L163" s="26" t="n">
        <v>0.081</v>
      </c>
      <c r="M163" s="27" t="n">
        <f aca="false">IF(K163&gt;0,1,0)</f>
        <v>1</v>
      </c>
      <c r="N163" s="11" t="n">
        <f aca="false">SUMIFS(K$2:K163,A$2:A163,A163,B$2:B163,B163)</f>
        <v>-130370.7</v>
      </c>
      <c r="O163" s="11" t="n">
        <f aca="false">MAX(0,_xlfn.MAXIFS(N$2:N163,A$2:A163,A163,B$2:B163,B163))</f>
        <v>29181</v>
      </c>
      <c r="P163" s="11" t="n">
        <f aca="false">N163-O163</f>
        <v>-159551.7</v>
      </c>
    </row>
    <row r="164" customFormat="false" ht="15" hidden="false" customHeight="false" outlineLevel="0" collapsed="false">
      <c r="A164" s="8" t="s">
        <v>26</v>
      </c>
      <c r="B164" s="8" t="s">
        <v>35</v>
      </c>
      <c r="C164" s="8" t="s">
        <v>60</v>
      </c>
      <c r="D164" s="21" t="n">
        <v>45839.5444444444</v>
      </c>
      <c r="E164" s="21" t="n">
        <v>45845.675</v>
      </c>
      <c r="F164" s="22" t="n">
        <f aca="false">DATE(YEAR(E164),MONTH(E164),1)</f>
        <v>45839</v>
      </c>
      <c r="G164" s="23" t="n">
        <v>141200</v>
      </c>
      <c r="H164" s="8" t="s">
        <v>64</v>
      </c>
      <c r="I164" s="24" t="n">
        <v>76.19</v>
      </c>
      <c r="J164" s="25" t="n">
        <f aca="false">Summary!$B$4</f>
        <v>1</v>
      </c>
      <c r="K164" s="11" t="n">
        <f aca="false">I164*J164*IF(A164="SILVER",Summary!$B$5,Summary!$B$6)</f>
        <v>2285.7</v>
      </c>
      <c r="L164" s="26" t="n">
        <v>0.048</v>
      </c>
      <c r="M164" s="27" t="n">
        <f aca="false">IF(K164&gt;0,1,0)</f>
        <v>1</v>
      </c>
      <c r="N164" s="11" t="n">
        <f aca="false">SUMIFS(K$2:K164,A$2:A164,A164,B$2:B164,B164)</f>
        <v>-128085</v>
      </c>
      <c r="O164" s="11" t="n">
        <f aca="false">MAX(0,_xlfn.MAXIFS(N$2:N164,A$2:A164,A164,B$2:B164,B164))</f>
        <v>29181</v>
      </c>
      <c r="P164" s="11" t="n">
        <f aca="false">N164-O164</f>
        <v>-157266</v>
      </c>
    </row>
    <row r="165" customFormat="false" ht="15" hidden="false" customHeight="false" outlineLevel="0" collapsed="false">
      <c r="A165" s="8" t="s">
        <v>26</v>
      </c>
      <c r="B165" s="8" t="s">
        <v>35</v>
      </c>
      <c r="C165" s="8" t="s">
        <v>60</v>
      </c>
      <c r="D165" s="21" t="n">
        <v>45856.5416666667</v>
      </c>
      <c r="E165" s="21" t="n">
        <v>45862.5</v>
      </c>
      <c r="F165" s="22" t="n">
        <f aca="false">DATE(YEAR(E165),MONTH(E165),1)</f>
        <v>45839</v>
      </c>
      <c r="G165" s="23" t="n">
        <v>147619</v>
      </c>
      <c r="H165" s="8" t="s">
        <v>61</v>
      </c>
      <c r="I165" s="24" t="n">
        <v>1509.2</v>
      </c>
      <c r="J165" s="25" t="n">
        <f aca="false">Summary!$B$4</f>
        <v>1</v>
      </c>
      <c r="K165" s="11" t="n">
        <f aca="false">I165*J165*IF(A165="SILVER",Summary!$B$5,Summary!$B$6)</f>
        <v>45276</v>
      </c>
      <c r="L165" s="26" t="n">
        <v>0.896</v>
      </c>
      <c r="M165" s="27" t="n">
        <f aca="false">IF(K165&gt;0,1,0)</f>
        <v>1</v>
      </c>
      <c r="N165" s="11" t="n">
        <f aca="false">SUMIFS(K$2:K165,A$2:A165,A165,B$2:B165,B165)</f>
        <v>-82809</v>
      </c>
      <c r="O165" s="11" t="n">
        <f aca="false">MAX(0,_xlfn.MAXIFS(N$2:N165,A$2:A165,A165,B$2:B165,B165))</f>
        <v>29181</v>
      </c>
      <c r="P165" s="11" t="n">
        <f aca="false">N165-O165</f>
        <v>-111990</v>
      </c>
    </row>
    <row r="166" customFormat="false" ht="15" hidden="false" customHeight="false" outlineLevel="0" collapsed="false">
      <c r="A166" s="8" t="s">
        <v>26</v>
      </c>
      <c r="B166" s="8" t="s">
        <v>35</v>
      </c>
      <c r="C166" s="8" t="s">
        <v>60</v>
      </c>
      <c r="D166" s="21" t="n">
        <v>45873.4583333333</v>
      </c>
      <c r="E166" s="21" t="n">
        <v>45880.5833333333</v>
      </c>
      <c r="F166" s="22" t="n">
        <f aca="false">DATE(YEAR(E166),MONTH(E166),1)</f>
        <v>45870</v>
      </c>
      <c r="G166" s="23" t="n">
        <v>145594</v>
      </c>
      <c r="H166" s="8" t="s">
        <v>61</v>
      </c>
      <c r="I166" s="24" t="n">
        <v>2368.52</v>
      </c>
      <c r="J166" s="25" t="n">
        <f aca="false">Summary!$B$4</f>
        <v>1</v>
      </c>
      <c r="K166" s="11" t="n">
        <f aca="false">I166*J166*IF(A166="SILVER",Summary!$B$5,Summary!$B$6)</f>
        <v>71055.6</v>
      </c>
      <c r="L166" s="26" t="n">
        <v>1.223</v>
      </c>
      <c r="M166" s="27" t="n">
        <f aca="false">IF(K166&gt;0,1,0)</f>
        <v>1</v>
      </c>
      <c r="N166" s="11" t="n">
        <f aca="false">SUMIFS(K$2:K166,A$2:A166,A166,B$2:B166,B166)</f>
        <v>-11753.4</v>
      </c>
      <c r="O166" s="11" t="n">
        <f aca="false">MAX(0,_xlfn.MAXIFS(N$2:N166,A$2:A166,A166,B$2:B166,B166))</f>
        <v>29181</v>
      </c>
      <c r="P166" s="11" t="n">
        <f aca="false">N166-O166</f>
        <v>-40934.4</v>
      </c>
    </row>
    <row r="167" customFormat="false" ht="15" hidden="false" customHeight="false" outlineLevel="0" collapsed="false">
      <c r="A167" s="8" t="s">
        <v>26</v>
      </c>
      <c r="B167" s="8" t="s">
        <v>35</v>
      </c>
      <c r="C167" s="8" t="s">
        <v>60</v>
      </c>
      <c r="D167" s="21" t="n">
        <v>45882.5</v>
      </c>
      <c r="E167" s="21" t="n">
        <v>45883.9166666667</v>
      </c>
      <c r="F167" s="22" t="n">
        <f aca="false">DATE(YEAR(E167),MONTH(E167),1)</f>
        <v>45870</v>
      </c>
      <c r="G167" s="23" t="n">
        <v>149328</v>
      </c>
      <c r="H167" s="8" t="s">
        <v>61</v>
      </c>
      <c r="I167" s="24" t="n">
        <v>-1226.87</v>
      </c>
      <c r="J167" s="25" t="n">
        <f aca="false">Summary!$B$4</f>
        <v>1</v>
      </c>
      <c r="K167" s="11" t="n">
        <f aca="false">I167*J167*IF(A167="SILVER",Summary!$B$5,Summary!$B$6)</f>
        <v>-36806.1</v>
      </c>
      <c r="L167" s="26" t="n">
        <v>-0.624</v>
      </c>
      <c r="M167" s="27" t="n">
        <f aca="false">IF(K167&gt;0,1,0)</f>
        <v>0</v>
      </c>
      <c r="N167" s="11" t="n">
        <f aca="false">SUMIFS(K$2:K167,A$2:A167,A167,B$2:B167,B167)</f>
        <v>-48559.5</v>
      </c>
      <c r="O167" s="11" t="n">
        <f aca="false">MAX(0,_xlfn.MAXIFS(N$2:N167,A$2:A167,A167,B$2:B167,B167))</f>
        <v>29181</v>
      </c>
      <c r="P167" s="11" t="n">
        <f aca="false">N167-O167</f>
        <v>-77740.5</v>
      </c>
    </row>
    <row r="168" customFormat="false" ht="15" hidden="false" customHeight="false" outlineLevel="0" collapsed="false">
      <c r="A168" s="8" t="s">
        <v>26</v>
      </c>
      <c r="B168" s="8" t="s">
        <v>35</v>
      </c>
      <c r="C168" s="8" t="s">
        <v>60</v>
      </c>
      <c r="D168" s="21" t="n">
        <v>45889.7916666667</v>
      </c>
      <c r="E168" s="21" t="n">
        <v>45904.4340277778</v>
      </c>
      <c r="F168" s="22" t="n">
        <f aca="false">DATE(YEAR(E168),MONTH(E168),1)</f>
        <v>45901</v>
      </c>
      <c r="G168" s="23" t="n">
        <v>146609</v>
      </c>
      <c r="H168" s="8" t="s">
        <v>61</v>
      </c>
      <c r="I168" s="24" t="n">
        <v>10261.53</v>
      </c>
      <c r="J168" s="25" t="n">
        <f aca="false">Summary!$B$4</f>
        <v>1</v>
      </c>
      <c r="K168" s="11" t="n">
        <f aca="false">I168*J168*IF(A168="SILVER",Summary!$B$5,Summary!$B$6)</f>
        <v>307845.9</v>
      </c>
      <c r="L168" s="26" t="n">
        <v>5.337</v>
      </c>
      <c r="M168" s="27" t="n">
        <f aca="false">IF(K168&gt;0,1,0)</f>
        <v>1</v>
      </c>
      <c r="N168" s="11" t="n">
        <f aca="false">SUMIFS(K$2:K168,A$2:A168,A168,B$2:B168,B168)</f>
        <v>259286.4</v>
      </c>
      <c r="O168" s="11" t="n">
        <f aca="false">MAX(0,_xlfn.MAXIFS(N$2:N168,A$2:A168,A168,B$2:B168,B168))</f>
        <v>259286.4</v>
      </c>
      <c r="P168" s="11" t="n">
        <f aca="false">N168-O168</f>
        <v>0</v>
      </c>
    </row>
    <row r="169" customFormat="false" ht="15" hidden="false" customHeight="false" outlineLevel="0" collapsed="false">
      <c r="A169" s="8" t="s">
        <v>26</v>
      </c>
      <c r="B169" s="8" t="s">
        <v>35</v>
      </c>
      <c r="C169" s="8" t="s">
        <v>60</v>
      </c>
      <c r="D169" s="21" t="n">
        <v>45905.8229166667</v>
      </c>
      <c r="E169" s="21" t="n">
        <v>45908.4166666667</v>
      </c>
      <c r="F169" s="22" t="n">
        <f aca="false">DATE(YEAR(E169),MONTH(E169),1)</f>
        <v>45901</v>
      </c>
      <c r="G169" s="23" t="n">
        <v>158734</v>
      </c>
      <c r="H169" s="8" t="s">
        <v>61</v>
      </c>
      <c r="I169" s="24" t="n">
        <v>-3640.57</v>
      </c>
      <c r="J169" s="25" t="n">
        <f aca="false">Summary!$B$4</f>
        <v>1</v>
      </c>
      <c r="K169" s="11" t="n">
        <f aca="false">I169*J169*IF(A169="SILVER",Summary!$B$5,Summary!$B$6)</f>
        <v>-109217.1</v>
      </c>
      <c r="L169" s="26" t="n">
        <v>-1.632</v>
      </c>
      <c r="M169" s="27" t="n">
        <f aca="false">IF(K169&gt;0,1,0)</f>
        <v>0</v>
      </c>
      <c r="N169" s="11" t="n">
        <f aca="false">SUMIFS(K$2:K169,A$2:A169,A169,B$2:B169,B169)</f>
        <v>150069.3</v>
      </c>
      <c r="O169" s="11" t="n">
        <f aca="false">MAX(0,_xlfn.MAXIFS(N$2:N169,A$2:A169,A169,B$2:B169,B169))</f>
        <v>259286.4</v>
      </c>
      <c r="P169" s="11" t="n">
        <f aca="false">N169-O169</f>
        <v>-109217.1</v>
      </c>
    </row>
    <row r="170" customFormat="false" ht="15" hidden="false" customHeight="false" outlineLevel="0" collapsed="false">
      <c r="A170" s="8" t="s">
        <v>26</v>
      </c>
      <c r="B170" s="8" t="s">
        <v>35</v>
      </c>
      <c r="C170" s="8" t="s">
        <v>60</v>
      </c>
      <c r="D170" s="21" t="n">
        <v>45909.4583333333</v>
      </c>
      <c r="E170" s="21" t="n">
        <v>45917.4166666667</v>
      </c>
      <c r="F170" s="22" t="n">
        <f aca="false">DATE(YEAR(E170),MONTH(E170),1)</f>
        <v>45901</v>
      </c>
      <c r="G170" s="23" t="n">
        <v>157493</v>
      </c>
      <c r="H170" s="8" t="s">
        <v>61</v>
      </c>
      <c r="I170" s="24" t="n">
        <v>1154.65</v>
      </c>
      <c r="J170" s="25" t="n">
        <f aca="false">Summary!$B$4</f>
        <v>1</v>
      </c>
      <c r="K170" s="11" t="n">
        <f aca="false">I170*J170*IF(A170="SILVER",Summary!$B$5,Summary!$B$6)</f>
        <v>34639.5</v>
      </c>
      <c r="L170" s="26" t="n">
        <v>0.504</v>
      </c>
      <c r="M170" s="27" t="n">
        <f aca="false">IF(K170&gt;0,1,0)</f>
        <v>1</v>
      </c>
      <c r="N170" s="11" t="n">
        <f aca="false">SUMIFS(K$2:K170,A$2:A170,A170,B$2:B170,B170)</f>
        <v>184708.8</v>
      </c>
      <c r="O170" s="11" t="n">
        <f aca="false">MAX(0,_xlfn.MAXIFS(N$2:N170,A$2:A170,A170,B$2:B170,B170))</f>
        <v>259286.4</v>
      </c>
      <c r="P170" s="11" t="n">
        <f aca="false">N170-O170</f>
        <v>-74577.6</v>
      </c>
    </row>
    <row r="171" customFormat="false" ht="15" hidden="false" customHeight="false" outlineLevel="0" collapsed="false">
      <c r="A171" s="8" t="s">
        <v>26</v>
      </c>
      <c r="B171" s="8" t="s">
        <v>35</v>
      </c>
      <c r="C171" s="8" t="s">
        <v>60</v>
      </c>
      <c r="D171" s="21" t="n">
        <v>45919.4166666667</v>
      </c>
      <c r="E171" s="21" t="n">
        <v>45930.625</v>
      </c>
      <c r="F171" s="22" t="n">
        <f aca="false">DATE(YEAR(E171),MONTH(E171),1)</f>
        <v>45901</v>
      </c>
      <c r="G171" s="23" t="n">
        <v>160033</v>
      </c>
      <c r="H171" s="8" t="s">
        <v>61</v>
      </c>
      <c r="I171" s="24" t="n">
        <v>12021.06</v>
      </c>
      <c r="J171" s="25" t="n">
        <f aca="false">Summary!$B$4</f>
        <v>1</v>
      </c>
      <c r="K171" s="11" t="n">
        <f aca="false">I171*J171*IF(A171="SILVER",Summary!$B$5,Summary!$B$6)</f>
        <v>360631.8</v>
      </c>
      <c r="L171" s="26" t="n">
        <v>4.188</v>
      </c>
      <c r="M171" s="27" t="n">
        <f aca="false">IF(K171&gt;0,1,0)</f>
        <v>1</v>
      </c>
      <c r="N171" s="11" t="n">
        <f aca="false">SUMIFS(K$2:K171,A$2:A171,A171,B$2:B171,B171)</f>
        <v>545340.6</v>
      </c>
      <c r="O171" s="11" t="n">
        <f aca="false">MAX(0,_xlfn.MAXIFS(N$2:N171,A$2:A171,A171,B$2:B171,B171))</f>
        <v>545340.6</v>
      </c>
      <c r="P171" s="11" t="n">
        <f aca="false">N171-O171</f>
        <v>0</v>
      </c>
    </row>
    <row r="172" customFormat="false" ht="15" hidden="false" customHeight="false" outlineLevel="0" collapsed="false">
      <c r="A172" s="8" t="s">
        <v>26</v>
      </c>
      <c r="B172" s="8" t="s">
        <v>35</v>
      </c>
      <c r="C172" s="8" t="s">
        <v>60</v>
      </c>
      <c r="D172" s="21" t="n">
        <v>45931.5833333333</v>
      </c>
      <c r="E172" s="21" t="n">
        <v>45937.8881944444</v>
      </c>
      <c r="F172" s="22" t="n">
        <f aca="false">DATE(YEAR(E172),MONTH(E172),1)</f>
        <v>45931</v>
      </c>
      <c r="G172" s="23" t="n">
        <v>175988</v>
      </c>
      <c r="H172" s="8" t="s">
        <v>64</v>
      </c>
      <c r="I172" s="24" t="n">
        <v>374.25</v>
      </c>
      <c r="J172" s="25" t="n">
        <f aca="false">Summary!$B$4</f>
        <v>1</v>
      </c>
      <c r="K172" s="11" t="n">
        <f aca="false">I172*J172*IF(A172="SILVER",Summary!$B$5,Summary!$B$6)</f>
        <v>11227.5</v>
      </c>
      <c r="L172" s="26" t="n">
        <v>0.091</v>
      </c>
      <c r="M172" s="27" t="n">
        <f aca="false">IF(K172&gt;0,1,0)</f>
        <v>1</v>
      </c>
      <c r="N172" s="11" t="n">
        <f aca="false">SUMIFS(K$2:K172,A$2:A172,A172,B$2:B172,B172)</f>
        <v>556568.1</v>
      </c>
      <c r="O172" s="11" t="n">
        <f aca="false">MAX(0,_xlfn.MAXIFS(N$2:N172,A$2:A172,A172,B$2:B172,B172))</f>
        <v>556568.1</v>
      </c>
      <c r="P172" s="11" t="n">
        <f aca="false">N172-O172</f>
        <v>0</v>
      </c>
    </row>
    <row r="173" customFormat="false" ht="15" hidden="false" customHeight="false" outlineLevel="0" collapsed="false">
      <c r="A173" s="8" t="s">
        <v>26</v>
      </c>
      <c r="B173" s="8" t="s">
        <v>35</v>
      </c>
      <c r="C173" s="8" t="s">
        <v>60</v>
      </c>
      <c r="D173" s="21" t="n">
        <v>45943.4166666667</v>
      </c>
      <c r="E173" s="21" t="n">
        <v>45947.8333333333</v>
      </c>
      <c r="F173" s="22" t="n">
        <f aca="false">DATE(YEAR(E173),MONTH(E173),1)</f>
        <v>45931</v>
      </c>
      <c r="G173" s="23" t="n">
        <v>183002</v>
      </c>
      <c r="H173" s="8" t="s">
        <v>61</v>
      </c>
      <c r="I173" s="24" t="n">
        <v>9808.7</v>
      </c>
      <c r="J173" s="25" t="n">
        <f aca="false">Summary!$B$4</f>
        <v>1</v>
      </c>
      <c r="K173" s="11" t="n">
        <f aca="false">I173*J173*IF(A173="SILVER",Summary!$B$5,Summary!$B$6)</f>
        <v>294261</v>
      </c>
      <c r="L173" s="26" t="n">
        <v>1.227</v>
      </c>
      <c r="M173" s="27" t="n">
        <f aca="false">IF(K173&gt;0,1,0)</f>
        <v>1</v>
      </c>
      <c r="N173" s="11" t="n">
        <f aca="false">SUMIFS(K$2:K173,A$2:A173,A173,B$2:B173,B173)</f>
        <v>850829.1</v>
      </c>
      <c r="O173" s="11" t="n">
        <f aca="false">MAX(0,_xlfn.MAXIFS(N$2:N173,A$2:A173,A173,B$2:B173,B173))</f>
        <v>850829.1</v>
      </c>
      <c r="P173" s="11" t="n">
        <f aca="false">N173-O173</f>
        <v>0</v>
      </c>
    </row>
    <row r="174" customFormat="false" ht="15" hidden="false" customHeight="false" outlineLevel="0" collapsed="false">
      <c r="A174" s="8" t="s">
        <v>26</v>
      </c>
      <c r="B174" s="8" t="s">
        <v>35</v>
      </c>
      <c r="C174" s="8" t="s">
        <v>62</v>
      </c>
      <c r="D174" s="21" t="n">
        <v>45965.5</v>
      </c>
      <c r="E174" s="21" t="n">
        <v>45967.5416666667</v>
      </c>
      <c r="F174" s="22" t="n">
        <f aca="false">DATE(YEAR(E174),MONTH(E174),1)</f>
        <v>45962</v>
      </c>
      <c r="G174" s="23" t="n">
        <v>176653</v>
      </c>
      <c r="H174" s="8" t="s">
        <v>61</v>
      </c>
      <c r="I174" s="24" t="n">
        <v>-2894.35</v>
      </c>
      <c r="J174" s="25" t="n">
        <f aca="false">Summary!$B$4</f>
        <v>1</v>
      </c>
      <c r="K174" s="11" t="n">
        <f aca="false">I174*J174*IF(A174="SILVER",Summary!$B$5,Summary!$B$6)</f>
        <v>-86830.5</v>
      </c>
      <c r="L174" s="26" t="n">
        <v>-0.725</v>
      </c>
      <c r="M174" s="27" t="n">
        <f aca="false">IF(K174&gt;0,1,0)</f>
        <v>0</v>
      </c>
      <c r="N174" s="11" t="n">
        <f aca="false">SUMIFS(K$2:K174,A$2:A174,A174,B$2:B174,B174)</f>
        <v>763998.6</v>
      </c>
      <c r="O174" s="11" t="n">
        <f aca="false">MAX(0,_xlfn.MAXIFS(N$2:N174,A$2:A174,A174,B$2:B174,B174))</f>
        <v>850829.1</v>
      </c>
      <c r="P174" s="11" t="n">
        <f aca="false">N174-O174</f>
        <v>-86830.5</v>
      </c>
    </row>
    <row r="175" customFormat="false" ht="15" hidden="false" customHeight="false" outlineLevel="0" collapsed="false">
      <c r="A175" s="8" t="s">
        <v>26</v>
      </c>
      <c r="B175" s="8" t="s">
        <v>35</v>
      </c>
      <c r="C175" s="8" t="s">
        <v>60</v>
      </c>
      <c r="D175" s="21" t="n">
        <v>45980.6666666667</v>
      </c>
      <c r="E175" s="21" t="n">
        <v>45981.9583333333</v>
      </c>
      <c r="F175" s="22" t="n">
        <f aca="false">DATE(YEAR(E175),MONTH(E175),1)</f>
        <v>45962</v>
      </c>
      <c r="G175" s="23" t="n">
        <v>189936</v>
      </c>
      <c r="H175" s="8" t="s">
        <v>61</v>
      </c>
      <c r="I175" s="24" t="n">
        <v>-4825.23</v>
      </c>
      <c r="J175" s="25" t="n">
        <f aca="false">Summary!$B$4</f>
        <v>1</v>
      </c>
      <c r="K175" s="11" t="n">
        <f aca="false">I175*J175*IF(A175="SILVER",Summary!$B$5,Summary!$B$6)</f>
        <v>-144756.9</v>
      </c>
      <c r="L175" s="26" t="n">
        <v>-0.868</v>
      </c>
      <c r="M175" s="27" t="n">
        <f aca="false">IF(K175&gt;0,1,0)</f>
        <v>0</v>
      </c>
      <c r="N175" s="11" t="n">
        <f aca="false">SUMIFS(K$2:K175,A$2:A175,A175,B$2:B175,B175)</f>
        <v>619241.7</v>
      </c>
      <c r="O175" s="11" t="n">
        <f aca="false">MAX(0,_xlfn.MAXIFS(N$2:N175,A$2:A175,A175,B$2:B175,B175))</f>
        <v>850829.1</v>
      </c>
      <c r="P175" s="11" t="n">
        <f aca="false">N175-O175</f>
        <v>-231587.4</v>
      </c>
    </row>
    <row r="176" customFormat="false" ht="15" hidden="false" customHeight="false" outlineLevel="0" collapsed="false">
      <c r="A176" s="8" t="s">
        <v>26</v>
      </c>
      <c r="B176" s="8" t="s">
        <v>35</v>
      </c>
      <c r="C176" s="8" t="s">
        <v>60</v>
      </c>
      <c r="D176" s="21" t="n">
        <v>45986.4166666667</v>
      </c>
      <c r="E176" s="21" t="n">
        <v>46003.9166666667</v>
      </c>
      <c r="F176" s="22" t="n">
        <f aca="false">DATE(YEAR(E176),MONTH(E176),1)</f>
        <v>45992</v>
      </c>
      <c r="G176" s="23" t="n">
        <v>188250</v>
      </c>
      <c r="H176" s="8" t="s">
        <v>61</v>
      </c>
      <c r="I176" s="24" t="n">
        <v>33143.31</v>
      </c>
      <c r="J176" s="25" t="n">
        <f aca="false">Summary!$B$4</f>
        <v>1</v>
      </c>
      <c r="K176" s="11" t="n">
        <f aca="false">I176*J176*IF(A176="SILVER",Summary!$B$5,Summary!$B$6)</f>
        <v>994299.3</v>
      </c>
      <c r="L176" s="26" t="n">
        <v>7.926</v>
      </c>
      <c r="M176" s="27" t="n">
        <f aca="false">IF(K176&gt;0,1,0)</f>
        <v>1</v>
      </c>
      <c r="N176" s="11" t="n">
        <f aca="false">SUMIFS(K$2:K176,A$2:A176,A176,B$2:B176,B176)</f>
        <v>1613541</v>
      </c>
      <c r="O176" s="11" t="n">
        <f aca="false">MAX(0,_xlfn.MAXIFS(N$2:N176,A$2:A176,A176,B$2:B176,B176))</f>
        <v>1613541</v>
      </c>
      <c r="P176" s="11" t="n">
        <f aca="false">N176-O176</f>
        <v>0</v>
      </c>
    </row>
    <row r="177" customFormat="false" ht="15" hidden="false" customHeight="false" outlineLevel="0" collapsed="false">
      <c r="A177" s="8" t="s">
        <v>26</v>
      </c>
      <c r="B177" s="8" t="s">
        <v>35</v>
      </c>
      <c r="C177" s="8" t="s">
        <v>60</v>
      </c>
      <c r="D177" s="21" t="n">
        <v>46006.7916666667</v>
      </c>
      <c r="E177" s="21" t="n">
        <v>46020.5416666667</v>
      </c>
      <c r="F177" s="22" t="n">
        <f aca="false">DATE(YEAR(E177),MONTH(E177),1)</f>
        <v>45992</v>
      </c>
      <c r="G177" s="23" t="n">
        <v>227330</v>
      </c>
      <c r="H177" s="8" t="s">
        <v>61</v>
      </c>
      <c r="I177" s="24" t="n">
        <v>38446.36</v>
      </c>
      <c r="J177" s="25" t="n">
        <f aca="false">Summary!$B$4</f>
        <v>1</v>
      </c>
      <c r="K177" s="11" t="n">
        <f aca="false">I177*J177*IF(A177="SILVER",Summary!$B$5,Summary!$B$6)</f>
        <v>1153390.8</v>
      </c>
      <c r="L177" s="26" t="n">
        <v>5.88</v>
      </c>
      <c r="M177" s="27" t="n">
        <f aca="false">IF(K177&gt;0,1,0)</f>
        <v>1</v>
      </c>
      <c r="N177" s="11" t="n">
        <f aca="false">SUMIFS(K$2:K177,A$2:A177,A177,B$2:B177,B177)</f>
        <v>2766931.8</v>
      </c>
      <c r="O177" s="11" t="n">
        <f aca="false">MAX(0,_xlfn.MAXIFS(N$2:N177,A$2:A177,A177,B$2:B177,B177))</f>
        <v>2766931.8</v>
      </c>
      <c r="P177" s="11" t="n">
        <f aca="false">N177-O177</f>
        <v>0</v>
      </c>
    </row>
    <row r="178" customFormat="false" ht="15" hidden="false" customHeight="false" outlineLevel="0" collapsed="false">
      <c r="A178" s="8" t="s">
        <v>26</v>
      </c>
      <c r="B178" s="8" t="s">
        <v>35</v>
      </c>
      <c r="C178" s="8" t="s">
        <v>60</v>
      </c>
      <c r="D178" s="21" t="n">
        <v>46021.7916666667</v>
      </c>
      <c r="E178" s="21" t="n">
        <v>46022.375</v>
      </c>
      <c r="F178" s="22" t="n">
        <f aca="false">DATE(YEAR(E178),MONTH(E178),1)</f>
        <v>45992</v>
      </c>
      <c r="G178" s="23" t="n">
        <v>270940</v>
      </c>
      <c r="H178" s="8" t="s">
        <v>64</v>
      </c>
      <c r="I178" s="24" t="n">
        <v>-1264.27</v>
      </c>
      <c r="J178" s="25" t="n">
        <f aca="false">Summary!$B$4</f>
        <v>1</v>
      </c>
      <c r="K178" s="11" t="n">
        <f aca="false">I178*J178*IF(A178="SILVER",Summary!$B$5,Summary!$B$6)</f>
        <v>-37928.1</v>
      </c>
      <c r="L178" s="26" t="n">
        <v>-0.076</v>
      </c>
      <c r="M178" s="27" t="n">
        <f aca="false">IF(K178&gt;0,1,0)</f>
        <v>0</v>
      </c>
      <c r="N178" s="11" t="n">
        <f aca="false">SUMIFS(K$2:K178,A$2:A178,A178,B$2:B178,B178)</f>
        <v>2729003.7</v>
      </c>
      <c r="O178" s="11" t="n">
        <f aca="false">MAX(0,_xlfn.MAXIFS(N$2:N178,A$2:A178,A178,B$2:B178,B178))</f>
        <v>2766931.8</v>
      </c>
      <c r="P178" s="11" t="n">
        <f aca="false">N178-O178</f>
        <v>-37928.0999999996</v>
      </c>
    </row>
    <row r="179" customFormat="false" ht="15" hidden="false" customHeight="false" outlineLevel="0" collapsed="false">
      <c r="A179" s="8" t="s">
        <v>26</v>
      </c>
      <c r="B179" s="8" t="s">
        <v>35</v>
      </c>
      <c r="C179" s="8" t="s">
        <v>60</v>
      </c>
      <c r="D179" s="21" t="n">
        <v>46028.4166666667</v>
      </c>
      <c r="E179" s="21" t="n">
        <v>46029.775</v>
      </c>
      <c r="F179" s="22" t="n">
        <f aca="false">DATE(YEAR(E179),MONTH(E179),1)</f>
        <v>46023</v>
      </c>
      <c r="G179" s="23" t="n">
        <v>278427</v>
      </c>
      <c r="H179" s="8" t="s">
        <v>64</v>
      </c>
      <c r="I179" s="24" t="n">
        <v>1031.8</v>
      </c>
      <c r="J179" s="25" t="n">
        <f aca="false">Summary!$B$4</f>
        <v>1</v>
      </c>
      <c r="K179" s="11" t="n">
        <f aca="false">I179*J179*IF(A179="SILVER",Summary!$B$5,Summary!$B$6)</f>
        <v>30954</v>
      </c>
      <c r="L179" s="26" t="n">
        <v>0.094</v>
      </c>
      <c r="M179" s="27" t="n">
        <f aca="false">IF(K179&gt;0,1,0)</f>
        <v>1</v>
      </c>
      <c r="N179" s="11" t="n">
        <f aca="false">SUMIFS(K$2:K179,A$2:A179,A179,B$2:B179,B179)</f>
        <v>2759957.7</v>
      </c>
      <c r="O179" s="11" t="n">
        <f aca="false">MAX(0,_xlfn.MAXIFS(N$2:N179,A$2:A179,A179,B$2:B179,B179))</f>
        <v>2766931.8</v>
      </c>
      <c r="P179" s="11" t="n">
        <f aca="false">N179-O179</f>
        <v>-6974.09999999963</v>
      </c>
    </row>
    <row r="180" customFormat="false" ht="15" hidden="false" customHeight="false" outlineLevel="0" collapsed="false">
      <c r="A180" s="8" t="s">
        <v>26</v>
      </c>
      <c r="B180" s="8" t="s">
        <v>35</v>
      </c>
      <c r="C180" s="8" t="s">
        <v>60</v>
      </c>
      <c r="D180" s="21" t="n">
        <v>46031.625</v>
      </c>
      <c r="E180" s="21" t="n">
        <v>46043.875</v>
      </c>
      <c r="F180" s="22" t="n">
        <f aca="false">DATE(YEAR(E180),MONTH(E180),1)</f>
        <v>46023</v>
      </c>
      <c r="G180" s="23" t="n">
        <v>278251</v>
      </c>
      <c r="H180" s="8" t="s">
        <v>61</v>
      </c>
      <c r="I180" s="24" t="n">
        <v>69464.17</v>
      </c>
      <c r="J180" s="25" t="n">
        <f aca="false">Summary!$B$4</f>
        <v>1</v>
      </c>
      <c r="K180" s="11" t="n">
        <f aca="false">I180*J180*IF(A180="SILVER",Summary!$B$5,Summary!$B$6)</f>
        <v>2083925.1</v>
      </c>
      <c r="L180" s="26" t="n">
        <v>5.888</v>
      </c>
      <c r="M180" s="27" t="n">
        <f aca="false">IF(K180&gt;0,1,0)</f>
        <v>1</v>
      </c>
      <c r="N180" s="11" t="n">
        <f aca="false">SUMIFS(K$2:K180,A$2:A180,A180,B$2:B180,B180)</f>
        <v>4843882.8</v>
      </c>
      <c r="O180" s="11" t="n">
        <f aca="false">MAX(0,_xlfn.MAXIFS(N$2:N180,A$2:A180,A180,B$2:B180,B180))</f>
        <v>4843882.8</v>
      </c>
      <c r="P180" s="11" t="n">
        <f aca="false">N180-O180</f>
        <v>0</v>
      </c>
    </row>
    <row r="181" customFormat="false" ht="15" hidden="false" customHeight="false" outlineLevel="0" collapsed="false">
      <c r="A181" s="8" t="s">
        <v>26</v>
      </c>
      <c r="B181" s="8" t="s">
        <v>35</v>
      </c>
      <c r="C181" s="8" t="s">
        <v>60</v>
      </c>
      <c r="D181" s="21" t="n">
        <v>46045.4166666667</v>
      </c>
      <c r="E181" s="21" t="n">
        <v>46051.875</v>
      </c>
      <c r="F181" s="22" t="n">
        <f aca="false">DATE(YEAR(E181),MONTH(E181),1)</f>
        <v>46023</v>
      </c>
      <c r="G181" s="23" t="n">
        <v>360834</v>
      </c>
      <c r="H181" s="8" t="s">
        <v>61</v>
      </c>
      <c r="I181" s="24" t="n">
        <v>31973.33</v>
      </c>
      <c r="J181" s="25" t="n">
        <f aca="false">Summary!$B$4</f>
        <v>1</v>
      </c>
      <c r="K181" s="11" t="n">
        <f aca="false">I181*J181*IF(A181="SILVER",Summary!$B$5,Summary!$B$6)</f>
        <v>959199.9</v>
      </c>
      <c r="L181" s="26" t="n">
        <v>1.405</v>
      </c>
      <c r="M181" s="27" t="n">
        <f aca="false">IF(K181&gt;0,1,0)</f>
        <v>1</v>
      </c>
      <c r="N181" s="11" t="n">
        <f aca="false">SUMIFS(K$2:K181,A$2:A181,A181,B$2:B181,B181)</f>
        <v>5803082.7</v>
      </c>
      <c r="O181" s="11" t="n">
        <f aca="false">MAX(0,_xlfn.MAXIFS(N$2:N181,A$2:A181,A181,B$2:B181,B181))</f>
        <v>5803082.7</v>
      </c>
      <c r="P181" s="11" t="n">
        <f aca="false">N181-O181</f>
        <v>0</v>
      </c>
    </row>
    <row r="182" customFormat="false" ht="15" hidden="false" customHeight="false" outlineLevel="0" collapsed="false">
      <c r="A182" s="8" t="s">
        <v>26</v>
      </c>
      <c r="B182" s="8" t="s">
        <v>35</v>
      </c>
      <c r="C182" s="8" t="s">
        <v>62</v>
      </c>
      <c r="D182" s="21" t="n">
        <v>46058.4166666667</v>
      </c>
      <c r="E182" s="21" t="n">
        <v>46059.7736111111</v>
      </c>
      <c r="F182" s="22" t="n">
        <f aca="false">DATE(YEAR(E182),MONTH(E182),1)</f>
        <v>46054</v>
      </c>
      <c r="G182" s="23" t="n">
        <v>276937</v>
      </c>
      <c r="H182" s="8" t="s">
        <v>64</v>
      </c>
      <c r="I182" s="24" t="n">
        <v>3718.37</v>
      </c>
      <c r="J182" s="25" t="n">
        <f aca="false">Summary!$B$4</f>
        <v>1</v>
      </c>
      <c r="K182" s="11" t="n">
        <f aca="false">I182*J182*IF(A182="SILVER",Summary!$B$5,Summary!$B$6)</f>
        <v>111551.1</v>
      </c>
      <c r="L182" s="26" t="n">
        <v>0.098</v>
      </c>
      <c r="M182" s="27" t="n">
        <f aca="false">IF(K182&gt;0,1,0)</f>
        <v>1</v>
      </c>
      <c r="N182" s="11" t="n">
        <f aca="false">SUMIFS(K$2:K182,A$2:A182,A182,B$2:B182,B182)</f>
        <v>5914633.8</v>
      </c>
      <c r="O182" s="11" t="n">
        <f aca="false">MAX(0,_xlfn.MAXIFS(N$2:N182,A$2:A182,A182,B$2:B182,B182))</f>
        <v>5914633.8</v>
      </c>
      <c r="P182" s="11" t="n">
        <f aca="false">N182-O182</f>
        <v>0</v>
      </c>
    </row>
    <row r="183" customFormat="false" ht="15" hidden="false" customHeight="false" outlineLevel="0" collapsed="false">
      <c r="A183" s="8" t="s">
        <v>26</v>
      </c>
      <c r="B183" s="8" t="s">
        <v>35</v>
      </c>
      <c r="C183" s="8" t="s">
        <v>62</v>
      </c>
      <c r="D183" s="21" t="n">
        <v>46079.5833333333</v>
      </c>
      <c r="E183" s="21" t="n">
        <v>46080.7930555556</v>
      </c>
      <c r="F183" s="22" t="n">
        <f aca="false">DATE(YEAR(E183),MONTH(E183),1)</f>
        <v>46054</v>
      </c>
      <c r="G183" s="23" t="n">
        <v>285484</v>
      </c>
      <c r="H183" s="8" t="s">
        <v>61</v>
      </c>
      <c r="I183" s="24" t="n">
        <v>-12510.66</v>
      </c>
      <c r="J183" s="25" t="n">
        <f aca="false">Summary!$B$4</f>
        <v>1</v>
      </c>
      <c r="K183" s="11" t="n">
        <f aca="false">I183*J183*IF(A183="SILVER",Summary!$B$5,Summary!$B$6)</f>
        <v>-375319.8</v>
      </c>
      <c r="L183" s="26" t="n">
        <v>-0.976</v>
      </c>
      <c r="M183" s="27" t="n">
        <f aca="false">IF(K183&gt;0,1,0)</f>
        <v>0</v>
      </c>
      <c r="N183" s="11" t="n">
        <f aca="false">SUMIFS(K$2:K183,A$2:A183,A183,B$2:B183,B183)</f>
        <v>5539314</v>
      </c>
      <c r="O183" s="11" t="n">
        <f aca="false">MAX(0,_xlfn.MAXIFS(N$2:N183,A$2:A183,A183,B$2:B183,B183))</f>
        <v>5914633.8</v>
      </c>
      <c r="P183" s="11" t="n">
        <f aca="false">N183-O183</f>
        <v>-375319.8</v>
      </c>
    </row>
    <row r="184" customFormat="false" ht="15" hidden="false" customHeight="false" outlineLevel="0" collapsed="false">
      <c r="A184" s="8" t="s">
        <v>26</v>
      </c>
      <c r="B184" s="8" t="s">
        <v>35</v>
      </c>
      <c r="C184" s="8" t="s">
        <v>62</v>
      </c>
      <c r="D184" s="21" t="n">
        <v>46083.9201388889</v>
      </c>
      <c r="E184" s="21" t="n">
        <v>46085.4118055556</v>
      </c>
      <c r="F184" s="22" t="n">
        <f aca="false">DATE(YEAR(E184),MONTH(E184),1)</f>
        <v>46082</v>
      </c>
      <c r="G184" s="23" t="n">
        <v>297434</v>
      </c>
      <c r="H184" s="8" t="s">
        <v>64</v>
      </c>
      <c r="I184" s="24" t="n">
        <v>762.15</v>
      </c>
      <c r="J184" s="25" t="n">
        <f aca="false">Summary!$B$4</f>
        <v>1</v>
      </c>
      <c r="K184" s="11" t="n">
        <f aca="false">I184*J184*IF(A184="SILVER",Summary!$B$5,Summary!$B$6)</f>
        <v>22864.5</v>
      </c>
      <c r="L184" s="26" t="n">
        <v>0.041</v>
      </c>
      <c r="M184" s="27" t="n">
        <f aca="false">IF(K184&gt;0,1,0)</f>
        <v>1</v>
      </c>
      <c r="N184" s="11" t="n">
        <f aca="false">SUMIFS(K$2:K184,A$2:A184,A184,B$2:B184,B184)</f>
        <v>5562178.5</v>
      </c>
      <c r="O184" s="11" t="n">
        <f aca="false">MAX(0,_xlfn.MAXIFS(N$2:N184,A$2:A184,A184,B$2:B184,B184))</f>
        <v>5914633.8</v>
      </c>
      <c r="P184" s="11" t="n">
        <f aca="false">N184-O184</f>
        <v>-352455.3</v>
      </c>
    </row>
    <row r="185" customFormat="false" ht="15" hidden="false" customHeight="false" outlineLevel="0" collapsed="false">
      <c r="A185" s="8" t="s">
        <v>26</v>
      </c>
      <c r="B185" s="8" t="s">
        <v>35</v>
      </c>
      <c r="C185" s="8" t="s">
        <v>62</v>
      </c>
      <c r="D185" s="21" t="n">
        <v>46092.875</v>
      </c>
      <c r="E185" s="21" t="n">
        <v>46094.7305555556</v>
      </c>
      <c r="F185" s="22" t="n">
        <f aca="false">DATE(YEAR(E185),MONTH(E185),1)</f>
        <v>46082</v>
      </c>
      <c r="G185" s="23" t="n">
        <v>284885</v>
      </c>
      <c r="H185" s="8" t="s">
        <v>64</v>
      </c>
      <c r="I185" s="24" t="n">
        <v>887.62</v>
      </c>
      <c r="J185" s="25" t="n">
        <f aca="false">Summary!$B$4</f>
        <v>1</v>
      </c>
      <c r="K185" s="11" t="n">
        <f aca="false">I185*J185*IF(A185="SILVER",Summary!$B$5,Summary!$B$6)</f>
        <v>26628.6</v>
      </c>
      <c r="L185" s="26" t="n">
        <v>0.093</v>
      </c>
      <c r="M185" s="27" t="n">
        <f aca="false">IF(K185&gt;0,1,0)</f>
        <v>1</v>
      </c>
      <c r="N185" s="11" t="n">
        <f aca="false">SUMIFS(K$2:K185,A$2:A185,A185,B$2:B185,B185)</f>
        <v>5588807.1</v>
      </c>
      <c r="O185" s="11" t="n">
        <f aca="false">MAX(0,_xlfn.MAXIFS(N$2:N185,A$2:A185,A185,B$2:B185,B185))</f>
        <v>5914633.8</v>
      </c>
      <c r="P185" s="11" t="n">
        <f aca="false">N185-O185</f>
        <v>-325826.7</v>
      </c>
    </row>
    <row r="186" customFormat="false" ht="15" hidden="false" customHeight="false" outlineLevel="0" collapsed="false">
      <c r="A186" s="8" t="s">
        <v>26</v>
      </c>
      <c r="B186" s="8" t="s">
        <v>35</v>
      </c>
      <c r="C186" s="8" t="s">
        <v>62</v>
      </c>
      <c r="D186" s="21" t="n">
        <v>46099.7916666667</v>
      </c>
      <c r="E186" s="21" t="n">
        <v>46101.4173611111</v>
      </c>
      <c r="F186" s="22" t="n">
        <f aca="false">DATE(YEAR(E186),MONTH(E186),1)</f>
        <v>46082</v>
      </c>
      <c r="G186" s="23" t="n">
        <v>263182</v>
      </c>
      <c r="H186" s="8" t="s">
        <v>61</v>
      </c>
      <c r="I186" s="24" t="n">
        <v>7288.6</v>
      </c>
      <c r="J186" s="25" t="n">
        <f aca="false">Summary!$B$4</f>
        <v>1</v>
      </c>
      <c r="K186" s="11" t="n">
        <f aca="false">I186*J186*IF(A186="SILVER",Summary!$B$5,Summary!$B$6)</f>
        <v>218658</v>
      </c>
      <c r="L186" s="26" t="n">
        <v>0.578</v>
      </c>
      <c r="M186" s="27" t="n">
        <f aca="false">IF(K186&gt;0,1,0)</f>
        <v>1</v>
      </c>
      <c r="N186" s="11" t="n">
        <f aca="false">SUMIFS(K$2:K186,A$2:A186,A186,B$2:B186,B186)</f>
        <v>5807465.1</v>
      </c>
      <c r="O186" s="11" t="n">
        <f aca="false">MAX(0,_xlfn.MAXIFS(N$2:N186,A$2:A186,A186,B$2:B186,B186))</f>
        <v>5914633.8</v>
      </c>
      <c r="P186" s="11" t="n">
        <f aca="false">N186-O186</f>
        <v>-107168.7</v>
      </c>
    </row>
    <row r="187" customFormat="false" ht="15" hidden="false" customHeight="false" outlineLevel="0" collapsed="false">
      <c r="A187" s="8" t="s">
        <v>26</v>
      </c>
      <c r="B187" s="8" t="s">
        <v>35</v>
      </c>
      <c r="C187" s="8" t="s">
        <v>62</v>
      </c>
      <c r="D187" s="21" t="n">
        <v>46104.4166666667</v>
      </c>
      <c r="E187" s="21" t="n">
        <v>46104.6916666667</v>
      </c>
      <c r="F187" s="22" t="n">
        <f aca="false">DATE(YEAR(E187),MONTH(E187),1)</f>
        <v>46082</v>
      </c>
      <c r="G187" s="23" t="n">
        <v>231463</v>
      </c>
      <c r="H187" s="8" t="s">
        <v>64</v>
      </c>
      <c r="I187" s="24" t="n">
        <v>1899.59</v>
      </c>
      <c r="J187" s="25" t="n">
        <f aca="false">Summary!$B$4</f>
        <v>1</v>
      </c>
      <c r="K187" s="11" t="n">
        <f aca="false">I187*J187*IF(A187="SILVER",Summary!$B$5,Summary!$B$6)</f>
        <v>56987.7</v>
      </c>
      <c r="L187" s="26" t="n">
        <v>0.097</v>
      </c>
      <c r="M187" s="27" t="n">
        <f aca="false">IF(K187&gt;0,1,0)</f>
        <v>1</v>
      </c>
      <c r="N187" s="11" t="n">
        <f aca="false">SUMIFS(K$2:K187,A$2:A187,A187,B$2:B187,B187)</f>
        <v>5864452.8</v>
      </c>
      <c r="O187" s="11" t="n">
        <f aca="false">MAX(0,_xlfn.MAXIFS(N$2:N187,A$2:A187,A187,B$2:B187,B187))</f>
        <v>5914633.8</v>
      </c>
      <c r="P187" s="11" t="n">
        <f aca="false">N187-O187</f>
        <v>-50181</v>
      </c>
    </row>
    <row r="188" customFormat="false" ht="15" hidden="false" customHeight="false" outlineLevel="0" collapsed="false">
      <c r="A188" s="8" t="s">
        <v>26</v>
      </c>
      <c r="B188" s="8" t="s">
        <v>35</v>
      </c>
      <c r="C188" s="8" t="s">
        <v>62</v>
      </c>
      <c r="D188" s="21" t="n">
        <v>46108.375</v>
      </c>
      <c r="E188" s="21" t="n">
        <v>46112.75</v>
      </c>
      <c r="F188" s="22" t="n">
        <f aca="false">DATE(YEAR(E188),MONTH(E188),1)</f>
        <v>46082</v>
      </c>
      <c r="G188" s="23" t="n">
        <v>241632</v>
      </c>
      <c r="H188" s="8" t="s">
        <v>61</v>
      </c>
      <c r="I188" s="24" t="n">
        <v>-12011.56</v>
      </c>
      <c r="J188" s="25" t="n">
        <f aca="false">Summary!$B$4</f>
        <v>1</v>
      </c>
      <c r="K188" s="11" t="n">
        <f aca="false">I188*J188*IF(A188="SILVER",Summary!$B$5,Summary!$B$6)</f>
        <v>-360346.8</v>
      </c>
      <c r="L188" s="26" t="n">
        <v>-1.139</v>
      </c>
      <c r="M188" s="27" t="n">
        <f aca="false">IF(K188&gt;0,1,0)</f>
        <v>0</v>
      </c>
      <c r="N188" s="11" t="n">
        <f aca="false">SUMIFS(K$2:K188,A$2:A188,A188,B$2:B188,B188)</f>
        <v>5504106</v>
      </c>
      <c r="O188" s="11" t="n">
        <f aca="false">MAX(0,_xlfn.MAXIFS(N$2:N188,A$2:A188,A188,B$2:B188,B188))</f>
        <v>5914633.8</v>
      </c>
      <c r="P188" s="11" t="n">
        <f aca="false">N188-O188</f>
        <v>-410527.8</v>
      </c>
    </row>
    <row r="189" customFormat="false" ht="15" hidden="false" customHeight="false" outlineLevel="0" collapsed="false">
      <c r="A189" s="8" t="s">
        <v>26</v>
      </c>
      <c r="B189" s="8" t="s">
        <v>35</v>
      </c>
      <c r="C189" s="8" t="s">
        <v>62</v>
      </c>
      <c r="D189" s="21" t="n">
        <v>46114.4166666667</v>
      </c>
      <c r="E189" s="21" t="n">
        <v>46120.4166666667</v>
      </c>
      <c r="F189" s="22" t="n">
        <f aca="false">DATE(YEAR(E189),MONTH(E189),1)</f>
        <v>46113</v>
      </c>
      <c r="G189" s="23" t="n">
        <v>248447</v>
      </c>
      <c r="H189" s="8" t="s">
        <v>61</v>
      </c>
      <c r="I189" s="24" t="n">
        <v>-12842.47</v>
      </c>
      <c r="J189" s="25" t="n">
        <f aca="false">Summary!$B$4</f>
        <v>1</v>
      </c>
      <c r="K189" s="11" t="n">
        <f aca="false">I189*J189*IF(A189="SILVER",Summary!$B$5,Summary!$B$6)</f>
        <v>-385274.1</v>
      </c>
      <c r="L189" s="26" t="n">
        <v>-0.77</v>
      </c>
      <c r="M189" s="27" t="n">
        <f aca="false">IF(K189&gt;0,1,0)</f>
        <v>0</v>
      </c>
      <c r="N189" s="11" t="n">
        <f aca="false">SUMIFS(K$2:K189,A$2:A189,A189,B$2:B189,B189)</f>
        <v>5118831.9</v>
      </c>
      <c r="O189" s="11" t="n">
        <f aca="false">MAX(0,_xlfn.MAXIFS(N$2:N189,A$2:A189,A189,B$2:B189,B189))</f>
        <v>5914633.8</v>
      </c>
      <c r="P189" s="11" t="n">
        <f aca="false">N189-O189</f>
        <v>-795801.899999999</v>
      </c>
    </row>
    <row r="190" customFormat="false" ht="15" hidden="false" customHeight="false" outlineLevel="0" collapsed="false">
      <c r="A190" s="8" t="s">
        <v>26</v>
      </c>
      <c r="B190" s="8" t="s">
        <v>35</v>
      </c>
      <c r="C190" s="8" t="s">
        <v>62</v>
      </c>
      <c r="D190" s="21" t="n">
        <v>46121.5416666667</v>
      </c>
      <c r="E190" s="21" t="n">
        <v>46126.75</v>
      </c>
      <c r="F190" s="22" t="n">
        <f aca="false">DATE(YEAR(E190),MONTH(E190),1)</f>
        <v>46113</v>
      </c>
      <c r="G190" s="23" t="n">
        <v>253479</v>
      </c>
      <c r="H190" s="8" t="s">
        <v>61</v>
      </c>
      <c r="I190" s="24" t="n">
        <v>-11264.29</v>
      </c>
      <c r="J190" s="25" t="n">
        <f aca="false">Summary!$B$4</f>
        <v>1</v>
      </c>
      <c r="K190" s="11" t="n">
        <f aca="false">I190*J190*IF(A190="SILVER",Summary!$B$5,Summary!$B$6)</f>
        <v>-337928.7</v>
      </c>
      <c r="L190" s="26" t="n">
        <v>-1.154</v>
      </c>
      <c r="M190" s="27" t="n">
        <f aca="false">IF(K190&gt;0,1,0)</f>
        <v>0</v>
      </c>
      <c r="N190" s="11" t="n">
        <f aca="false">SUMIFS(K$2:K190,A$2:A190,A190,B$2:B190,B190)</f>
        <v>4780903.2</v>
      </c>
      <c r="O190" s="11" t="n">
        <f aca="false">MAX(0,_xlfn.MAXIFS(N$2:N190,A$2:A190,A190,B$2:B190,B190))</f>
        <v>5914633.8</v>
      </c>
      <c r="P190" s="11" t="n">
        <f aca="false">N190-O190</f>
        <v>-1133730.6</v>
      </c>
    </row>
    <row r="191" customFormat="false" ht="15" hidden="false" customHeight="false" outlineLevel="0" collapsed="false">
      <c r="A191" s="8" t="s">
        <v>26</v>
      </c>
      <c r="B191" s="8" t="s">
        <v>35</v>
      </c>
      <c r="C191" s="8" t="s">
        <v>62</v>
      </c>
      <c r="D191" s="21" t="n">
        <v>46132.4583333333</v>
      </c>
      <c r="E191" s="21" t="n">
        <v>46142.5861111111</v>
      </c>
      <c r="F191" s="22" t="n">
        <f aca="false">DATE(YEAR(E191),MONTH(E191),1)</f>
        <v>46113</v>
      </c>
      <c r="G191" s="23" t="n">
        <v>269295</v>
      </c>
      <c r="H191" s="8" t="s">
        <v>61</v>
      </c>
      <c r="I191" s="24" t="n">
        <v>11550.81</v>
      </c>
      <c r="J191" s="25" t="n">
        <f aca="false">Summary!$B$4</f>
        <v>1</v>
      </c>
      <c r="K191" s="11" t="n">
        <f aca="false">I191*J191*IF(A191="SILVER",Summary!$B$5,Summary!$B$6)</f>
        <v>346524.3</v>
      </c>
      <c r="L191" s="26" t="n">
        <v>1.36</v>
      </c>
      <c r="M191" s="27" t="n">
        <f aca="false">IF(K191&gt;0,1,0)</f>
        <v>1</v>
      </c>
      <c r="N191" s="11" t="n">
        <f aca="false">SUMIFS(K$2:K191,A$2:A191,A191,B$2:B191,B191)</f>
        <v>5127427.5</v>
      </c>
      <c r="O191" s="11" t="n">
        <f aca="false">MAX(0,_xlfn.MAXIFS(N$2:N191,A$2:A191,A191,B$2:B191,B191))</f>
        <v>5914633.8</v>
      </c>
      <c r="P191" s="11" t="n">
        <f aca="false">N191-O191</f>
        <v>-787206.3</v>
      </c>
    </row>
    <row r="192" customFormat="false" ht="15" hidden="false" customHeight="false" outlineLevel="0" collapsed="false">
      <c r="A192" s="8" t="s">
        <v>26</v>
      </c>
      <c r="B192" s="8" t="s">
        <v>35</v>
      </c>
      <c r="C192" s="8" t="s">
        <v>62</v>
      </c>
      <c r="D192" s="21" t="n">
        <v>46146.7402777778</v>
      </c>
      <c r="E192" s="21" t="n">
        <v>46147.5819444444</v>
      </c>
      <c r="F192" s="22" t="n">
        <f aca="false">DATE(YEAR(E192),MONTH(E192),1)</f>
        <v>46143</v>
      </c>
      <c r="G192" s="23" t="n">
        <v>257385</v>
      </c>
      <c r="H192" s="8" t="s">
        <v>64</v>
      </c>
      <c r="I192" s="24" t="n">
        <v>-57.75</v>
      </c>
      <c r="J192" s="25" t="n">
        <f aca="false">Summary!$B$4</f>
        <v>1</v>
      </c>
      <c r="K192" s="11" t="n">
        <f aca="false">I192*J192*IF(A192="SILVER",Summary!$B$5,Summary!$B$6)</f>
        <v>-1732.5</v>
      </c>
      <c r="L192" s="26" t="n">
        <v>-0.007</v>
      </c>
      <c r="M192" s="27" t="n">
        <f aca="false">IF(K192&gt;0,1,0)</f>
        <v>0</v>
      </c>
      <c r="N192" s="11" t="n">
        <f aca="false">SUMIFS(K$2:K192,A$2:A192,A192,B$2:B192,B192)</f>
        <v>5125695</v>
      </c>
      <c r="O192" s="11" t="n">
        <f aca="false">MAX(0,_xlfn.MAXIFS(N$2:N192,A$2:A192,A192,B$2:B192,B192))</f>
        <v>5914633.8</v>
      </c>
      <c r="P192" s="11" t="n">
        <f aca="false">N192-O192</f>
        <v>-788938.8</v>
      </c>
    </row>
    <row r="193" customFormat="false" ht="15" hidden="false" customHeight="false" outlineLevel="0" collapsed="false">
      <c r="A193" s="8" t="s">
        <v>26</v>
      </c>
      <c r="B193" s="8" t="s">
        <v>35</v>
      </c>
      <c r="C193" s="8" t="s">
        <v>60</v>
      </c>
      <c r="D193" s="21" t="n">
        <v>46171.375</v>
      </c>
      <c r="E193" s="21" t="n">
        <v>46176.8347222222</v>
      </c>
      <c r="F193" s="22" t="n">
        <f aca="false">DATE(YEAR(E193),MONTH(E193),1)</f>
        <v>46174</v>
      </c>
      <c r="G193" s="23" t="n">
        <v>275337</v>
      </c>
      <c r="H193" s="8" t="s">
        <v>61</v>
      </c>
      <c r="I193" s="24" t="n">
        <v>-4996.32</v>
      </c>
      <c r="J193" s="25" t="n">
        <f aca="false">Summary!$B$4</f>
        <v>1</v>
      </c>
      <c r="K193" s="11" t="n">
        <f aca="false">I193*J193*IF(A193="SILVER",Summary!$B$5,Summary!$B$6)</f>
        <v>-149889.6</v>
      </c>
      <c r="L193" s="26" t="n">
        <v>-0.698</v>
      </c>
      <c r="M193" s="27" t="n">
        <f aca="false">IF(K193&gt;0,1,0)</f>
        <v>0</v>
      </c>
      <c r="N193" s="11" t="n">
        <f aca="false">SUMIFS(K$2:K193,A$2:A193,A193,B$2:B193,B193)</f>
        <v>4975805.4</v>
      </c>
      <c r="O193" s="11" t="n">
        <f aca="false">MAX(0,_xlfn.MAXIFS(N$2:N193,A$2:A193,A193,B$2:B193,B193))</f>
        <v>5914633.8</v>
      </c>
      <c r="P193" s="11" t="n">
        <f aca="false">N193-O193</f>
        <v>-938828.399999999</v>
      </c>
    </row>
    <row r="194" customFormat="false" ht="15" hidden="false" customHeight="false" outlineLevel="0" collapsed="false">
      <c r="A194" s="8" t="s">
        <v>26</v>
      </c>
      <c r="B194" s="8" t="s">
        <v>35</v>
      </c>
      <c r="C194" s="8" t="s">
        <v>62</v>
      </c>
      <c r="D194" s="21" t="n">
        <v>46191.5</v>
      </c>
      <c r="E194" s="21" t="n">
        <v>46195.5</v>
      </c>
      <c r="F194" s="22" t="n">
        <f aca="false">DATE(YEAR(E194),MONTH(E194),1)</f>
        <v>46174</v>
      </c>
      <c r="G194" s="23" t="n">
        <v>251712</v>
      </c>
      <c r="H194" s="8" t="s">
        <v>61</v>
      </c>
      <c r="I194" s="24" t="n">
        <v>6684.71</v>
      </c>
      <c r="J194" s="25" t="n">
        <f aca="false">Summary!$B$4</f>
        <v>1</v>
      </c>
      <c r="K194" s="11" t="n">
        <f aca="false">I194*J194*IF(A194="SILVER",Summary!$B$5,Summary!$B$6)</f>
        <v>200541.3</v>
      </c>
      <c r="L194" s="26" t="n">
        <v>0.897</v>
      </c>
      <c r="M194" s="27" t="n">
        <f aca="false">IF(K194&gt;0,1,0)</f>
        <v>1</v>
      </c>
      <c r="N194" s="11" t="n">
        <f aca="false">SUMIFS(K$2:K194,A$2:A194,A194,B$2:B194,B194)</f>
        <v>5176346.7</v>
      </c>
      <c r="O194" s="11" t="n">
        <f aca="false">MAX(0,_xlfn.MAXIFS(N$2:N194,A$2:A194,A194,B$2:B194,B194))</f>
        <v>5914633.8</v>
      </c>
      <c r="P194" s="11" t="n">
        <f aca="false">N194-O194</f>
        <v>-738287.1</v>
      </c>
    </row>
    <row r="195" customFormat="false" ht="15" hidden="false" customHeight="false" outlineLevel="0" collapsed="false">
      <c r="A195" s="8" t="s">
        <v>26</v>
      </c>
      <c r="B195" s="8" t="s">
        <v>35</v>
      </c>
      <c r="C195" s="8" t="s">
        <v>62</v>
      </c>
      <c r="D195" s="21" t="n">
        <v>46196.4166666667</v>
      </c>
      <c r="E195" s="21" t="n">
        <v>46198.8333333333</v>
      </c>
      <c r="F195" s="22" t="n">
        <f aca="false">DATE(YEAR(E195),MONTH(E195),1)</f>
        <v>46174</v>
      </c>
      <c r="G195" s="23" t="n">
        <v>235307</v>
      </c>
      <c r="H195" s="8" t="s">
        <v>61</v>
      </c>
      <c r="I195" s="24" t="n">
        <v>6711.01</v>
      </c>
      <c r="J195" s="25" t="n">
        <f aca="false">Summary!$B$4</f>
        <v>1</v>
      </c>
      <c r="K195" s="11" t="n">
        <f aca="false">I195*J195*IF(A195="SILVER",Summary!$B$5,Summary!$B$6)</f>
        <v>201330.3</v>
      </c>
      <c r="L195" s="26" t="n">
        <v>0.89</v>
      </c>
      <c r="M195" s="27" t="n">
        <f aca="false">IF(K195&gt;0,1,0)</f>
        <v>1</v>
      </c>
      <c r="N195" s="11" t="n">
        <f aca="false">SUMIFS(K$2:K195,A$2:A195,A195,B$2:B195,B195)</f>
        <v>5377677</v>
      </c>
      <c r="O195" s="11" t="n">
        <f aca="false">MAX(0,_xlfn.MAXIFS(N$2:N195,A$2:A195,A195,B$2:B195,B195))</f>
        <v>5914633.8</v>
      </c>
      <c r="P195" s="11" t="n">
        <f aca="false">N195-O195</f>
        <v>-536956.8</v>
      </c>
    </row>
    <row r="196" customFormat="false" ht="15" hidden="false" customHeight="false" outlineLevel="0" collapsed="false">
      <c r="A196" s="8" t="s">
        <v>26</v>
      </c>
      <c r="B196" s="8" t="s">
        <v>35</v>
      </c>
      <c r="C196" s="8" t="s">
        <v>62</v>
      </c>
      <c r="D196" s="21" t="n">
        <v>46210.4583333333</v>
      </c>
      <c r="E196" s="21" t="n">
        <v>46217.7916666667</v>
      </c>
      <c r="F196" s="22" t="n">
        <f aca="false">DATE(YEAR(E196),MONTH(E196),1)</f>
        <v>46204</v>
      </c>
      <c r="G196" s="23" t="n">
        <v>236470</v>
      </c>
      <c r="H196" s="8" t="s">
        <v>61</v>
      </c>
      <c r="I196" s="24" t="n">
        <v>7160.36</v>
      </c>
      <c r="J196" s="25" t="n">
        <f aca="false">Summary!$B$4</f>
        <v>1</v>
      </c>
      <c r="K196" s="11" t="n">
        <f aca="false">I196*J196*IF(A196="SILVER",Summary!$B$5,Summary!$B$6)</f>
        <v>214810.8</v>
      </c>
      <c r="L196" s="26" t="n">
        <v>1.23</v>
      </c>
      <c r="M196" s="27" t="n">
        <f aca="false">IF(K196&gt;0,1,0)</f>
        <v>1</v>
      </c>
      <c r="N196" s="11" t="n">
        <f aca="false">SUMIFS(K$2:K196,A$2:A196,A196,B$2:B196,B196)</f>
        <v>5592487.8</v>
      </c>
      <c r="O196" s="11" t="n">
        <f aca="false">MAX(0,_xlfn.MAXIFS(N$2:N196,A$2:A196,A196,B$2:B196,B196))</f>
        <v>5914633.8</v>
      </c>
      <c r="P196" s="11" t="n">
        <f aca="false">N196-O196</f>
        <v>-322146</v>
      </c>
    </row>
    <row r="197" customFormat="false" ht="15" hidden="false" customHeight="false" outlineLevel="0" collapsed="false">
      <c r="A197" s="8" t="s">
        <v>26</v>
      </c>
      <c r="B197" s="8" t="s">
        <v>35</v>
      </c>
      <c r="C197" s="8" t="s">
        <v>62</v>
      </c>
      <c r="D197" s="21" t="n">
        <v>46218.9166666667</v>
      </c>
      <c r="E197" s="21" t="n">
        <v>46223.375</v>
      </c>
      <c r="F197" s="22" t="n">
        <f aca="false">DATE(YEAR(E197),MONTH(E197),1)</f>
        <v>46204</v>
      </c>
      <c r="G197" s="23" t="n">
        <v>223617</v>
      </c>
      <c r="H197" s="8" t="s">
        <v>64</v>
      </c>
      <c r="I197" s="24" t="n">
        <v>-292.8</v>
      </c>
      <c r="J197" s="25" t="n">
        <f aca="false">Summary!$B$4</f>
        <v>1</v>
      </c>
      <c r="K197" s="11" t="n">
        <f aca="false">I197*J197*IF(A197="SILVER",Summary!$B$5,Summary!$B$6)</f>
        <v>-8784</v>
      </c>
      <c r="L197" s="26" t="n">
        <v>-0.046</v>
      </c>
      <c r="M197" s="27" t="n">
        <f aca="false">IF(K197&gt;0,1,0)</f>
        <v>0</v>
      </c>
      <c r="N197" s="11" t="n">
        <f aca="false">SUMIFS(K$2:K197,A$2:A197,A197,B$2:B197,B197)</f>
        <v>5583703.8</v>
      </c>
      <c r="O197" s="11" t="n">
        <f aca="false">MAX(0,_xlfn.MAXIFS(N$2:N197,A$2:A197,A197,B$2:B197,B197))</f>
        <v>5914633.8</v>
      </c>
      <c r="P197" s="11" t="n">
        <f aca="false">N197-O197</f>
        <v>-330930</v>
      </c>
    </row>
    <row r="198" customFormat="false" ht="15" hidden="false" customHeight="false" outlineLevel="0" collapsed="false">
      <c r="A198" s="8" t="s">
        <v>26</v>
      </c>
      <c r="B198" s="8" t="s">
        <v>35</v>
      </c>
      <c r="C198" s="8" t="s">
        <v>62</v>
      </c>
      <c r="D198" s="21" t="n">
        <v>46226.5833333333</v>
      </c>
      <c r="E198" s="21" t="n">
        <v>46227.5444444444</v>
      </c>
      <c r="F198" s="22" t="n">
        <f aca="false">DATE(YEAR(E198),MONTH(E198),1)</f>
        <v>46204</v>
      </c>
      <c r="G198" s="23" t="n">
        <v>227088</v>
      </c>
      <c r="H198" s="8" t="s">
        <v>64</v>
      </c>
      <c r="I198" s="24" t="n">
        <v>465.91</v>
      </c>
      <c r="J198" s="25" t="n">
        <f aca="false">Summary!$B$4</f>
        <v>1</v>
      </c>
      <c r="K198" s="11" t="n">
        <f aca="false">I198*J198*IF(A198="SILVER",Summary!$B$5,Summary!$B$6)</f>
        <v>13977.3</v>
      </c>
      <c r="L198" s="26" t="n">
        <v>0.09</v>
      </c>
      <c r="M198" s="27" t="n">
        <f aca="false">IF(K198&gt;0,1,0)</f>
        <v>1</v>
      </c>
      <c r="N198" s="11" t="n">
        <f aca="false">SUMIFS(K$2:K198,A$2:A198,A198,B$2:B198,B198)</f>
        <v>5597681.1</v>
      </c>
      <c r="O198" s="11" t="n">
        <f aca="false">MAX(0,_xlfn.MAXIFS(N$2:N198,A$2:A198,A198,B$2:B198,B198))</f>
        <v>5914633.8</v>
      </c>
      <c r="P198" s="11" t="n">
        <f aca="false">N198-O198</f>
        <v>-316952.7</v>
      </c>
    </row>
    <row r="199" customFormat="false" ht="15" hidden="false" customHeight="false" outlineLevel="0" collapsed="false">
      <c r="A199" s="8" t="s">
        <v>26</v>
      </c>
      <c r="B199" s="8" t="s">
        <v>35</v>
      </c>
      <c r="C199" s="8" t="s">
        <v>62</v>
      </c>
      <c r="D199" s="21" t="n">
        <v>46231.4166666667</v>
      </c>
      <c r="E199" s="21" t="n">
        <v>46233.9166666667</v>
      </c>
      <c r="F199" s="22" t="n">
        <f aca="false">DATE(YEAR(E199),MONTH(E199),1)</f>
        <v>46204</v>
      </c>
      <c r="G199" s="23" t="n">
        <v>221890</v>
      </c>
      <c r="H199" s="8" t="s">
        <v>61</v>
      </c>
      <c r="I199" s="24" t="n">
        <v>-2835.74</v>
      </c>
      <c r="J199" s="25" t="n">
        <f aca="false">Summary!$B$4</f>
        <v>1</v>
      </c>
      <c r="K199" s="11" t="n">
        <f aca="false">I199*J199*IF(A199="SILVER",Summary!$B$5,Summary!$B$6)</f>
        <v>-85072.2</v>
      </c>
      <c r="L199" s="26" t="n">
        <v>-0.427</v>
      </c>
      <c r="M199" s="27" t="n">
        <f aca="false">IF(K199&gt;0,1,0)</f>
        <v>0</v>
      </c>
      <c r="N199" s="11" t="n">
        <f aca="false">SUMIFS(K$2:K199,A$2:A199,A199,B$2:B199,B199)</f>
        <v>5512608.9</v>
      </c>
      <c r="O199" s="11" t="n">
        <f aca="false">MAX(0,_xlfn.MAXIFS(N$2:N199,A$2:A199,A199,B$2:B199,B199))</f>
        <v>5914633.8</v>
      </c>
      <c r="P199" s="11" t="n">
        <f aca="false">N199-O199</f>
        <v>-402024.899999999</v>
      </c>
    </row>
    <row r="200" customFormat="false" ht="15" hidden="false" customHeight="false" outlineLevel="0" collapsed="false">
      <c r="A200" s="8" t="s">
        <v>26</v>
      </c>
      <c r="B200" s="8" t="s">
        <v>35</v>
      </c>
      <c r="C200" s="8" t="s">
        <v>62</v>
      </c>
      <c r="D200" s="21" t="n">
        <v>46237.7916666667</v>
      </c>
      <c r="E200" s="21" t="n">
        <v>46238.5416666667</v>
      </c>
      <c r="F200" s="22" t="n">
        <f aca="false">DATE(YEAR(E200),MONTH(E200),1)</f>
        <v>46235</v>
      </c>
      <c r="G200" s="23" t="n">
        <v>218771</v>
      </c>
      <c r="H200" s="8" t="s">
        <v>61</v>
      </c>
      <c r="I200" s="24" t="n">
        <v>-5650.39</v>
      </c>
      <c r="J200" s="25" t="n">
        <f aca="false">Summary!$B$4</f>
        <v>1</v>
      </c>
      <c r="K200" s="11" t="n">
        <f aca="false">I200*J200*IF(A200="SILVER",Summary!$B$5,Summary!$B$6)</f>
        <v>-169511.7</v>
      </c>
      <c r="L200" s="26" t="n">
        <v>-0.946</v>
      </c>
      <c r="M200" s="27" t="n">
        <f aca="false">IF(K200&gt;0,1,0)</f>
        <v>0</v>
      </c>
      <c r="N200" s="11" t="n">
        <f aca="false">SUMIFS(K$2:K200,A$2:A200,A200,B$2:B200,B200)</f>
        <v>5343097.2</v>
      </c>
      <c r="O200" s="11" t="n">
        <f aca="false">MAX(0,_xlfn.MAXIFS(N$2:N200,A$2:A200,A200,B$2:B200,B200))</f>
        <v>5914633.8</v>
      </c>
      <c r="P200" s="11" t="n">
        <f aca="false">N200-O200</f>
        <v>-571536.6</v>
      </c>
    </row>
    <row r="201" customFormat="false" ht="15" hidden="false" customHeight="false" outlineLevel="0" collapsed="false">
      <c r="A201" s="8" t="s">
        <v>26</v>
      </c>
      <c r="B201" s="8" t="s">
        <v>35</v>
      </c>
      <c r="C201" s="8" t="s">
        <v>62</v>
      </c>
      <c r="D201" s="21" t="n">
        <v>46248.4166666667</v>
      </c>
      <c r="E201" s="21" t="n">
        <v>46251.5</v>
      </c>
      <c r="F201" s="22" t="n">
        <f aca="false">DATE(YEAR(E201),MONTH(E201),1)</f>
        <v>46235</v>
      </c>
      <c r="G201" s="23" t="n">
        <v>237506</v>
      </c>
      <c r="H201" s="8" t="s">
        <v>61</v>
      </c>
      <c r="I201" s="24" t="n">
        <v>-5496.12</v>
      </c>
      <c r="J201" s="25" t="n">
        <f aca="false">Summary!$B$4</f>
        <v>1</v>
      </c>
      <c r="K201" s="11" t="n">
        <f aca="false">I201*J201*IF(A201="SILVER",Summary!$B$5,Summary!$B$6)</f>
        <v>-164883.6</v>
      </c>
      <c r="L201" s="26" t="n">
        <v>-0.908</v>
      </c>
      <c r="M201" s="27" t="n">
        <f aca="false">IF(K201&gt;0,1,0)</f>
        <v>0</v>
      </c>
      <c r="N201" s="11" t="n">
        <f aca="false">SUMIFS(K$2:K201,A$2:A201,A201,B$2:B201,B201)</f>
        <v>5178213.6</v>
      </c>
      <c r="O201" s="11" t="n">
        <f aca="false">MAX(0,_xlfn.MAXIFS(N$2:N201,A$2:A201,A201,B$2:B201,B201))</f>
        <v>5914633.8</v>
      </c>
      <c r="P201" s="11" t="n">
        <f aca="false">N201-O201</f>
        <v>-736420.2</v>
      </c>
    </row>
    <row r="202" customFormat="false" ht="15" hidden="false" customHeight="false" outlineLevel="0" collapsed="false">
      <c r="A202" s="8" t="s">
        <v>26</v>
      </c>
      <c r="B202" s="8" t="s">
        <v>35</v>
      </c>
      <c r="C202" s="8" t="s">
        <v>62</v>
      </c>
      <c r="D202" s="21" t="n">
        <v>46252.875</v>
      </c>
      <c r="E202" s="21" t="n">
        <v>46253.74375</v>
      </c>
      <c r="F202" s="22" t="n">
        <f aca="false">DATE(YEAR(E202),MONTH(E202),1)</f>
        <v>46235</v>
      </c>
      <c r="G202" s="23" t="n">
        <v>236460</v>
      </c>
      <c r="H202" s="8" t="s">
        <v>64</v>
      </c>
      <c r="I202" s="24" t="n">
        <v>537.75</v>
      </c>
      <c r="J202" s="25" t="n">
        <f aca="false">Summary!$B$4</f>
        <v>1</v>
      </c>
      <c r="K202" s="11" t="n">
        <f aca="false">I202*J202*IF(A202="SILVER",Summary!$B$5,Summary!$B$6)</f>
        <v>16132.5</v>
      </c>
      <c r="L202" s="26" t="n">
        <v>0.091</v>
      </c>
      <c r="M202" s="27" t="n">
        <f aca="false">IF(K202&gt;0,1,0)</f>
        <v>1</v>
      </c>
      <c r="N202" s="11" t="n">
        <f aca="false">SUMIFS(K$2:K202,A$2:A202,A202,B$2:B202,B202)</f>
        <v>5194346.1</v>
      </c>
      <c r="O202" s="11" t="n">
        <f aca="false">MAX(0,_xlfn.MAXIFS(N$2:N202,A$2:A202,A202,B$2:B202,B202))</f>
        <v>5914633.8</v>
      </c>
      <c r="P202" s="11" t="n">
        <f aca="false">N202-O202</f>
        <v>-720287.7</v>
      </c>
    </row>
    <row r="203" customFormat="false" ht="15" hidden="false" customHeight="false" outlineLevel="0" collapsed="false">
      <c r="A203" s="8" t="s">
        <v>26</v>
      </c>
      <c r="B203" s="8" t="s">
        <v>35</v>
      </c>
      <c r="C203" s="8" t="s">
        <v>60</v>
      </c>
      <c r="D203" s="21" t="n">
        <v>46268.4173611111</v>
      </c>
      <c r="E203" s="21" t="n">
        <v>46269.75</v>
      </c>
      <c r="F203" s="22" t="n">
        <f aca="false">DATE(YEAR(E203),MONTH(E203),1)</f>
        <v>46266</v>
      </c>
      <c r="G203" s="23" t="n">
        <v>237817</v>
      </c>
      <c r="H203" s="8" t="s">
        <v>64</v>
      </c>
      <c r="I203" s="24" t="n">
        <v>569</v>
      </c>
      <c r="J203" s="25" t="n">
        <f aca="false">Summary!$B$4</f>
        <v>1</v>
      </c>
      <c r="K203" s="11" t="n">
        <f aca="false">I203*J203*IF(A203="SILVER",Summary!$B$5,Summary!$B$6)</f>
        <v>17070</v>
      </c>
      <c r="L203" s="26" t="n">
        <v>0.091</v>
      </c>
      <c r="M203" s="27" t="n">
        <f aca="false">IF(K203&gt;0,1,0)</f>
        <v>1</v>
      </c>
      <c r="N203" s="11" t="n">
        <f aca="false">SUMIFS(K$2:K203,A$2:A203,A203,B$2:B203,B203)</f>
        <v>5211416.1</v>
      </c>
      <c r="O203" s="11" t="n">
        <f aca="false">MAX(0,_xlfn.MAXIFS(N$2:N203,A$2:A203,A203,B$2:B203,B203))</f>
        <v>5914633.8</v>
      </c>
      <c r="P203" s="11" t="n">
        <f aca="false">N203-O203</f>
        <v>-703217.7</v>
      </c>
    </row>
    <row r="204" customFormat="false" ht="15" hidden="false" customHeight="false" outlineLevel="0" collapsed="false">
      <c r="A204" s="8" t="s">
        <v>26</v>
      </c>
      <c r="B204" s="8" t="s">
        <v>35</v>
      </c>
      <c r="C204" s="8" t="s">
        <v>60</v>
      </c>
      <c r="D204" s="21" t="n">
        <v>46274.5416666667</v>
      </c>
      <c r="E204" s="21" t="n">
        <v>46274.8583333333</v>
      </c>
      <c r="F204" s="22" t="n">
        <f aca="false">DATE(YEAR(E204),MONTH(E204),1)</f>
        <v>46266</v>
      </c>
      <c r="G204" s="23" t="n">
        <v>241499</v>
      </c>
      <c r="H204" s="8" t="s">
        <v>64</v>
      </c>
      <c r="I204" s="24" t="n">
        <v>466.94</v>
      </c>
      <c r="J204" s="25" t="n">
        <f aca="false">Summary!$B$4</f>
        <v>1</v>
      </c>
      <c r="K204" s="11" t="n">
        <f aca="false">I204*J204*IF(A204="SILVER",Summary!$B$5,Summary!$B$6)</f>
        <v>14008.2</v>
      </c>
      <c r="L204" s="26" t="n">
        <v>0.089</v>
      </c>
      <c r="M204" s="27" t="n">
        <f aca="false">IF(K204&gt;0,1,0)</f>
        <v>1</v>
      </c>
      <c r="N204" s="11" t="n">
        <f aca="false">SUMIFS(K$2:K204,A$2:A204,A204,B$2:B204,B204)</f>
        <v>5225424.3</v>
      </c>
      <c r="O204" s="11" t="n">
        <f aca="false">MAX(0,_xlfn.MAXIFS(N$2:N204,A$2:A204,A204,B$2:B204,B204))</f>
        <v>5914633.8</v>
      </c>
      <c r="P204" s="11" t="n">
        <f aca="false">N204-O204</f>
        <v>-689209.5</v>
      </c>
    </row>
    <row r="205" customFormat="false" ht="15" hidden="false" customHeight="false" outlineLevel="0" collapsed="false">
      <c r="A205" s="8" t="s">
        <v>26</v>
      </c>
      <c r="B205" s="8" t="s">
        <v>35</v>
      </c>
      <c r="C205" s="8" t="s">
        <v>60</v>
      </c>
      <c r="D205" s="21" t="n">
        <v>46282.75</v>
      </c>
      <c r="E205" s="21" t="n">
        <v>46287.4555555556</v>
      </c>
      <c r="F205" s="22" t="n">
        <f aca="false">DATE(YEAR(E205),MONTH(E205),1)</f>
        <v>46266</v>
      </c>
      <c r="G205" s="23" t="n">
        <v>237757</v>
      </c>
      <c r="H205" s="8" t="s">
        <v>64</v>
      </c>
      <c r="I205" s="24" t="n">
        <v>647.93</v>
      </c>
      <c r="J205" s="25" t="n">
        <f aca="false">Summary!$B$4</f>
        <v>1</v>
      </c>
      <c r="K205" s="11" t="n">
        <f aca="false">I205*J205*IF(A205="SILVER",Summary!$B$5,Summary!$B$6)</f>
        <v>19437.9</v>
      </c>
      <c r="L205" s="26" t="n">
        <v>0.092</v>
      </c>
      <c r="M205" s="27" t="n">
        <f aca="false">IF(K205&gt;0,1,0)</f>
        <v>1</v>
      </c>
      <c r="N205" s="11" t="n">
        <f aca="false">SUMIFS(K$2:K205,A$2:A205,A205,B$2:B205,B205)</f>
        <v>5244862.2</v>
      </c>
      <c r="O205" s="11" t="n">
        <f aca="false">MAX(0,_xlfn.MAXIFS(N$2:N205,A$2:A205,A205,B$2:B205,B205))</f>
        <v>5914633.8</v>
      </c>
      <c r="P205" s="11" t="n">
        <f aca="false">N205-O205</f>
        <v>-669771.6</v>
      </c>
    </row>
    <row r="206" customFormat="false" ht="15" hidden="false" customHeight="false" outlineLevel="0" collapsed="false">
      <c r="A206" s="8" t="s">
        <v>26</v>
      </c>
      <c r="B206" s="8" t="s">
        <v>37</v>
      </c>
      <c r="C206" s="8" t="s">
        <v>62</v>
      </c>
      <c r="D206" s="21" t="n">
        <v>45694.8541666667</v>
      </c>
      <c r="E206" s="21" t="n">
        <v>45699.8743055556</v>
      </c>
      <c r="F206" s="22" t="n">
        <f aca="false">DATE(YEAR(E206),MONTH(E206),1)</f>
        <v>45689</v>
      </c>
      <c r="G206" s="23" t="n">
        <v>133721</v>
      </c>
      <c r="H206" s="8" t="s">
        <v>64</v>
      </c>
      <c r="I206" s="24" t="n">
        <v>174.41</v>
      </c>
      <c r="J206" s="25" t="n">
        <f aca="false">Summary!$B$4</f>
        <v>1</v>
      </c>
      <c r="K206" s="11" t="n">
        <f aca="false">I206*J206*IF(A206="SILVER",Summary!$B$5,Summary!$B$6)</f>
        <v>5232.3</v>
      </c>
      <c r="L206" s="26" t="n">
        <v>0.086</v>
      </c>
      <c r="M206" s="27" t="n">
        <f aca="false">IF(K206&gt;0,1,0)</f>
        <v>1</v>
      </c>
      <c r="N206" s="11" t="n">
        <f aca="false">SUMIFS(K$2:K206,A$2:A206,A206,B$2:B206,B206)</f>
        <v>5232.3</v>
      </c>
      <c r="O206" s="11" t="n">
        <f aca="false">MAX(0,_xlfn.MAXIFS(N$2:N206,A$2:A206,A206,B$2:B206,B206))</f>
        <v>5232.3</v>
      </c>
      <c r="P206" s="11" t="n">
        <f aca="false">N206-O206</f>
        <v>0</v>
      </c>
    </row>
    <row r="207" customFormat="false" ht="15" hidden="false" customHeight="false" outlineLevel="0" collapsed="false">
      <c r="A207" s="8" t="s">
        <v>26</v>
      </c>
      <c r="B207" s="8" t="s">
        <v>37</v>
      </c>
      <c r="C207" s="8" t="s">
        <v>62</v>
      </c>
      <c r="D207" s="21" t="n">
        <v>45702.875</v>
      </c>
      <c r="E207" s="21" t="n">
        <v>45706.5236111111</v>
      </c>
      <c r="F207" s="22" t="n">
        <f aca="false">DATE(YEAR(E207),MONTH(E207),1)</f>
        <v>45689</v>
      </c>
      <c r="G207" s="23" t="n">
        <v>135364</v>
      </c>
      <c r="H207" s="8" t="s">
        <v>64</v>
      </c>
      <c r="I207" s="24" t="n">
        <v>150.69</v>
      </c>
      <c r="J207" s="25" t="n">
        <f aca="false">Summary!$B$4</f>
        <v>1</v>
      </c>
      <c r="K207" s="11" t="n">
        <f aca="false">I207*J207*IF(A207="SILVER",Summary!$B$5,Summary!$B$6)</f>
        <v>4520.7</v>
      </c>
      <c r="L207" s="26" t="n">
        <v>0.084</v>
      </c>
      <c r="M207" s="27" t="n">
        <f aca="false">IF(K207&gt;0,1,0)</f>
        <v>1</v>
      </c>
      <c r="N207" s="11" t="n">
        <f aca="false">SUMIFS(K$2:K207,A$2:A207,A207,B$2:B207,B207)</f>
        <v>9753</v>
      </c>
      <c r="O207" s="11" t="n">
        <f aca="false">MAX(0,_xlfn.MAXIFS(N$2:N207,A$2:A207,A207,B$2:B207,B207))</f>
        <v>9753</v>
      </c>
      <c r="P207" s="11" t="n">
        <f aca="false">N207-O207</f>
        <v>0</v>
      </c>
    </row>
    <row r="208" customFormat="false" ht="15" hidden="false" customHeight="false" outlineLevel="0" collapsed="false">
      <c r="A208" s="8" t="s">
        <v>26</v>
      </c>
      <c r="B208" s="8" t="s">
        <v>37</v>
      </c>
      <c r="C208" s="8" t="s">
        <v>62</v>
      </c>
      <c r="D208" s="21" t="n">
        <v>45707.8958333333</v>
      </c>
      <c r="E208" s="21" t="n">
        <v>45713.5326388889</v>
      </c>
      <c r="F208" s="22" t="n">
        <f aca="false">DATE(YEAR(E208),MONTH(E208),1)</f>
        <v>45689</v>
      </c>
      <c r="G208" s="23" t="n">
        <v>135017</v>
      </c>
      <c r="H208" s="8" t="s">
        <v>64</v>
      </c>
      <c r="I208" s="24" t="n">
        <v>177.2</v>
      </c>
      <c r="J208" s="25" t="n">
        <f aca="false">Summary!$B$4</f>
        <v>1</v>
      </c>
      <c r="K208" s="11" t="n">
        <f aca="false">I208*J208*IF(A208="SILVER",Summary!$B$5,Summary!$B$6)</f>
        <v>5316</v>
      </c>
      <c r="L208" s="26" t="n">
        <v>0.086</v>
      </c>
      <c r="M208" s="27" t="n">
        <f aca="false">IF(K208&gt;0,1,0)</f>
        <v>1</v>
      </c>
      <c r="N208" s="11" t="n">
        <f aca="false">SUMIFS(K$2:K208,A$2:A208,A208,B$2:B208,B208)</f>
        <v>15069</v>
      </c>
      <c r="O208" s="11" t="n">
        <f aca="false">MAX(0,_xlfn.MAXIFS(N$2:N208,A$2:A208,A208,B$2:B208,B208))</f>
        <v>15069</v>
      </c>
      <c r="P208" s="11" t="n">
        <f aca="false">N208-O208</f>
        <v>0</v>
      </c>
    </row>
    <row r="209" customFormat="false" ht="15" hidden="false" customHeight="false" outlineLevel="0" collapsed="false">
      <c r="A209" s="8" t="s">
        <v>26</v>
      </c>
      <c r="B209" s="8" t="s">
        <v>37</v>
      </c>
      <c r="C209" s="8" t="s">
        <v>62</v>
      </c>
      <c r="D209" s="21" t="n">
        <v>45713.7708333333</v>
      </c>
      <c r="E209" s="21" t="n">
        <v>45714.8673611111</v>
      </c>
      <c r="F209" s="22" t="n">
        <f aca="false">DATE(YEAR(E209),MONTH(E209),1)</f>
        <v>45689</v>
      </c>
      <c r="G209" s="23" t="n">
        <v>133683</v>
      </c>
      <c r="H209" s="8" t="s">
        <v>64</v>
      </c>
      <c r="I209" s="24" t="n">
        <v>132.71</v>
      </c>
      <c r="J209" s="25" t="n">
        <f aca="false">Summary!$B$4</f>
        <v>1</v>
      </c>
      <c r="K209" s="11" t="n">
        <f aca="false">I209*J209*IF(A209="SILVER",Summary!$B$5,Summary!$B$6)</f>
        <v>3981.3</v>
      </c>
      <c r="L209" s="26" t="n">
        <v>0.082</v>
      </c>
      <c r="M209" s="27" t="n">
        <f aca="false">IF(K209&gt;0,1,0)</f>
        <v>1</v>
      </c>
      <c r="N209" s="11" t="n">
        <f aca="false">SUMIFS(K$2:K209,A$2:A209,A209,B$2:B209,B209)</f>
        <v>19050.3</v>
      </c>
      <c r="O209" s="11" t="n">
        <f aca="false">MAX(0,_xlfn.MAXIFS(N$2:N209,A$2:A209,A209,B$2:B209,B209))</f>
        <v>19050.3</v>
      </c>
      <c r="P209" s="11" t="n">
        <f aca="false">N209-O209</f>
        <v>0</v>
      </c>
    </row>
    <row r="210" customFormat="false" ht="15" hidden="false" customHeight="false" outlineLevel="0" collapsed="false">
      <c r="A210" s="8" t="s">
        <v>26</v>
      </c>
      <c r="B210" s="8" t="s">
        <v>37</v>
      </c>
      <c r="C210" s="8" t="s">
        <v>62</v>
      </c>
      <c r="D210" s="21" t="n">
        <v>45715.8541666667</v>
      </c>
      <c r="E210" s="21" t="n">
        <v>45719.3777777778</v>
      </c>
      <c r="F210" s="22" t="n">
        <f aca="false">DATE(YEAR(E210),MONTH(E210),1)</f>
        <v>45717</v>
      </c>
      <c r="G210" s="23" t="n">
        <v>132583</v>
      </c>
      <c r="H210" s="8" t="s">
        <v>64</v>
      </c>
      <c r="I210" s="24" t="n">
        <v>40.29</v>
      </c>
      <c r="J210" s="25" t="n">
        <f aca="false">Summary!$B$4</f>
        <v>1</v>
      </c>
      <c r="K210" s="11" t="n">
        <f aca="false">I210*J210*IF(A210="SILVER",Summary!$B$5,Summary!$B$6)</f>
        <v>1208.7</v>
      </c>
      <c r="L210" s="26" t="n">
        <v>0.019</v>
      </c>
      <c r="M210" s="27" t="n">
        <f aca="false">IF(K210&gt;0,1,0)</f>
        <v>1</v>
      </c>
      <c r="N210" s="11" t="n">
        <f aca="false">SUMIFS(K$2:K210,A$2:A210,A210,B$2:B210,B210)</f>
        <v>20259</v>
      </c>
      <c r="O210" s="11" t="n">
        <f aca="false">MAX(0,_xlfn.MAXIFS(N$2:N210,A$2:A210,A210,B$2:B210,B210))</f>
        <v>20259</v>
      </c>
      <c r="P210" s="11" t="n">
        <f aca="false">N210-O210</f>
        <v>0</v>
      </c>
    </row>
    <row r="211" customFormat="false" ht="15" hidden="false" customHeight="false" outlineLevel="0" collapsed="false">
      <c r="A211" s="8" t="s">
        <v>26</v>
      </c>
      <c r="B211" s="8" t="s">
        <v>37</v>
      </c>
      <c r="C211" s="8" t="s">
        <v>62</v>
      </c>
      <c r="D211" s="21" t="n">
        <v>45720.9</v>
      </c>
      <c r="E211" s="21" t="n">
        <v>45721.5069444445</v>
      </c>
      <c r="F211" s="22" t="n">
        <f aca="false">DATE(YEAR(E211),MONTH(E211),1)</f>
        <v>45717</v>
      </c>
      <c r="G211" s="23" t="n">
        <v>133160</v>
      </c>
      <c r="H211" s="8" t="s">
        <v>61</v>
      </c>
      <c r="I211" s="24" t="n">
        <v>-1310.92</v>
      </c>
      <c r="J211" s="25" t="n">
        <f aca="false">Summary!$B$4</f>
        <v>1</v>
      </c>
      <c r="K211" s="11" t="n">
        <f aca="false">I211*J211*IF(A211="SILVER",Summary!$B$5,Summary!$B$6)</f>
        <v>-39327.6</v>
      </c>
      <c r="L211" s="26" t="n">
        <v>-1.087</v>
      </c>
      <c r="M211" s="27" t="n">
        <f aca="false">IF(K211&gt;0,1,0)</f>
        <v>0</v>
      </c>
      <c r="N211" s="11" t="n">
        <f aca="false">SUMIFS(K$2:K211,A$2:A211,A211,B$2:B211,B211)</f>
        <v>-19068.6</v>
      </c>
      <c r="O211" s="11" t="n">
        <f aca="false">MAX(0,_xlfn.MAXIFS(N$2:N211,A$2:A211,A211,B$2:B211,B211))</f>
        <v>20259</v>
      </c>
      <c r="P211" s="11" t="n">
        <f aca="false">N211-O211</f>
        <v>-39327.6</v>
      </c>
    </row>
    <row r="212" customFormat="false" ht="15" hidden="false" customHeight="false" outlineLevel="0" collapsed="false">
      <c r="A212" s="8" t="s">
        <v>26</v>
      </c>
      <c r="B212" s="8" t="s">
        <v>37</v>
      </c>
      <c r="C212" s="8" t="s">
        <v>62</v>
      </c>
      <c r="D212" s="21" t="n">
        <v>45726.9375</v>
      </c>
      <c r="E212" s="21" t="n">
        <v>45728.3958333333</v>
      </c>
      <c r="F212" s="22" t="n">
        <f aca="false">DATE(YEAR(E212),MONTH(E212),1)</f>
        <v>45717</v>
      </c>
      <c r="G212" s="23" t="n">
        <v>133709</v>
      </c>
      <c r="H212" s="8" t="s">
        <v>61</v>
      </c>
      <c r="I212" s="24" t="n">
        <v>-1719.51</v>
      </c>
      <c r="J212" s="25" t="n">
        <f aca="false">Summary!$B$4</f>
        <v>1</v>
      </c>
      <c r="K212" s="11" t="n">
        <f aca="false">I212*J212*IF(A212="SILVER",Summary!$B$5,Summary!$B$6)</f>
        <v>-51585.3</v>
      </c>
      <c r="L212" s="26" t="n">
        <v>-1.018</v>
      </c>
      <c r="M212" s="27" t="n">
        <f aca="false">IF(K212&gt;0,1,0)</f>
        <v>0</v>
      </c>
      <c r="N212" s="11" t="n">
        <f aca="false">SUMIFS(K$2:K212,A$2:A212,A212,B$2:B212,B212)</f>
        <v>-70653.9</v>
      </c>
      <c r="O212" s="11" t="n">
        <f aca="false">MAX(0,_xlfn.MAXIFS(N$2:N212,A$2:A212,A212,B$2:B212,B212))</f>
        <v>20259</v>
      </c>
      <c r="P212" s="11" t="n">
        <f aca="false">N212-O212</f>
        <v>-90912.9</v>
      </c>
    </row>
    <row r="213" customFormat="false" ht="15" hidden="false" customHeight="false" outlineLevel="0" collapsed="false">
      <c r="A213" s="8" t="s">
        <v>26</v>
      </c>
      <c r="B213" s="8" t="s">
        <v>37</v>
      </c>
      <c r="C213" s="8" t="s">
        <v>62</v>
      </c>
      <c r="D213" s="21" t="n">
        <v>45735.8333333333</v>
      </c>
      <c r="E213" s="21" t="n">
        <v>45741.7708333333</v>
      </c>
      <c r="F213" s="22" t="n">
        <f aca="false">DATE(YEAR(E213),MONTH(E213),1)</f>
        <v>45717</v>
      </c>
      <c r="G213" s="23" t="n">
        <v>136959</v>
      </c>
      <c r="H213" s="8" t="s">
        <v>61</v>
      </c>
      <c r="I213" s="24" t="n">
        <v>973.12</v>
      </c>
      <c r="J213" s="25" t="n">
        <f aca="false">Summary!$B$4</f>
        <v>1</v>
      </c>
      <c r="K213" s="11" t="n">
        <f aca="false">I213*J213*IF(A213="SILVER",Summary!$B$5,Summary!$B$6)</f>
        <v>29193.6</v>
      </c>
      <c r="L213" s="26" t="n">
        <v>0.539</v>
      </c>
      <c r="M213" s="27" t="n">
        <f aca="false">IF(K213&gt;0,1,0)</f>
        <v>1</v>
      </c>
      <c r="N213" s="11" t="n">
        <f aca="false">SUMIFS(K$2:K213,A$2:A213,A213,B$2:B213,B213)</f>
        <v>-41460.3</v>
      </c>
      <c r="O213" s="11" t="n">
        <f aca="false">MAX(0,_xlfn.MAXIFS(N$2:N213,A$2:A213,A213,B$2:B213,B213))</f>
        <v>20259</v>
      </c>
      <c r="P213" s="11" t="n">
        <f aca="false">N213-O213</f>
        <v>-61719.3</v>
      </c>
    </row>
    <row r="214" customFormat="false" ht="15" hidden="false" customHeight="false" outlineLevel="0" collapsed="false">
      <c r="A214" s="8" t="s">
        <v>26</v>
      </c>
      <c r="B214" s="8" t="s">
        <v>37</v>
      </c>
      <c r="C214" s="8" t="s">
        <v>62</v>
      </c>
      <c r="D214" s="21" t="n">
        <v>45747.7916666667</v>
      </c>
      <c r="E214" s="21" t="n">
        <v>45757.7083333333</v>
      </c>
      <c r="F214" s="22" t="n">
        <f aca="false">DATE(YEAR(E214),MONTH(E214),1)</f>
        <v>45748</v>
      </c>
      <c r="G214" s="23" t="n">
        <v>136794</v>
      </c>
      <c r="H214" s="8" t="s">
        <v>61</v>
      </c>
      <c r="I214" s="24" t="n">
        <v>8264.87</v>
      </c>
      <c r="J214" s="25" t="n">
        <f aca="false">Summary!$B$4</f>
        <v>1</v>
      </c>
      <c r="K214" s="11" t="n">
        <f aca="false">I214*J214*IF(A214="SILVER",Summary!$B$5,Summary!$B$6)</f>
        <v>247946.1</v>
      </c>
      <c r="L214" s="26" t="n">
        <v>3.128</v>
      </c>
      <c r="M214" s="27" t="n">
        <f aca="false">IF(K214&gt;0,1,0)</f>
        <v>1</v>
      </c>
      <c r="N214" s="11" t="n">
        <f aca="false">SUMIFS(K$2:K214,A$2:A214,A214,B$2:B214,B214)</f>
        <v>206485.8</v>
      </c>
      <c r="O214" s="11" t="n">
        <f aca="false">MAX(0,_xlfn.MAXIFS(N$2:N214,A$2:A214,A214,B$2:B214,B214))</f>
        <v>206485.8</v>
      </c>
      <c r="P214" s="11" t="n">
        <f aca="false">N214-O214</f>
        <v>0</v>
      </c>
    </row>
    <row r="215" customFormat="false" ht="15" hidden="false" customHeight="false" outlineLevel="0" collapsed="false">
      <c r="A215" s="8" t="s">
        <v>26</v>
      </c>
      <c r="B215" s="8" t="s">
        <v>37</v>
      </c>
      <c r="C215" s="8" t="s">
        <v>62</v>
      </c>
      <c r="D215" s="21" t="n">
        <v>45764.8333333333</v>
      </c>
      <c r="E215" s="21" t="n">
        <v>45770.8333333333</v>
      </c>
      <c r="F215" s="22" t="n">
        <f aca="false">DATE(YEAR(E215),MONTH(E215),1)</f>
        <v>45748</v>
      </c>
      <c r="G215" s="23" t="n">
        <v>131562</v>
      </c>
      <c r="H215" s="8" t="s">
        <v>61</v>
      </c>
      <c r="I215" s="24" t="n">
        <v>-2201.12</v>
      </c>
      <c r="J215" s="25" t="n">
        <f aca="false">Summary!$B$4</f>
        <v>1</v>
      </c>
      <c r="K215" s="11" t="n">
        <f aca="false">I215*J215*IF(A215="SILVER",Summary!$B$5,Summary!$B$6)</f>
        <v>-66033.6</v>
      </c>
      <c r="L215" s="26" t="n">
        <v>-1.054</v>
      </c>
      <c r="M215" s="27" t="n">
        <f aca="false">IF(K215&gt;0,1,0)</f>
        <v>0</v>
      </c>
      <c r="N215" s="11" t="n">
        <f aca="false">SUMIFS(K$2:K215,A$2:A215,A215,B$2:B215,B215)</f>
        <v>140452.2</v>
      </c>
      <c r="O215" s="11" t="n">
        <f aca="false">MAX(0,_xlfn.MAXIFS(N$2:N215,A$2:A215,A215,B$2:B215,B215))</f>
        <v>206485.8</v>
      </c>
      <c r="P215" s="11" t="n">
        <f aca="false">N215-O215</f>
        <v>-66033.6</v>
      </c>
    </row>
    <row r="216" customFormat="false" ht="15" hidden="false" customHeight="false" outlineLevel="0" collapsed="false">
      <c r="A216" s="8" t="s">
        <v>26</v>
      </c>
      <c r="B216" s="8" t="s">
        <v>37</v>
      </c>
      <c r="C216" s="8" t="s">
        <v>62</v>
      </c>
      <c r="D216" s="21" t="n">
        <v>45775.3958333333</v>
      </c>
      <c r="E216" s="21" t="n">
        <v>45776.6472222222</v>
      </c>
      <c r="F216" s="22" t="n">
        <f aca="false">DATE(YEAR(E216),MONTH(E216),1)</f>
        <v>45748</v>
      </c>
      <c r="G216" s="23" t="n">
        <v>132938</v>
      </c>
      <c r="H216" s="8" t="s">
        <v>61</v>
      </c>
      <c r="I216" s="24" t="n">
        <v>-1411.32</v>
      </c>
      <c r="J216" s="25" t="n">
        <f aca="false">Summary!$B$4</f>
        <v>1</v>
      </c>
      <c r="K216" s="11" t="n">
        <f aca="false">I216*J216*IF(A216="SILVER",Summary!$B$5,Summary!$B$6)</f>
        <v>-42339.6</v>
      </c>
      <c r="L216" s="26" t="n">
        <v>-0.78</v>
      </c>
      <c r="M216" s="27" t="n">
        <f aca="false">IF(K216&gt;0,1,0)</f>
        <v>0</v>
      </c>
      <c r="N216" s="11" t="n">
        <f aca="false">SUMIFS(K$2:K216,A$2:A216,A216,B$2:B216,B216)</f>
        <v>98112.6</v>
      </c>
      <c r="O216" s="11" t="n">
        <f aca="false">MAX(0,_xlfn.MAXIFS(N$2:N216,A$2:A216,A216,B$2:B216,B216))</f>
        <v>206485.8</v>
      </c>
      <c r="P216" s="11" t="n">
        <f aca="false">N216-O216</f>
        <v>-108373.2</v>
      </c>
    </row>
    <row r="217" customFormat="false" ht="15" hidden="false" customHeight="false" outlineLevel="0" collapsed="false">
      <c r="A217" s="8" t="s">
        <v>26</v>
      </c>
      <c r="B217" s="8" t="s">
        <v>37</v>
      </c>
      <c r="C217" s="8" t="s">
        <v>62</v>
      </c>
      <c r="D217" s="21" t="n">
        <v>45777.4166666667</v>
      </c>
      <c r="E217" s="21" t="n">
        <v>45786.8958333333</v>
      </c>
      <c r="F217" s="22" t="n">
        <f aca="false">DATE(YEAR(E217),MONTH(E217),1)</f>
        <v>45778</v>
      </c>
      <c r="G217" s="23" t="n">
        <v>132610</v>
      </c>
      <c r="H217" s="8" t="s">
        <v>61</v>
      </c>
      <c r="I217" s="24" t="n">
        <v>798.38</v>
      </c>
      <c r="J217" s="25" t="n">
        <f aca="false">Summary!$B$4</f>
        <v>1</v>
      </c>
      <c r="K217" s="11" t="n">
        <f aca="false">I217*J217*IF(A217="SILVER",Summary!$B$5,Summary!$B$6)</f>
        <v>23951.4</v>
      </c>
      <c r="L217" s="26" t="n">
        <v>0.341</v>
      </c>
      <c r="M217" s="27" t="n">
        <f aca="false">IF(K217&gt;0,1,0)</f>
        <v>1</v>
      </c>
      <c r="N217" s="11" t="n">
        <f aca="false">SUMIFS(K$2:K217,A$2:A217,A217,B$2:B217,B217)</f>
        <v>122064</v>
      </c>
      <c r="O217" s="11" t="n">
        <f aca="false">MAX(0,_xlfn.MAXIFS(N$2:N217,A$2:A217,A217,B$2:B217,B217))</f>
        <v>206485.8</v>
      </c>
      <c r="P217" s="11" t="n">
        <f aca="false">N217-O217</f>
        <v>-84421.8</v>
      </c>
    </row>
    <row r="218" customFormat="false" ht="15" hidden="false" customHeight="false" outlineLevel="0" collapsed="false">
      <c r="A218" s="8" t="s">
        <v>26</v>
      </c>
      <c r="B218" s="8" t="s">
        <v>37</v>
      </c>
      <c r="C218" s="8" t="s">
        <v>62</v>
      </c>
      <c r="D218" s="21" t="n">
        <v>45789.5625</v>
      </c>
      <c r="E218" s="21" t="n">
        <v>45790.4166666667</v>
      </c>
      <c r="F218" s="22" t="n">
        <f aca="false">DATE(YEAR(E218),MONTH(E218),1)</f>
        <v>45778</v>
      </c>
      <c r="G218" s="23" t="n">
        <v>129173</v>
      </c>
      <c r="H218" s="8" t="s">
        <v>61</v>
      </c>
      <c r="I218" s="24" t="n">
        <v>-2534.1</v>
      </c>
      <c r="J218" s="25" t="n">
        <f aca="false">Summary!$B$4</f>
        <v>1</v>
      </c>
      <c r="K218" s="11" t="n">
        <f aca="false">I218*J218*IF(A218="SILVER",Summary!$B$5,Summary!$B$6)</f>
        <v>-76023</v>
      </c>
      <c r="L218" s="26" t="n">
        <v>-0.948</v>
      </c>
      <c r="M218" s="27" t="n">
        <f aca="false">IF(K218&gt;0,1,0)</f>
        <v>0</v>
      </c>
      <c r="N218" s="11" t="n">
        <f aca="false">SUMIFS(K$2:K218,A$2:A218,A218,B$2:B218,B218)</f>
        <v>46041</v>
      </c>
      <c r="O218" s="11" t="n">
        <f aca="false">MAX(0,_xlfn.MAXIFS(N$2:N218,A$2:A218,A218,B$2:B218,B218))</f>
        <v>206485.8</v>
      </c>
      <c r="P218" s="11" t="n">
        <f aca="false">N218-O218</f>
        <v>-160444.8</v>
      </c>
    </row>
    <row r="219" customFormat="false" ht="15" hidden="false" customHeight="false" outlineLevel="0" collapsed="false">
      <c r="A219" s="8" t="s">
        <v>26</v>
      </c>
      <c r="B219" s="8" t="s">
        <v>37</v>
      </c>
      <c r="C219" s="8" t="s">
        <v>62</v>
      </c>
      <c r="D219" s="21" t="n">
        <v>45791.7708333333</v>
      </c>
      <c r="E219" s="21" t="n">
        <v>45792.7194444445</v>
      </c>
      <c r="F219" s="22" t="n">
        <f aca="false">DATE(YEAR(E219),MONTH(E219),1)</f>
        <v>45778</v>
      </c>
      <c r="G219" s="23" t="n">
        <v>130213</v>
      </c>
      <c r="H219" s="8" t="s">
        <v>64</v>
      </c>
      <c r="I219" s="24" t="n">
        <v>193.81</v>
      </c>
      <c r="J219" s="25" t="n">
        <f aca="false">Summary!$B$4</f>
        <v>1</v>
      </c>
      <c r="K219" s="11" t="n">
        <f aca="false">I219*J219*IF(A219="SILVER",Summary!$B$5,Summary!$B$6)</f>
        <v>5814.3</v>
      </c>
      <c r="L219" s="26" t="n">
        <v>0.087</v>
      </c>
      <c r="M219" s="27" t="n">
        <f aca="false">IF(K219&gt;0,1,0)</f>
        <v>1</v>
      </c>
      <c r="N219" s="11" t="n">
        <f aca="false">SUMIFS(K$2:K219,A$2:A219,A219,B$2:B219,B219)</f>
        <v>51855.3</v>
      </c>
      <c r="O219" s="11" t="n">
        <f aca="false">MAX(0,_xlfn.MAXIFS(N$2:N219,A$2:A219,A219,B$2:B219,B219))</f>
        <v>206485.8</v>
      </c>
      <c r="P219" s="11" t="n">
        <f aca="false">N219-O219</f>
        <v>-154630.5</v>
      </c>
    </row>
    <row r="220" customFormat="false" ht="15" hidden="false" customHeight="false" outlineLevel="0" collapsed="false">
      <c r="A220" s="8" t="s">
        <v>26</v>
      </c>
      <c r="B220" s="8" t="s">
        <v>37</v>
      </c>
      <c r="C220" s="8" t="s">
        <v>62</v>
      </c>
      <c r="D220" s="21" t="n">
        <v>45799.6875</v>
      </c>
      <c r="E220" s="21" t="n">
        <v>45810.75</v>
      </c>
      <c r="F220" s="22" t="n">
        <f aca="false">DATE(YEAR(E220),MONTH(E220),1)</f>
        <v>45809</v>
      </c>
      <c r="G220" s="23" t="n">
        <v>131846</v>
      </c>
      <c r="H220" s="8" t="s">
        <v>61</v>
      </c>
      <c r="I220" s="24" t="n">
        <v>-1378.53</v>
      </c>
      <c r="J220" s="25" t="n">
        <f aca="false">Summary!$B$4</f>
        <v>1</v>
      </c>
      <c r="K220" s="11" t="n">
        <f aca="false">I220*J220*IF(A220="SILVER",Summary!$B$5,Summary!$B$6)</f>
        <v>-41355.9</v>
      </c>
      <c r="L220" s="26" t="n">
        <v>-0.572</v>
      </c>
      <c r="M220" s="27" t="n">
        <f aca="false">IF(K220&gt;0,1,0)</f>
        <v>0</v>
      </c>
      <c r="N220" s="11" t="n">
        <f aca="false">SUMIFS(K$2:K220,A$2:A220,A220,B$2:B220,B220)</f>
        <v>10499.4</v>
      </c>
      <c r="O220" s="11" t="n">
        <f aca="false">MAX(0,_xlfn.MAXIFS(N$2:N220,A$2:A220,A220,B$2:B220,B220))</f>
        <v>206485.8</v>
      </c>
      <c r="P220" s="11" t="n">
        <f aca="false">N220-O220</f>
        <v>-195986.4</v>
      </c>
    </row>
    <row r="221" customFormat="false" ht="15" hidden="false" customHeight="false" outlineLevel="0" collapsed="false">
      <c r="A221" s="8" t="s">
        <v>26</v>
      </c>
      <c r="B221" s="8" t="s">
        <v>37</v>
      </c>
      <c r="C221" s="8" t="s">
        <v>60</v>
      </c>
      <c r="D221" s="21" t="n">
        <v>45814.3958333333</v>
      </c>
      <c r="E221" s="21" t="n">
        <v>45819.6083333333</v>
      </c>
      <c r="F221" s="22" t="n">
        <f aca="false">DATE(YEAR(E221),MONTH(E221),1)</f>
        <v>45809</v>
      </c>
      <c r="G221" s="23" t="n">
        <v>140366</v>
      </c>
      <c r="H221" s="8" t="s">
        <v>64</v>
      </c>
      <c r="I221" s="24" t="n">
        <v>262.73</v>
      </c>
      <c r="J221" s="25" t="n">
        <f aca="false">Summary!$B$4</f>
        <v>1</v>
      </c>
      <c r="K221" s="11" t="n">
        <f aca="false">I221*J221*IF(A221="SILVER",Summary!$B$5,Summary!$B$6)</f>
        <v>7881.9</v>
      </c>
      <c r="L221" s="26" t="n">
        <v>0.089</v>
      </c>
      <c r="M221" s="27" t="n">
        <f aca="false">IF(K221&gt;0,1,0)</f>
        <v>1</v>
      </c>
      <c r="N221" s="11" t="n">
        <f aca="false">SUMIFS(K$2:K221,A$2:A221,A221,B$2:B221,B221)</f>
        <v>18381.3</v>
      </c>
      <c r="O221" s="11" t="n">
        <f aca="false">MAX(0,_xlfn.MAXIFS(N$2:N221,A$2:A221,A221,B$2:B221,B221))</f>
        <v>206485.8</v>
      </c>
      <c r="P221" s="11" t="n">
        <f aca="false">N221-O221</f>
        <v>-188104.5</v>
      </c>
    </row>
    <row r="222" customFormat="false" ht="15" hidden="false" customHeight="false" outlineLevel="0" collapsed="false">
      <c r="A222" s="8" t="s">
        <v>26</v>
      </c>
      <c r="B222" s="8" t="s">
        <v>37</v>
      </c>
      <c r="C222" s="8" t="s">
        <v>60</v>
      </c>
      <c r="D222" s="21" t="n">
        <v>45825.6458333333</v>
      </c>
      <c r="E222" s="21" t="n">
        <v>45827.4840277778</v>
      </c>
      <c r="F222" s="22" t="n">
        <f aca="false">DATE(YEAR(E222),MONTH(E222),1)</f>
        <v>45809</v>
      </c>
      <c r="G222" s="23" t="n">
        <v>142391</v>
      </c>
      <c r="H222" s="8" t="s">
        <v>64</v>
      </c>
      <c r="I222" s="24" t="n">
        <v>151.31</v>
      </c>
      <c r="J222" s="25" t="n">
        <f aca="false">Summary!$B$4</f>
        <v>1</v>
      </c>
      <c r="K222" s="11" t="n">
        <f aca="false">I222*J222*IF(A222="SILVER",Summary!$B$5,Summary!$B$6)</f>
        <v>4539.3</v>
      </c>
      <c r="L222" s="26" t="n">
        <v>0.083</v>
      </c>
      <c r="M222" s="27" t="n">
        <f aca="false">IF(K222&gt;0,1,0)</f>
        <v>1</v>
      </c>
      <c r="N222" s="11" t="n">
        <f aca="false">SUMIFS(K$2:K222,A$2:A222,A222,B$2:B222,B222)</f>
        <v>22920.6</v>
      </c>
      <c r="O222" s="11" t="n">
        <f aca="false">MAX(0,_xlfn.MAXIFS(N$2:N222,A$2:A222,A222,B$2:B222,B222))</f>
        <v>206485.8</v>
      </c>
      <c r="P222" s="11" t="n">
        <f aca="false">N222-O222</f>
        <v>-183565.2</v>
      </c>
    </row>
    <row r="223" customFormat="false" ht="15" hidden="false" customHeight="false" outlineLevel="0" collapsed="false">
      <c r="A223" s="8" t="s">
        <v>26</v>
      </c>
      <c r="B223" s="8" t="s">
        <v>37</v>
      </c>
      <c r="C223" s="8" t="s">
        <v>60</v>
      </c>
      <c r="D223" s="21" t="n">
        <v>45834.3958333333</v>
      </c>
      <c r="E223" s="21" t="n">
        <v>45834.7111111111</v>
      </c>
      <c r="F223" s="22" t="n">
        <f aca="false">DATE(YEAR(E223),MONTH(E223),1)</f>
        <v>45809</v>
      </c>
      <c r="G223" s="23" t="n">
        <v>141300</v>
      </c>
      <c r="H223" s="8" t="s">
        <v>64</v>
      </c>
      <c r="I223" s="24" t="n">
        <v>120.66</v>
      </c>
      <c r="J223" s="25" t="n">
        <f aca="false">Summary!$B$4</f>
        <v>1</v>
      </c>
      <c r="K223" s="11" t="n">
        <f aca="false">I223*J223*IF(A223="SILVER",Summary!$B$5,Summary!$B$6)</f>
        <v>3619.8</v>
      </c>
      <c r="L223" s="26" t="n">
        <v>0.077</v>
      </c>
      <c r="M223" s="27" t="n">
        <f aca="false">IF(K223&gt;0,1,0)</f>
        <v>1</v>
      </c>
      <c r="N223" s="11" t="n">
        <f aca="false">SUMIFS(K$2:K223,A$2:A223,A223,B$2:B223,B223)</f>
        <v>26540.4</v>
      </c>
      <c r="O223" s="11" t="n">
        <f aca="false">MAX(0,_xlfn.MAXIFS(N$2:N223,A$2:A223,A223,B$2:B223,B223))</f>
        <v>206485.8</v>
      </c>
      <c r="P223" s="11" t="n">
        <f aca="false">N223-O223</f>
        <v>-179945.4</v>
      </c>
    </row>
    <row r="224" customFormat="false" ht="15" hidden="false" customHeight="false" outlineLevel="0" collapsed="false">
      <c r="A224" s="8" t="s">
        <v>26</v>
      </c>
      <c r="B224" s="8" t="s">
        <v>37</v>
      </c>
      <c r="C224" s="8" t="s">
        <v>60</v>
      </c>
      <c r="D224" s="21" t="n">
        <v>45839.5444444444</v>
      </c>
      <c r="E224" s="21" t="n">
        <v>45845.675</v>
      </c>
      <c r="F224" s="22" t="n">
        <f aca="false">DATE(YEAR(E224),MONTH(E224),1)</f>
        <v>45839</v>
      </c>
      <c r="G224" s="23" t="n">
        <v>141200</v>
      </c>
      <c r="H224" s="8" t="s">
        <v>64</v>
      </c>
      <c r="I224" s="24" t="n">
        <v>74.57</v>
      </c>
      <c r="J224" s="25" t="n">
        <f aca="false">Summary!$B$4</f>
        <v>1</v>
      </c>
      <c r="K224" s="11" t="n">
        <f aca="false">I224*J224*IF(A224="SILVER",Summary!$B$5,Summary!$B$6)</f>
        <v>2237.1</v>
      </c>
      <c r="L224" s="26" t="n">
        <v>0.054</v>
      </c>
      <c r="M224" s="27" t="n">
        <f aca="false">IF(K224&gt;0,1,0)</f>
        <v>1</v>
      </c>
      <c r="N224" s="11" t="n">
        <f aca="false">SUMIFS(K$2:K224,A$2:A224,A224,B$2:B224,B224)</f>
        <v>28777.5</v>
      </c>
      <c r="O224" s="11" t="n">
        <f aca="false">MAX(0,_xlfn.MAXIFS(N$2:N224,A$2:A224,A224,B$2:B224,B224))</f>
        <v>206485.8</v>
      </c>
      <c r="P224" s="11" t="n">
        <f aca="false">N224-O224</f>
        <v>-177708.3</v>
      </c>
    </row>
    <row r="225" customFormat="false" ht="15" hidden="false" customHeight="false" outlineLevel="0" collapsed="false">
      <c r="A225" s="8" t="s">
        <v>26</v>
      </c>
      <c r="B225" s="8" t="s">
        <v>37</v>
      </c>
      <c r="C225" s="8" t="s">
        <v>60</v>
      </c>
      <c r="D225" s="21" t="n">
        <v>45845.9583333333</v>
      </c>
      <c r="E225" s="21" t="n">
        <v>45848.8069444444</v>
      </c>
      <c r="F225" s="22" t="n">
        <f aca="false">DATE(YEAR(E225),MONTH(E225),1)</f>
        <v>45839</v>
      </c>
      <c r="G225" s="23" t="n">
        <v>142636</v>
      </c>
      <c r="H225" s="8" t="s">
        <v>64</v>
      </c>
      <c r="I225" s="24" t="n">
        <v>89.58</v>
      </c>
      <c r="J225" s="25" t="n">
        <f aca="false">Summary!$B$4</f>
        <v>1</v>
      </c>
      <c r="K225" s="11" t="n">
        <f aca="false">I225*J225*IF(A225="SILVER",Summary!$B$5,Summary!$B$6)</f>
        <v>2687.4</v>
      </c>
      <c r="L225" s="26" t="n">
        <v>0.074</v>
      </c>
      <c r="M225" s="27" t="n">
        <f aca="false">IF(K225&gt;0,1,0)</f>
        <v>1</v>
      </c>
      <c r="N225" s="11" t="n">
        <f aca="false">SUMIFS(K$2:K225,A$2:A225,A225,B$2:B225,B225)</f>
        <v>31464.9</v>
      </c>
      <c r="O225" s="11" t="n">
        <f aca="false">MAX(0,_xlfn.MAXIFS(N$2:N225,A$2:A225,A225,B$2:B225,B225))</f>
        <v>206485.8</v>
      </c>
      <c r="P225" s="11" t="n">
        <f aca="false">N225-O225</f>
        <v>-175020.9</v>
      </c>
    </row>
    <row r="226" customFormat="false" ht="15" hidden="false" customHeight="false" outlineLevel="0" collapsed="false">
      <c r="A226" s="8" t="s">
        <v>26</v>
      </c>
      <c r="B226" s="8" t="s">
        <v>37</v>
      </c>
      <c r="C226" s="8" t="s">
        <v>60</v>
      </c>
      <c r="D226" s="21" t="n">
        <v>45849.3958333333</v>
      </c>
      <c r="E226" s="21" t="n">
        <v>45853.3958333333</v>
      </c>
      <c r="F226" s="22" t="n">
        <f aca="false">DATE(YEAR(E226),MONTH(E226),1)</f>
        <v>45839</v>
      </c>
      <c r="G226" s="23" t="n">
        <v>144764</v>
      </c>
      <c r="H226" s="8" t="s">
        <v>61</v>
      </c>
      <c r="I226" s="24" t="n">
        <v>1987.73</v>
      </c>
      <c r="J226" s="25" t="n">
        <f aca="false">Summary!$B$4</f>
        <v>1</v>
      </c>
      <c r="K226" s="11" t="n">
        <f aca="false">I226*J226*IF(A226="SILVER",Summary!$B$5,Summary!$B$6)</f>
        <v>59631.9</v>
      </c>
      <c r="L226" s="26" t="n">
        <v>0.707</v>
      </c>
      <c r="M226" s="27" t="n">
        <f aca="false">IF(K226&gt;0,1,0)</f>
        <v>1</v>
      </c>
      <c r="N226" s="11" t="n">
        <f aca="false">SUMIFS(K$2:K226,A$2:A226,A226,B$2:B226,B226)</f>
        <v>91096.8</v>
      </c>
      <c r="O226" s="11" t="n">
        <f aca="false">MAX(0,_xlfn.MAXIFS(N$2:N226,A$2:A226,A226,B$2:B226,B226))</f>
        <v>206485.8</v>
      </c>
      <c r="P226" s="11" t="n">
        <f aca="false">N226-O226</f>
        <v>-115389</v>
      </c>
    </row>
    <row r="227" customFormat="false" ht="15" hidden="false" customHeight="false" outlineLevel="0" collapsed="false">
      <c r="A227" s="8" t="s">
        <v>26</v>
      </c>
      <c r="B227" s="8" t="s">
        <v>37</v>
      </c>
      <c r="C227" s="8" t="s">
        <v>60</v>
      </c>
      <c r="D227" s="21" t="n">
        <v>45856.5208333333</v>
      </c>
      <c r="E227" s="21" t="n">
        <v>45862.7708333333</v>
      </c>
      <c r="F227" s="22" t="n">
        <f aca="false">DATE(YEAR(E227),MONTH(E227),1)</f>
        <v>45839</v>
      </c>
      <c r="G227" s="23" t="n">
        <v>147785</v>
      </c>
      <c r="H227" s="8" t="s">
        <v>61</v>
      </c>
      <c r="I227" s="24" t="n">
        <v>1044.21</v>
      </c>
      <c r="J227" s="25" t="n">
        <f aca="false">Summary!$B$4</f>
        <v>1</v>
      </c>
      <c r="K227" s="11" t="n">
        <f aca="false">I227*J227*IF(A227="SILVER",Summary!$B$5,Summary!$B$6)</f>
        <v>31326.3</v>
      </c>
      <c r="L227" s="26" t="n">
        <v>0.519</v>
      </c>
      <c r="M227" s="27" t="n">
        <f aca="false">IF(K227&gt;0,1,0)</f>
        <v>1</v>
      </c>
      <c r="N227" s="11" t="n">
        <f aca="false">SUMIFS(K$2:K227,A$2:A227,A227,B$2:B227,B227)</f>
        <v>122423.1</v>
      </c>
      <c r="O227" s="11" t="n">
        <f aca="false">MAX(0,_xlfn.MAXIFS(N$2:N227,A$2:A227,A227,B$2:B227,B227))</f>
        <v>206485.8</v>
      </c>
      <c r="P227" s="11" t="n">
        <f aca="false">N227-O227</f>
        <v>-84062.7</v>
      </c>
    </row>
    <row r="228" customFormat="false" ht="15" hidden="false" customHeight="false" outlineLevel="0" collapsed="false">
      <c r="A228" s="8" t="s">
        <v>26</v>
      </c>
      <c r="B228" s="8" t="s">
        <v>37</v>
      </c>
      <c r="C228" s="8" t="s">
        <v>60</v>
      </c>
      <c r="D228" s="21" t="n">
        <v>45873.4381944445</v>
      </c>
      <c r="E228" s="21" t="n">
        <v>45880.5625</v>
      </c>
      <c r="F228" s="22" t="n">
        <f aca="false">DATE(YEAR(E228),MONTH(E228),1)</f>
        <v>45870</v>
      </c>
      <c r="G228" s="23" t="n">
        <v>145468</v>
      </c>
      <c r="H228" s="8" t="s">
        <v>61</v>
      </c>
      <c r="I228" s="24" t="n">
        <v>1954.58</v>
      </c>
      <c r="J228" s="25" t="n">
        <f aca="false">Summary!$B$4</f>
        <v>1</v>
      </c>
      <c r="K228" s="11" t="n">
        <f aca="false">I228*J228*IF(A228="SILVER",Summary!$B$5,Summary!$B$6)</f>
        <v>58637.4</v>
      </c>
      <c r="L228" s="26" t="n">
        <v>0.967</v>
      </c>
      <c r="M228" s="27" t="n">
        <f aca="false">IF(K228&gt;0,1,0)</f>
        <v>1</v>
      </c>
      <c r="N228" s="11" t="n">
        <f aca="false">SUMIFS(K$2:K228,A$2:A228,A228,B$2:B228,B228)</f>
        <v>181060.5</v>
      </c>
      <c r="O228" s="11" t="n">
        <f aca="false">MAX(0,_xlfn.MAXIFS(N$2:N228,A$2:A228,A228,B$2:B228,B228))</f>
        <v>206485.8</v>
      </c>
      <c r="P228" s="11" t="n">
        <f aca="false">N228-O228</f>
        <v>-25425.3</v>
      </c>
    </row>
    <row r="229" customFormat="false" ht="15" hidden="false" customHeight="false" outlineLevel="0" collapsed="false">
      <c r="A229" s="8" t="s">
        <v>26</v>
      </c>
      <c r="B229" s="8" t="s">
        <v>37</v>
      </c>
      <c r="C229" s="8" t="s">
        <v>60</v>
      </c>
      <c r="D229" s="21" t="n">
        <v>45882.5</v>
      </c>
      <c r="E229" s="21" t="n">
        <v>45883.8541666667</v>
      </c>
      <c r="F229" s="22" t="n">
        <f aca="false">DATE(YEAR(E229),MONTH(E229),1)</f>
        <v>45870</v>
      </c>
      <c r="G229" s="23" t="n">
        <v>149328</v>
      </c>
      <c r="H229" s="8" t="s">
        <v>61</v>
      </c>
      <c r="I229" s="24" t="n">
        <v>-1122.88</v>
      </c>
      <c r="J229" s="25" t="n">
        <f aca="false">Summary!$B$4</f>
        <v>1</v>
      </c>
      <c r="K229" s="11" t="n">
        <f aca="false">I229*J229*IF(A229="SILVER",Summary!$B$5,Summary!$B$6)</f>
        <v>-33686.4</v>
      </c>
      <c r="L229" s="26" t="n">
        <v>-0.562</v>
      </c>
      <c r="M229" s="27" t="n">
        <f aca="false">IF(K229&gt;0,1,0)</f>
        <v>0</v>
      </c>
      <c r="N229" s="11" t="n">
        <f aca="false">SUMIFS(K$2:K229,A$2:A229,A229,B$2:B229,B229)</f>
        <v>147374.1</v>
      </c>
      <c r="O229" s="11" t="n">
        <f aca="false">MAX(0,_xlfn.MAXIFS(N$2:N229,A$2:A229,A229,B$2:B229,B229))</f>
        <v>206485.8</v>
      </c>
      <c r="P229" s="11" t="n">
        <f aca="false">N229-O229</f>
        <v>-59111.7</v>
      </c>
    </row>
    <row r="230" customFormat="false" ht="15" hidden="false" customHeight="false" outlineLevel="0" collapsed="false">
      <c r="A230" s="8" t="s">
        <v>26</v>
      </c>
      <c r="B230" s="8" t="s">
        <v>37</v>
      </c>
      <c r="C230" s="8" t="s">
        <v>60</v>
      </c>
      <c r="D230" s="21" t="n">
        <v>45889.7708333333</v>
      </c>
      <c r="E230" s="21" t="n">
        <v>45904.3979166667</v>
      </c>
      <c r="F230" s="22" t="n">
        <f aca="false">DATE(YEAR(E230),MONTH(E230),1)</f>
        <v>45901</v>
      </c>
      <c r="G230" s="23" t="n">
        <v>146484</v>
      </c>
      <c r="H230" s="8" t="s">
        <v>61</v>
      </c>
      <c r="I230" s="24" t="n">
        <v>10230.55</v>
      </c>
      <c r="J230" s="25" t="n">
        <f aca="false">Summary!$B$4</f>
        <v>1</v>
      </c>
      <c r="K230" s="11" t="n">
        <f aca="false">I230*J230*IF(A230="SILVER",Summary!$B$5,Summary!$B$6)</f>
        <v>306916.5</v>
      </c>
      <c r="L230" s="26" t="n">
        <v>5.25</v>
      </c>
      <c r="M230" s="27" t="n">
        <f aca="false">IF(K230&gt;0,1,0)</f>
        <v>1</v>
      </c>
      <c r="N230" s="11" t="n">
        <f aca="false">SUMIFS(K$2:K230,A$2:A230,A230,B$2:B230,B230)</f>
        <v>454290.6</v>
      </c>
      <c r="O230" s="11" t="n">
        <f aca="false">MAX(0,_xlfn.MAXIFS(N$2:N230,A$2:A230,A230,B$2:B230,B230))</f>
        <v>454290.6</v>
      </c>
      <c r="P230" s="11" t="n">
        <f aca="false">N230-O230</f>
        <v>0</v>
      </c>
    </row>
    <row r="231" customFormat="false" ht="15" hidden="false" customHeight="false" outlineLevel="0" collapsed="false">
      <c r="A231" s="8" t="s">
        <v>26</v>
      </c>
      <c r="B231" s="8" t="s">
        <v>37</v>
      </c>
      <c r="C231" s="8" t="s">
        <v>60</v>
      </c>
      <c r="D231" s="21" t="n">
        <v>45905.7708333333</v>
      </c>
      <c r="E231" s="21" t="n">
        <v>45908.3958333333</v>
      </c>
      <c r="F231" s="22" t="n">
        <f aca="false">DATE(YEAR(E231),MONTH(E231),1)</f>
        <v>45901</v>
      </c>
      <c r="G231" s="23" t="n">
        <v>158634</v>
      </c>
      <c r="H231" s="8" t="s">
        <v>61</v>
      </c>
      <c r="I231" s="24" t="n">
        <v>-3479.59</v>
      </c>
      <c r="J231" s="25" t="n">
        <f aca="false">Summary!$B$4</f>
        <v>1</v>
      </c>
      <c r="K231" s="11" t="n">
        <f aca="false">I231*J231*IF(A231="SILVER",Summary!$B$5,Summary!$B$6)</f>
        <v>-104387.7</v>
      </c>
      <c r="L231" s="26" t="n">
        <v>-1.469</v>
      </c>
      <c r="M231" s="27" t="n">
        <f aca="false">IF(K231&gt;0,1,0)</f>
        <v>0</v>
      </c>
      <c r="N231" s="11" t="n">
        <f aca="false">SUMIFS(K$2:K231,A$2:A231,A231,B$2:B231,B231)</f>
        <v>349902.9</v>
      </c>
      <c r="O231" s="11" t="n">
        <f aca="false">MAX(0,_xlfn.MAXIFS(N$2:N231,A$2:A231,A231,B$2:B231,B231))</f>
        <v>454290.6</v>
      </c>
      <c r="P231" s="11" t="n">
        <f aca="false">N231-O231</f>
        <v>-104387.7</v>
      </c>
    </row>
    <row r="232" customFormat="false" ht="15" hidden="false" customHeight="false" outlineLevel="0" collapsed="false">
      <c r="A232" s="8" t="s">
        <v>26</v>
      </c>
      <c r="B232" s="8" t="s">
        <v>37</v>
      </c>
      <c r="C232" s="8" t="s">
        <v>60</v>
      </c>
      <c r="D232" s="21" t="n">
        <v>45908.8541666667</v>
      </c>
      <c r="E232" s="21" t="n">
        <v>45917.3958333333</v>
      </c>
      <c r="F232" s="22" t="n">
        <f aca="false">DATE(YEAR(E232),MONTH(E232),1)</f>
        <v>45901</v>
      </c>
      <c r="G232" s="23" t="n">
        <v>157793</v>
      </c>
      <c r="H232" s="8" t="s">
        <v>61</v>
      </c>
      <c r="I232" s="24" t="n">
        <v>1063.6</v>
      </c>
      <c r="J232" s="25" t="n">
        <f aca="false">Summary!$B$4</f>
        <v>1</v>
      </c>
      <c r="K232" s="11" t="n">
        <f aca="false">I232*J232*IF(A232="SILVER",Summary!$B$5,Summary!$B$6)</f>
        <v>31908</v>
      </c>
      <c r="L232" s="26" t="n">
        <v>0.36</v>
      </c>
      <c r="M232" s="27" t="n">
        <f aca="false">IF(K232&gt;0,1,0)</f>
        <v>1</v>
      </c>
      <c r="N232" s="11" t="n">
        <f aca="false">SUMIFS(K$2:K232,A$2:A232,A232,B$2:B232,B232)</f>
        <v>381810.9</v>
      </c>
      <c r="O232" s="11" t="n">
        <f aca="false">MAX(0,_xlfn.MAXIFS(N$2:N232,A$2:A232,A232,B$2:B232,B232))</f>
        <v>454290.6</v>
      </c>
      <c r="P232" s="11" t="n">
        <f aca="false">N232-O232</f>
        <v>-72479.7</v>
      </c>
    </row>
    <row r="233" customFormat="false" ht="15" hidden="false" customHeight="false" outlineLevel="0" collapsed="false">
      <c r="A233" s="8" t="s">
        <v>26</v>
      </c>
      <c r="B233" s="8" t="s">
        <v>37</v>
      </c>
      <c r="C233" s="8" t="s">
        <v>60</v>
      </c>
      <c r="D233" s="21" t="n">
        <v>45919.3958333333</v>
      </c>
      <c r="E233" s="21" t="n">
        <v>45930.625</v>
      </c>
      <c r="F233" s="22" t="n">
        <f aca="false">DATE(YEAR(E233),MONTH(E233),1)</f>
        <v>45901</v>
      </c>
      <c r="G233" s="23" t="n">
        <v>159933</v>
      </c>
      <c r="H233" s="8" t="s">
        <v>61</v>
      </c>
      <c r="I233" s="24" t="n">
        <v>12121.07</v>
      </c>
      <c r="J233" s="25" t="n">
        <f aca="false">Summary!$B$4</f>
        <v>1</v>
      </c>
      <c r="K233" s="11" t="n">
        <f aca="false">I233*J233*IF(A233="SILVER",Summary!$B$5,Summary!$B$6)</f>
        <v>363632.1</v>
      </c>
      <c r="L233" s="26" t="n">
        <v>4.017</v>
      </c>
      <c r="M233" s="27" t="n">
        <f aca="false">IF(K233&gt;0,1,0)</f>
        <v>1</v>
      </c>
      <c r="N233" s="11" t="n">
        <f aca="false">SUMIFS(K$2:K233,A$2:A233,A233,B$2:B233,B233)</f>
        <v>745443</v>
      </c>
      <c r="O233" s="11" t="n">
        <f aca="false">MAX(0,_xlfn.MAXIFS(N$2:N233,A$2:A233,A233,B$2:B233,B233))</f>
        <v>745443</v>
      </c>
      <c r="P233" s="11" t="n">
        <f aca="false">N233-O233</f>
        <v>0</v>
      </c>
    </row>
    <row r="234" customFormat="false" ht="15" hidden="false" customHeight="false" outlineLevel="0" collapsed="false">
      <c r="A234" s="8" t="s">
        <v>26</v>
      </c>
      <c r="B234" s="8" t="s">
        <v>37</v>
      </c>
      <c r="C234" s="8" t="s">
        <v>60</v>
      </c>
      <c r="D234" s="21" t="n">
        <v>45931.5833333333</v>
      </c>
      <c r="E234" s="21" t="n">
        <v>45937.8881944444</v>
      </c>
      <c r="F234" s="22" t="n">
        <f aca="false">DATE(YEAR(E234),MONTH(E234),1)</f>
        <v>45931</v>
      </c>
      <c r="G234" s="23" t="n">
        <v>175988</v>
      </c>
      <c r="H234" s="8" t="s">
        <v>64</v>
      </c>
      <c r="I234" s="24" t="n">
        <v>384.2</v>
      </c>
      <c r="J234" s="25" t="n">
        <f aca="false">Summary!$B$4</f>
        <v>1</v>
      </c>
      <c r="K234" s="11" t="n">
        <f aca="false">I234*J234*IF(A234="SILVER",Summary!$B$5,Summary!$B$6)</f>
        <v>11526</v>
      </c>
      <c r="L234" s="26" t="n">
        <v>0.091</v>
      </c>
      <c r="M234" s="27" t="n">
        <f aca="false">IF(K234&gt;0,1,0)</f>
        <v>1</v>
      </c>
      <c r="N234" s="11" t="n">
        <f aca="false">SUMIFS(K$2:K234,A$2:A234,A234,B$2:B234,B234)</f>
        <v>756969</v>
      </c>
      <c r="O234" s="11" t="n">
        <f aca="false">MAX(0,_xlfn.MAXIFS(N$2:N234,A$2:A234,A234,B$2:B234,B234))</f>
        <v>756969</v>
      </c>
      <c r="P234" s="11" t="n">
        <f aca="false">N234-O234</f>
        <v>0</v>
      </c>
    </row>
    <row r="235" customFormat="false" ht="15" hidden="false" customHeight="false" outlineLevel="0" collapsed="false">
      <c r="A235" s="8" t="s">
        <v>26</v>
      </c>
      <c r="B235" s="8" t="s">
        <v>37</v>
      </c>
      <c r="C235" s="8" t="s">
        <v>60</v>
      </c>
      <c r="D235" s="21" t="n">
        <v>45938.4583333333</v>
      </c>
      <c r="E235" s="21" t="n">
        <v>45939.375</v>
      </c>
      <c r="F235" s="22" t="n">
        <f aca="false">DATE(YEAR(E235),MONTH(E235),1)</f>
        <v>45931</v>
      </c>
      <c r="G235" s="23" t="n">
        <v>179523</v>
      </c>
      <c r="H235" s="8" t="s">
        <v>64</v>
      </c>
      <c r="I235" s="24" t="n">
        <v>304.52</v>
      </c>
      <c r="J235" s="25" t="n">
        <f aca="false">Summary!$B$4</f>
        <v>1</v>
      </c>
      <c r="K235" s="11" t="n">
        <f aca="false">I235*J235*IF(A235="SILVER",Summary!$B$5,Summary!$B$6)</f>
        <v>9135.6</v>
      </c>
      <c r="L235" s="26" t="n">
        <v>0.088</v>
      </c>
      <c r="M235" s="27" t="n">
        <f aca="false">IF(K235&gt;0,1,0)</f>
        <v>1</v>
      </c>
      <c r="N235" s="11" t="n">
        <f aca="false">SUMIFS(K$2:K235,A$2:A235,A235,B$2:B235,B235)</f>
        <v>766104.6</v>
      </c>
      <c r="O235" s="11" t="n">
        <f aca="false">MAX(0,_xlfn.MAXIFS(N$2:N235,A$2:A235,A235,B$2:B235,B235))</f>
        <v>766104.6</v>
      </c>
      <c r="P235" s="11" t="n">
        <f aca="false">N235-O235</f>
        <v>0</v>
      </c>
    </row>
    <row r="236" customFormat="false" ht="15" hidden="false" customHeight="false" outlineLevel="0" collapsed="false">
      <c r="A236" s="8" t="s">
        <v>26</v>
      </c>
      <c r="B236" s="8" t="s">
        <v>37</v>
      </c>
      <c r="C236" s="8" t="s">
        <v>60</v>
      </c>
      <c r="D236" s="21" t="n">
        <v>45939.75</v>
      </c>
      <c r="E236" s="21" t="n">
        <v>45939.8</v>
      </c>
      <c r="F236" s="22" t="n">
        <f aca="false">DATE(YEAR(E236),MONTH(E236),1)</f>
        <v>45931</v>
      </c>
      <c r="G236" s="23" t="n">
        <v>181819</v>
      </c>
      <c r="H236" s="8" t="s">
        <v>64</v>
      </c>
      <c r="I236" s="24" t="n">
        <v>337.24</v>
      </c>
      <c r="J236" s="25" t="n">
        <f aca="false">Summary!$B$4</f>
        <v>1</v>
      </c>
      <c r="K236" s="11" t="n">
        <f aca="false">I236*J236*IF(A236="SILVER",Summary!$B$5,Summary!$B$6)</f>
        <v>10117.2</v>
      </c>
      <c r="L236" s="26" t="n">
        <v>0.089</v>
      </c>
      <c r="M236" s="27" t="n">
        <f aca="false">IF(K236&gt;0,1,0)</f>
        <v>1</v>
      </c>
      <c r="N236" s="11" t="n">
        <f aca="false">SUMIFS(K$2:K236,A$2:A236,A236,B$2:B236,B236)</f>
        <v>776221.8</v>
      </c>
      <c r="O236" s="11" t="n">
        <f aca="false">MAX(0,_xlfn.MAXIFS(N$2:N236,A$2:A236,A236,B$2:B236,B236))</f>
        <v>776221.8</v>
      </c>
      <c r="P236" s="11" t="n">
        <f aca="false">N236-O236</f>
        <v>0</v>
      </c>
    </row>
    <row r="237" customFormat="false" ht="15" hidden="false" customHeight="false" outlineLevel="0" collapsed="false">
      <c r="A237" s="8" t="s">
        <v>26</v>
      </c>
      <c r="B237" s="8" t="s">
        <v>37</v>
      </c>
      <c r="C237" s="8" t="s">
        <v>60</v>
      </c>
      <c r="D237" s="21" t="n">
        <v>45943.4583333333</v>
      </c>
      <c r="E237" s="21" t="n">
        <v>45947.8125</v>
      </c>
      <c r="F237" s="22" t="n">
        <f aca="false">DATE(YEAR(E237),MONTH(E237),1)</f>
        <v>45931</v>
      </c>
      <c r="G237" s="23" t="n">
        <v>183299</v>
      </c>
      <c r="H237" s="8" t="s">
        <v>61</v>
      </c>
      <c r="I237" s="24" t="n">
        <v>11067.47</v>
      </c>
      <c r="J237" s="25" t="n">
        <f aca="false">Summary!$B$4</f>
        <v>1</v>
      </c>
      <c r="K237" s="11" t="n">
        <f aca="false">I237*J237*IF(A237="SILVER",Summary!$B$5,Summary!$B$6)</f>
        <v>332024.1</v>
      </c>
      <c r="L237" s="26" t="n">
        <v>1.559</v>
      </c>
      <c r="M237" s="27" t="n">
        <f aca="false">IF(K237&gt;0,1,0)</f>
        <v>1</v>
      </c>
      <c r="N237" s="11" t="n">
        <f aca="false">SUMIFS(K$2:K237,A$2:A237,A237,B$2:B237,B237)</f>
        <v>1108245.9</v>
      </c>
      <c r="O237" s="11" t="n">
        <f aca="false">MAX(0,_xlfn.MAXIFS(N$2:N237,A$2:A237,A237,B$2:B237,B237))</f>
        <v>1108245.9</v>
      </c>
      <c r="P237" s="11" t="n">
        <f aca="false">N237-O237</f>
        <v>0</v>
      </c>
    </row>
    <row r="238" customFormat="false" ht="15" hidden="false" customHeight="false" outlineLevel="0" collapsed="false">
      <c r="A238" s="8" t="s">
        <v>26</v>
      </c>
      <c r="B238" s="8" t="s">
        <v>37</v>
      </c>
      <c r="C238" s="8" t="s">
        <v>60</v>
      </c>
      <c r="D238" s="21" t="n">
        <v>45959.5208333333</v>
      </c>
      <c r="E238" s="21" t="n">
        <v>45965.375</v>
      </c>
      <c r="F238" s="22" t="n">
        <f aca="false">DATE(YEAR(E238),MONTH(E238),1)</f>
        <v>45962</v>
      </c>
      <c r="G238" s="23" t="n">
        <v>177353</v>
      </c>
      <c r="H238" s="8" t="s">
        <v>64</v>
      </c>
      <c r="I238" s="24" t="n">
        <v>415.52</v>
      </c>
      <c r="J238" s="25" t="n">
        <f aca="false">Summary!$B$4</f>
        <v>1</v>
      </c>
      <c r="K238" s="11" t="n">
        <f aca="false">I238*J238*IF(A238="SILVER",Summary!$B$5,Summary!$B$6)</f>
        <v>12465.6</v>
      </c>
      <c r="L238" s="26" t="n">
        <v>0.091</v>
      </c>
      <c r="M238" s="27" t="n">
        <f aca="false">IF(K238&gt;0,1,0)</f>
        <v>1</v>
      </c>
      <c r="N238" s="11" t="n">
        <f aca="false">SUMIFS(K$2:K238,A$2:A238,A238,B$2:B238,B238)</f>
        <v>1120711.5</v>
      </c>
      <c r="O238" s="11" t="n">
        <f aca="false">MAX(0,_xlfn.MAXIFS(N$2:N238,A$2:A238,A238,B$2:B238,B238))</f>
        <v>1120711.5</v>
      </c>
      <c r="P238" s="11" t="n">
        <f aca="false">N238-O238</f>
        <v>0</v>
      </c>
    </row>
    <row r="239" customFormat="false" ht="15" hidden="false" customHeight="false" outlineLevel="0" collapsed="false">
      <c r="A239" s="8" t="s">
        <v>26</v>
      </c>
      <c r="B239" s="8" t="s">
        <v>37</v>
      </c>
      <c r="C239" s="8" t="s">
        <v>60</v>
      </c>
      <c r="D239" s="21" t="n">
        <v>45967.5833333333</v>
      </c>
      <c r="E239" s="21" t="n">
        <v>45975.5416666667</v>
      </c>
      <c r="F239" s="22" t="n">
        <f aca="false">DATE(YEAR(E239),MONTH(E239),1)</f>
        <v>45962</v>
      </c>
      <c r="G239" s="23" t="n">
        <v>180301</v>
      </c>
      <c r="H239" s="8" t="s">
        <v>61</v>
      </c>
      <c r="I239" s="24" t="n">
        <v>11268.08</v>
      </c>
      <c r="J239" s="25" t="n">
        <f aca="false">Summary!$B$4</f>
        <v>1</v>
      </c>
      <c r="K239" s="11" t="n">
        <f aca="false">I239*J239*IF(A239="SILVER",Summary!$B$5,Summary!$B$6)</f>
        <v>338042.4</v>
      </c>
      <c r="L239" s="26" t="n">
        <v>3.265</v>
      </c>
      <c r="M239" s="27" t="n">
        <f aca="false">IF(K239&gt;0,1,0)</f>
        <v>1</v>
      </c>
      <c r="N239" s="11" t="n">
        <f aca="false">SUMIFS(K$2:K239,A$2:A239,A239,B$2:B239,B239)</f>
        <v>1458753.9</v>
      </c>
      <c r="O239" s="11" t="n">
        <f aca="false">MAX(0,_xlfn.MAXIFS(N$2:N239,A$2:A239,A239,B$2:B239,B239))</f>
        <v>1458753.9</v>
      </c>
      <c r="P239" s="11" t="n">
        <f aca="false">N239-O239</f>
        <v>0</v>
      </c>
    </row>
    <row r="240" customFormat="false" ht="15" hidden="false" customHeight="false" outlineLevel="0" collapsed="false">
      <c r="A240" s="8" t="s">
        <v>26</v>
      </c>
      <c r="B240" s="8" t="s">
        <v>37</v>
      </c>
      <c r="C240" s="8" t="s">
        <v>60</v>
      </c>
      <c r="D240" s="21" t="n">
        <v>45980.4791666667</v>
      </c>
      <c r="E240" s="21" t="n">
        <v>45980.8305555556</v>
      </c>
      <c r="F240" s="22" t="n">
        <f aca="false">DATE(YEAR(E240),MONTH(E240),1)</f>
        <v>45962</v>
      </c>
      <c r="G240" s="23" t="n">
        <v>187810</v>
      </c>
      <c r="H240" s="8" t="s">
        <v>64</v>
      </c>
      <c r="I240" s="24" t="n">
        <v>466.66</v>
      </c>
      <c r="J240" s="25" t="n">
        <f aca="false">Summary!$B$4</f>
        <v>1</v>
      </c>
      <c r="K240" s="11" t="n">
        <f aca="false">I240*J240*IF(A240="SILVER",Summary!$B$5,Summary!$B$6)</f>
        <v>13999.8</v>
      </c>
      <c r="L240" s="26" t="n">
        <v>0.092</v>
      </c>
      <c r="M240" s="27" t="n">
        <f aca="false">IF(K240&gt;0,1,0)</f>
        <v>1</v>
      </c>
      <c r="N240" s="11" t="n">
        <f aca="false">SUMIFS(K$2:K240,A$2:A240,A240,B$2:B240,B240)</f>
        <v>1472753.7</v>
      </c>
      <c r="O240" s="11" t="n">
        <f aca="false">MAX(0,_xlfn.MAXIFS(N$2:N240,A$2:A240,A240,B$2:B240,B240))</f>
        <v>1472753.7</v>
      </c>
      <c r="P240" s="11" t="n">
        <f aca="false">N240-O240</f>
        <v>0</v>
      </c>
    </row>
    <row r="241" customFormat="false" ht="15" hidden="false" customHeight="false" outlineLevel="0" collapsed="false">
      <c r="A241" s="8" t="s">
        <v>26</v>
      </c>
      <c r="B241" s="8" t="s">
        <v>37</v>
      </c>
      <c r="C241" s="8" t="s">
        <v>60</v>
      </c>
      <c r="D241" s="21" t="n">
        <v>45986.3958333333</v>
      </c>
      <c r="E241" s="21" t="n">
        <v>46003.8958333333</v>
      </c>
      <c r="F241" s="22" t="n">
        <f aca="false">DATE(YEAR(E241),MONTH(E241),1)</f>
        <v>45992</v>
      </c>
      <c r="G241" s="23" t="n">
        <v>187894</v>
      </c>
      <c r="H241" s="8" t="s">
        <v>61</v>
      </c>
      <c r="I241" s="24" t="n">
        <v>33600.36</v>
      </c>
      <c r="J241" s="25" t="n">
        <f aca="false">Summary!$B$4</f>
        <v>1</v>
      </c>
      <c r="K241" s="11" t="n">
        <f aca="false">I241*J241*IF(A241="SILVER",Summary!$B$5,Summary!$B$6)</f>
        <v>1008010.8</v>
      </c>
      <c r="L241" s="26" t="n">
        <v>9.4</v>
      </c>
      <c r="M241" s="27" t="n">
        <f aca="false">IF(K241&gt;0,1,0)</f>
        <v>1</v>
      </c>
      <c r="N241" s="11" t="n">
        <f aca="false">SUMIFS(K$2:K241,A$2:A241,A241,B$2:B241,B241)</f>
        <v>2480764.5</v>
      </c>
      <c r="O241" s="11" t="n">
        <f aca="false">MAX(0,_xlfn.MAXIFS(N$2:N241,A$2:A241,A241,B$2:B241,B241))</f>
        <v>2480764.5</v>
      </c>
      <c r="P241" s="11" t="n">
        <f aca="false">N241-O241</f>
        <v>0</v>
      </c>
    </row>
    <row r="242" customFormat="false" ht="15" hidden="false" customHeight="false" outlineLevel="0" collapsed="false">
      <c r="A242" s="8" t="s">
        <v>26</v>
      </c>
      <c r="B242" s="8" t="s">
        <v>37</v>
      </c>
      <c r="C242" s="8" t="s">
        <v>60</v>
      </c>
      <c r="D242" s="21" t="n">
        <v>46008.3958333333</v>
      </c>
      <c r="E242" s="21" t="n">
        <v>46020.6041666667</v>
      </c>
      <c r="F242" s="22" t="n">
        <f aca="false">DATE(YEAR(E242),MONTH(E242),1)</f>
        <v>45992</v>
      </c>
      <c r="G242" s="23" t="n">
        <v>232241</v>
      </c>
      <c r="H242" s="8" t="s">
        <v>61</v>
      </c>
      <c r="I242" s="24" t="n">
        <v>29261.3</v>
      </c>
      <c r="J242" s="25" t="n">
        <f aca="false">Summary!$B$4</f>
        <v>1</v>
      </c>
      <c r="K242" s="11" t="n">
        <f aca="false">I242*J242*IF(A242="SILVER",Summary!$B$5,Summary!$B$6)</f>
        <v>877839</v>
      </c>
      <c r="L242" s="26" t="n">
        <v>3.069</v>
      </c>
      <c r="M242" s="27" t="n">
        <f aca="false">IF(K242&gt;0,1,0)</f>
        <v>1</v>
      </c>
      <c r="N242" s="11" t="n">
        <f aca="false">SUMIFS(K$2:K242,A$2:A242,A242,B$2:B242,B242)</f>
        <v>3358603.5</v>
      </c>
      <c r="O242" s="11" t="n">
        <f aca="false">MAX(0,_xlfn.MAXIFS(N$2:N242,A$2:A242,A242,B$2:B242,B242))</f>
        <v>3358603.5</v>
      </c>
      <c r="P242" s="11" t="n">
        <f aca="false">N242-O242</f>
        <v>0</v>
      </c>
    </row>
    <row r="243" customFormat="false" ht="15" hidden="false" customHeight="false" outlineLevel="0" collapsed="false">
      <c r="A243" s="8" t="s">
        <v>26</v>
      </c>
      <c r="B243" s="8" t="s">
        <v>37</v>
      </c>
      <c r="C243" s="8" t="s">
        <v>60</v>
      </c>
      <c r="D243" s="21" t="n">
        <v>46021.9375</v>
      </c>
      <c r="E243" s="21" t="n">
        <v>46022.3958333333</v>
      </c>
      <c r="F243" s="22" t="n">
        <f aca="false">DATE(YEAR(E243),MONTH(E243),1)</f>
        <v>45992</v>
      </c>
      <c r="G243" s="23" t="n">
        <v>272961</v>
      </c>
      <c r="H243" s="8" t="s">
        <v>61</v>
      </c>
      <c r="I243" s="24" t="n">
        <v>-11940.74</v>
      </c>
      <c r="J243" s="25" t="n">
        <f aca="false">Summary!$B$4</f>
        <v>1</v>
      </c>
      <c r="K243" s="11" t="n">
        <f aca="false">I243*J243*IF(A243="SILVER",Summary!$B$5,Summary!$B$6)</f>
        <v>-358222.2</v>
      </c>
      <c r="L243" s="26" t="n">
        <v>-0.799</v>
      </c>
      <c r="M243" s="27" t="n">
        <f aca="false">IF(K243&gt;0,1,0)</f>
        <v>0</v>
      </c>
      <c r="N243" s="11" t="n">
        <f aca="false">SUMIFS(K$2:K243,A$2:A243,A243,B$2:B243,B243)</f>
        <v>3000381.3</v>
      </c>
      <c r="O243" s="11" t="n">
        <f aca="false">MAX(0,_xlfn.MAXIFS(N$2:N243,A$2:A243,A243,B$2:B243,B243))</f>
        <v>3358603.5</v>
      </c>
      <c r="P243" s="11" t="n">
        <f aca="false">N243-O243</f>
        <v>-358222.2</v>
      </c>
    </row>
    <row r="244" customFormat="false" ht="15" hidden="false" customHeight="false" outlineLevel="0" collapsed="false">
      <c r="A244" s="8" t="s">
        <v>26</v>
      </c>
      <c r="B244" s="8" t="s">
        <v>37</v>
      </c>
      <c r="C244" s="8" t="s">
        <v>60</v>
      </c>
      <c r="D244" s="21" t="n">
        <v>46027.8958333333</v>
      </c>
      <c r="E244" s="21" t="n">
        <v>46029.8125</v>
      </c>
      <c r="F244" s="22" t="n">
        <f aca="false">DATE(YEAR(E244),MONTH(E244),1)</f>
        <v>46023</v>
      </c>
      <c r="G244" s="23" t="n">
        <v>274884</v>
      </c>
      <c r="H244" s="8" t="s">
        <v>61</v>
      </c>
      <c r="I244" s="24" t="n">
        <v>2428.43</v>
      </c>
      <c r="J244" s="25" t="n">
        <f aca="false">Summary!$B$4</f>
        <v>1</v>
      </c>
      <c r="K244" s="11" t="n">
        <f aca="false">I244*J244*IF(A244="SILVER",Summary!$B$5,Summary!$B$6)</f>
        <v>72852.9</v>
      </c>
      <c r="L244" s="26" t="n">
        <v>0.232</v>
      </c>
      <c r="M244" s="27" t="n">
        <f aca="false">IF(K244&gt;0,1,0)</f>
        <v>1</v>
      </c>
      <c r="N244" s="11" t="n">
        <f aca="false">SUMIFS(K$2:K244,A$2:A244,A244,B$2:B244,B244)</f>
        <v>3073234.2</v>
      </c>
      <c r="O244" s="11" t="n">
        <f aca="false">MAX(0,_xlfn.MAXIFS(N$2:N244,A$2:A244,A244,B$2:B244,B244))</f>
        <v>3358603.5</v>
      </c>
      <c r="P244" s="11" t="n">
        <f aca="false">N244-O244</f>
        <v>-285369.3</v>
      </c>
    </row>
    <row r="245" customFormat="false" ht="15" hidden="false" customHeight="false" outlineLevel="0" collapsed="false">
      <c r="A245" s="8" t="s">
        <v>26</v>
      </c>
      <c r="B245" s="8" t="s">
        <v>37</v>
      </c>
      <c r="C245" s="8" t="s">
        <v>60</v>
      </c>
      <c r="D245" s="21" t="n">
        <v>46031.5833333333</v>
      </c>
      <c r="E245" s="21" t="n">
        <v>46043.875</v>
      </c>
      <c r="F245" s="22" t="n">
        <f aca="false">DATE(YEAR(E245),MONTH(E245),1)</f>
        <v>46023</v>
      </c>
      <c r="G245" s="23" t="n">
        <v>277184</v>
      </c>
      <c r="H245" s="8" t="s">
        <v>61</v>
      </c>
      <c r="I245" s="24" t="n">
        <v>70531.27</v>
      </c>
      <c r="J245" s="25" t="n">
        <f aca="false">Summary!$B$4</f>
        <v>1</v>
      </c>
      <c r="K245" s="11" t="n">
        <f aca="false">I245*J245*IF(A245="SILVER",Summary!$B$5,Summary!$B$6)</f>
        <v>2115938.1</v>
      </c>
      <c r="L245" s="26" t="n">
        <v>5.66</v>
      </c>
      <c r="M245" s="27" t="n">
        <f aca="false">IF(K245&gt;0,1,0)</f>
        <v>1</v>
      </c>
      <c r="N245" s="11" t="n">
        <f aca="false">SUMIFS(K$2:K245,A$2:A245,A245,B$2:B245,B245)</f>
        <v>5189172.3</v>
      </c>
      <c r="O245" s="11" t="n">
        <f aca="false">MAX(0,_xlfn.MAXIFS(N$2:N245,A$2:A245,A245,B$2:B245,B245))</f>
        <v>5189172.3</v>
      </c>
      <c r="P245" s="11" t="n">
        <f aca="false">N245-O245</f>
        <v>0</v>
      </c>
    </row>
    <row r="246" customFormat="false" ht="15" hidden="false" customHeight="false" outlineLevel="0" collapsed="false">
      <c r="A246" s="8" t="s">
        <v>26</v>
      </c>
      <c r="B246" s="8" t="s">
        <v>37</v>
      </c>
      <c r="C246" s="8" t="s">
        <v>60</v>
      </c>
      <c r="D246" s="21" t="n">
        <v>46045.3958333333</v>
      </c>
      <c r="E246" s="21" t="n">
        <v>46051.875</v>
      </c>
      <c r="F246" s="22" t="n">
        <f aca="false">DATE(YEAR(E246),MONTH(E246),1)</f>
        <v>46023</v>
      </c>
      <c r="G246" s="23" t="n">
        <v>364146</v>
      </c>
      <c r="H246" s="8" t="s">
        <v>61</v>
      </c>
      <c r="I246" s="24" t="n">
        <v>28660.99</v>
      </c>
      <c r="J246" s="25" t="n">
        <f aca="false">Summary!$B$4</f>
        <v>1</v>
      </c>
      <c r="K246" s="11" t="n">
        <f aca="false">I246*J246*IF(A246="SILVER",Summary!$B$5,Summary!$B$6)</f>
        <v>859829.7</v>
      </c>
      <c r="L246" s="26" t="n">
        <v>1.06</v>
      </c>
      <c r="M246" s="27" t="n">
        <f aca="false">IF(K246&gt;0,1,0)</f>
        <v>1</v>
      </c>
      <c r="N246" s="11" t="n">
        <f aca="false">SUMIFS(K$2:K246,A$2:A246,A246,B$2:B246,B246)</f>
        <v>6049002</v>
      </c>
      <c r="O246" s="11" t="n">
        <f aca="false">MAX(0,_xlfn.MAXIFS(N$2:N246,A$2:A246,A246,B$2:B246,B246))</f>
        <v>6049002</v>
      </c>
      <c r="P246" s="11" t="n">
        <f aca="false">N246-O246</f>
        <v>0</v>
      </c>
    </row>
    <row r="247" customFormat="false" ht="15" hidden="false" customHeight="false" outlineLevel="0" collapsed="false">
      <c r="A247" s="8" t="s">
        <v>26</v>
      </c>
      <c r="B247" s="8" t="s">
        <v>37</v>
      </c>
      <c r="C247" s="8" t="s">
        <v>62</v>
      </c>
      <c r="D247" s="21" t="n">
        <v>46055.3979166667</v>
      </c>
      <c r="E247" s="21" t="n">
        <v>46055.6305555556</v>
      </c>
      <c r="F247" s="22" t="n">
        <f aca="false">DATE(YEAR(E247),MONTH(E247),1)</f>
        <v>46054</v>
      </c>
      <c r="G247" s="23" t="n">
        <v>278047</v>
      </c>
      <c r="H247" s="8" t="s">
        <v>64</v>
      </c>
      <c r="I247" s="24" t="n">
        <v>4658.99</v>
      </c>
      <c r="J247" s="25" t="n">
        <f aca="false">Summary!$B$4</f>
        <v>1</v>
      </c>
      <c r="K247" s="11" t="n">
        <f aca="false">I247*J247*IF(A247="SILVER",Summary!$B$5,Summary!$B$6)</f>
        <v>139769.7</v>
      </c>
      <c r="L247" s="26" t="n">
        <v>0.099</v>
      </c>
      <c r="M247" s="27" t="n">
        <f aca="false">IF(K247&gt;0,1,0)</f>
        <v>1</v>
      </c>
      <c r="N247" s="11" t="n">
        <f aca="false">SUMIFS(K$2:K247,A$2:A247,A247,B$2:B247,B247)</f>
        <v>6188771.7</v>
      </c>
      <c r="O247" s="11" t="n">
        <f aca="false">MAX(0,_xlfn.MAXIFS(N$2:N247,A$2:A247,A247,B$2:B247,B247))</f>
        <v>6188771.7</v>
      </c>
      <c r="P247" s="11" t="n">
        <f aca="false">N247-O247</f>
        <v>0</v>
      </c>
    </row>
    <row r="248" customFormat="false" ht="15" hidden="false" customHeight="false" outlineLevel="0" collapsed="false">
      <c r="A248" s="8" t="s">
        <v>26</v>
      </c>
      <c r="B248" s="8" t="s">
        <v>37</v>
      </c>
      <c r="C248" s="8" t="s">
        <v>62</v>
      </c>
      <c r="D248" s="21" t="n">
        <v>46058.3958333333</v>
      </c>
      <c r="E248" s="21" t="n">
        <v>46064.6875</v>
      </c>
      <c r="F248" s="22" t="n">
        <f aca="false">DATE(YEAR(E248),MONTH(E248),1)</f>
        <v>46054</v>
      </c>
      <c r="G248" s="23" t="n">
        <v>273834</v>
      </c>
      <c r="H248" s="8" t="s">
        <v>61</v>
      </c>
      <c r="I248" s="24" t="n">
        <v>-21560.18</v>
      </c>
      <c r="J248" s="25" t="n">
        <f aca="false">Summary!$B$4</f>
        <v>1</v>
      </c>
      <c r="K248" s="11" t="n">
        <f aca="false">I248*J248*IF(A248="SILVER",Summary!$B$5,Summary!$B$6)</f>
        <v>-646805.4</v>
      </c>
      <c r="L248" s="26" t="n">
        <v>-0.5</v>
      </c>
      <c r="M248" s="27" t="n">
        <f aca="false">IF(K248&gt;0,1,0)</f>
        <v>0</v>
      </c>
      <c r="N248" s="11" t="n">
        <f aca="false">SUMIFS(K$2:K248,A$2:A248,A248,B$2:B248,B248)</f>
        <v>5541966.3</v>
      </c>
      <c r="O248" s="11" t="n">
        <f aca="false">MAX(0,_xlfn.MAXIFS(N$2:N248,A$2:A248,A248,B$2:B248,B248))</f>
        <v>6188771.7</v>
      </c>
      <c r="P248" s="11" t="n">
        <f aca="false">N248-O248</f>
        <v>-646805.4</v>
      </c>
    </row>
    <row r="249" customFormat="false" ht="15" hidden="false" customHeight="false" outlineLevel="0" collapsed="false">
      <c r="A249" s="8" t="s">
        <v>26</v>
      </c>
      <c r="B249" s="8" t="s">
        <v>37</v>
      </c>
      <c r="C249" s="8" t="s">
        <v>62</v>
      </c>
      <c r="D249" s="21" t="n">
        <v>46065.9166666667</v>
      </c>
      <c r="E249" s="21" t="n">
        <v>46066.5583333333</v>
      </c>
      <c r="F249" s="22" t="n">
        <f aca="false">DATE(YEAR(E249),MONTH(E249),1)</f>
        <v>46054</v>
      </c>
      <c r="G249" s="23" t="n">
        <v>275571</v>
      </c>
      <c r="H249" s="8" t="s">
        <v>64</v>
      </c>
      <c r="I249" s="24" t="n">
        <v>1884.74</v>
      </c>
      <c r="J249" s="25" t="n">
        <f aca="false">Summary!$B$4</f>
        <v>1</v>
      </c>
      <c r="K249" s="11" t="n">
        <f aca="false">I249*J249*IF(A249="SILVER",Summary!$B$5,Summary!$B$6)</f>
        <v>56542.2</v>
      </c>
      <c r="L249" s="26" t="n">
        <v>0.097</v>
      </c>
      <c r="M249" s="27" t="n">
        <f aca="false">IF(K249&gt;0,1,0)</f>
        <v>1</v>
      </c>
      <c r="N249" s="11" t="n">
        <f aca="false">SUMIFS(K$2:K249,A$2:A249,A249,B$2:B249,B249)</f>
        <v>5598508.5</v>
      </c>
      <c r="O249" s="11" t="n">
        <f aca="false">MAX(0,_xlfn.MAXIFS(N$2:N249,A$2:A249,A249,B$2:B249,B249))</f>
        <v>6188771.7</v>
      </c>
      <c r="P249" s="11" t="n">
        <f aca="false">N249-O249</f>
        <v>-590263.2</v>
      </c>
    </row>
    <row r="250" customFormat="false" ht="15" hidden="false" customHeight="false" outlineLevel="0" collapsed="false">
      <c r="A250" s="8" t="s">
        <v>26</v>
      </c>
      <c r="B250" s="8" t="s">
        <v>37</v>
      </c>
      <c r="C250" s="8" t="s">
        <v>62</v>
      </c>
      <c r="D250" s="21" t="n">
        <v>46069.3958333333</v>
      </c>
      <c r="E250" s="21" t="n">
        <v>46071.4138888889</v>
      </c>
      <c r="F250" s="22" t="n">
        <f aca="false">DATE(YEAR(E250),MONTH(E250),1)</f>
        <v>46054</v>
      </c>
      <c r="G250" s="23" t="n">
        <v>265345</v>
      </c>
      <c r="H250" s="8" t="s">
        <v>64</v>
      </c>
      <c r="I250" s="24" t="n">
        <v>1659.71</v>
      </c>
      <c r="J250" s="25" t="n">
        <f aca="false">Summary!$B$4</f>
        <v>1</v>
      </c>
      <c r="K250" s="11" t="n">
        <f aca="false">I250*J250*IF(A250="SILVER",Summary!$B$5,Summary!$B$6)</f>
        <v>49791.3</v>
      </c>
      <c r="L250" s="26" t="n">
        <v>0.097</v>
      </c>
      <c r="M250" s="27" t="n">
        <f aca="false">IF(K250&gt;0,1,0)</f>
        <v>1</v>
      </c>
      <c r="N250" s="11" t="n">
        <f aca="false">SUMIFS(K$2:K250,A$2:A250,A250,B$2:B250,B250)</f>
        <v>5648299.8</v>
      </c>
      <c r="O250" s="11" t="n">
        <f aca="false">MAX(0,_xlfn.MAXIFS(N$2:N250,A$2:A250,A250,B$2:B250,B250))</f>
        <v>6188771.7</v>
      </c>
      <c r="P250" s="11" t="n">
        <f aca="false">N250-O250</f>
        <v>-540471.9</v>
      </c>
    </row>
    <row r="251" customFormat="false" ht="15" hidden="false" customHeight="false" outlineLevel="0" collapsed="false">
      <c r="A251" s="8" t="s">
        <v>26</v>
      </c>
      <c r="B251" s="8" t="s">
        <v>37</v>
      </c>
      <c r="C251" s="8" t="s">
        <v>62</v>
      </c>
      <c r="D251" s="21" t="n">
        <v>46079.5833333333</v>
      </c>
      <c r="E251" s="21" t="n">
        <v>46080.7930555556</v>
      </c>
      <c r="F251" s="22" t="n">
        <f aca="false">DATE(YEAR(E251),MONTH(E251),1)</f>
        <v>46054</v>
      </c>
      <c r="G251" s="23" t="n">
        <v>285484</v>
      </c>
      <c r="H251" s="8" t="s">
        <v>61</v>
      </c>
      <c r="I251" s="24" t="n">
        <v>-12510.66</v>
      </c>
      <c r="J251" s="25" t="n">
        <f aca="false">Summary!$B$4</f>
        <v>1</v>
      </c>
      <c r="K251" s="11" t="n">
        <f aca="false">I251*J251*IF(A251="SILVER",Summary!$B$5,Summary!$B$6)</f>
        <v>-375319.8</v>
      </c>
      <c r="L251" s="26" t="n">
        <v>-0.871</v>
      </c>
      <c r="M251" s="27" t="n">
        <f aca="false">IF(K251&gt;0,1,0)</f>
        <v>0</v>
      </c>
      <c r="N251" s="11" t="n">
        <f aca="false">SUMIFS(K$2:K251,A$2:A251,A251,B$2:B251,B251)</f>
        <v>5272980</v>
      </c>
      <c r="O251" s="11" t="n">
        <f aca="false">MAX(0,_xlfn.MAXIFS(N$2:N251,A$2:A251,A251,B$2:B251,B251))</f>
        <v>6188771.7</v>
      </c>
      <c r="P251" s="11" t="n">
        <f aca="false">N251-O251</f>
        <v>-915791.7</v>
      </c>
    </row>
    <row r="252" customFormat="false" ht="15" hidden="false" customHeight="false" outlineLevel="0" collapsed="false">
      <c r="A252" s="8" t="s">
        <v>26</v>
      </c>
      <c r="B252" s="8" t="s">
        <v>37</v>
      </c>
      <c r="C252" s="8" t="s">
        <v>62</v>
      </c>
      <c r="D252" s="21" t="n">
        <v>46083.8541666667</v>
      </c>
      <c r="E252" s="21" t="n">
        <v>46091.3958333333</v>
      </c>
      <c r="F252" s="22" t="n">
        <f aca="false">DATE(YEAR(E252),MONTH(E252),1)</f>
        <v>46082</v>
      </c>
      <c r="G252" s="23" t="n">
        <v>303984</v>
      </c>
      <c r="H252" s="8" t="s">
        <v>61</v>
      </c>
      <c r="I252" s="24" t="n">
        <v>10927.73</v>
      </c>
      <c r="J252" s="25" t="n">
        <f aca="false">Summary!$B$4</f>
        <v>1</v>
      </c>
      <c r="K252" s="11" t="n">
        <f aca="false">I252*J252*IF(A252="SILVER",Summary!$B$5,Summary!$B$6)</f>
        <v>327831.9</v>
      </c>
      <c r="L252" s="26" t="n">
        <v>0.814</v>
      </c>
      <c r="M252" s="27" t="n">
        <f aca="false">IF(K252&gt;0,1,0)</f>
        <v>1</v>
      </c>
      <c r="N252" s="11" t="n">
        <f aca="false">SUMIFS(K$2:K252,A$2:A252,A252,B$2:B252,B252)</f>
        <v>5600811.9</v>
      </c>
      <c r="O252" s="11" t="n">
        <f aca="false">MAX(0,_xlfn.MAXIFS(N$2:N252,A$2:A252,A252,B$2:B252,B252))</f>
        <v>6188771.7</v>
      </c>
      <c r="P252" s="11" t="n">
        <f aca="false">N252-O252</f>
        <v>-587959.8</v>
      </c>
    </row>
    <row r="253" customFormat="false" ht="15" hidden="false" customHeight="false" outlineLevel="0" collapsed="false">
      <c r="A253" s="8" t="s">
        <v>26</v>
      </c>
      <c r="B253" s="8" t="s">
        <v>37</v>
      </c>
      <c r="C253" s="8" t="s">
        <v>62</v>
      </c>
      <c r="D253" s="21" t="n">
        <v>46092.7708333333</v>
      </c>
      <c r="E253" s="21" t="n">
        <v>46094.7270833333</v>
      </c>
      <c r="F253" s="22" t="n">
        <f aca="false">DATE(YEAR(E253),MONTH(E253),1)</f>
        <v>46082</v>
      </c>
      <c r="G253" s="23" t="n">
        <v>284775</v>
      </c>
      <c r="H253" s="8" t="s">
        <v>64</v>
      </c>
      <c r="I253" s="24" t="n">
        <v>1121.9</v>
      </c>
      <c r="J253" s="25" t="n">
        <f aca="false">Summary!$B$4</f>
        <v>1</v>
      </c>
      <c r="K253" s="11" t="n">
        <f aca="false">I253*J253*IF(A253="SILVER",Summary!$B$5,Summary!$B$6)</f>
        <v>33657</v>
      </c>
      <c r="L253" s="26" t="n">
        <v>0.095</v>
      </c>
      <c r="M253" s="27" t="n">
        <f aca="false">IF(K253&gt;0,1,0)</f>
        <v>1</v>
      </c>
      <c r="N253" s="11" t="n">
        <f aca="false">SUMIFS(K$2:K253,A$2:A253,A253,B$2:B253,B253)</f>
        <v>5634468.9</v>
      </c>
      <c r="O253" s="11" t="n">
        <f aca="false">MAX(0,_xlfn.MAXIFS(N$2:N253,A$2:A253,A253,B$2:B253,B253))</f>
        <v>6188771.7</v>
      </c>
      <c r="P253" s="11" t="n">
        <f aca="false">N253-O253</f>
        <v>-554302.8</v>
      </c>
    </row>
    <row r="254" customFormat="false" ht="15" hidden="false" customHeight="false" outlineLevel="0" collapsed="false">
      <c r="A254" s="8" t="s">
        <v>26</v>
      </c>
      <c r="B254" s="8" t="s">
        <v>37</v>
      </c>
      <c r="C254" s="8" t="s">
        <v>62</v>
      </c>
      <c r="D254" s="21" t="n">
        <v>46094.8541666667</v>
      </c>
      <c r="E254" s="21" t="n">
        <v>46097.7868055556</v>
      </c>
      <c r="F254" s="22" t="n">
        <f aca="false">DATE(YEAR(E254),MONTH(E254),1)</f>
        <v>46082</v>
      </c>
      <c r="G254" s="23" t="n">
        <v>275494</v>
      </c>
      <c r="H254" s="8" t="s">
        <v>64</v>
      </c>
      <c r="I254" s="24" t="n">
        <v>1373.22</v>
      </c>
      <c r="J254" s="25" t="n">
        <f aca="false">Summary!$B$4</f>
        <v>1</v>
      </c>
      <c r="K254" s="11" t="n">
        <f aca="false">I254*J254*IF(A254="SILVER",Summary!$B$5,Summary!$B$6)</f>
        <v>41196.6</v>
      </c>
      <c r="L254" s="26" t="n">
        <v>0.096</v>
      </c>
      <c r="M254" s="27" t="n">
        <f aca="false">IF(K254&gt;0,1,0)</f>
        <v>1</v>
      </c>
      <c r="N254" s="11" t="n">
        <f aca="false">SUMIFS(K$2:K254,A$2:A254,A254,B$2:B254,B254)</f>
        <v>5675665.5</v>
      </c>
      <c r="O254" s="11" t="n">
        <f aca="false">MAX(0,_xlfn.MAXIFS(N$2:N254,A$2:A254,A254,B$2:B254,B254))</f>
        <v>6188771.7</v>
      </c>
      <c r="P254" s="11" t="n">
        <f aca="false">N254-O254</f>
        <v>-513106.2</v>
      </c>
    </row>
    <row r="255" customFormat="false" ht="15" hidden="false" customHeight="false" outlineLevel="0" collapsed="false">
      <c r="A255" s="8" t="s">
        <v>26</v>
      </c>
      <c r="B255" s="8" t="s">
        <v>37</v>
      </c>
      <c r="C255" s="8" t="s">
        <v>62</v>
      </c>
      <c r="D255" s="21" t="n">
        <v>46099.7916666667</v>
      </c>
      <c r="E255" s="21" t="n">
        <v>46101.3958333333</v>
      </c>
      <c r="F255" s="22" t="n">
        <f aca="false">DATE(YEAR(E255),MONTH(E255),1)</f>
        <v>46082</v>
      </c>
      <c r="G255" s="23" t="n">
        <v>263182</v>
      </c>
      <c r="H255" s="8" t="s">
        <v>61</v>
      </c>
      <c r="I255" s="24" t="n">
        <v>6241.47</v>
      </c>
      <c r="J255" s="25" t="n">
        <f aca="false">Summary!$B$4</f>
        <v>1</v>
      </c>
      <c r="K255" s="11" t="n">
        <f aca="false">I255*J255*IF(A255="SILVER",Summary!$B$5,Summary!$B$6)</f>
        <v>187244.1</v>
      </c>
      <c r="L255" s="26" t="n">
        <v>0.524</v>
      </c>
      <c r="M255" s="27" t="n">
        <f aca="false">IF(K255&gt;0,1,0)</f>
        <v>1</v>
      </c>
      <c r="N255" s="11" t="n">
        <f aca="false">SUMIFS(K$2:K255,A$2:A255,A255,B$2:B255,B255)</f>
        <v>5862909.6</v>
      </c>
      <c r="O255" s="11" t="n">
        <f aca="false">MAX(0,_xlfn.MAXIFS(N$2:N255,A$2:A255,A255,B$2:B255,B255))</f>
        <v>6188771.7</v>
      </c>
      <c r="P255" s="11" t="n">
        <f aca="false">N255-O255</f>
        <v>-325862.1</v>
      </c>
    </row>
    <row r="256" customFormat="false" ht="15" hidden="false" customHeight="false" outlineLevel="0" collapsed="false">
      <c r="A256" s="8" t="s">
        <v>26</v>
      </c>
      <c r="B256" s="8" t="s">
        <v>37</v>
      </c>
      <c r="C256" s="8" t="s">
        <v>62</v>
      </c>
      <c r="D256" s="21" t="n">
        <v>46104.3958333333</v>
      </c>
      <c r="E256" s="21" t="n">
        <v>46104.5715277778</v>
      </c>
      <c r="F256" s="22" t="n">
        <f aca="false">DATE(YEAR(E256),MONTH(E256),1)</f>
        <v>46082</v>
      </c>
      <c r="G256" s="23" t="n">
        <v>229972</v>
      </c>
      <c r="H256" s="8" t="s">
        <v>64</v>
      </c>
      <c r="I256" s="24" t="n">
        <v>2335.14</v>
      </c>
      <c r="J256" s="25" t="n">
        <f aca="false">Summary!$B$4</f>
        <v>1</v>
      </c>
      <c r="K256" s="11" t="n">
        <f aca="false">I256*J256*IF(A256="SILVER",Summary!$B$5,Summary!$B$6)</f>
        <v>70054.2</v>
      </c>
      <c r="L256" s="26" t="n">
        <v>0.098</v>
      </c>
      <c r="M256" s="27" t="n">
        <f aca="false">IF(K256&gt;0,1,0)</f>
        <v>1</v>
      </c>
      <c r="N256" s="11" t="n">
        <f aca="false">SUMIFS(K$2:K256,A$2:A256,A256,B$2:B256,B256)</f>
        <v>5932963.8</v>
      </c>
      <c r="O256" s="11" t="n">
        <f aca="false">MAX(0,_xlfn.MAXIFS(N$2:N256,A$2:A256,A256,B$2:B256,B256))</f>
        <v>6188771.7</v>
      </c>
      <c r="P256" s="11" t="n">
        <f aca="false">N256-O256</f>
        <v>-255807.9</v>
      </c>
    </row>
    <row r="257" customFormat="false" ht="15" hidden="false" customHeight="false" outlineLevel="0" collapsed="false">
      <c r="A257" s="8" t="s">
        <v>26</v>
      </c>
      <c r="B257" s="8" t="s">
        <v>37</v>
      </c>
      <c r="C257" s="8" t="s">
        <v>62</v>
      </c>
      <c r="D257" s="21" t="n">
        <v>46107.7291666667</v>
      </c>
      <c r="E257" s="21" t="n">
        <v>46108.875</v>
      </c>
      <c r="F257" s="22" t="n">
        <f aca="false">DATE(YEAR(E257),MONTH(E257),1)</f>
        <v>46082</v>
      </c>
      <c r="G257" s="23" t="n">
        <v>238129</v>
      </c>
      <c r="H257" s="8" t="s">
        <v>61</v>
      </c>
      <c r="I257" s="24" t="n">
        <v>-12376.38</v>
      </c>
      <c r="J257" s="25" t="n">
        <f aca="false">Summary!$B$4</f>
        <v>1</v>
      </c>
      <c r="K257" s="11" t="n">
        <f aca="false">I257*J257*IF(A257="SILVER",Summary!$B$5,Summary!$B$6)</f>
        <v>-371291.4</v>
      </c>
      <c r="L257" s="26" t="n">
        <v>-0.699</v>
      </c>
      <c r="M257" s="27" t="n">
        <f aca="false">IF(K257&gt;0,1,0)</f>
        <v>0</v>
      </c>
      <c r="N257" s="11" t="n">
        <f aca="false">SUMIFS(K$2:K257,A$2:A257,A257,B$2:B257,B257)</f>
        <v>5561672.4</v>
      </c>
      <c r="O257" s="11" t="n">
        <f aca="false">MAX(0,_xlfn.MAXIFS(N$2:N257,A$2:A257,A257,B$2:B257,B257))</f>
        <v>6188771.7</v>
      </c>
      <c r="P257" s="11" t="n">
        <f aca="false">N257-O257</f>
        <v>-627099.3</v>
      </c>
    </row>
    <row r="258" customFormat="false" ht="15" hidden="false" customHeight="false" outlineLevel="0" collapsed="false">
      <c r="A258" s="8" t="s">
        <v>26</v>
      </c>
      <c r="B258" s="8" t="s">
        <v>37</v>
      </c>
      <c r="C258" s="8" t="s">
        <v>62</v>
      </c>
      <c r="D258" s="21" t="n">
        <v>46114.3958333333</v>
      </c>
      <c r="E258" s="21" t="n">
        <v>46120.3958333333</v>
      </c>
      <c r="F258" s="22" t="n">
        <f aca="false">DATE(YEAR(E258),MONTH(E258),1)</f>
        <v>46113</v>
      </c>
      <c r="G258" s="23" t="n">
        <v>249599</v>
      </c>
      <c r="H258" s="8" t="s">
        <v>61</v>
      </c>
      <c r="I258" s="24" t="n">
        <v>-11013.53</v>
      </c>
      <c r="J258" s="25" t="n">
        <f aca="false">Summary!$B$4</f>
        <v>1</v>
      </c>
      <c r="K258" s="11" t="n">
        <f aca="false">I258*J258*IF(A258="SILVER",Summary!$B$5,Summary!$B$6)</f>
        <v>-330405.9</v>
      </c>
      <c r="L258" s="26" t="n">
        <v>-0.657</v>
      </c>
      <c r="M258" s="27" t="n">
        <f aca="false">IF(K258&gt;0,1,0)</f>
        <v>0</v>
      </c>
      <c r="N258" s="11" t="n">
        <f aca="false">SUMIFS(K$2:K258,A$2:A258,A258,B$2:B258,B258)</f>
        <v>5231266.5</v>
      </c>
      <c r="O258" s="11" t="n">
        <f aca="false">MAX(0,_xlfn.MAXIFS(N$2:N258,A$2:A258,A258,B$2:B258,B258))</f>
        <v>6188771.7</v>
      </c>
      <c r="P258" s="11" t="n">
        <f aca="false">N258-O258</f>
        <v>-957505.2</v>
      </c>
    </row>
    <row r="259" customFormat="false" ht="15" hidden="false" customHeight="false" outlineLevel="0" collapsed="false">
      <c r="A259" s="8" t="s">
        <v>26</v>
      </c>
      <c r="B259" s="8" t="s">
        <v>37</v>
      </c>
      <c r="C259" s="8" t="s">
        <v>62</v>
      </c>
      <c r="D259" s="21" t="n">
        <v>46121.3958333333</v>
      </c>
      <c r="E259" s="21" t="n">
        <v>46122.8333333333</v>
      </c>
      <c r="F259" s="22" t="n">
        <f aca="false">DATE(YEAR(E259),MONTH(E259),1)</f>
        <v>46113</v>
      </c>
      <c r="G259" s="23" t="n">
        <v>254286</v>
      </c>
      <c r="H259" s="8" t="s">
        <v>61</v>
      </c>
      <c r="I259" s="24" t="n">
        <v>-8083.17</v>
      </c>
      <c r="J259" s="25" t="n">
        <f aca="false">Summary!$B$4</f>
        <v>1</v>
      </c>
      <c r="K259" s="11" t="n">
        <f aca="false">I259*J259*IF(A259="SILVER",Summary!$B$5,Summary!$B$6)</f>
        <v>-242495.1</v>
      </c>
      <c r="L259" s="26" t="n">
        <v>-0.83</v>
      </c>
      <c r="M259" s="27" t="n">
        <f aca="false">IF(K259&gt;0,1,0)</f>
        <v>0</v>
      </c>
      <c r="N259" s="11" t="n">
        <f aca="false">SUMIFS(K$2:K259,A$2:A259,A259,B$2:B259,B259)</f>
        <v>4988771.4</v>
      </c>
      <c r="O259" s="11" t="n">
        <f aca="false">MAX(0,_xlfn.MAXIFS(N$2:N259,A$2:A259,A259,B$2:B259,B259))</f>
        <v>6188771.7</v>
      </c>
      <c r="P259" s="11" t="n">
        <f aca="false">N259-O259</f>
        <v>-1200000.3</v>
      </c>
    </row>
    <row r="260" customFormat="false" ht="15" hidden="false" customHeight="false" outlineLevel="0" collapsed="false">
      <c r="A260" s="8" t="s">
        <v>26</v>
      </c>
      <c r="B260" s="8" t="s">
        <v>37</v>
      </c>
      <c r="C260" s="8" t="s">
        <v>62</v>
      </c>
      <c r="D260" s="21" t="n">
        <v>46132.3958333333</v>
      </c>
      <c r="E260" s="21" t="n">
        <v>46142.5861111111</v>
      </c>
      <c r="F260" s="22" t="n">
        <f aca="false">DATE(YEAR(E260),MONTH(E260),1)</f>
        <v>46113</v>
      </c>
      <c r="G260" s="23" t="n">
        <v>269699</v>
      </c>
      <c r="H260" s="8" t="s">
        <v>61</v>
      </c>
      <c r="I260" s="24" t="n">
        <v>11954.75</v>
      </c>
      <c r="J260" s="25" t="n">
        <f aca="false">Summary!$B$4</f>
        <v>1</v>
      </c>
      <c r="K260" s="11" t="n">
        <f aca="false">I260*J260*IF(A260="SILVER",Summary!$B$5,Summary!$B$6)</f>
        <v>358642.5</v>
      </c>
      <c r="L260" s="26" t="n">
        <v>1.117</v>
      </c>
      <c r="M260" s="27" t="n">
        <f aca="false">IF(K260&gt;0,1,0)</f>
        <v>1</v>
      </c>
      <c r="N260" s="11" t="n">
        <f aca="false">SUMIFS(K$2:K260,A$2:A260,A260,B$2:B260,B260)</f>
        <v>5347413.9</v>
      </c>
      <c r="O260" s="11" t="n">
        <f aca="false">MAX(0,_xlfn.MAXIFS(N$2:N260,A$2:A260,A260,B$2:B260,B260))</f>
        <v>6188771.7</v>
      </c>
      <c r="P260" s="11" t="n">
        <f aca="false">N260-O260</f>
        <v>-841357.8</v>
      </c>
    </row>
    <row r="261" customFormat="false" ht="15" hidden="false" customHeight="false" outlineLevel="0" collapsed="false">
      <c r="A261" s="8" t="s">
        <v>26</v>
      </c>
      <c r="B261" s="8" t="s">
        <v>37</v>
      </c>
      <c r="C261" s="8" t="s">
        <v>62</v>
      </c>
      <c r="D261" s="21" t="n">
        <v>46146.7402777778</v>
      </c>
      <c r="E261" s="21" t="n">
        <v>46147.5819444444</v>
      </c>
      <c r="F261" s="22" t="n">
        <f aca="false">DATE(YEAR(E261),MONTH(E261),1)</f>
        <v>46143</v>
      </c>
      <c r="G261" s="23" t="n">
        <v>257385</v>
      </c>
      <c r="H261" s="8" t="s">
        <v>64</v>
      </c>
      <c r="I261" s="24" t="n">
        <v>-57.75</v>
      </c>
      <c r="J261" s="25" t="n">
        <f aca="false">Summary!$B$4</f>
        <v>1</v>
      </c>
      <c r="K261" s="11" t="n">
        <f aca="false">I261*J261*IF(A261="SILVER",Summary!$B$5,Summary!$B$6)</f>
        <v>-1732.5</v>
      </c>
      <c r="L261" s="26" t="n">
        <v>-0.009</v>
      </c>
      <c r="M261" s="27" t="n">
        <f aca="false">IF(K261&gt;0,1,0)</f>
        <v>0</v>
      </c>
      <c r="N261" s="11" t="n">
        <f aca="false">SUMIFS(K$2:K261,A$2:A261,A261,B$2:B261,B261)</f>
        <v>5345681.4</v>
      </c>
      <c r="O261" s="11" t="n">
        <f aca="false">MAX(0,_xlfn.MAXIFS(N$2:N261,A$2:A261,A261,B$2:B261,B261))</f>
        <v>6188771.7</v>
      </c>
      <c r="P261" s="11" t="n">
        <f aca="false">N261-O261</f>
        <v>-843090.3</v>
      </c>
    </row>
    <row r="262" customFormat="false" ht="15" hidden="false" customHeight="false" outlineLevel="0" collapsed="false">
      <c r="A262" s="8" t="s">
        <v>26</v>
      </c>
      <c r="B262" s="8" t="s">
        <v>37</v>
      </c>
      <c r="C262" s="8" t="s">
        <v>62</v>
      </c>
      <c r="D262" s="21" t="n">
        <v>46156.8125</v>
      </c>
      <c r="E262" s="21" t="n">
        <v>46175.4791666667</v>
      </c>
      <c r="F262" s="22" t="n">
        <f aca="false">DATE(YEAR(E262),MONTH(E262),1)</f>
        <v>46174</v>
      </c>
      <c r="G262" s="23" t="n">
        <v>294418</v>
      </c>
      <c r="H262" s="8" t="s">
        <v>61</v>
      </c>
      <c r="I262" s="24" t="n">
        <v>17083.22</v>
      </c>
      <c r="J262" s="25" t="n">
        <f aca="false">Summary!$B$4</f>
        <v>1</v>
      </c>
      <c r="K262" s="11" t="n">
        <f aca="false">I262*J262*IF(A262="SILVER",Summary!$B$5,Summary!$B$6)</f>
        <v>512496.6</v>
      </c>
      <c r="L262" s="26" t="n">
        <v>1.221</v>
      </c>
      <c r="M262" s="27" t="n">
        <f aca="false">IF(K262&gt;0,1,0)</f>
        <v>1</v>
      </c>
      <c r="N262" s="11" t="n">
        <f aca="false">SUMIFS(K$2:K262,A$2:A262,A262,B$2:B262,B262)</f>
        <v>5858178</v>
      </c>
      <c r="O262" s="11" t="n">
        <f aca="false">MAX(0,_xlfn.MAXIFS(N$2:N262,A$2:A262,A262,B$2:B262,B262))</f>
        <v>6188771.7</v>
      </c>
      <c r="P262" s="11" t="n">
        <f aca="false">N262-O262</f>
        <v>-330593.7</v>
      </c>
    </row>
    <row r="263" customFormat="false" ht="15" hidden="false" customHeight="false" outlineLevel="0" collapsed="false">
      <c r="A263" s="8" t="s">
        <v>26</v>
      </c>
      <c r="B263" s="8" t="s">
        <v>37</v>
      </c>
      <c r="C263" s="8" t="s">
        <v>62</v>
      </c>
      <c r="D263" s="21" t="n">
        <v>46176.6458333333</v>
      </c>
      <c r="E263" s="21" t="n">
        <v>46185.3958333333</v>
      </c>
      <c r="F263" s="22" t="n">
        <f aca="false">DATE(YEAR(E263),MONTH(E263),1)</f>
        <v>46174</v>
      </c>
      <c r="G263" s="23" t="n">
        <v>270569</v>
      </c>
      <c r="H263" s="8" t="s">
        <v>61</v>
      </c>
      <c r="I263" s="24" t="n">
        <v>20839.37</v>
      </c>
      <c r="J263" s="25" t="n">
        <f aca="false">Summary!$B$4</f>
        <v>1</v>
      </c>
      <c r="K263" s="11" t="n">
        <f aca="false">I263*J263*IF(A263="SILVER",Summary!$B$5,Summary!$B$6)</f>
        <v>625181.1</v>
      </c>
      <c r="L263" s="26" t="n">
        <v>3.178</v>
      </c>
      <c r="M263" s="27" t="n">
        <f aca="false">IF(K263&gt;0,1,0)</f>
        <v>1</v>
      </c>
      <c r="N263" s="11" t="n">
        <f aca="false">SUMIFS(K$2:K263,A$2:A263,A263,B$2:B263,B263)</f>
        <v>6483359.1</v>
      </c>
      <c r="O263" s="11" t="n">
        <f aca="false">MAX(0,_xlfn.MAXIFS(N$2:N263,A$2:A263,A263,B$2:B263,B263))</f>
        <v>6483359.1</v>
      </c>
      <c r="P263" s="11" t="n">
        <f aca="false">N263-O263</f>
        <v>0</v>
      </c>
    </row>
    <row r="264" customFormat="false" ht="15" hidden="false" customHeight="false" outlineLevel="0" collapsed="false">
      <c r="A264" s="8" t="s">
        <v>26</v>
      </c>
      <c r="B264" s="8" t="s">
        <v>37</v>
      </c>
      <c r="C264" s="8" t="s">
        <v>62</v>
      </c>
      <c r="D264" s="21" t="n">
        <v>46191.4166666667</v>
      </c>
      <c r="E264" s="21" t="n">
        <v>46195.5</v>
      </c>
      <c r="F264" s="22" t="n">
        <f aca="false">DATE(YEAR(E264),MONTH(E264),1)</f>
        <v>46174</v>
      </c>
      <c r="G264" s="23" t="n">
        <v>253415</v>
      </c>
      <c r="H264" s="8" t="s">
        <v>61</v>
      </c>
      <c r="I264" s="24" t="n">
        <v>8387.56</v>
      </c>
      <c r="J264" s="25" t="n">
        <f aca="false">Summary!$B$4</f>
        <v>1</v>
      </c>
      <c r="K264" s="11" t="n">
        <f aca="false">I264*J264*IF(A264="SILVER",Summary!$B$5,Summary!$B$6)</f>
        <v>251626.8</v>
      </c>
      <c r="L264" s="26" t="n">
        <v>1.134</v>
      </c>
      <c r="M264" s="27" t="n">
        <f aca="false">IF(K264&gt;0,1,0)</f>
        <v>1</v>
      </c>
      <c r="N264" s="11" t="n">
        <f aca="false">SUMIFS(K$2:K264,A$2:A264,A264,B$2:B264,B264)</f>
        <v>6734985.9</v>
      </c>
      <c r="O264" s="11" t="n">
        <f aca="false">MAX(0,_xlfn.MAXIFS(N$2:N264,A$2:A264,A264,B$2:B264,B264))</f>
        <v>6734985.9</v>
      </c>
      <c r="P264" s="11" t="n">
        <f aca="false">N264-O264</f>
        <v>0</v>
      </c>
    </row>
    <row r="265" customFormat="false" ht="15" hidden="false" customHeight="false" outlineLevel="0" collapsed="false">
      <c r="A265" s="8" t="s">
        <v>26</v>
      </c>
      <c r="B265" s="8" t="s">
        <v>37</v>
      </c>
      <c r="C265" s="8" t="s">
        <v>62</v>
      </c>
      <c r="D265" s="21" t="n">
        <v>46196.3958333333</v>
      </c>
      <c r="E265" s="21" t="n">
        <v>46199.8125</v>
      </c>
      <c r="F265" s="22" t="n">
        <f aca="false">DATE(YEAR(E265),MONTH(E265),1)</f>
        <v>46174</v>
      </c>
      <c r="G265" s="23" t="n">
        <v>235620</v>
      </c>
      <c r="H265" s="8" t="s">
        <v>61</v>
      </c>
      <c r="I265" s="24" t="n">
        <v>6185.89</v>
      </c>
      <c r="J265" s="25" t="n">
        <f aca="false">Summary!$B$4</f>
        <v>1</v>
      </c>
      <c r="K265" s="11" t="n">
        <f aca="false">I265*J265*IF(A265="SILVER",Summary!$B$5,Summary!$B$6)</f>
        <v>185576.7</v>
      </c>
      <c r="L265" s="26" t="n">
        <v>0.784</v>
      </c>
      <c r="M265" s="27" t="n">
        <f aca="false">IF(K265&gt;0,1,0)</f>
        <v>1</v>
      </c>
      <c r="N265" s="11" t="n">
        <f aca="false">SUMIFS(K$2:K265,A$2:A265,A265,B$2:B265,B265)</f>
        <v>6920562.6</v>
      </c>
      <c r="O265" s="11" t="n">
        <f aca="false">MAX(0,_xlfn.MAXIFS(N$2:N265,A$2:A265,A265,B$2:B265,B265))</f>
        <v>6920562.6</v>
      </c>
      <c r="P265" s="11" t="n">
        <f aca="false">N265-O265</f>
        <v>0</v>
      </c>
    </row>
    <row r="266" customFormat="false" ht="15" hidden="false" customHeight="false" outlineLevel="0" collapsed="false">
      <c r="A266" s="8" t="s">
        <v>26</v>
      </c>
      <c r="B266" s="8" t="s">
        <v>37</v>
      </c>
      <c r="C266" s="8" t="s">
        <v>62</v>
      </c>
      <c r="D266" s="21" t="n">
        <v>46210.4375</v>
      </c>
      <c r="E266" s="21" t="n">
        <v>46217.7708333333</v>
      </c>
      <c r="F266" s="22" t="n">
        <f aca="false">DATE(YEAR(E266),MONTH(E266),1)</f>
        <v>46204</v>
      </c>
      <c r="G266" s="23" t="n">
        <v>236907</v>
      </c>
      <c r="H266" s="8" t="s">
        <v>61</v>
      </c>
      <c r="I266" s="24" t="n">
        <v>8053.36</v>
      </c>
      <c r="J266" s="25" t="n">
        <f aca="false">Summary!$B$4</f>
        <v>1</v>
      </c>
      <c r="K266" s="11" t="n">
        <f aca="false">I266*J266*IF(A266="SILVER",Summary!$B$5,Summary!$B$6)</f>
        <v>241600.8</v>
      </c>
      <c r="L266" s="26" t="n">
        <v>1.37</v>
      </c>
      <c r="M266" s="27" t="n">
        <f aca="false">IF(K266&gt;0,1,0)</f>
        <v>1</v>
      </c>
      <c r="N266" s="11" t="n">
        <f aca="false">SUMIFS(K$2:K266,A$2:A266,A266,B$2:B266,B266)</f>
        <v>7162163.4</v>
      </c>
      <c r="O266" s="11" t="n">
        <f aca="false">MAX(0,_xlfn.MAXIFS(N$2:N266,A$2:A266,A266,B$2:B266,B266))</f>
        <v>7162163.4</v>
      </c>
      <c r="P266" s="11" t="n">
        <f aca="false">N266-O266</f>
        <v>0</v>
      </c>
    </row>
    <row r="267" customFormat="false" ht="15" hidden="false" customHeight="false" outlineLevel="0" collapsed="false">
      <c r="A267" s="8" t="s">
        <v>26</v>
      </c>
      <c r="B267" s="8" t="s">
        <v>37</v>
      </c>
      <c r="C267" s="8" t="s">
        <v>62</v>
      </c>
      <c r="D267" s="21" t="n">
        <v>46219.5416666667</v>
      </c>
      <c r="E267" s="21" t="n">
        <v>46223.375</v>
      </c>
      <c r="F267" s="22" t="n">
        <f aca="false">DATE(YEAR(E267),MONTH(E267),1)</f>
        <v>46204</v>
      </c>
      <c r="G267" s="23" t="n">
        <v>223171</v>
      </c>
      <c r="H267" s="8" t="s">
        <v>64</v>
      </c>
      <c r="I267" s="24" t="n">
        <v>-738.74</v>
      </c>
      <c r="J267" s="25" t="n">
        <f aca="false">Summary!$B$4</f>
        <v>1</v>
      </c>
      <c r="K267" s="11" t="n">
        <f aca="false">I267*J267*IF(A267="SILVER",Summary!$B$5,Summary!$B$6)</f>
        <v>-22162.2</v>
      </c>
      <c r="L267" s="26" t="n">
        <v>-0.119</v>
      </c>
      <c r="M267" s="27" t="n">
        <f aca="false">IF(K267&gt;0,1,0)</f>
        <v>0</v>
      </c>
      <c r="N267" s="11" t="n">
        <f aca="false">SUMIFS(K$2:K267,A$2:A267,A267,B$2:B267,B267)</f>
        <v>7140001.2</v>
      </c>
      <c r="O267" s="11" t="n">
        <f aca="false">MAX(0,_xlfn.MAXIFS(N$2:N267,A$2:A267,A267,B$2:B267,B267))</f>
        <v>7162163.4</v>
      </c>
      <c r="P267" s="11" t="n">
        <f aca="false">N267-O267</f>
        <v>-22162.2000000002</v>
      </c>
    </row>
    <row r="268" customFormat="false" ht="15" hidden="false" customHeight="false" outlineLevel="0" collapsed="false">
      <c r="A268" s="8" t="s">
        <v>26</v>
      </c>
      <c r="B268" s="8" t="s">
        <v>37</v>
      </c>
      <c r="C268" s="8" t="s">
        <v>62</v>
      </c>
      <c r="D268" s="21" t="n">
        <v>46226.5625</v>
      </c>
      <c r="E268" s="21" t="n">
        <v>46227.5451388889</v>
      </c>
      <c r="F268" s="22" t="n">
        <f aca="false">DATE(YEAR(E268),MONTH(E268),1)</f>
        <v>46204</v>
      </c>
      <c r="G268" s="23" t="n">
        <v>227444</v>
      </c>
      <c r="H268" s="8" t="s">
        <v>64</v>
      </c>
      <c r="I268" s="24" t="n">
        <v>489.44</v>
      </c>
      <c r="J268" s="25" t="n">
        <f aca="false">Summary!$B$4</f>
        <v>1</v>
      </c>
      <c r="K268" s="11" t="n">
        <f aca="false">I268*J268*IF(A268="SILVER",Summary!$B$5,Summary!$B$6)</f>
        <v>14683.2</v>
      </c>
      <c r="L268" s="26" t="n">
        <v>0.09</v>
      </c>
      <c r="M268" s="27" t="n">
        <f aca="false">IF(K268&gt;0,1,0)</f>
        <v>1</v>
      </c>
      <c r="N268" s="11" t="n">
        <f aca="false">SUMIFS(K$2:K268,A$2:A268,A268,B$2:B268,B268)</f>
        <v>7154684.4</v>
      </c>
      <c r="O268" s="11" t="n">
        <f aca="false">MAX(0,_xlfn.MAXIFS(N$2:N268,A$2:A268,A268,B$2:B268,B268))</f>
        <v>7162163.4</v>
      </c>
      <c r="P268" s="11" t="n">
        <f aca="false">N268-O268</f>
        <v>-7479</v>
      </c>
    </row>
    <row r="269" customFormat="false" ht="15" hidden="false" customHeight="false" outlineLevel="0" collapsed="false">
      <c r="A269" s="8" t="s">
        <v>26</v>
      </c>
      <c r="B269" s="8" t="s">
        <v>37</v>
      </c>
      <c r="C269" s="8" t="s">
        <v>62</v>
      </c>
      <c r="D269" s="21" t="n">
        <v>46231.3958333333</v>
      </c>
      <c r="E269" s="21" t="n">
        <v>46233.9166666667</v>
      </c>
      <c r="F269" s="22" t="n">
        <f aca="false">DATE(YEAR(E269),MONTH(E269),1)</f>
        <v>46204</v>
      </c>
      <c r="G269" s="23" t="n">
        <v>222378</v>
      </c>
      <c r="H269" s="8" t="s">
        <v>61</v>
      </c>
      <c r="I269" s="24" t="n">
        <v>-2347.79</v>
      </c>
      <c r="J269" s="25" t="n">
        <f aca="false">Summary!$B$4</f>
        <v>1</v>
      </c>
      <c r="K269" s="11" t="n">
        <f aca="false">I269*J269*IF(A269="SILVER",Summary!$B$5,Summary!$B$6)</f>
        <v>-70433.7</v>
      </c>
      <c r="L269" s="26" t="n">
        <v>-0.353</v>
      </c>
      <c r="M269" s="27" t="n">
        <f aca="false">IF(K269&gt;0,1,0)</f>
        <v>0</v>
      </c>
      <c r="N269" s="11" t="n">
        <f aca="false">SUMIFS(K$2:K269,A$2:A269,A269,B$2:B269,B269)</f>
        <v>7084250.7</v>
      </c>
      <c r="O269" s="11" t="n">
        <f aca="false">MAX(0,_xlfn.MAXIFS(N$2:N269,A$2:A269,A269,B$2:B269,B269))</f>
        <v>7162163.4</v>
      </c>
      <c r="P269" s="11" t="n">
        <f aca="false">N269-O269</f>
        <v>-77912.7000000002</v>
      </c>
    </row>
    <row r="270" customFormat="false" ht="15" hidden="false" customHeight="false" outlineLevel="0" collapsed="false">
      <c r="A270" s="8" t="s">
        <v>26</v>
      </c>
      <c r="B270" s="8" t="s">
        <v>37</v>
      </c>
      <c r="C270" s="8" t="s">
        <v>62</v>
      </c>
      <c r="D270" s="21" t="n">
        <v>46237.7916666667</v>
      </c>
      <c r="E270" s="21" t="n">
        <v>46238.7083333333</v>
      </c>
      <c r="F270" s="22" t="n">
        <f aca="false">DATE(YEAR(E270),MONTH(E270),1)</f>
        <v>46235</v>
      </c>
      <c r="G270" s="23" t="n">
        <v>218771</v>
      </c>
      <c r="H270" s="8" t="s">
        <v>61</v>
      </c>
      <c r="I270" s="24" t="n">
        <v>-5889.41</v>
      </c>
      <c r="J270" s="25" t="n">
        <f aca="false">Summary!$B$4</f>
        <v>1</v>
      </c>
      <c r="K270" s="11" t="n">
        <f aca="false">I270*J270*IF(A270="SILVER",Summary!$B$5,Summary!$B$6)</f>
        <v>-176682.3</v>
      </c>
      <c r="L270" s="26" t="n">
        <v>-0.949</v>
      </c>
      <c r="M270" s="27" t="n">
        <f aca="false">IF(K270&gt;0,1,0)</f>
        <v>0</v>
      </c>
      <c r="N270" s="11" t="n">
        <f aca="false">SUMIFS(K$2:K270,A$2:A270,A270,B$2:B270,B270)</f>
        <v>6907568.4</v>
      </c>
      <c r="O270" s="11" t="n">
        <f aca="false">MAX(0,_xlfn.MAXIFS(N$2:N270,A$2:A270,A270,B$2:B270,B270))</f>
        <v>7162163.4</v>
      </c>
      <c r="P270" s="11" t="n">
        <f aca="false">N270-O270</f>
        <v>-254595</v>
      </c>
    </row>
    <row r="271" customFormat="false" ht="15" hidden="false" customHeight="false" outlineLevel="0" collapsed="false">
      <c r="A271" s="8" t="s">
        <v>26</v>
      </c>
      <c r="B271" s="8" t="s">
        <v>37</v>
      </c>
      <c r="C271" s="8" t="s">
        <v>62</v>
      </c>
      <c r="D271" s="21" t="n">
        <v>46248.3958333333</v>
      </c>
      <c r="E271" s="21" t="n">
        <v>46251.875</v>
      </c>
      <c r="F271" s="22" t="n">
        <f aca="false">DATE(YEAR(E271),MONTH(E271),1)</f>
        <v>46235</v>
      </c>
      <c r="G271" s="23" t="n">
        <v>237702</v>
      </c>
      <c r="H271" s="8" t="s">
        <v>61</v>
      </c>
      <c r="I271" s="24" t="n">
        <v>-5924.2</v>
      </c>
      <c r="J271" s="25" t="n">
        <f aca="false">Summary!$B$4</f>
        <v>1</v>
      </c>
      <c r="K271" s="11" t="n">
        <f aca="false">I271*J271*IF(A271="SILVER",Summary!$B$5,Summary!$B$6)</f>
        <v>-177726</v>
      </c>
      <c r="L271" s="26" t="n">
        <v>-0.898</v>
      </c>
      <c r="M271" s="27" t="n">
        <f aca="false">IF(K271&gt;0,1,0)</f>
        <v>0</v>
      </c>
      <c r="N271" s="11" t="n">
        <f aca="false">SUMIFS(K$2:K271,A$2:A271,A271,B$2:B271,B271)</f>
        <v>6729842.4</v>
      </c>
      <c r="O271" s="11" t="n">
        <f aca="false">MAX(0,_xlfn.MAXIFS(N$2:N271,A$2:A271,A271,B$2:B271,B271))</f>
        <v>7162163.4</v>
      </c>
      <c r="P271" s="11" t="n">
        <f aca="false">N271-O271</f>
        <v>-432321</v>
      </c>
    </row>
    <row r="272" customFormat="false" ht="15" hidden="false" customHeight="false" outlineLevel="0" collapsed="false">
      <c r="A272" s="8" t="s">
        <v>26</v>
      </c>
      <c r="B272" s="8" t="s">
        <v>37</v>
      </c>
      <c r="C272" s="8" t="s">
        <v>62</v>
      </c>
      <c r="D272" s="21" t="n">
        <v>46252.8541666667</v>
      </c>
      <c r="E272" s="21" t="n">
        <v>46253.7541666667</v>
      </c>
      <c r="F272" s="22" t="n">
        <f aca="false">DATE(YEAR(E272),MONTH(E272),1)</f>
        <v>46235</v>
      </c>
      <c r="G272" s="23" t="n">
        <v>237772</v>
      </c>
      <c r="H272" s="8" t="s">
        <v>64</v>
      </c>
      <c r="I272" s="24" t="n">
        <v>468.65</v>
      </c>
      <c r="J272" s="25" t="n">
        <f aca="false">Summary!$B$4</f>
        <v>1</v>
      </c>
      <c r="K272" s="11" t="n">
        <f aca="false">I272*J272*IF(A272="SILVER",Summary!$B$5,Summary!$B$6)</f>
        <v>14059.5</v>
      </c>
      <c r="L272" s="26" t="n">
        <v>0.089</v>
      </c>
      <c r="M272" s="27" t="n">
        <f aca="false">IF(K272&gt;0,1,0)</f>
        <v>1</v>
      </c>
      <c r="N272" s="11" t="n">
        <f aca="false">SUMIFS(K$2:K272,A$2:A272,A272,B$2:B272,B272)</f>
        <v>6743901.9</v>
      </c>
      <c r="O272" s="11" t="n">
        <f aca="false">MAX(0,_xlfn.MAXIFS(N$2:N272,A$2:A272,A272,B$2:B272,B272))</f>
        <v>7162163.4</v>
      </c>
      <c r="P272" s="11" t="n">
        <f aca="false">N272-O272</f>
        <v>-418261.5</v>
      </c>
    </row>
    <row r="273" customFormat="false" ht="15" hidden="false" customHeight="false" outlineLevel="0" collapsed="false">
      <c r="A273" s="8" t="s">
        <v>26</v>
      </c>
      <c r="B273" s="8" t="s">
        <v>37</v>
      </c>
      <c r="C273" s="8" t="s">
        <v>62</v>
      </c>
      <c r="D273" s="21" t="n">
        <v>46259.4375</v>
      </c>
      <c r="E273" s="21" t="n">
        <v>46261.375</v>
      </c>
      <c r="F273" s="22" t="n">
        <f aca="false">DATE(YEAR(E273),MONTH(E273),1)</f>
        <v>46235</v>
      </c>
      <c r="G273" s="23" t="n">
        <v>246858</v>
      </c>
      <c r="H273" s="8" t="s">
        <v>64</v>
      </c>
      <c r="I273" s="24" t="n">
        <v>-856.29</v>
      </c>
      <c r="J273" s="25" t="n">
        <f aca="false">Summary!$B$4</f>
        <v>1</v>
      </c>
      <c r="K273" s="11" t="n">
        <f aca="false">I273*J273*IF(A273="SILVER",Summary!$B$5,Summary!$B$6)</f>
        <v>-25688.7</v>
      </c>
      <c r="L273" s="26" t="n">
        <v>-0.131</v>
      </c>
      <c r="M273" s="27" t="n">
        <f aca="false">IF(K273&gt;0,1,0)</f>
        <v>0</v>
      </c>
      <c r="N273" s="11" t="n">
        <f aca="false">SUMIFS(K$2:K273,A$2:A273,A273,B$2:B273,B273)</f>
        <v>6718213.2</v>
      </c>
      <c r="O273" s="11" t="n">
        <f aca="false">MAX(0,_xlfn.MAXIFS(N$2:N273,A$2:A273,A273,B$2:B273,B273))</f>
        <v>7162163.4</v>
      </c>
      <c r="P273" s="11" t="n">
        <f aca="false">N273-O273</f>
        <v>-443950.2</v>
      </c>
    </row>
    <row r="274" customFormat="false" ht="15" hidden="false" customHeight="false" outlineLevel="0" collapsed="false">
      <c r="A274" s="8" t="s">
        <v>26</v>
      </c>
      <c r="B274" s="8" t="s">
        <v>37</v>
      </c>
      <c r="C274" s="8" t="s">
        <v>62</v>
      </c>
      <c r="D274" s="21" t="n">
        <v>46261.4166666667</v>
      </c>
      <c r="E274" s="21" t="n">
        <v>46265.7006944444</v>
      </c>
      <c r="F274" s="22" t="n">
        <f aca="false">DATE(YEAR(E274),MONTH(E274),1)</f>
        <v>46235</v>
      </c>
      <c r="G274" s="23" t="n">
        <v>242161</v>
      </c>
      <c r="H274" s="8" t="s">
        <v>64</v>
      </c>
      <c r="I274" s="24" t="n">
        <v>764.57</v>
      </c>
      <c r="J274" s="25" t="n">
        <f aca="false">Summary!$B$4</f>
        <v>1</v>
      </c>
      <c r="K274" s="11" t="n">
        <f aca="false">I274*J274*IF(A274="SILVER",Summary!$B$5,Summary!$B$6)</f>
        <v>22937.1</v>
      </c>
      <c r="L274" s="26" t="n">
        <v>0.093</v>
      </c>
      <c r="M274" s="27" t="n">
        <f aca="false">IF(K274&gt;0,1,0)</f>
        <v>1</v>
      </c>
      <c r="N274" s="11" t="n">
        <f aca="false">SUMIFS(K$2:K274,A$2:A274,A274,B$2:B274,B274)</f>
        <v>6741150.3</v>
      </c>
      <c r="O274" s="11" t="n">
        <f aca="false">MAX(0,_xlfn.MAXIFS(N$2:N274,A$2:A274,A274,B$2:B274,B274))</f>
        <v>7162163.4</v>
      </c>
      <c r="P274" s="11" t="n">
        <f aca="false">N274-O274</f>
        <v>-421013.100000001</v>
      </c>
    </row>
    <row r="275" customFormat="false" ht="15" hidden="false" customHeight="false" outlineLevel="0" collapsed="false">
      <c r="A275" s="8" t="s">
        <v>26</v>
      </c>
      <c r="B275" s="8" t="s">
        <v>37</v>
      </c>
      <c r="C275" s="8" t="s">
        <v>62</v>
      </c>
      <c r="D275" s="21" t="n">
        <v>46265.8958333333</v>
      </c>
      <c r="E275" s="21" t="n">
        <v>46268.3770833333</v>
      </c>
      <c r="F275" s="22" t="n">
        <f aca="false">DATE(YEAR(E275),MONTH(E275),1)</f>
        <v>46266</v>
      </c>
      <c r="G275" s="23" t="n">
        <v>238038</v>
      </c>
      <c r="H275" s="8" t="s">
        <v>64</v>
      </c>
      <c r="I275" s="24" t="n">
        <v>414.41</v>
      </c>
      <c r="J275" s="25" t="n">
        <f aca="false">Summary!$B$4</f>
        <v>1</v>
      </c>
      <c r="K275" s="11" t="n">
        <f aca="false">I275*J275*IF(A275="SILVER",Summary!$B$5,Summary!$B$6)</f>
        <v>12432.3</v>
      </c>
      <c r="L275" s="26" t="n">
        <v>0.06</v>
      </c>
      <c r="M275" s="27" t="n">
        <f aca="false">IF(K275&gt;0,1,0)</f>
        <v>1</v>
      </c>
      <c r="N275" s="11" t="n">
        <f aca="false">SUMIFS(K$2:K275,A$2:A275,A275,B$2:B275,B275)</f>
        <v>6753582.6</v>
      </c>
      <c r="O275" s="11" t="n">
        <f aca="false">MAX(0,_xlfn.MAXIFS(N$2:N275,A$2:A275,A275,B$2:B275,B275))</f>
        <v>7162163.4</v>
      </c>
      <c r="P275" s="11" t="n">
        <f aca="false">N275-O275</f>
        <v>-408580.8</v>
      </c>
    </row>
    <row r="276" customFormat="false" ht="15" hidden="false" customHeight="false" outlineLevel="0" collapsed="false">
      <c r="A276" s="8" t="s">
        <v>26</v>
      </c>
      <c r="B276" s="8" t="s">
        <v>37</v>
      </c>
      <c r="C276" s="8" t="s">
        <v>62</v>
      </c>
      <c r="D276" s="21" t="n">
        <v>46269.7923611111</v>
      </c>
      <c r="E276" s="21" t="n">
        <v>46273.3958333333</v>
      </c>
      <c r="F276" s="22" t="n">
        <f aca="false">DATE(YEAR(E276),MONTH(E276),1)</f>
        <v>46266</v>
      </c>
      <c r="G276" s="23" t="n">
        <v>235970</v>
      </c>
      <c r="H276" s="8" t="s">
        <v>61</v>
      </c>
      <c r="I276" s="24" t="n">
        <v>-5345.43</v>
      </c>
      <c r="J276" s="25" t="n">
        <f aca="false">Summary!$B$4</f>
        <v>1</v>
      </c>
      <c r="K276" s="11" t="n">
        <f aca="false">I276*J276*IF(A276="SILVER",Summary!$B$5,Summary!$B$6)</f>
        <v>-160362.9</v>
      </c>
      <c r="L276" s="26" t="n">
        <v>-1.196</v>
      </c>
      <c r="M276" s="27" t="n">
        <f aca="false">IF(K276&gt;0,1,0)</f>
        <v>0</v>
      </c>
      <c r="N276" s="11" t="n">
        <f aca="false">SUMIFS(K$2:K276,A$2:A276,A276,B$2:B276,B276)</f>
        <v>6593219.7</v>
      </c>
      <c r="O276" s="11" t="n">
        <f aca="false">MAX(0,_xlfn.MAXIFS(N$2:N276,A$2:A276,A276,B$2:B276,B276))</f>
        <v>7162163.4</v>
      </c>
      <c r="P276" s="11" t="n">
        <f aca="false">N276-O276</f>
        <v>-568943.7</v>
      </c>
    </row>
    <row r="277" customFormat="false" ht="15" hidden="false" customHeight="false" outlineLevel="0" collapsed="false">
      <c r="A277" s="8" t="s">
        <v>26</v>
      </c>
      <c r="B277" s="8" t="s">
        <v>37</v>
      </c>
      <c r="C277" s="8" t="s">
        <v>62</v>
      </c>
      <c r="D277" s="21" t="n">
        <v>46275.7291666667</v>
      </c>
      <c r="E277" s="21" t="n">
        <v>46281.7083333333</v>
      </c>
      <c r="F277" s="22" t="n">
        <f aca="false">DATE(YEAR(E277),MONTH(E277),1)</f>
        <v>46266</v>
      </c>
      <c r="G277" s="23" t="n">
        <v>238150</v>
      </c>
      <c r="H277" s="8" t="s">
        <v>61</v>
      </c>
      <c r="I277" s="24" t="n">
        <v>2230.59</v>
      </c>
      <c r="J277" s="25" t="n">
        <f aca="false">Summary!$B$4</f>
        <v>1</v>
      </c>
      <c r="K277" s="11" t="n">
        <f aca="false">I277*J277*IF(A277="SILVER",Summary!$B$5,Summary!$B$6)</f>
        <v>66917.7</v>
      </c>
      <c r="L277" s="26" t="n">
        <v>0.326</v>
      </c>
      <c r="M277" s="27" t="n">
        <f aca="false">IF(K277&gt;0,1,0)</f>
        <v>1</v>
      </c>
      <c r="N277" s="11" t="n">
        <f aca="false">SUMIFS(K$2:K277,A$2:A277,A277,B$2:B277,B277)</f>
        <v>6660137.4</v>
      </c>
      <c r="O277" s="11" t="n">
        <f aca="false">MAX(0,_xlfn.MAXIFS(N$2:N277,A$2:A277,A277,B$2:B277,B277))</f>
        <v>7162163.4</v>
      </c>
      <c r="P277" s="11" t="n">
        <f aca="false">N277-O277</f>
        <v>-502026</v>
      </c>
    </row>
    <row r="278" customFormat="false" ht="15" hidden="false" customHeight="false" outlineLevel="0" collapsed="false">
      <c r="A278" s="8" t="s">
        <v>26</v>
      </c>
      <c r="B278" s="8" t="s">
        <v>37</v>
      </c>
      <c r="C278" s="8" t="s">
        <v>62</v>
      </c>
      <c r="D278" s="21" t="n">
        <v>46287.5625</v>
      </c>
      <c r="E278" s="21" t="n">
        <v>46288.9784722222</v>
      </c>
      <c r="F278" s="22" t="n">
        <f aca="false">DATE(YEAR(E278),MONTH(E278),1)</f>
        <v>46266</v>
      </c>
      <c r="G278" s="23" t="n">
        <v>236800</v>
      </c>
      <c r="H278" s="8" t="s">
        <v>63</v>
      </c>
      <c r="I278" s="24" t="n">
        <v>657.71</v>
      </c>
      <c r="J278" s="25" t="n">
        <f aca="false">Summary!$B$4</f>
        <v>1</v>
      </c>
      <c r="K278" s="11" t="n">
        <f aca="false">I278*J278*IF(A278="SILVER",Summary!$B$5,Summary!$B$6)</f>
        <v>19731.3</v>
      </c>
      <c r="L278" s="26" t="n">
        <v>0.121</v>
      </c>
      <c r="M278" s="27" t="n">
        <f aca="false">IF(K278&gt;0,1,0)</f>
        <v>1</v>
      </c>
      <c r="N278" s="11" t="n">
        <f aca="false">SUMIFS(K$2:K278,A$2:A278,A278,B$2:B278,B278)</f>
        <v>6679868.7</v>
      </c>
      <c r="O278" s="11" t="n">
        <f aca="false">MAX(0,_xlfn.MAXIFS(N$2:N278,A$2:A278,A278,B$2:B278,B278))</f>
        <v>7162163.4</v>
      </c>
      <c r="P278" s="11" t="n">
        <f aca="false">N278-O278</f>
        <v>-482294.7</v>
      </c>
    </row>
    <row r="279" customFormat="false" ht="15" hidden="false" customHeight="false" outlineLevel="0" collapsed="false">
      <c r="A279" s="8" t="s">
        <v>26</v>
      </c>
      <c r="B279" s="8" t="s">
        <v>39</v>
      </c>
      <c r="C279" s="8" t="s">
        <v>62</v>
      </c>
      <c r="D279" s="21" t="n">
        <v>45689.5104166667</v>
      </c>
      <c r="E279" s="21" t="n">
        <v>45691.3756944445</v>
      </c>
      <c r="F279" s="22" t="n">
        <f aca="false">DATE(YEAR(E279),MONTH(E279),1)</f>
        <v>45689</v>
      </c>
      <c r="G279" s="23" t="n">
        <v>131750</v>
      </c>
      <c r="H279" s="8" t="s">
        <v>64</v>
      </c>
      <c r="I279" s="24" t="n">
        <v>-211.57</v>
      </c>
      <c r="J279" s="25" t="n">
        <f aca="false">Summary!$B$4</f>
        <v>1</v>
      </c>
      <c r="K279" s="11" t="n">
        <f aca="false">I279*J279*IF(A279="SILVER",Summary!$B$5,Summary!$B$6)</f>
        <v>-6347.1</v>
      </c>
      <c r="L279" s="26" t="n">
        <v>-0.147</v>
      </c>
      <c r="M279" s="27" t="n">
        <f aca="false">IF(K279&gt;0,1,0)</f>
        <v>0</v>
      </c>
      <c r="N279" s="11" t="n">
        <f aca="false">SUMIFS(K$2:K279,A$2:A279,A279,B$2:B279,B279)</f>
        <v>-6347.1</v>
      </c>
      <c r="O279" s="11" t="n">
        <f aca="false">MAX(0,_xlfn.MAXIFS(N$2:N279,A$2:A279,A279,B$2:B279,B279))</f>
        <v>0</v>
      </c>
      <c r="P279" s="11" t="n">
        <f aca="false">N279-O279</f>
        <v>-6347.1</v>
      </c>
    </row>
    <row r="280" customFormat="false" ht="15" hidden="false" customHeight="false" outlineLevel="0" collapsed="false">
      <c r="A280" s="8" t="s">
        <v>26</v>
      </c>
      <c r="B280" s="8" t="s">
        <v>39</v>
      </c>
      <c r="C280" s="8" t="s">
        <v>62</v>
      </c>
      <c r="D280" s="21" t="n">
        <v>45693.8020833333</v>
      </c>
      <c r="E280" s="21" t="n">
        <v>45694.6083333333</v>
      </c>
      <c r="F280" s="22" t="n">
        <f aca="false">DATE(YEAR(E280),MONTH(E280),1)</f>
        <v>45689</v>
      </c>
      <c r="G280" s="23" t="n">
        <v>134477</v>
      </c>
      <c r="H280" s="8" t="s">
        <v>64</v>
      </c>
      <c r="I280" s="24" t="n">
        <v>97.59</v>
      </c>
      <c r="J280" s="25" t="n">
        <f aca="false">Summary!$B$4</f>
        <v>1</v>
      </c>
      <c r="K280" s="11" t="n">
        <f aca="false">I280*J280*IF(A280="SILVER",Summary!$B$5,Summary!$B$6)</f>
        <v>2927.7</v>
      </c>
      <c r="L280" s="26" t="n">
        <v>0.077</v>
      </c>
      <c r="M280" s="27" t="n">
        <f aca="false">IF(K280&gt;0,1,0)</f>
        <v>1</v>
      </c>
      <c r="N280" s="11" t="n">
        <f aca="false">SUMIFS(K$2:K280,A$2:A280,A280,B$2:B280,B280)</f>
        <v>-3419.4</v>
      </c>
      <c r="O280" s="11" t="n">
        <f aca="false">MAX(0,_xlfn.MAXIFS(N$2:N280,A$2:A280,A280,B$2:B280,B280))</f>
        <v>0</v>
      </c>
      <c r="P280" s="11" t="n">
        <f aca="false">N280-O280</f>
        <v>-3419.4</v>
      </c>
    </row>
    <row r="281" customFormat="false" ht="15" hidden="false" customHeight="false" outlineLevel="0" collapsed="false">
      <c r="A281" s="8" t="s">
        <v>26</v>
      </c>
      <c r="B281" s="8" t="s">
        <v>39</v>
      </c>
      <c r="C281" s="8" t="s">
        <v>62</v>
      </c>
      <c r="D281" s="21" t="n">
        <v>45699.3854166667</v>
      </c>
      <c r="E281" s="21" t="n">
        <v>45699.8854166667</v>
      </c>
      <c r="F281" s="22" t="n">
        <f aca="false">DATE(YEAR(E281),MONTH(E281),1)</f>
        <v>45689</v>
      </c>
      <c r="G281" s="23" t="n">
        <v>134086</v>
      </c>
      <c r="H281" s="8" t="s">
        <v>61</v>
      </c>
      <c r="I281" s="24" t="n">
        <v>424.03</v>
      </c>
      <c r="J281" s="25" t="n">
        <f aca="false">Summary!$B$4</f>
        <v>1</v>
      </c>
      <c r="K281" s="11" t="n">
        <f aca="false">I281*J281*IF(A281="SILVER",Summary!$B$5,Summary!$B$6)</f>
        <v>12720.9</v>
      </c>
      <c r="L281" s="26" t="n">
        <v>0.381</v>
      </c>
      <c r="M281" s="27" t="n">
        <f aca="false">IF(K281&gt;0,1,0)</f>
        <v>1</v>
      </c>
      <c r="N281" s="11" t="n">
        <f aca="false">SUMIFS(K$2:K281,A$2:A281,A281,B$2:B281,B281)</f>
        <v>9301.5</v>
      </c>
      <c r="O281" s="11" t="n">
        <f aca="false">MAX(0,_xlfn.MAXIFS(N$2:N281,A$2:A281,A281,B$2:B281,B281))</f>
        <v>9301.5</v>
      </c>
      <c r="P281" s="11" t="n">
        <f aca="false">N281-O281</f>
        <v>0</v>
      </c>
    </row>
    <row r="282" customFormat="false" ht="15" hidden="false" customHeight="false" outlineLevel="0" collapsed="false">
      <c r="A282" s="8" t="s">
        <v>26</v>
      </c>
      <c r="B282" s="8" t="s">
        <v>39</v>
      </c>
      <c r="C282" s="8" t="s">
        <v>62</v>
      </c>
      <c r="D282" s="21" t="n">
        <v>45702.875</v>
      </c>
      <c r="E282" s="21" t="n">
        <v>45706.4597222222</v>
      </c>
      <c r="F282" s="22" t="n">
        <f aca="false">DATE(YEAR(E282),MONTH(E282),1)</f>
        <v>45689</v>
      </c>
      <c r="G282" s="23" t="n">
        <v>135364</v>
      </c>
      <c r="H282" s="8" t="s">
        <v>64</v>
      </c>
      <c r="I282" s="24" t="n">
        <v>187.41</v>
      </c>
      <c r="J282" s="25" t="n">
        <f aca="false">Summary!$B$4</f>
        <v>1</v>
      </c>
      <c r="K282" s="11" t="n">
        <f aca="false">I282*J282*IF(A282="SILVER",Summary!$B$5,Summary!$B$6)</f>
        <v>5622.3</v>
      </c>
      <c r="L282" s="26" t="n">
        <v>0.087</v>
      </c>
      <c r="M282" s="27" t="n">
        <f aca="false">IF(K282&gt;0,1,0)</f>
        <v>1</v>
      </c>
      <c r="N282" s="11" t="n">
        <f aca="false">SUMIFS(K$2:K282,A$2:A282,A282,B$2:B282,B282)</f>
        <v>14923.8</v>
      </c>
      <c r="O282" s="11" t="n">
        <f aca="false">MAX(0,_xlfn.MAXIFS(N$2:N282,A$2:A282,A282,B$2:B282,B282))</f>
        <v>14923.8</v>
      </c>
      <c r="P282" s="11" t="n">
        <f aca="false">N282-O282</f>
        <v>0</v>
      </c>
    </row>
    <row r="283" customFormat="false" ht="15" hidden="false" customHeight="false" outlineLevel="0" collapsed="false">
      <c r="A283" s="8" t="s">
        <v>26</v>
      </c>
      <c r="B283" s="8" t="s">
        <v>39</v>
      </c>
      <c r="C283" s="8" t="s">
        <v>62</v>
      </c>
      <c r="D283" s="21" t="n">
        <v>45707.8333333333</v>
      </c>
      <c r="E283" s="21" t="n">
        <v>45708.375</v>
      </c>
      <c r="F283" s="22" t="n">
        <f aca="false">DATE(YEAR(E283),MONTH(E283),1)</f>
        <v>45689</v>
      </c>
      <c r="G283" s="23" t="n">
        <v>135641</v>
      </c>
      <c r="H283" s="8" t="s">
        <v>64</v>
      </c>
      <c r="I283" s="24" t="n">
        <v>-218.35</v>
      </c>
      <c r="J283" s="25" t="n">
        <f aca="false">Summary!$B$4</f>
        <v>1</v>
      </c>
      <c r="K283" s="11" t="n">
        <f aca="false">I283*J283*IF(A283="SILVER",Summary!$B$5,Summary!$B$6)</f>
        <v>-6550.5</v>
      </c>
      <c r="L283" s="26" t="n">
        <v>-0.166</v>
      </c>
      <c r="M283" s="27" t="n">
        <f aca="false">IF(K283&gt;0,1,0)</f>
        <v>0</v>
      </c>
      <c r="N283" s="11" t="n">
        <f aca="false">SUMIFS(K$2:K283,A$2:A283,A283,B$2:B283,B283)</f>
        <v>8373.3</v>
      </c>
      <c r="O283" s="11" t="n">
        <f aca="false">MAX(0,_xlfn.MAXIFS(N$2:N283,A$2:A283,A283,B$2:B283,B283))</f>
        <v>14923.8</v>
      </c>
      <c r="P283" s="11" t="n">
        <f aca="false">N283-O283</f>
        <v>-6550.5</v>
      </c>
    </row>
    <row r="284" customFormat="false" ht="15" hidden="false" customHeight="false" outlineLevel="0" collapsed="false">
      <c r="A284" s="8" t="s">
        <v>26</v>
      </c>
      <c r="B284" s="8" t="s">
        <v>39</v>
      </c>
      <c r="C284" s="8" t="s">
        <v>62</v>
      </c>
      <c r="D284" s="21" t="n">
        <v>45708.8229166667</v>
      </c>
      <c r="E284" s="21" t="n">
        <v>45719.6590277778</v>
      </c>
      <c r="F284" s="22" t="n">
        <f aca="false">DATE(YEAR(E284),MONTH(E284),1)</f>
        <v>45717</v>
      </c>
      <c r="G284" s="23" t="n">
        <v>135752</v>
      </c>
      <c r="H284" s="8" t="s">
        <v>61</v>
      </c>
      <c r="I284" s="24" t="n">
        <v>2832.95</v>
      </c>
      <c r="J284" s="25" t="n">
        <f aca="false">Summary!$B$4</f>
        <v>1</v>
      </c>
      <c r="K284" s="11" t="n">
        <f aca="false">I284*J284*IF(A284="SILVER",Summary!$B$5,Summary!$B$6)</f>
        <v>84988.5</v>
      </c>
      <c r="L284" s="26" t="n">
        <v>2.138</v>
      </c>
      <c r="M284" s="27" t="n">
        <f aca="false">IF(K284&gt;0,1,0)</f>
        <v>1</v>
      </c>
      <c r="N284" s="11" t="n">
        <f aca="false">SUMIFS(K$2:K284,A$2:A284,A284,B$2:B284,B284)</f>
        <v>93361.8</v>
      </c>
      <c r="O284" s="11" t="n">
        <f aca="false">MAX(0,_xlfn.MAXIFS(N$2:N284,A$2:A284,A284,B$2:B284,B284))</f>
        <v>93361.8</v>
      </c>
      <c r="P284" s="11" t="n">
        <f aca="false">N284-O284</f>
        <v>0</v>
      </c>
    </row>
    <row r="285" customFormat="false" ht="15" hidden="false" customHeight="false" outlineLevel="0" collapsed="false">
      <c r="A285" s="8" t="s">
        <v>26</v>
      </c>
      <c r="B285" s="8" t="s">
        <v>39</v>
      </c>
      <c r="C285" s="8" t="s">
        <v>62</v>
      </c>
      <c r="D285" s="21" t="n">
        <v>45720.9</v>
      </c>
      <c r="E285" s="21" t="n">
        <v>45721.5069444445</v>
      </c>
      <c r="F285" s="22" t="n">
        <f aca="false">DATE(YEAR(E285),MONTH(E285),1)</f>
        <v>45717</v>
      </c>
      <c r="G285" s="23" t="n">
        <v>133160</v>
      </c>
      <c r="H285" s="8" t="s">
        <v>61</v>
      </c>
      <c r="I285" s="24" t="n">
        <v>-1310.92</v>
      </c>
      <c r="J285" s="25" t="n">
        <f aca="false">Summary!$B$4</f>
        <v>1</v>
      </c>
      <c r="K285" s="11" t="n">
        <f aca="false">I285*J285*IF(A285="SILVER",Summary!$B$5,Summary!$B$6)</f>
        <v>-39327.6</v>
      </c>
      <c r="L285" s="26" t="n">
        <v>-1.195</v>
      </c>
      <c r="M285" s="27" t="n">
        <f aca="false">IF(K285&gt;0,1,0)</f>
        <v>0</v>
      </c>
      <c r="N285" s="11" t="n">
        <f aca="false">SUMIFS(K$2:K285,A$2:A285,A285,B$2:B285,B285)</f>
        <v>54034.2</v>
      </c>
      <c r="O285" s="11" t="n">
        <f aca="false">MAX(0,_xlfn.MAXIFS(N$2:N285,A$2:A285,A285,B$2:B285,B285))</f>
        <v>93361.8</v>
      </c>
      <c r="P285" s="11" t="n">
        <f aca="false">N285-O285</f>
        <v>-39327.6</v>
      </c>
    </row>
    <row r="286" customFormat="false" ht="15" hidden="false" customHeight="false" outlineLevel="0" collapsed="false">
      <c r="A286" s="8" t="s">
        <v>26</v>
      </c>
      <c r="B286" s="8" t="s">
        <v>39</v>
      </c>
      <c r="C286" s="8" t="s">
        <v>62</v>
      </c>
      <c r="D286" s="21" t="n">
        <v>45723.78125</v>
      </c>
      <c r="E286" s="21" t="n">
        <v>45723.8263888889</v>
      </c>
      <c r="F286" s="22" t="n">
        <f aca="false">DATE(YEAR(E286),MONTH(E286),1)</f>
        <v>45717</v>
      </c>
      <c r="G286" s="23" t="n">
        <v>134315</v>
      </c>
      <c r="H286" s="8" t="s">
        <v>64</v>
      </c>
      <c r="I286" s="24" t="n">
        <v>52.89</v>
      </c>
      <c r="J286" s="25" t="n">
        <f aca="false">Summary!$B$4</f>
        <v>1</v>
      </c>
      <c r="K286" s="11" t="n">
        <f aca="false">I286*J286*IF(A286="SILVER",Summary!$B$5,Summary!$B$6)</f>
        <v>1586.7</v>
      </c>
      <c r="L286" s="26" t="n">
        <v>0.064</v>
      </c>
      <c r="M286" s="27" t="n">
        <f aca="false">IF(K286&gt;0,1,0)</f>
        <v>1</v>
      </c>
      <c r="N286" s="11" t="n">
        <f aca="false">SUMIFS(K$2:K286,A$2:A286,A286,B$2:B286,B286)</f>
        <v>55620.9</v>
      </c>
      <c r="O286" s="11" t="n">
        <f aca="false">MAX(0,_xlfn.MAXIFS(N$2:N286,A$2:A286,A286,B$2:B286,B286))</f>
        <v>93361.8</v>
      </c>
      <c r="P286" s="11" t="n">
        <f aca="false">N286-O286</f>
        <v>-37740.9</v>
      </c>
    </row>
    <row r="287" customFormat="false" ht="15" hidden="false" customHeight="false" outlineLevel="0" collapsed="false">
      <c r="A287" s="8" t="s">
        <v>26</v>
      </c>
      <c r="B287" s="8" t="s">
        <v>39</v>
      </c>
      <c r="C287" s="8" t="s">
        <v>62</v>
      </c>
      <c r="D287" s="21" t="n">
        <v>45726.9166666667</v>
      </c>
      <c r="E287" s="21" t="n">
        <v>45727.8020833333</v>
      </c>
      <c r="F287" s="22" t="n">
        <f aca="false">DATE(YEAR(E287),MONTH(E287),1)</f>
        <v>45717</v>
      </c>
      <c r="G287" s="23" t="n">
        <v>133933</v>
      </c>
      <c r="H287" s="8" t="s">
        <v>61</v>
      </c>
      <c r="I287" s="24" t="n">
        <v>-1495.53</v>
      </c>
      <c r="J287" s="25" t="n">
        <f aca="false">Summary!$B$4</f>
        <v>1</v>
      </c>
      <c r="K287" s="11" t="n">
        <f aca="false">I287*J287*IF(A287="SILVER",Summary!$B$5,Summary!$B$6)</f>
        <v>-44865.9</v>
      </c>
      <c r="L287" s="26" t="n">
        <v>-1.162</v>
      </c>
      <c r="M287" s="27" t="n">
        <f aca="false">IF(K287&gt;0,1,0)</f>
        <v>0</v>
      </c>
      <c r="N287" s="11" t="n">
        <f aca="false">SUMIFS(K$2:K287,A$2:A287,A287,B$2:B287,B287)</f>
        <v>10755</v>
      </c>
      <c r="O287" s="11" t="n">
        <f aca="false">MAX(0,_xlfn.MAXIFS(N$2:N287,A$2:A287,A287,B$2:B287,B287))</f>
        <v>93361.8</v>
      </c>
      <c r="P287" s="11" t="n">
        <f aca="false">N287-O287</f>
        <v>-82606.8</v>
      </c>
    </row>
    <row r="288" customFormat="false" ht="15" hidden="false" customHeight="false" outlineLevel="0" collapsed="false">
      <c r="A288" s="8" t="s">
        <v>26</v>
      </c>
      <c r="B288" s="8" t="s">
        <v>39</v>
      </c>
      <c r="C288" s="8" t="s">
        <v>62</v>
      </c>
      <c r="D288" s="21" t="n">
        <v>45733.7916666667</v>
      </c>
      <c r="E288" s="21" t="n">
        <v>45734.3854166667</v>
      </c>
      <c r="F288" s="22" t="n">
        <f aca="false">DATE(YEAR(E288),MONTH(E288),1)</f>
        <v>45717</v>
      </c>
      <c r="G288" s="23" t="n">
        <v>136749</v>
      </c>
      <c r="H288" s="8" t="s">
        <v>61</v>
      </c>
      <c r="I288" s="24" t="n">
        <v>-1301.08</v>
      </c>
      <c r="J288" s="25" t="n">
        <f aca="false">Summary!$B$4</f>
        <v>1</v>
      </c>
      <c r="K288" s="11" t="n">
        <f aca="false">I288*J288*IF(A288="SILVER",Summary!$B$5,Summary!$B$6)</f>
        <v>-39032.4</v>
      </c>
      <c r="L288" s="26" t="n">
        <v>-1.033</v>
      </c>
      <c r="M288" s="27" t="n">
        <f aca="false">IF(K288&gt;0,1,0)</f>
        <v>0</v>
      </c>
      <c r="N288" s="11" t="n">
        <f aca="false">SUMIFS(K$2:K288,A$2:A288,A288,B$2:B288,B288)</f>
        <v>-28277.4</v>
      </c>
      <c r="O288" s="11" t="n">
        <f aca="false">MAX(0,_xlfn.MAXIFS(N$2:N288,A$2:A288,A288,B$2:B288,B288))</f>
        <v>93361.8</v>
      </c>
      <c r="P288" s="11" t="n">
        <f aca="false">N288-O288</f>
        <v>-121639.2</v>
      </c>
    </row>
    <row r="289" customFormat="false" ht="15" hidden="false" customHeight="false" outlineLevel="0" collapsed="false">
      <c r="A289" s="8" t="s">
        <v>26</v>
      </c>
      <c r="B289" s="8" t="s">
        <v>39</v>
      </c>
      <c r="C289" s="8" t="s">
        <v>62</v>
      </c>
      <c r="D289" s="21" t="n">
        <v>45735.5625</v>
      </c>
      <c r="E289" s="21" t="n">
        <v>45735.675</v>
      </c>
      <c r="F289" s="22" t="n">
        <f aca="false">DATE(YEAR(E289),MONTH(E289),1)</f>
        <v>45717</v>
      </c>
      <c r="G289" s="23" t="n">
        <v>137864</v>
      </c>
      <c r="H289" s="8" t="s">
        <v>64</v>
      </c>
      <c r="I289" s="24" t="n">
        <v>68.08</v>
      </c>
      <c r="J289" s="25" t="n">
        <f aca="false">Summary!$B$4</f>
        <v>1</v>
      </c>
      <c r="K289" s="11" t="n">
        <f aca="false">I289*J289*IF(A289="SILVER",Summary!$B$5,Summary!$B$6)</f>
        <v>2042.4</v>
      </c>
      <c r="L289" s="26" t="n">
        <v>0.069</v>
      </c>
      <c r="M289" s="27" t="n">
        <f aca="false">IF(K289&gt;0,1,0)</f>
        <v>1</v>
      </c>
      <c r="N289" s="11" t="n">
        <f aca="false">SUMIFS(K$2:K289,A$2:A289,A289,B$2:B289,B289)</f>
        <v>-26235</v>
      </c>
      <c r="O289" s="11" t="n">
        <f aca="false">MAX(0,_xlfn.MAXIFS(N$2:N289,A$2:A289,A289,B$2:B289,B289))</f>
        <v>93361.8</v>
      </c>
      <c r="P289" s="11" t="n">
        <f aca="false">N289-O289</f>
        <v>-119596.8</v>
      </c>
    </row>
    <row r="290" customFormat="false" ht="15" hidden="false" customHeight="false" outlineLevel="0" collapsed="false">
      <c r="A290" s="8" t="s">
        <v>26</v>
      </c>
      <c r="B290" s="8" t="s">
        <v>39</v>
      </c>
      <c r="C290" s="8" t="s">
        <v>62</v>
      </c>
      <c r="D290" s="21" t="n">
        <v>45744.84375</v>
      </c>
      <c r="E290" s="21" t="n">
        <v>45748.375</v>
      </c>
      <c r="F290" s="22" t="n">
        <f aca="false">DATE(YEAR(E290),MONTH(E290),1)</f>
        <v>45748</v>
      </c>
      <c r="G290" s="23" t="n">
        <v>137657</v>
      </c>
      <c r="H290" s="8" t="s">
        <v>64</v>
      </c>
      <c r="I290" s="24" t="n">
        <v>142.8</v>
      </c>
      <c r="J290" s="25" t="n">
        <f aca="false">Summary!$B$4</f>
        <v>1</v>
      </c>
      <c r="K290" s="11" t="n">
        <f aca="false">I290*J290*IF(A290="SILVER",Summary!$B$5,Summary!$B$6)</f>
        <v>4284</v>
      </c>
      <c r="L290" s="26" t="n">
        <v>0.083</v>
      </c>
      <c r="M290" s="27" t="n">
        <f aca="false">IF(K290&gt;0,1,0)</f>
        <v>1</v>
      </c>
      <c r="N290" s="11" t="n">
        <f aca="false">SUMIFS(K$2:K290,A$2:A290,A290,B$2:B290,B290)</f>
        <v>-21951</v>
      </c>
      <c r="O290" s="11" t="n">
        <f aca="false">MAX(0,_xlfn.MAXIFS(N$2:N290,A$2:A290,A290,B$2:B290,B290))</f>
        <v>93361.8</v>
      </c>
      <c r="P290" s="11" t="n">
        <f aca="false">N290-O290</f>
        <v>-115312.8</v>
      </c>
    </row>
    <row r="291" customFormat="false" ht="15" hidden="false" customHeight="false" outlineLevel="0" collapsed="false">
      <c r="A291" s="8" t="s">
        <v>26</v>
      </c>
      <c r="B291" s="8" t="s">
        <v>39</v>
      </c>
      <c r="C291" s="8" t="s">
        <v>62</v>
      </c>
      <c r="D291" s="21" t="n">
        <v>45764.4479166667</v>
      </c>
      <c r="E291" s="21" t="n">
        <v>45764.9326388889</v>
      </c>
      <c r="F291" s="22" t="n">
        <f aca="false">DATE(YEAR(E291),MONTH(E291),1)</f>
        <v>45748</v>
      </c>
      <c r="G291" s="23" t="n">
        <v>132299</v>
      </c>
      <c r="H291" s="8" t="s">
        <v>64</v>
      </c>
      <c r="I291" s="24" t="n">
        <v>134.27</v>
      </c>
      <c r="J291" s="25" t="n">
        <f aca="false">Summary!$B$4</f>
        <v>1</v>
      </c>
      <c r="K291" s="11" t="n">
        <f aca="false">I291*J291*IF(A291="SILVER",Summary!$B$5,Summary!$B$6)</f>
        <v>4028.1</v>
      </c>
      <c r="L291" s="26" t="n">
        <v>0.082</v>
      </c>
      <c r="M291" s="27" t="n">
        <f aca="false">IF(K291&gt;0,1,0)</f>
        <v>1</v>
      </c>
      <c r="N291" s="11" t="n">
        <f aca="false">SUMIFS(K$2:K291,A$2:A291,A291,B$2:B291,B291)</f>
        <v>-17922.9</v>
      </c>
      <c r="O291" s="11" t="n">
        <f aca="false">MAX(0,_xlfn.MAXIFS(N$2:N291,A$2:A291,A291,B$2:B291,B291))</f>
        <v>93361.8</v>
      </c>
      <c r="P291" s="11" t="n">
        <f aca="false">N291-O291</f>
        <v>-111284.7</v>
      </c>
    </row>
    <row r="292" customFormat="false" ht="15" hidden="false" customHeight="false" outlineLevel="0" collapsed="false">
      <c r="A292" s="8" t="s">
        <v>26</v>
      </c>
      <c r="B292" s="8" t="s">
        <v>39</v>
      </c>
      <c r="C292" s="8" t="s">
        <v>62</v>
      </c>
      <c r="D292" s="21" t="n">
        <v>45768.9479166667</v>
      </c>
      <c r="E292" s="21" t="n">
        <v>45769.90625</v>
      </c>
      <c r="F292" s="22" t="n">
        <f aca="false">DATE(YEAR(E292),MONTH(E292),1)</f>
        <v>45748</v>
      </c>
      <c r="G292" s="23" t="n">
        <v>132082</v>
      </c>
      <c r="H292" s="8" t="s">
        <v>61</v>
      </c>
      <c r="I292" s="24" t="n">
        <v>-1356.15</v>
      </c>
      <c r="J292" s="25" t="n">
        <f aca="false">Summary!$B$4</f>
        <v>1</v>
      </c>
      <c r="K292" s="11" t="n">
        <f aca="false">I292*J292*IF(A292="SILVER",Summary!$B$5,Summary!$B$6)</f>
        <v>-40684.5</v>
      </c>
      <c r="L292" s="26" t="n">
        <v>-0.904</v>
      </c>
      <c r="M292" s="27" t="n">
        <f aca="false">IF(K292&gt;0,1,0)</f>
        <v>0</v>
      </c>
      <c r="N292" s="11" t="n">
        <f aca="false">SUMIFS(K$2:K292,A$2:A292,A292,B$2:B292,B292)</f>
        <v>-58607.4</v>
      </c>
      <c r="O292" s="11" t="n">
        <f aca="false">MAX(0,_xlfn.MAXIFS(N$2:N292,A$2:A292,A292,B$2:B292,B292))</f>
        <v>93361.8</v>
      </c>
      <c r="P292" s="11" t="n">
        <f aca="false">N292-O292</f>
        <v>-151969.2</v>
      </c>
    </row>
    <row r="293" customFormat="false" ht="15" hidden="false" customHeight="false" outlineLevel="0" collapsed="false">
      <c r="A293" s="8" t="s">
        <v>26</v>
      </c>
      <c r="B293" s="8" t="s">
        <v>39</v>
      </c>
      <c r="C293" s="8" t="s">
        <v>62</v>
      </c>
      <c r="D293" s="21" t="n">
        <v>45772.7916666667</v>
      </c>
      <c r="E293" s="21" t="n">
        <v>45776.53125</v>
      </c>
      <c r="F293" s="22" t="n">
        <f aca="false">DATE(YEAR(E293),MONTH(E293),1)</f>
        <v>45748</v>
      </c>
      <c r="G293" s="23" t="n">
        <v>133109</v>
      </c>
      <c r="H293" s="8" t="s">
        <v>61</v>
      </c>
      <c r="I293" s="24" t="n">
        <v>-664.28</v>
      </c>
      <c r="J293" s="25" t="n">
        <f aca="false">Summary!$B$4</f>
        <v>1</v>
      </c>
      <c r="K293" s="11" t="n">
        <f aca="false">I293*J293*IF(A293="SILVER",Summary!$B$5,Summary!$B$6)</f>
        <v>-19928.4</v>
      </c>
      <c r="L293" s="26" t="n">
        <v>-0.369</v>
      </c>
      <c r="M293" s="27" t="n">
        <f aca="false">IF(K293&gt;0,1,0)</f>
        <v>0</v>
      </c>
      <c r="N293" s="11" t="n">
        <f aca="false">SUMIFS(K$2:K293,A$2:A293,A293,B$2:B293,B293)</f>
        <v>-78535.8</v>
      </c>
      <c r="O293" s="11" t="n">
        <f aca="false">MAX(0,_xlfn.MAXIFS(N$2:N293,A$2:A293,A293,B$2:B293,B293))</f>
        <v>93361.8</v>
      </c>
      <c r="P293" s="11" t="n">
        <f aca="false">N293-O293</f>
        <v>-171897.6</v>
      </c>
    </row>
    <row r="294" customFormat="false" ht="15" hidden="false" customHeight="false" outlineLevel="0" collapsed="false">
      <c r="A294" s="8" t="s">
        <v>26</v>
      </c>
      <c r="B294" s="8" t="s">
        <v>39</v>
      </c>
      <c r="C294" s="8" t="s">
        <v>62</v>
      </c>
      <c r="D294" s="21" t="n">
        <v>45777.3854166667</v>
      </c>
      <c r="E294" s="21" t="n">
        <v>45777.8763888889</v>
      </c>
      <c r="F294" s="22" t="n">
        <f aca="false">DATE(YEAR(E294),MONTH(E294),1)</f>
        <v>45748</v>
      </c>
      <c r="G294" s="23" t="n">
        <v>133039</v>
      </c>
      <c r="H294" s="8" t="s">
        <v>61</v>
      </c>
      <c r="I294" s="24" t="n">
        <v>1089.9</v>
      </c>
      <c r="J294" s="25" t="n">
        <f aca="false">Summary!$B$4</f>
        <v>1</v>
      </c>
      <c r="K294" s="11" t="n">
        <f aca="false">I294*J294*IF(A294="SILVER",Summary!$B$5,Summary!$B$6)</f>
        <v>32697</v>
      </c>
      <c r="L294" s="26" t="n">
        <v>0.691</v>
      </c>
      <c r="M294" s="27" t="n">
        <f aca="false">IF(K294&gt;0,1,0)</f>
        <v>1</v>
      </c>
      <c r="N294" s="11" t="n">
        <f aca="false">SUMIFS(K$2:K294,A$2:A294,A294,B$2:B294,B294)</f>
        <v>-45838.8</v>
      </c>
      <c r="O294" s="11" t="n">
        <f aca="false">MAX(0,_xlfn.MAXIFS(N$2:N294,A$2:A294,A294,B$2:B294,B294))</f>
        <v>93361.8</v>
      </c>
      <c r="P294" s="11" t="n">
        <f aca="false">N294-O294</f>
        <v>-139200.6</v>
      </c>
    </row>
    <row r="295" customFormat="false" ht="15" hidden="false" customHeight="false" outlineLevel="0" collapsed="false">
      <c r="A295" s="8" t="s">
        <v>26</v>
      </c>
      <c r="B295" s="8" t="s">
        <v>39</v>
      </c>
      <c r="C295" s="8" t="s">
        <v>62</v>
      </c>
      <c r="D295" s="21" t="n">
        <v>45778.7215277778</v>
      </c>
      <c r="E295" s="21" t="n">
        <v>45778.9006944444</v>
      </c>
      <c r="F295" s="22" t="n">
        <f aca="false">DATE(YEAR(E295),MONTH(E295),1)</f>
        <v>45778</v>
      </c>
      <c r="G295" s="23" t="n">
        <v>129835</v>
      </c>
      <c r="H295" s="8" t="s">
        <v>61</v>
      </c>
      <c r="I295" s="24" t="n">
        <v>-814.74</v>
      </c>
      <c r="J295" s="25" t="n">
        <f aca="false">Summary!$B$4</f>
        <v>1</v>
      </c>
      <c r="K295" s="11" t="n">
        <f aca="false">I295*J295*IF(A295="SILVER",Summary!$B$5,Summary!$B$6)</f>
        <v>-24442.2</v>
      </c>
      <c r="L295" s="26" t="n">
        <v>-0.409</v>
      </c>
      <c r="M295" s="27" t="n">
        <f aca="false">IF(K295&gt;0,1,0)</f>
        <v>0</v>
      </c>
      <c r="N295" s="11" t="n">
        <f aca="false">SUMIFS(K$2:K295,A$2:A295,A295,B$2:B295,B295)</f>
        <v>-70281</v>
      </c>
      <c r="O295" s="11" t="n">
        <f aca="false">MAX(0,_xlfn.MAXIFS(N$2:N295,A$2:A295,A295,B$2:B295,B295))</f>
        <v>93361.8</v>
      </c>
      <c r="P295" s="11" t="n">
        <f aca="false">N295-O295</f>
        <v>-163642.8</v>
      </c>
    </row>
    <row r="296" customFormat="false" ht="15" hidden="false" customHeight="false" outlineLevel="0" collapsed="false">
      <c r="A296" s="8" t="s">
        <v>26</v>
      </c>
      <c r="B296" s="8" t="s">
        <v>39</v>
      </c>
      <c r="C296" s="8" t="s">
        <v>62</v>
      </c>
      <c r="D296" s="21" t="n">
        <v>45784.8333333333</v>
      </c>
      <c r="E296" s="21" t="n">
        <v>45785.6</v>
      </c>
      <c r="F296" s="22" t="n">
        <f aca="false">DATE(YEAR(E296),MONTH(E296),1)</f>
        <v>45778</v>
      </c>
      <c r="G296" s="23" t="n">
        <v>130547</v>
      </c>
      <c r="H296" s="8" t="s">
        <v>64</v>
      </c>
      <c r="I296" s="24" t="n">
        <v>106.5</v>
      </c>
      <c r="J296" s="25" t="n">
        <f aca="false">Summary!$B$4</f>
        <v>1</v>
      </c>
      <c r="K296" s="11" t="n">
        <f aca="false">I296*J296*IF(A296="SILVER",Summary!$B$5,Summary!$B$6)</f>
        <v>3195</v>
      </c>
      <c r="L296" s="26" t="n">
        <v>0.079</v>
      </c>
      <c r="M296" s="27" t="n">
        <f aca="false">IF(K296&gt;0,1,0)</f>
        <v>1</v>
      </c>
      <c r="N296" s="11" t="n">
        <f aca="false">SUMIFS(K$2:K296,A$2:A296,A296,B$2:B296,B296)</f>
        <v>-67086</v>
      </c>
      <c r="O296" s="11" t="n">
        <f aca="false">MAX(0,_xlfn.MAXIFS(N$2:N296,A$2:A296,A296,B$2:B296,B296))</f>
        <v>93361.8</v>
      </c>
      <c r="P296" s="11" t="n">
        <f aca="false">N296-O296</f>
        <v>-160447.8</v>
      </c>
    </row>
    <row r="297" customFormat="false" ht="15" hidden="false" customHeight="false" outlineLevel="0" collapsed="false">
      <c r="A297" s="8" t="s">
        <v>26</v>
      </c>
      <c r="B297" s="8" t="s">
        <v>39</v>
      </c>
      <c r="C297" s="8" t="s">
        <v>62</v>
      </c>
      <c r="D297" s="21" t="n">
        <v>45789.5416666667</v>
      </c>
      <c r="E297" s="21" t="n">
        <v>45789.7652777778</v>
      </c>
      <c r="F297" s="22" t="n">
        <f aca="false">DATE(YEAR(E297),MONTH(E297),1)</f>
        <v>45778</v>
      </c>
      <c r="G297" s="23" t="n">
        <v>130124</v>
      </c>
      <c r="H297" s="8" t="s">
        <v>64</v>
      </c>
      <c r="I297" s="24" t="n">
        <v>158.06</v>
      </c>
      <c r="J297" s="25" t="n">
        <f aca="false">Summary!$B$4</f>
        <v>1</v>
      </c>
      <c r="K297" s="11" t="n">
        <f aca="false">I297*J297*IF(A297="SILVER",Summary!$B$5,Summary!$B$6)</f>
        <v>4741.8</v>
      </c>
      <c r="L297" s="26" t="n">
        <v>0.084</v>
      </c>
      <c r="M297" s="27" t="n">
        <f aca="false">IF(K297&gt;0,1,0)</f>
        <v>1</v>
      </c>
      <c r="N297" s="11" t="n">
        <f aca="false">SUMIFS(K$2:K297,A$2:A297,A297,B$2:B297,B297)</f>
        <v>-62344.2</v>
      </c>
      <c r="O297" s="11" t="n">
        <f aca="false">MAX(0,_xlfn.MAXIFS(N$2:N297,A$2:A297,A297,B$2:B297,B297))</f>
        <v>93361.8</v>
      </c>
      <c r="P297" s="11" t="n">
        <f aca="false">N297-O297</f>
        <v>-155706</v>
      </c>
    </row>
    <row r="298" customFormat="false" ht="15" hidden="false" customHeight="false" outlineLevel="0" collapsed="false">
      <c r="A298" s="8" t="s">
        <v>26</v>
      </c>
      <c r="B298" s="8" t="s">
        <v>39</v>
      </c>
      <c r="C298" s="8" t="s">
        <v>62</v>
      </c>
      <c r="D298" s="21" t="n">
        <v>45790.75</v>
      </c>
      <c r="E298" s="21" t="n">
        <v>45792.8333333333</v>
      </c>
      <c r="F298" s="22" t="n">
        <f aca="false">DATE(YEAR(E298),MONTH(E298),1)</f>
        <v>45778</v>
      </c>
      <c r="G298" s="23" t="n">
        <v>131080</v>
      </c>
      <c r="H298" s="8" t="s">
        <v>61</v>
      </c>
      <c r="I298" s="24" t="n">
        <v>835.84</v>
      </c>
      <c r="J298" s="25" t="n">
        <f aca="false">Summary!$B$4</f>
        <v>1</v>
      </c>
      <c r="K298" s="11" t="n">
        <f aca="false">I298*J298*IF(A298="SILVER",Summary!$B$5,Summary!$B$6)</f>
        <v>25075.2</v>
      </c>
      <c r="L298" s="26" t="n">
        <v>0.573</v>
      </c>
      <c r="M298" s="27" t="n">
        <f aca="false">IF(K298&gt;0,1,0)</f>
        <v>1</v>
      </c>
      <c r="N298" s="11" t="n">
        <f aca="false">SUMIFS(K$2:K298,A$2:A298,A298,B$2:B298,B298)</f>
        <v>-37269</v>
      </c>
      <c r="O298" s="11" t="n">
        <f aca="false">MAX(0,_xlfn.MAXIFS(N$2:N298,A$2:A298,A298,B$2:B298,B298))</f>
        <v>93361.8</v>
      </c>
      <c r="P298" s="11" t="n">
        <f aca="false">N298-O298</f>
        <v>-130630.8</v>
      </c>
    </row>
    <row r="299" customFormat="false" ht="15" hidden="false" customHeight="false" outlineLevel="0" collapsed="false">
      <c r="A299" s="8" t="s">
        <v>26</v>
      </c>
      <c r="B299" s="8" t="s">
        <v>39</v>
      </c>
      <c r="C299" s="8" t="s">
        <v>62</v>
      </c>
      <c r="D299" s="21" t="n">
        <v>45793.6979166667</v>
      </c>
      <c r="E299" s="21" t="n">
        <v>45796.4895833333</v>
      </c>
      <c r="F299" s="22" t="n">
        <f aca="false">DATE(YEAR(E299),MONTH(E299),1)</f>
        <v>45778</v>
      </c>
      <c r="G299" s="23" t="n">
        <v>129739</v>
      </c>
      <c r="H299" s="8" t="s">
        <v>61</v>
      </c>
      <c r="I299" s="24" t="n">
        <v>-990.07</v>
      </c>
      <c r="J299" s="25" t="n">
        <f aca="false">Summary!$B$4</f>
        <v>1</v>
      </c>
      <c r="K299" s="11" t="n">
        <f aca="false">I299*J299*IF(A299="SILVER",Summary!$B$5,Summary!$B$6)</f>
        <v>-29702.1</v>
      </c>
      <c r="L299" s="26" t="n">
        <v>-0.879</v>
      </c>
      <c r="M299" s="27" t="n">
        <f aca="false">IF(K299&gt;0,1,0)</f>
        <v>0</v>
      </c>
      <c r="N299" s="11" t="n">
        <f aca="false">SUMIFS(K$2:K299,A$2:A299,A299,B$2:B299,B299)</f>
        <v>-66971.1</v>
      </c>
      <c r="O299" s="11" t="n">
        <f aca="false">MAX(0,_xlfn.MAXIFS(N$2:N299,A$2:A299,A299,B$2:B299,B299))</f>
        <v>93361.8</v>
      </c>
      <c r="P299" s="11" t="n">
        <f aca="false">N299-O299</f>
        <v>-160332.9</v>
      </c>
    </row>
    <row r="300" customFormat="false" ht="15" hidden="false" customHeight="false" outlineLevel="0" collapsed="false">
      <c r="A300" s="8" t="s">
        <v>26</v>
      </c>
      <c r="B300" s="8" t="s">
        <v>39</v>
      </c>
      <c r="C300" s="8" t="s">
        <v>62</v>
      </c>
      <c r="D300" s="21" t="n">
        <v>45797.3854166667</v>
      </c>
      <c r="E300" s="21" t="n">
        <v>45797.6770833333</v>
      </c>
      <c r="F300" s="22" t="n">
        <f aca="false">DATE(YEAR(E300),MONTH(E300),1)</f>
        <v>45778</v>
      </c>
      <c r="G300" s="23" t="n">
        <v>129953</v>
      </c>
      <c r="H300" s="8" t="s">
        <v>61</v>
      </c>
      <c r="I300" s="24" t="n">
        <v>-842.1</v>
      </c>
      <c r="J300" s="25" t="n">
        <f aca="false">Summary!$B$4</f>
        <v>1</v>
      </c>
      <c r="K300" s="11" t="n">
        <f aca="false">I300*J300*IF(A300="SILVER",Summary!$B$5,Summary!$B$6)</f>
        <v>-25263</v>
      </c>
      <c r="L300" s="26" t="n">
        <v>-0.78</v>
      </c>
      <c r="M300" s="27" t="n">
        <f aca="false">IF(K300&gt;0,1,0)</f>
        <v>0</v>
      </c>
      <c r="N300" s="11" t="n">
        <f aca="false">SUMIFS(K$2:K300,A$2:A300,A300,B$2:B300,B300)</f>
        <v>-92234.1</v>
      </c>
      <c r="O300" s="11" t="n">
        <f aca="false">MAX(0,_xlfn.MAXIFS(N$2:N300,A$2:A300,A300,B$2:B300,B300))</f>
        <v>93361.8</v>
      </c>
      <c r="P300" s="11" t="n">
        <f aca="false">N300-O300</f>
        <v>-185595.9</v>
      </c>
    </row>
    <row r="301" customFormat="false" ht="15" hidden="false" customHeight="false" outlineLevel="0" collapsed="false">
      <c r="A301" s="8" t="s">
        <v>26</v>
      </c>
      <c r="B301" s="8" t="s">
        <v>39</v>
      </c>
      <c r="C301" s="8" t="s">
        <v>62</v>
      </c>
      <c r="D301" s="21" t="n">
        <v>45799.65625</v>
      </c>
      <c r="E301" s="21" t="n">
        <v>45799.7701388889</v>
      </c>
      <c r="F301" s="22" t="n">
        <f aca="false">DATE(YEAR(E301),MONTH(E301),1)</f>
        <v>45778</v>
      </c>
      <c r="G301" s="23" t="n">
        <v>132919</v>
      </c>
      <c r="H301" s="8" t="s">
        <v>64</v>
      </c>
      <c r="I301" s="24" t="n">
        <v>100.72</v>
      </c>
      <c r="J301" s="25" t="n">
        <f aca="false">Summary!$B$4</f>
        <v>1</v>
      </c>
      <c r="K301" s="11" t="n">
        <f aca="false">I301*J301*IF(A301="SILVER",Summary!$B$5,Summary!$B$6)</f>
        <v>3021.6</v>
      </c>
      <c r="L301" s="26" t="n">
        <v>0.077</v>
      </c>
      <c r="M301" s="27" t="n">
        <f aca="false">IF(K301&gt;0,1,0)</f>
        <v>1</v>
      </c>
      <c r="N301" s="11" t="n">
        <f aca="false">SUMIFS(K$2:K301,A$2:A301,A301,B$2:B301,B301)</f>
        <v>-89212.5</v>
      </c>
      <c r="O301" s="11" t="n">
        <f aca="false">MAX(0,_xlfn.MAXIFS(N$2:N301,A$2:A301,A301,B$2:B301,B301))</f>
        <v>93361.8</v>
      </c>
      <c r="P301" s="11" t="n">
        <f aca="false">N301-O301</f>
        <v>-182574.3</v>
      </c>
    </row>
    <row r="302" customFormat="false" ht="15" hidden="false" customHeight="false" outlineLevel="0" collapsed="false">
      <c r="A302" s="8" t="s">
        <v>26</v>
      </c>
      <c r="B302" s="8" t="s">
        <v>39</v>
      </c>
      <c r="C302" s="8" t="s">
        <v>62</v>
      </c>
      <c r="D302" s="21" t="n">
        <v>45805.875</v>
      </c>
      <c r="E302" s="21" t="n">
        <v>45806.5625</v>
      </c>
      <c r="F302" s="22" t="n">
        <f aca="false">DATE(YEAR(E302),MONTH(E302),1)</f>
        <v>45778</v>
      </c>
      <c r="G302" s="23" t="n">
        <v>132091</v>
      </c>
      <c r="H302" s="8" t="s">
        <v>61</v>
      </c>
      <c r="I302" s="24" t="n">
        <v>-815.53</v>
      </c>
      <c r="J302" s="25" t="n">
        <f aca="false">Summary!$B$4</f>
        <v>1</v>
      </c>
      <c r="K302" s="11" t="n">
        <f aca="false">I302*J302*IF(A302="SILVER",Summary!$B$5,Summary!$B$6)</f>
        <v>-24465.9</v>
      </c>
      <c r="L302" s="26" t="n">
        <v>-0.783</v>
      </c>
      <c r="M302" s="27" t="n">
        <f aca="false">IF(K302&gt;0,1,0)</f>
        <v>0</v>
      </c>
      <c r="N302" s="11" t="n">
        <f aca="false">SUMIFS(K$2:K302,A$2:A302,A302,B$2:B302,B302)</f>
        <v>-113678.4</v>
      </c>
      <c r="O302" s="11" t="n">
        <f aca="false">MAX(0,_xlfn.MAXIFS(N$2:N302,A$2:A302,A302,B$2:B302,B302))</f>
        <v>93361.8</v>
      </c>
      <c r="P302" s="11" t="n">
        <f aca="false">N302-O302</f>
        <v>-207040.2</v>
      </c>
    </row>
    <row r="303" customFormat="false" ht="15" hidden="false" customHeight="false" outlineLevel="0" collapsed="false">
      <c r="A303" s="8" t="s">
        <v>26</v>
      </c>
      <c r="B303" s="8" t="s">
        <v>39</v>
      </c>
      <c r="C303" s="8" t="s">
        <v>62</v>
      </c>
      <c r="D303" s="21" t="n">
        <v>45806.8333333333</v>
      </c>
      <c r="E303" s="21" t="n">
        <v>45807.7604166667</v>
      </c>
      <c r="F303" s="22" t="n">
        <f aca="false">DATE(YEAR(E303),MONTH(E303),1)</f>
        <v>45778</v>
      </c>
      <c r="G303" s="23" t="n">
        <v>132260</v>
      </c>
      <c r="H303" s="8" t="s">
        <v>61</v>
      </c>
      <c r="I303" s="24" t="n">
        <v>-641.54</v>
      </c>
      <c r="J303" s="25" t="n">
        <f aca="false">Summary!$B$4</f>
        <v>1</v>
      </c>
      <c r="K303" s="11" t="n">
        <f aca="false">I303*J303*IF(A303="SILVER",Summary!$B$5,Summary!$B$6)</f>
        <v>-19246.2</v>
      </c>
      <c r="L303" s="26" t="n">
        <v>-0.507</v>
      </c>
      <c r="M303" s="27" t="n">
        <f aca="false">IF(K303&gt;0,1,0)</f>
        <v>0</v>
      </c>
      <c r="N303" s="11" t="n">
        <f aca="false">SUMIFS(K$2:K303,A$2:A303,A303,B$2:B303,B303)</f>
        <v>-132924.6</v>
      </c>
      <c r="O303" s="11" t="n">
        <f aca="false">MAX(0,_xlfn.MAXIFS(N$2:N303,A$2:A303,A303,B$2:B303,B303))</f>
        <v>93361.8</v>
      </c>
      <c r="P303" s="11" t="n">
        <f aca="false">N303-O303</f>
        <v>-226286.4</v>
      </c>
    </row>
    <row r="304" customFormat="false" ht="15" hidden="false" customHeight="false" outlineLevel="0" collapsed="false">
      <c r="A304" s="8" t="s">
        <v>26</v>
      </c>
      <c r="B304" s="8" t="s">
        <v>39</v>
      </c>
      <c r="C304" s="8" t="s">
        <v>60</v>
      </c>
      <c r="D304" s="21" t="n">
        <v>45821.3854166667</v>
      </c>
      <c r="E304" s="21" t="n">
        <v>45826.8333333333</v>
      </c>
      <c r="F304" s="22" t="n">
        <f aca="false">DATE(YEAR(E304),MONTH(E304),1)</f>
        <v>45809</v>
      </c>
      <c r="G304" s="23" t="n">
        <v>141523</v>
      </c>
      <c r="H304" s="8" t="s">
        <v>61</v>
      </c>
      <c r="I304" s="24" t="n">
        <v>1666.5</v>
      </c>
      <c r="J304" s="25" t="n">
        <f aca="false">Summary!$B$4</f>
        <v>1</v>
      </c>
      <c r="K304" s="11" t="n">
        <f aca="false">I304*J304*IF(A304="SILVER",Summary!$B$5,Summary!$B$6)</f>
        <v>49995</v>
      </c>
      <c r="L304" s="26" t="n">
        <v>0.982</v>
      </c>
      <c r="M304" s="27" t="n">
        <f aca="false">IF(K304&gt;0,1,0)</f>
        <v>1</v>
      </c>
      <c r="N304" s="11" t="n">
        <f aca="false">SUMIFS(K$2:K304,A$2:A304,A304,B$2:B304,B304)</f>
        <v>-82929.6</v>
      </c>
      <c r="O304" s="11" t="n">
        <f aca="false">MAX(0,_xlfn.MAXIFS(N$2:N304,A$2:A304,A304,B$2:B304,B304))</f>
        <v>93361.8</v>
      </c>
      <c r="P304" s="11" t="n">
        <f aca="false">N304-O304</f>
        <v>-176291.4</v>
      </c>
    </row>
    <row r="305" customFormat="false" ht="15" hidden="false" customHeight="false" outlineLevel="0" collapsed="false">
      <c r="A305" s="8" t="s">
        <v>26</v>
      </c>
      <c r="B305" s="8" t="s">
        <v>39</v>
      </c>
      <c r="C305" s="8" t="s">
        <v>60</v>
      </c>
      <c r="D305" s="21" t="n">
        <v>45828.65625</v>
      </c>
      <c r="E305" s="21" t="n">
        <v>45832.3854166667</v>
      </c>
      <c r="F305" s="22" t="n">
        <f aca="false">DATE(YEAR(E305),MONTH(E305),1)</f>
        <v>45809</v>
      </c>
      <c r="G305" s="23" t="n">
        <v>141403</v>
      </c>
      <c r="H305" s="8" t="s">
        <v>61</v>
      </c>
      <c r="I305" s="24" t="n">
        <v>-621.25</v>
      </c>
      <c r="J305" s="25" t="n">
        <f aca="false">Summary!$B$4</f>
        <v>1</v>
      </c>
      <c r="K305" s="11" t="n">
        <f aca="false">I305*J305*IF(A305="SILVER",Summary!$B$5,Summary!$B$6)</f>
        <v>-18637.5</v>
      </c>
      <c r="L305" s="26" t="n">
        <v>-0.451</v>
      </c>
      <c r="M305" s="27" t="n">
        <f aca="false">IF(K305&gt;0,1,0)</f>
        <v>0</v>
      </c>
      <c r="N305" s="11" t="n">
        <f aca="false">SUMIFS(K$2:K305,A$2:A305,A305,B$2:B305,B305)</f>
        <v>-101567.1</v>
      </c>
      <c r="O305" s="11" t="n">
        <f aca="false">MAX(0,_xlfn.MAXIFS(N$2:N305,A$2:A305,A305,B$2:B305,B305))</f>
        <v>93361.8</v>
      </c>
      <c r="P305" s="11" t="n">
        <f aca="false">N305-O305</f>
        <v>-194928.9</v>
      </c>
    </row>
    <row r="306" customFormat="false" ht="15" hidden="false" customHeight="false" outlineLevel="0" collapsed="false">
      <c r="A306" s="8" t="s">
        <v>26</v>
      </c>
      <c r="B306" s="8" t="s">
        <v>39</v>
      </c>
      <c r="C306" s="8" t="s">
        <v>60</v>
      </c>
      <c r="D306" s="21" t="n">
        <v>45833.9166666667</v>
      </c>
      <c r="E306" s="21" t="n">
        <v>45834.7729166667</v>
      </c>
      <c r="F306" s="22" t="n">
        <f aca="false">DATE(YEAR(E306),MONTH(E306),1)</f>
        <v>45809</v>
      </c>
      <c r="G306" s="23" t="n">
        <v>140703</v>
      </c>
      <c r="H306" s="8" t="s">
        <v>64</v>
      </c>
      <c r="I306" s="24" t="n">
        <v>84.65</v>
      </c>
      <c r="J306" s="25" t="n">
        <f aca="false">Summary!$B$4</f>
        <v>1</v>
      </c>
      <c r="K306" s="11" t="n">
        <f aca="false">I306*J306*IF(A306="SILVER",Summary!$B$5,Summary!$B$6)</f>
        <v>2539.5</v>
      </c>
      <c r="L306" s="26" t="n">
        <v>0.073</v>
      </c>
      <c r="M306" s="27" t="n">
        <f aca="false">IF(K306&gt;0,1,0)</f>
        <v>1</v>
      </c>
      <c r="N306" s="11" t="n">
        <f aca="false">SUMIFS(K$2:K306,A$2:A306,A306,B$2:B306,B306)</f>
        <v>-99027.6</v>
      </c>
      <c r="O306" s="11" t="n">
        <f aca="false">MAX(0,_xlfn.MAXIFS(N$2:N306,A$2:A306,A306,B$2:B306,B306))</f>
        <v>93361.8</v>
      </c>
      <c r="P306" s="11" t="n">
        <f aca="false">N306-O306</f>
        <v>-192389.4</v>
      </c>
    </row>
    <row r="307" customFormat="false" ht="15" hidden="false" customHeight="false" outlineLevel="0" collapsed="false">
      <c r="A307" s="8" t="s">
        <v>26</v>
      </c>
      <c r="B307" s="8" t="s">
        <v>39</v>
      </c>
      <c r="C307" s="8" t="s">
        <v>60</v>
      </c>
      <c r="D307" s="21" t="n">
        <v>45839.4173611111</v>
      </c>
      <c r="E307" s="21" t="n">
        <v>45839.5465277778</v>
      </c>
      <c r="F307" s="22" t="n">
        <f aca="false">DATE(YEAR(E307),MONTH(E307),1)</f>
        <v>45839</v>
      </c>
      <c r="G307" s="23" t="n">
        <v>140888</v>
      </c>
      <c r="H307" s="8" t="s">
        <v>64</v>
      </c>
      <c r="I307" s="24" t="n">
        <v>46.8</v>
      </c>
      <c r="J307" s="25" t="n">
        <f aca="false">Summary!$B$4</f>
        <v>1</v>
      </c>
      <c r="K307" s="11" t="n">
        <f aca="false">I307*J307*IF(A307="SILVER",Summary!$B$5,Summary!$B$6)</f>
        <v>1404</v>
      </c>
      <c r="L307" s="26" t="n">
        <v>0.048</v>
      </c>
      <c r="M307" s="27" t="n">
        <f aca="false">IF(K307&gt;0,1,0)</f>
        <v>1</v>
      </c>
      <c r="N307" s="11" t="n">
        <f aca="false">SUMIFS(K$2:K307,A$2:A307,A307,B$2:B307,B307)</f>
        <v>-97623.6</v>
      </c>
      <c r="O307" s="11" t="n">
        <f aca="false">MAX(0,_xlfn.MAXIFS(N$2:N307,A$2:A307,A307,B$2:B307,B307))</f>
        <v>93361.8</v>
      </c>
      <c r="P307" s="11" t="n">
        <f aca="false">N307-O307</f>
        <v>-190985.4</v>
      </c>
    </row>
    <row r="308" customFormat="false" ht="15" hidden="false" customHeight="false" outlineLevel="0" collapsed="false">
      <c r="A308" s="8" t="s">
        <v>26</v>
      </c>
      <c r="B308" s="8" t="s">
        <v>39</v>
      </c>
      <c r="C308" s="8" t="s">
        <v>60</v>
      </c>
      <c r="D308" s="21" t="n">
        <v>45841.4083333333</v>
      </c>
      <c r="E308" s="21" t="n">
        <v>45841.7625</v>
      </c>
      <c r="F308" s="22" t="n">
        <f aca="false">DATE(YEAR(E308),MONTH(E308),1)</f>
        <v>45839</v>
      </c>
      <c r="G308" s="23" t="n">
        <v>141280</v>
      </c>
      <c r="H308" s="8" t="s">
        <v>61</v>
      </c>
      <c r="I308" s="24" t="n">
        <v>268.66</v>
      </c>
      <c r="J308" s="25" t="n">
        <f aca="false">Summary!$B$4</f>
        <v>1</v>
      </c>
      <c r="K308" s="11" t="n">
        <f aca="false">I308*J308*IF(A308="SILVER",Summary!$B$5,Summary!$B$6)</f>
        <v>8059.8</v>
      </c>
      <c r="L308" s="26" t="n">
        <v>0.358</v>
      </c>
      <c r="M308" s="27" t="n">
        <f aca="false">IF(K308&gt;0,1,0)</f>
        <v>1</v>
      </c>
      <c r="N308" s="11" t="n">
        <f aca="false">SUMIFS(K$2:K308,A$2:A308,A308,B$2:B308,B308)</f>
        <v>-89563.8</v>
      </c>
      <c r="O308" s="11" t="n">
        <f aca="false">MAX(0,_xlfn.MAXIFS(N$2:N308,A$2:A308,A308,B$2:B308,B308))</f>
        <v>93361.8</v>
      </c>
      <c r="P308" s="11" t="n">
        <f aca="false">N308-O308</f>
        <v>-182925.6</v>
      </c>
    </row>
    <row r="309" customFormat="false" ht="15" hidden="false" customHeight="false" outlineLevel="0" collapsed="false">
      <c r="A309" s="8" t="s">
        <v>26</v>
      </c>
      <c r="B309" s="8" t="s">
        <v>39</v>
      </c>
      <c r="C309" s="8" t="s">
        <v>60</v>
      </c>
      <c r="D309" s="21" t="n">
        <v>45846.40625</v>
      </c>
      <c r="E309" s="21" t="n">
        <v>45846.8229166667</v>
      </c>
      <c r="F309" s="22" t="n">
        <f aca="false">DATE(YEAR(E309),MONTH(E309),1)</f>
        <v>45839</v>
      </c>
      <c r="G309" s="23" t="n">
        <v>142904</v>
      </c>
      <c r="H309" s="8" t="s">
        <v>61</v>
      </c>
      <c r="I309" s="24" t="n">
        <v>-996.61</v>
      </c>
      <c r="J309" s="25" t="n">
        <f aca="false">Summary!$B$4</f>
        <v>1</v>
      </c>
      <c r="K309" s="11" t="n">
        <f aca="false">I309*J309*IF(A309="SILVER",Summary!$B$5,Summary!$B$6)</f>
        <v>-29898.3</v>
      </c>
      <c r="L309" s="26" t="n">
        <v>-0.882</v>
      </c>
      <c r="M309" s="27" t="n">
        <f aca="false">IF(K309&gt;0,1,0)</f>
        <v>0</v>
      </c>
      <c r="N309" s="11" t="n">
        <f aca="false">SUMIFS(K$2:K309,A$2:A309,A309,B$2:B309,B309)</f>
        <v>-119462.1</v>
      </c>
      <c r="O309" s="11" t="n">
        <f aca="false">MAX(0,_xlfn.MAXIFS(N$2:N309,A$2:A309,A309,B$2:B309,B309))</f>
        <v>93361.8</v>
      </c>
      <c r="P309" s="11" t="n">
        <f aca="false">N309-O309</f>
        <v>-212823.9</v>
      </c>
    </row>
    <row r="310" customFormat="false" ht="15" hidden="false" customHeight="false" outlineLevel="0" collapsed="false">
      <c r="A310" s="8" t="s">
        <v>26</v>
      </c>
      <c r="B310" s="8" t="s">
        <v>39</v>
      </c>
      <c r="C310" s="8" t="s">
        <v>60</v>
      </c>
      <c r="D310" s="21" t="n">
        <v>45848.6666666667</v>
      </c>
      <c r="E310" s="21" t="n">
        <v>45848.7236111111</v>
      </c>
      <c r="F310" s="22" t="n">
        <f aca="false">DATE(YEAR(E310),MONTH(E310),1)</f>
        <v>45839</v>
      </c>
      <c r="G310" s="23" t="n">
        <v>142569</v>
      </c>
      <c r="H310" s="8" t="s">
        <v>64</v>
      </c>
      <c r="I310" s="24" t="n">
        <v>72.03</v>
      </c>
      <c r="J310" s="25" t="n">
        <f aca="false">Summary!$B$4</f>
        <v>1</v>
      </c>
      <c r="K310" s="11" t="n">
        <f aca="false">I310*J310*IF(A310="SILVER",Summary!$B$5,Summary!$B$6)</f>
        <v>2160.9</v>
      </c>
      <c r="L310" s="26" t="n">
        <v>0.069</v>
      </c>
      <c r="M310" s="27" t="n">
        <f aca="false">IF(K310&gt;0,1,0)</f>
        <v>1</v>
      </c>
      <c r="N310" s="11" t="n">
        <f aca="false">SUMIFS(K$2:K310,A$2:A310,A310,B$2:B310,B310)</f>
        <v>-117301.2</v>
      </c>
      <c r="O310" s="11" t="n">
        <f aca="false">MAX(0,_xlfn.MAXIFS(N$2:N310,A$2:A310,A310,B$2:B310,B310))</f>
        <v>93361.8</v>
      </c>
      <c r="P310" s="11" t="n">
        <f aca="false">N310-O310</f>
        <v>-210663</v>
      </c>
    </row>
    <row r="311" customFormat="false" ht="15" hidden="false" customHeight="false" outlineLevel="0" collapsed="false">
      <c r="A311" s="8" t="s">
        <v>26</v>
      </c>
      <c r="B311" s="8" t="s">
        <v>39</v>
      </c>
      <c r="C311" s="8" t="s">
        <v>60</v>
      </c>
      <c r="D311" s="21" t="n">
        <v>45855.96875</v>
      </c>
      <c r="E311" s="21" t="n">
        <v>45862.3854166667</v>
      </c>
      <c r="F311" s="22" t="n">
        <f aca="false">DATE(YEAR(E311),MONTH(E311),1)</f>
        <v>45839</v>
      </c>
      <c r="G311" s="23" t="n">
        <v>146710</v>
      </c>
      <c r="H311" s="8" t="s">
        <v>61</v>
      </c>
      <c r="I311" s="24" t="n">
        <v>2574.28</v>
      </c>
      <c r="J311" s="25" t="n">
        <f aca="false">Summary!$B$4</f>
        <v>1</v>
      </c>
      <c r="K311" s="11" t="n">
        <f aca="false">I311*J311*IF(A311="SILVER",Summary!$B$5,Summary!$B$6)</f>
        <v>77228.4</v>
      </c>
      <c r="L311" s="26" t="n">
        <v>2.172</v>
      </c>
      <c r="M311" s="27" t="n">
        <f aca="false">IF(K311&gt;0,1,0)</f>
        <v>1</v>
      </c>
      <c r="N311" s="11" t="n">
        <f aca="false">SUMIFS(K$2:K311,A$2:A311,A311,B$2:B311,B311)</f>
        <v>-40072.8</v>
      </c>
      <c r="O311" s="11" t="n">
        <f aca="false">MAX(0,_xlfn.MAXIFS(N$2:N311,A$2:A311,A311,B$2:B311,B311))</f>
        <v>93361.8</v>
      </c>
      <c r="P311" s="11" t="n">
        <f aca="false">N311-O311</f>
        <v>-133434.6</v>
      </c>
    </row>
    <row r="312" customFormat="false" ht="15" hidden="false" customHeight="false" outlineLevel="0" collapsed="false">
      <c r="A312" s="8" t="s">
        <v>26</v>
      </c>
      <c r="B312" s="8" t="s">
        <v>39</v>
      </c>
      <c r="C312" s="8" t="s">
        <v>60</v>
      </c>
      <c r="D312" s="21" t="n">
        <v>45868.4166666667</v>
      </c>
      <c r="E312" s="21" t="n">
        <v>45868.6979166667</v>
      </c>
      <c r="F312" s="22" t="n">
        <f aca="false">DATE(YEAR(E312),MONTH(E312),1)</f>
        <v>45839</v>
      </c>
      <c r="G312" s="23" t="n">
        <v>148317</v>
      </c>
      <c r="H312" s="8" t="s">
        <v>61</v>
      </c>
      <c r="I312" s="24" t="n">
        <v>-874.7</v>
      </c>
      <c r="J312" s="25" t="n">
        <f aca="false">Summary!$B$4</f>
        <v>1</v>
      </c>
      <c r="K312" s="11" t="n">
        <f aca="false">I312*J312*IF(A312="SILVER",Summary!$B$5,Summary!$B$6)</f>
        <v>-26241</v>
      </c>
      <c r="L312" s="26" t="n">
        <v>-0.909</v>
      </c>
      <c r="M312" s="27" t="n">
        <f aca="false">IF(K312&gt;0,1,0)</f>
        <v>0</v>
      </c>
      <c r="N312" s="11" t="n">
        <f aca="false">SUMIFS(K$2:K312,A$2:A312,A312,B$2:B312,B312)</f>
        <v>-66313.8</v>
      </c>
      <c r="O312" s="11" t="n">
        <f aca="false">MAX(0,_xlfn.MAXIFS(N$2:N312,A$2:A312,A312,B$2:B312,B312))</f>
        <v>93361.8</v>
      </c>
      <c r="P312" s="11" t="n">
        <f aca="false">N312-O312</f>
        <v>-159675.6</v>
      </c>
    </row>
    <row r="313" customFormat="false" ht="15" hidden="false" customHeight="false" outlineLevel="0" collapsed="false">
      <c r="A313" s="8" t="s">
        <v>26</v>
      </c>
      <c r="B313" s="8" t="s">
        <v>39</v>
      </c>
      <c r="C313" s="8" t="s">
        <v>60</v>
      </c>
      <c r="D313" s="21" t="n">
        <v>45870.7708333333</v>
      </c>
      <c r="E313" s="21" t="n">
        <v>45880.3854166667</v>
      </c>
      <c r="F313" s="22" t="n">
        <f aca="false">DATE(YEAR(E313),MONTH(E313),1)</f>
        <v>45870</v>
      </c>
      <c r="G313" s="23" t="n">
        <v>145006</v>
      </c>
      <c r="H313" s="8" t="s">
        <v>61</v>
      </c>
      <c r="I313" s="24" t="n">
        <v>3319.54</v>
      </c>
      <c r="J313" s="25" t="n">
        <f aca="false">Summary!$B$4</f>
        <v>1</v>
      </c>
      <c r="K313" s="11" t="n">
        <f aca="false">I313*J313*IF(A313="SILVER",Summary!$B$5,Summary!$B$6)</f>
        <v>99586.2</v>
      </c>
      <c r="L313" s="26" t="n">
        <v>2.034</v>
      </c>
      <c r="M313" s="27" t="n">
        <f aca="false">IF(K313&gt;0,1,0)</f>
        <v>1</v>
      </c>
      <c r="N313" s="11" t="n">
        <f aca="false">SUMIFS(K$2:K313,A$2:A313,A313,B$2:B313,B313)</f>
        <v>33272.4</v>
      </c>
      <c r="O313" s="11" t="n">
        <f aca="false">MAX(0,_xlfn.MAXIFS(N$2:N313,A$2:A313,A313,B$2:B313,B313))</f>
        <v>93361.8</v>
      </c>
      <c r="P313" s="11" t="n">
        <f aca="false">N313-O313</f>
        <v>-60089.4</v>
      </c>
    </row>
    <row r="314" customFormat="false" ht="15" hidden="false" customHeight="false" outlineLevel="0" collapsed="false">
      <c r="A314" s="8" t="s">
        <v>26</v>
      </c>
      <c r="B314" s="8" t="s">
        <v>39</v>
      </c>
      <c r="C314" s="8" t="s">
        <v>60</v>
      </c>
      <c r="D314" s="21" t="n">
        <v>45882.3854166667</v>
      </c>
      <c r="E314" s="21" t="n">
        <v>45883.75</v>
      </c>
      <c r="F314" s="22" t="n">
        <f aca="false">DATE(YEAR(E314),MONTH(E314),1)</f>
        <v>45870</v>
      </c>
      <c r="G314" s="23" t="n">
        <v>148664</v>
      </c>
      <c r="H314" s="8" t="s">
        <v>64</v>
      </c>
      <c r="I314" s="24" t="n">
        <v>17.11</v>
      </c>
      <c r="J314" s="25" t="n">
        <f aca="false">Summary!$B$4</f>
        <v>1</v>
      </c>
      <c r="K314" s="11" t="n">
        <f aca="false">I314*J314*IF(A314="SILVER",Summary!$B$5,Summary!$B$6)</f>
        <v>513.3</v>
      </c>
      <c r="L314" s="26" t="n">
        <v>0.014</v>
      </c>
      <c r="M314" s="27" t="n">
        <f aca="false">IF(K314&gt;0,1,0)</f>
        <v>1</v>
      </c>
      <c r="N314" s="11" t="n">
        <f aca="false">SUMIFS(K$2:K314,A$2:A314,A314,B$2:B314,B314)</f>
        <v>33785.7</v>
      </c>
      <c r="O314" s="11" t="n">
        <f aca="false">MAX(0,_xlfn.MAXIFS(N$2:N314,A$2:A314,A314,B$2:B314,B314))</f>
        <v>93361.8</v>
      </c>
      <c r="P314" s="11" t="n">
        <f aca="false">N314-O314</f>
        <v>-59576.1</v>
      </c>
    </row>
    <row r="315" customFormat="false" ht="15" hidden="false" customHeight="false" outlineLevel="0" collapsed="false">
      <c r="A315" s="8" t="s">
        <v>26</v>
      </c>
      <c r="B315" s="8" t="s">
        <v>39</v>
      </c>
      <c r="C315" s="8" t="s">
        <v>60</v>
      </c>
      <c r="D315" s="21" t="n">
        <v>45889.75</v>
      </c>
      <c r="E315" s="21" t="n">
        <v>45895.65625</v>
      </c>
      <c r="F315" s="22" t="n">
        <f aca="false">DATE(YEAR(E315),MONTH(E315),1)</f>
        <v>45870</v>
      </c>
      <c r="G315" s="23" t="n">
        <v>145938</v>
      </c>
      <c r="H315" s="8" t="s">
        <v>61</v>
      </c>
      <c r="I315" s="24" t="n">
        <v>4015.28</v>
      </c>
      <c r="J315" s="25" t="n">
        <f aca="false">Summary!$B$4</f>
        <v>1</v>
      </c>
      <c r="K315" s="11" t="n">
        <f aca="false">I315*J315*IF(A315="SILVER",Summary!$B$5,Summary!$B$6)</f>
        <v>120458.4</v>
      </c>
      <c r="L315" s="26" t="n">
        <v>2.966</v>
      </c>
      <c r="M315" s="27" t="n">
        <f aca="false">IF(K315&gt;0,1,0)</f>
        <v>1</v>
      </c>
      <c r="N315" s="11" t="n">
        <f aca="false">SUMIFS(K$2:K315,A$2:A315,A315,B$2:B315,B315)</f>
        <v>154244.1</v>
      </c>
      <c r="O315" s="11" t="n">
        <f aca="false">MAX(0,_xlfn.MAXIFS(N$2:N315,A$2:A315,A315,B$2:B315,B315))</f>
        <v>154244.1</v>
      </c>
      <c r="P315" s="11" t="n">
        <f aca="false">N315-O315</f>
        <v>0</v>
      </c>
    </row>
    <row r="316" customFormat="false" ht="15" hidden="false" customHeight="false" outlineLevel="0" collapsed="false">
      <c r="A316" s="8" t="s">
        <v>26</v>
      </c>
      <c r="B316" s="8" t="s">
        <v>39</v>
      </c>
      <c r="C316" s="8" t="s">
        <v>60</v>
      </c>
      <c r="D316" s="21" t="n">
        <v>45897.3854166667</v>
      </c>
      <c r="E316" s="21" t="n">
        <v>45902.5805555556</v>
      </c>
      <c r="F316" s="22" t="n">
        <f aca="false">DATE(YEAR(E316),MONTH(E316),1)</f>
        <v>45901</v>
      </c>
      <c r="G316" s="23" t="n">
        <v>150734</v>
      </c>
      <c r="H316" s="8" t="s">
        <v>61</v>
      </c>
      <c r="I316" s="24" t="n">
        <v>5627.16</v>
      </c>
      <c r="J316" s="25" t="n">
        <f aca="false">Summary!$B$4</f>
        <v>1</v>
      </c>
      <c r="K316" s="11" t="n">
        <f aca="false">I316*J316*IF(A316="SILVER",Summary!$B$5,Summary!$B$6)</f>
        <v>168814.8</v>
      </c>
      <c r="L316" s="26" t="n">
        <v>4.303</v>
      </c>
      <c r="M316" s="27" t="n">
        <f aca="false">IF(K316&gt;0,1,0)</f>
        <v>1</v>
      </c>
      <c r="N316" s="11" t="n">
        <f aca="false">SUMIFS(K$2:K316,A$2:A316,A316,B$2:B316,B316)</f>
        <v>323058.9</v>
      </c>
      <c r="O316" s="11" t="n">
        <f aca="false">MAX(0,_xlfn.MAXIFS(N$2:N316,A$2:A316,A316,B$2:B316,B316))</f>
        <v>323058.9</v>
      </c>
      <c r="P316" s="11" t="n">
        <f aca="false">N316-O316</f>
        <v>0</v>
      </c>
    </row>
    <row r="317" customFormat="false" ht="15" hidden="false" customHeight="false" outlineLevel="0" collapsed="false">
      <c r="A317" s="8" t="s">
        <v>26</v>
      </c>
      <c r="B317" s="8" t="s">
        <v>39</v>
      </c>
      <c r="C317" s="8" t="s">
        <v>60</v>
      </c>
      <c r="D317" s="21" t="n">
        <v>45903.625</v>
      </c>
      <c r="E317" s="21" t="n">
        <v>45904.3777777778</v>
      </c>
      <c r="F317" s="22" t="n">
        <f aca="false">DATE(YEAR(E317),MONTH(E317),1)</f>
        <v>45901</v>
      </c>
      <c r="G317" s="23" t="n">
        <v>157241</v>
      </c>
      <c r="H317" s="8" t="s">
        <v>64</v>
      </c>
      <c r="I317" s="24" t="n">
        <v>-533.52</v>
      </c>
      <c r="J317" s="25" t="n">
        <f aca="false">Summary!$B$4</f>
        <v>1</v>
      </c>
      <c r="K317" s="11" t="n">
        <f aca="false">I317*J317*IF(A317="SILVER",Summary!$B$5,Summary!$B$6)</f>
        <v>-16005.6</v>
      </c>
      <c r="L317" s="26" t="n">
        <v>-0.533</v>
      </c>
      <c r="M317" s="27" t="n">
        <f aca="false">IF(K317&gt;0,1,0)</f>
        <v>0</v>
      </c>
      <c r="N317" s="11" t="n">
        <f aca="false">SUMIFS(K$2:K317,A$2:A317,A317,B$2:B317,B317)</f>
        <v>307053.3</v>
      </c>
      <c r="O317" s="11" t="n">
        <f aca="false">MAX(0,_xlfn.MAXIFS(N$2:N317,A$2:A317,A317,B$2:B317,B317))</f>
        <v>323058.9</v>
      </c>
      <c r="P317" s="11" t="n">
        <f aca="false">N317-O317</f>
        <v>-16005.6</v>
      </c>
    </row>
    <row r="318" customFormat="false" ht="15" hidden="false" customHeight="false" outlineLevel="0" collapsed="false">
      <c r="A318" s="8" t="s">
        <v>26</v>
      </c>
      <c r="B318" s="8" t="s">
        <v>39</v>
      </c>
      <c r="C318" s="8" t="s">
        <v>60</v>
      </c>
      <c r="D318" s="21" t="n">
        <v>45905.7708333333</v>
      </c>
      <c r="E318" s="21" t="n">
        <v>45908.3854166667</v>
      </c>
      <c r="F318" s="22" t="n">
        <f aca="false">DATE(YEAR(E318),MONTH(E318),1)</f>
        <v>45901</v>
      </c>
      <c r="G318" s="23" t="n">
        <v>158634</v>
      </c>
      <c r="H318" s="8" t="s">
        <v>61</v>
      </c>
      <c r="I318" s="24" t="n">
        <v>-3354.63</v>
      </c>
      <c r="J318" s="25" t="n">
        <f aca="false">Summary!$B$4</f>
        <v>1</v>
      </c>
      <c r="K318" s="11" t="n">
        <f aca="false">I318*J318*IF(A318="SILVER",Summary!$B$5,Summary!$B$6)</f>
        <v>-100638.9</v>
      </c>
      <c r="L318" s="26" t="n">
        <v>-2.047</v>
      </c>
      <c r="M318" s="27" t="n">
        <f aca="false">IF(K318&gt;0,1,0)</f>
        <v>0</v>
      </c>
      <c r="N318" s="11" t="n">
        <f aca="false">SUMIFS(K$2:K318,A$2:A318,A318,B$2:B318,B318)</f>
        <v>206414.4</v>
      </c>
      <c r="O318" s="11" t="n">
        <f aca="false">MAX(0,_xlfn.MAXIFS(N$2:N318,A$2:A318,A318,B$2:B318,B318))</f>
        <v>323058.9</v>
      </c>
      <c r="P318" s="11" t="n">
        <f aca="false">N318-O318</f>
        <v>-116644.5</v>
      </c>
    </row>
    <row r="319" customFormat="false" ht="15" hidden="false" customHeight="false" outlineLevel="0" collapsed="false">
      <c r="A319" s="8" t="s">
        <v>26</v>
      </c>
      <c r="B319" s="8" t="s">
        <v>39</v>
      </c>
      <c r="C319" s="8" t="s">
        <v>60</v>
      </c>
      <c r="D319" s="21" t="n">
        <v>45908.8020833333</v>
      </c>
      <c r="E319" s="21" t="n">
        <v>45909.84375</v>
      </c>
      <c r="F319" s="22" t="n">
        <f aca="false">DATE(YEAR(E319),MONTH(E319),1)</f>
        <v>45901</v>
      </c>
      <c r="G319" s="23" t="n">
        <v>157254</v>
      </c>
      <c r="H319" s="8" t="s">
        <v>61</v>
      </c>
      <c r="I319" s="24" t="n">
        <v>-1289.05</v>
      </c>
      <c r="J319" s="25" t="n">
        <f aca="false">Summary!$B$4</f>
        <v>1</v>
      </c>
      <c r="K319" s="11" t="n">
        <f aca="false">I319*J319*IF(A319="SILVER",Summary!$B$5,Summary!$B$6)</f>
        <v>-38671.5</v>
      </c>
      <c r="L319" s="26" t="n">
        <v>-0.752</v>
      </c>
      <c r="M319" s="27" t="n">
        <f aca="false">IF(K319&gt;0,1,0)</f>
        <v>0</v>
      </c>
      <c r="N319" s="11" t="n">
        <f aca="false">SUMIFS(K$2:K319,A$2:A319,A319,B$2:B319,B319)</f>
        <v>167742.9</v>
      </c>
      <c r="O319" s="11" t="n">
        <f aca="false">MAX(0,_xlfn.MAXIFS(N$2:N319,A$2:A319,A319,B$2:B319,B319))</f>
        <v>323058.9</v>
      </c>
      <c r="P319" s="11" t="n">
        <f aca="false">N319-O319</f>
        <v>-155316</v>
      </c>
    </row>
    <row r="320" customFormat="false" ht="15" hidden="false" customHeight="false" outlineLevel="0" collapsed="false">
      <c r="A320" s="8" t="s">
        <v>26</v>
      </c>
      <c r="B320" s="8" t="s">
        <v>39</v>
      </c>
      <c r="C320" s="8" t="s">
        <v>60</v>
      </c>
      <c r="D320" s="21" t="n">
        <v>45911.8020833333</v>
      </c>
      <c r="E320" s="21" t="n">
        <v>45916.84375</v>
      </c>
      <c r="F320" s="22" t="n">
        <f aca="false">DATE(YEAR(E320),MONTH(E320),1)</f>
        <v>45901</v>
      </c>
      <c r="G320" s="23" t="n">
        <v>157253</v>
      </c>
      <c r="H320" s="8" t="s">
        <v>61</v>
      </c>
      <c r="I320" s="24" t="n">
        <v>3316.48</v>
      </c>
      <c r="J320" s="25" t="n">
        <f aca="false">Summary!$B$4</f>
        <v>1</v>
      </c>
      <c r="K320" s="11" t="n">
        <f aca="false">I320*J320*IF(A320="SILVER",Summary!$B$5,Summary!$B$6)</f>
        <v>99494.4</v>
      </c>
      <c r="L320" s="26" t="n">
        <v>2.184</v>
      </c>
      <c r="M320" s="27" t="n">
        <f aca="false">IF(K320&gt;0,1,0)</f>
        <v>1</v>
      </c>
      <c r="N320" s="11" t="n">
        <f aca="false">SUMIFS(K$2:K320,A$2:A320,A320,B$2:B320,B320)</f>
        <v>267237.3</v>
      </c>
      <c r="O320" s="11" t="n">
        <f aca="false">MAX(0,_xlfn.MAXIFS(N$2:N320,A$2:A320,A320,B$2:B320,B320))</f>
        <v>323058.9</v>
      </c>
      <c r="P320" s="11" t="n">
        <f aca="false">N320-O320</f>
        <v>-55821.6</v>
      </c>
    </row>
    <row r="321" customFormat="false" ht="15" hidden="false" customHeight="false" outlineLevel="0" collapsed="false">
      <c r="A321" s="8" t="s">
        <v>26</v>
      </c>
      <c r="B321" s="8" t="s">
        <v>39</v>
      </c>
      <c r="C321" s="8" t="s">
        <v>60</v>
      </c>
      <c r="D321" s="21" t="n">
        <v>45917.8125</v>
      </c>
      <c r="E321" s="21" t="n">
        <v>45918.4270833333</v>
      </c>
      <c r="F321" s="22" t="n">
        <f aca="false">DATE(YEAR(E321),MONTH(E321),1)</f>
        <v>45901</v>
      </c>
      <c r="G321" s="23" t="n">
        <v>158753</v>
      </c>
      <c r="H321" s="8" t="s">
        <v>61</v>
      </c>
      <c r="I321" s="24" t="n">
        <v>-1640.32</v>
      </c>
      <c r="J321" s="25" t="n">
        <f aca="false">Summary!$B$4</f>
        <v>1</v>
      </c>
      <c r="K321" s="11" t="n">
        <f aca="false">I321*J321*IF(A321="SILVER",Summary!$B$5,Summary!$B$6)</f>
        <v>-49209.6</v>
      </c>
      <c r="L321" s="26" t="n">
        <v>-0.784</v>
      </c>
      <c r="M321" s="27" t="n">
        <f aca="false">IF(K321&gt;0,1,0)</f>
        <v>0</v>
      </c>
      <c r="N321" s="11" t="n">
        <f aca="false">SUMIFS(K$2:K321,A$2:A321,A321,B$2:B321,B321)</f>
        <v>218027.7</v>
      </c>
      <c r="O321" s="11" t="n">
        <f aca="false">MAX(0,_xlfn.MAXIFS(N$2:N321,A$2:A321,A321,B$2:B321,B321))</f>
        <v>323058.9</v>
      </c>
      <c r="P321" s="11" t="n">
        <f aca="false">N321-O321</f>
        <v>-105031.2</v>
      </c>
    </row>
    <row r="322" customFormat="false" ht="15" hidden="false" customHeight="false" outlineLevel="0" collapsed="false">
      <c r="A322" s="8" t="s">
        <v>26</v>
      </c>
      <c r="B322" s="8" t="s">
        <v>39</v>
      </c>
      <c r="C322" s="8" t="s">
        <v>60</v>
      </c>
      <c r="D322" s="21" t="n">
        <v>45918.625</v>
      </c>
      <c r="E322" s="21" t="n">
        <v>45925.8020833333</v>
      </c>
      <c r="F322" s="22" t="n">
        <f aca="false">DATE(YEAR(E322),MONTH(E322),1)</f>
        <v>45901</v>
      </c>
      <c r="G322" s="23" t="n">
        <v>158681</v>
      </c>
      <c r="H322" s="8" t="s">
        <v>61</v>
      </c>
      <c r="I322" s="24" t="n">
        <v>7861.75</v>
      </c>
      <c r="J322" s="25" t="n">
        <f aca="false">Summary!$B$4</f>
        <v>1</v>
      </c>
      <c r="K322" s="11" t="n">
        <f aca="false">I322*J322*IF(A322="SILVER",Summary!$B$5,Summary!$B$6)</f>
        <v>235852.5</v>
      </c>
      <c r="L322" s="26" t="n">
        <v>4.51</v>
      </c>
      <c r="M322" s="27" t="n">
        <f aca="false">IF(K322&gt;0,1,0)</f>
        <v>1</v>
      </c>
      <c r="N322" s="11" t="n">
        <f aca="false">SUMIFS(K$2:K322,A$2:A322,A322,B$2:B322,B322)</f>
        <v>453880.2</v>
      </c>
      <c r="O322" s="11" t="n">
        <f aca="false">MAX(0,_xlfn.MAXIFS(N$2:N322,A$2:A322,A322,B$2:B322,B322))</f>
        <v>453880.2</v>
      </c>
      <c r="P322" s="11" t="n">
        <f aca="false">N322-O322</f>
        <v>0</v>
      </c>
    </row>
    <row r="323" customFormat="false" ht="15" hidden="false" customHeight="false" outlineLevel="0" collapsed="false">
      <c r="A323" s="8" t="s">
        <v>26</v>
      </c>
      <c r="B323" s="8" t="s">
        <v>39</v>
      </c>
      <c r="C323" s="8" t="s">
        <v>60</v>
      </c>
      <c r="D323" s="21" t="n">
        <v>45926.7708333333</v>
      </c>
      <c r="E323" s="21" t="n">
        <v>45930.5833333333</v>
      </c>
      <c r="F323" s="22" t="n">
        <f aca="false">DATE(YEAR(E323),MONTH(E323),1)</f>
        <v>45901</v>
      </c>
      <c r="G323" s="23" t="n">
        <v>169453</v>
      </c>
      <c r="H323" s="8" t="s">
        <v>61</v>
      </c>
      <c r="I323" s="24" t="n">
        <v>3764</v>
      </c>
      <c r="J323" s="25" t="n">
        <f aca="false">Summary!$B$4</f>
        <v>1</v>
      </c>
      <c r="K323" s="11" t="n">
        <f aca="false">I323*J323*IF(A323="SILVER",Summary!$B$5,Summary!$B$6)</f>
        <v>112920</v>
      </c>
      <c r="L323" s="26" t="n">
        <v>2.29</v>
      </c>
      <c r="M323" s="27" t="n">
        <f aca="false">IF(K323&gt;0,1,0)</f>
        <v>1</v>
      </c>
      <c r="N323" s="11" t="n">
        <f aca="false">SUMIFS(K$2:K323,A$2:A323,A323,B$2:B323,B323)</f>
        <v>566800.2</v>
      </c>
      <c r="O323" s="11" t="n">
        <f aca="false">MAX(0,_xlfn.MAXIFS(N$2:N323,A$2:A323,A323,B$2:B323,B323))</f>
        <v>566800.2</v>
      </c>
      <c r="P323" s="11" t="n">
        <f aca="false">N323-O323</f>
        <v>0</v>
      </c>
    </row>
    <row r="324" customFormat="false" ht="15" hidden="false" customHeight="false" outlineLevel="0" collapsed="false">
      <c r="A324" s="8" t="s">
        <v>26</v>
      </c>
      <c r="B324" s="8" t="s">
        <v>39</v>
      </c>
      <c r="C324" s="8" t="s">
        <v>60</v>
      </c>
      <c r="D324" s="21" t="n">
        <v>45931.3854166667</v>
      </c>
      <c r="E324" s="21" t="n">
        <v>45933.375</v>
      </c>
      <c r="F324" s="22" t="n">
        <f aca="false">DATE(YEAR(E324),MONTH(E324),1)</f>
        <v>45931</v>
      </c>
      <c r="G324" s="23" t="n">
        <v>175148</v>
      </c>
      <c r="H324" s="8" t="s">
        <v>64</v>
      </c>
      <c r="I324" s="24" t="n">
        <v>-782.63</v>
      </c>
      <c r="J324" s="25" t="n">
        <f aca="false">Summary!$B$4</f>
        <v>1</v>
      </c>
      <c r="K324" s="11" t="n">
        <f aca="false">I324*J324*IF(A324="SILVER",Summary!$B$5,Summary!$B$6)</f>
        <v>-23478.9</v>
      </c>
      <c r="L324" s="26" t="n">
        <v>-0.257</v>
      </c>
      <c r="M324" s="27" t="n">
        <f aca="false">IF(K324&gt;0,1,0)</f>
        <v>0</v>
      </c>
      <c r="N324" s="11" t="n">
        <f aca="false">SUMIFS(K$2:K324,A$2:A324,A324,B$2:B324,B324)</f>
        <v>543321.3</v>
      </c>
      <c r="O324" s="11" t="n">
        <f aca="false">MAX(0,_xlfn.MAXIFS(N$2:N324,A$2:A324,A324,B$2:B324,B324))</f>
        <v>566800.2</v>
      </c>
      <c r="P324" s="11" t="n">
        <f aca="false">N324-O324</f>
        <v>-23478.8999999999</v>
      </c>
    </row>
    <row r="325" customFormat="false" ht="15" hidden="false" customHeight="false" outlineLevel="0" collapsed="false">
      <c r="A325" s="8" t="s">
        <v>26</v>
      </c>
      <c r="B325" s="8" t="s">
        <v>39</v>
      </c>
      <c r="C325" s="8" t="s">
        <v>60</v>
      </c>
      <c r="D325" s="21" t="n">
        <v>45933.8541666667</v>
      </c>
      <c r="E325" s="21" t="n">
        <v>45933.9722222222</v>
      </c>
      <c r="F325" s="22" t="n">
        <f aca="false">DATE(YEAR(E325),MONTH(E325),1)</f>
        <v>45931</v>
      </c>
      <c r="G325" s="23" t="n">
        <v>176889</v>
      </c>
      <c r="H325" s="8" t="s">
        <v>64</v>
      </c>
      <c r="I325" s="24" t="n">
        <v>177.75</v>
      </c>
      <c r="J325" s="25" t="n">
        <f aca="false">Summary!$B$4</f>
        <v>1</v>
      </c>
      <c r="K325" s="11" t="n">
        <f aca="false">I325*J325*IF(A325="SILVER",Summary!$B$5,Summary!$B$6)</f>
        <v>5332.5</v>
      </c>
      <c r="L325" s="26" t="n">
        <v>0.082</v>
      </c>
      <c r="M325" s="27" t="n">
        <f aca="false">IF(K325&gt;0,1,0)</f>
        <v>1</v>
      </c>
      <c r="N325" s="11" t="n">
        <f aca="false">SUMIFS(K$2:K325,A$2:A325,A325,B$2:B325,B325)</f>
        <v>548653.8</v>
      </c>
      <c r="O325" s="11" t="n">
        <f aca="false">MAX(0,_xlfn.MAXIFS(N$2:N325,A$2:A325,A325,B$2:B325,B325))</f>
        <v>566800.2</v>
      </c>
      <c r="P325" s="11" t="n">
        <f aca="false">N325-O325</f>
        <v>-18146.3999999999</v>
      </c>
    </row>
    <row r="326" customFormat="false" ht="15" hidden="false" customHeight="false" outlineLevel="0" collapsed="false">
      <c r="A326" s="8" t="s">
        <v>26</v>
      </c>
      <c r="B326" s="8" t="s">
        <v>39</v>
      </c>
      <c r="C326" s="8" t="s">
        <v>60</v>
      </c>
      <c r="D326" s="21" t="n">
        <v>45938.4583333333</v>
      </c>
      <c r="E326" s="21" t="n">
        <v>45939.375</v>
      </c>
      <c r="F326" s="22" t="n">
        <f aca="false">DATE(YEAR(E326),MONTH(E326),1)</f>
        <v>45931</v>
      </c>
      <c r="G326" s="23" t="n">
        <v>179523</v>
      </c>
      <c r="H326" s="8" t="s">
        <v>64</v>
      </c>
      <c r="I326" s="24" t="n">
        <v>284.75</v>
      </c>
      <c r="J326" s="25" t="n">
        <f aca="false">Summary!$B$4</f>
        <v>1</v>
      </c>
      <c r="K326" s="11" t="n">
        <f aca="false">I326*J326*IF(A326="SILVER",Summary!$B$5,Summary!$B$6)</f>
        <v>8542.5</v>
      </c>
      <c r="L326" s="26" t="n">
        <v>0.088</v>
      </c>
      <c r="M326" s="27" t="n">
        <f aca="false">IF(K326&gt;0,1,0)</f>
        <v>1</v>
      </c>
      <c r="N326" s="11" t="n">
        <f aca="false">SUMIFS(K$2:K326,A$2:A326,A326,B$2:B326,B326)</f>
        <v>557196.3</v>
      </c>
      <c r="O326" s="11" t="n">
        <f aca="false">MAX(0,_xlfn.MAXIFS(N$2:N326,A$2:A326,A326,B$2:B326,B326))</f>
        <v>566800.2</v>
      </c>
      <c r="P326" s="11" t="n">
        <f aca="false">N326-O326</f>
        <v>-9603.89999999991</v>
      </c>
    </row>
    <row r="327" customFormat="false" ht="15" hidden="false" customHeight="false" outlineLevel="0" collapsed="false">
      <c r="A327" s="8" t="s">
        <v>26</v>
      </c>
      <c r="B327" s="8" t="s">
        <v>39</v>
      </c>
      <c r="C327" s="8" t="s">
        <v>60</v>
      </c>
      <c r="D327" s="21" t="n">
        <v>45943.3854166667</v>
      </c>
      <c r="E327" s="21" t="n">
        <v>45944.4895833333</v>
      </c>
      <c r="F327" s="22" t="n">
        <f aca="false">DATE(YEAR(E327),MONTH(E327),1)</f>
        <v>45931</v>
      </c>
      <c r="G327" s="23" t="n">
        <v>183215</v>
      </c>
      <c r="H327" s="8" t="s">
        <v>61</v>
      </c>
      <c r="I327" s="24" t="n">
        <v>4991.13</v>
      </c>
      <c r="J327" s="25" t="n">
        <f aca="false">Summary!$B$4</f>
        <v>1</v>
      </c>
      <c r="K327" s="11" t="n">
        <f aca="false">I327*J327*IF(A327="SILVER",Summary!$B$5,Summary!$B$6)</f>
        <v>149733.9</v>
      </c>
      <c r="L327" s="26" t="n">
        <v>0.728</v>
      </c>
      <c r="M327" s="27" t="n">
        <f aca="false">IF(K327&gt;0,1,0)</f>
        <v>1</v>
      </c>
      <c r="N327" s="11" t="n">
        <f aca="false">SUMIFS(K$2:K327,A$2:A327,A327,B$2:B327,B327)</f>
        <v>706930.2</v>
      </c>
      <c r="O327" s="11" t="n">
        <f aca="false">MAX(0,_xlfn.MAXIFS(N$2:N327,A$2:A327,A327,B$2:B327,B327))</f>
        <v>706930.2</v>
      </c>
      <c r="P327" s="11" t="n">
        <f aca="false">N327-O327</f>
        <v>0</v>
      </c>
    </row>
    <row r="328" customFormat="false" ht="15" hidden="false" customHeight="false" outlineLevel="0" collapsed="false">
      <c r="A328" s="8" t="s">
        <v>26</v>
      </c>
      <c r="B328" s="8" t="s">
        <v>39</v>
      </c>
      <c r="C328" s="8" t="s">
        <v>60</v>
      </c>
      <c r="D328" s="21" t="n">
        <v>45946.3854166667</v>
      </c>
      <c r="E328" s="21" t="n">
        <v>45947.7291666667</v>
      </c>
      <c r="F328" s="22" t="n">
        <f aca="false">DATE(YEAR(E328),MONTH(E328),1)</f>
        <v>45931</v>
      </c>
      <c r="G328" s="23" t="n">
        <v>195112</v>
      </c>
      <c r="H328" s="8" t="s">
        <v>61</v>
      </c>
      <c r="I328" s="24" t="n">
        <v>923.14</v>
      </c>
      <c r="J328" s="25" t="n">
        <f aca="false">Summary!$B$4</f>
        <v>1</v>
      </c>
      <c r="K328" s="11" t="n">
        <f aca="false">I328*J328*IF(A328="SILVER",Summary!$B$5,Summary!$B$6)</f>
        <v>27694.2</v>
      </c>
      <c r="L328" s="26" t="n">
        <v>0.284</v>
      </c>
      <c r="M328" s="27" t="n">
        <f aca="false">IF(K328&gt;0,1,0)</f>
        <v>1</v>
      </c>
      <c r="N328" s="11" t="n">
        <f aca="false">SUMIFS(K$2:K328,A$2:A328,A328,B$2:B328,B328)</f>
        <v>734624.4</v>
      </c>
      <c r="O328" s="11" t="n">
        <f aca="false">MAX(0,_xlfn.MAXIFS(N$2:N328,A$2:A328,A328,B$2:B328,B328))</f>
        <v>734624.4</v>
      </c>
      <c r="P328" s="11" t="n">
        <f aca="false">N328-O328</f>
        <v>0</v>
      </c>
    </row>
    <row r="329" customFormat="false" ht="15" hidden="false" customHeight="false" outlineLevel="0" collapsed="false">
      <c r="A329" s="8" t="s">
        <v>26</v>
      </c>
      <c r="B329" s="8" t="s">
        <v>39</v>
      </c>
      <c r="C329" s="8" t="s">
        <v>60</v>
      </c>
      <c r="D329" s="21" t="n">
        <v>45954.8229166667</v>
      </c>
      <c r="E329" s="21" t="n">
        <v>45957.6979166667</v>
      </c>
      <c r="F329" s="22" t="n">
        <f aca="false">DATE(YEAR(E329),MONTH(E329),1)</f>
        <v>45931</v>
      </c>
      <c r="G329" s="23" t="n">
        <v>179625</v>
      </c>
      <c r="H329" s="8" t="s">
        <v>61</v>
      </c>
      <c r="I329" s="24" t="n">
        <v>-3786.28</v>
      </c>
      <c r="J329" s="25" t="n">
        <f aca="false">Summary!$B$4</f>
        <v>1</v>
      </c>
      <c r="K329" s="11" t="n">
        <f aca="false">I329*J329*IF(A329="SILVER",Summary!$B$5,Summary!$B$6)</f>
        <v>-113588.4</v>
      </c>
      <c r="L329" s="26" t="n">
        <v>-1.067</v>
      </c>
      <c r="M329" s="27" t="n">
        <f aca="false">IF(K329&gt;0,1,0)</f>
        <v>0</v>
      </c>
      <c r="N329" s="11" t="n">
        <f aca="false">SUMIFS(K$2:K329,A$2:A329,A329,B$2:B329,B329)</f>
        <v>621036</v>
      </c>
      <c r="O329" s="11" t="n">
        <f aca="false">MAX(0,_xlfn.MAXIFS(N$2:N329,A$2:A329,A329,B$2:B329,B329))</f>
        <v>734624.4</v>
      </c>
      <c r="P329" s="11" t="n">
        <f aca="false">N329-O329</f>
        <v>-113588.4</v>
      </c>
    </row>
    <row r="330" customFormat="false" ht="15" hidden="false" customHeight="false" outlineLevel="0" collapsed="false">
      <c r="A330" s="8" t="s">
        <v>26</v>
      </c>
      <c r="B330" s="8" t="s">
        <v>39</v>
      </c>
      <c r="C330" s="8" t="s">
        <v>60</v>
      </c>
      <c r="D330" s="21" t="n">
        <v>45958.8958333333</v>
      </c>
      <c r="E330" s="21" t="n">
        <v>45960.375</v>
      </c>
      <c r="F330" s="22" t="n">
        <f aca="false">DATE(YEAR(E330),MONTH(E330),1)</f>
        <v>45931</v>
      </c>
      <c r="G330" s="23" t="n">
        <v>175598</v>
      </c>
      <c r="H330" s="8" t="s">
        <v>64</v>
      </c>
      <c r="I330" s="24" t="n">
        <v>339.12</v>
      </c>
      <c r="J330" s="25" t="n">
        <f aca="false">Summary!$B$4</f>
        <v>1</v>
      </c>
      <c r="K330" s="11" t="n">
        <f aca="false">I330*J330*IF(A330="SILVER",Summary!$B$5,Summary!$B$6)</f>
        <v>10173.6</v>
      </c>
      <c r="L330" s="26" t="n">
        <v>0.09</v>
      </c>
      <c r="M330" s="27" t="n">
        <f aca="false">IF(K330&gt;0,1,0)</f>
        <v>1</v>
      </c>
      <c r="N330" s="11" t="n">
        <f aca="false">SUMIFS(K$2:K330,A$2:A330,A330,B$2:B330,B330)</f>
        <v>631209.6</v>
      </c>
      <c r="O330" s="11" t="n">
        <f aca="false">MAX(0,_xlfn.MAXIFS(N$2:N330,A$2:A330,A330,B$2:B330,B330))</f>
        <v>734624.4</v>
      </c>
      <c r="P330" s="11" t="n">
        <f aca="false">N330-O330</f>
        <v>-103414.8</v>
      </c>
    </row>
    <row r="331" customFormat="false" ht="15" hidden="false" customHeight="false" outlineLevel="0" collapsed="false">
      <c r="A331" s="8" t="s">
        <v>26</v>
      </c>
      <c r="B331" s="8" t="s">
        <v>39</v>
      </c>
      <c r="C331" s="8" t="s">
        <v>60</v>
      </c>
      <c r="D331" s="21" t="n">
        <v>45960.8229166667</v>
      </c>
      <c r="E331" s="21" t="n">
        <v>45964.9166666667</v>
      </c>
      <c r="F331" s="22" t="n">
        <f aca="false">DATE(YEAR(E331),MONTH(E331),1)</f>
        <v>45962</v>
      </c>
      <c r="G331" s="23" t="n">
        <v>180068</v>
      </c>
      <c r="H331" s="8" t="s">
        <v>61</v>
      </c>
      <c r="I331" s="24" t="n">
        <v>-1165.63</v>
      </c>
      <c r="J331" s="25" t="n">
        <f aca="false">Summary!$B$4</f>
        <v>1</v>
      </c>
      <c r="K331" s="11" t="n">
        <f aca="false">I331*J331*IF(A331="SILVER",Summary!$B$5,Summary!$B$6)</f>
        <v>-34968.9</v>
      </c>
      <c r="L331" s="26" t="n">
        <v>-0.281</v>
      </c>
      <c r="M331" s="27" t="n">
        <f aca="false">IF(K331&gt;0,1,0)</f>
        <v>0</v>
      </c>
      <c r="N331" s="11" t="n">
        <f aca="false">SUMIFS(K$2:K331,A$2:A331,A331,B$2:B331,B331)</f>
        <v>596240.7</v>
      </c>
      <c r="O331" s="11" t="n">
        <f aca="false">MAX(0,_xlfn.MAXIFS(N$2:N331,A$2:A331,A331,B$2:B331,B331))</f>
        <v>734624.4</v>
      </c>
      <c r="P331" s="11" t="n">
        <f aca="false">N331-O331</f>
        <v>-138383.7</v>
      </c>
    </row>
    <row r="332" customFormat="false" ht="15" hidden="false" customHeight="false" outlineLevel="0" collapsed="false">
      <c r="A332" s="8" t="s">
        <v>26</v>
      </c>
      <c r="B332" s="8" t="s">
        <v>39</v>
      </c>
      <c r="C332" s="8" t="s">
        <v>60</v>
      </c>
      <c r="D332" s="21" t="n">
        <v>45967.4270833333</v>
      </c>
      <c r="E332" s="21" t="n">
        <v>45967.8263888889</v>
      </c>
      <c r="F332" s="22" t="n">
        <f aca="false">DATE(YEAR(E332),MONTH(E332),1)</f>
        <v>45962</v>
      </c>
      <c r="G332" s="23" t="n">
        <v>178949</v>
      </c>
      <c r="H332" s="8" t="s">
        <v>64</v>
      </c>
      <c r="I332" s="24" t="n">
        <v>172.67</v>
      </c>
      <c r="J332" s="25" t="n">
        <f aca="false">Summary!$B$4</f>
        <v>1</v>
      </c>
      <c r="K332" s="11" t="n">
        <f aca="false">I332*J332*IF(A332="SILVER",Summary!$B$5,Summary!$B$6)</f>
        <v>5180.1</v>
      </c>
      <c r="L332" s="26" t="n">
        <v>0.081</v>
      </c>
      <c r="M332" s="27" t="n">
        <f aca="false">IF(K332&gt;0,1,0)</f>
        <v>1</v>
      </c>
      <c r="N332" s="11" t="n">
        <f aca="false">SUMIFS(K$2:K332,A$2:A332,A332,B$2:B332,B332)</f>
        <v>601420.8</v>
      </c>
      <c r="O332" s="11" t="n">
        <f aca="false">MAX(0,_xlfn.MAXIFS(N$2:N332,A$2:A332,A332,B$2:B332,B332))</f>
        <v>734624.4</v>
      </c>
      <c r="P332" s="11" t="n">
        <f aca="false">N332-O332</f>
        <v>-133203.6</v>
      </c>
    </row>
    <row r="333" customFormat="false" ht="15" hidden="false" customHeight="false" outlineLevel="0" collapsed="false">
      <c r="A333" s="8" t="s">
        <v>26</v>
      </c>
      <c r="B333" s="8" t="s">
        <v>39</v>
      </c>
      <c r="C333" s="8" t="s">
        <v>60</v>
      </c>
      <c r="D333" s="21" t="n">
        <v>45968.53125</v>
      </c>
      <c r="E333" s="21" t="n">
        <v>45968.9479166667</v>
      </c>
      <c r="F333" s="22" t="n">
        <f aca="false">DATE(YEAR(E333),MONTH(E333),1)</f>
        <v>45962</v>
      </c>
      <c r="G333" s="23" t="n">
        <v>180205</v>
      </c>
      <c r="H333" s="8" t="s">
        <v>61</v>
      </c>
      <c r="I333" s="24" t="n">
        <v>-1557.62</v>
      </c>
      <c r="J333" s="25" t="n">
        <f aca="false">Summary!$B$4</f>
        <v>1</v>
      </c>
      <c r="K333" s="11" t="n">
        <f aca="false">I333*J333*IF(A333="SILVER",Summary!$B$5,Summary!$B$6)</f>
        <v>-46728.6</v>
      </c>
      <c r="L333" s="26" t="n">
        <v>-0.767</v>
      </c>
      <c r="M333" s="27" t="n">
        <f aca="false">IF(K333&gt;0,1,0)</f>
        <v>0</v>
      </c>
      <c r="N333" s="11" t="n">
        <f aca="false">SUMIFS(K$2:K333,A$2:A333,A333,B$2:B333,B333)</f>
        <v>554692.2</v>
      </c>
      <c r="O333" s="11" t="n">
        <f aca="false">MAX(0,_xlfn.MAXIFS(N$2:N333,A$2:A333,A333,B$2:B333,B333))</f>
        <v>734624.4</v>
      </c>
      <c r="P333" s="11" t="n">
        <f aca="false">N333-O333</f>
        <v>-179932.2</v>
      </c>
    </row>
    <row r="334" customFormat="false" ht="15" hidden="false" customHeight="false" outlineLevel="0" collapsed="false">
      <c r="A334" s="8" t="s">
        <v>26</v>
      </c>
      <c r="B334" s="8" t="s">
        <v>39</v>
      </c>
      <c r="C334" s="8" t="s">
        <v>60</v>
      </c>
      <c r="D334" s="21" t="n">
        <v>45971.3854166667</v>
      </c>
      <c r="E334" s="21" t="n">
        <v>45972.875</v>
      </c>
      <c r="F334" s="22" t="n">
        <f aca="false">DATE(YEAR(E334),MONTH(E334),1)</f>
        <v>45962</v>
      </c>
      <c r="G334" s="23" t="n">
        <v>181657</v>
      </c>
      <c r="H334" s="8" t="s">
        <v>61</v>
      </c>
      <c r="I334" s="24" t="n">
        <v>3055.61</v>
      </c>
      <c r="J334" s="25" t="n">
        <f aca="false">Summary!$B$4</f>
        <v>1</v>
      </c>
      <c r="K334" s="11" t="n">
        <f aca="false">I334*J334*IF(A334="SILVER",Summary!$B$5,Summary!$B$6)</f>
        <v>91668.3</v>
      </c>
      <c r="L334" s="26" t="n">
        <v>0.874</v>
      </c>
      <c r="M334" s="27" t="n">
        <f aca="false">IF(K334&gt;0,1,0)</f>
        <v>1</v>
      </c>
      <c r="N334" s="11" t="n">
        <f aca="false">SUMIFS(K$2:K334,A$2:A334,A334,B$2:B334,B334)</f>
        <v>646360.5</v>
      </c>
      <c r="O334" s="11" t="n">
        <f aca="false">MAX(0,_xlfn.MAXIFS(N$2:N334,A$2:A334,A334,B$2:B334,B334))</f>
        <v>734624.4</v>
      </c>
      <c r="P334" s="11" t="n">
        <f aca="false">N334-O334</f>
        <v>-88263.9</v>
      </c>
    </row>
    <row r="335" customFormat="false" ht="15" hidden="false" customHeight="false" outlineLevel="0" collapsed="false">
      <c r="A335" s="8" t="s">
        <v>26</v>
      </c>
      <c r="B335" s="8" t="s">
        <v>39</v>
      </c>
      <c r="C335" s="8" t="s">
        <v>60</v>
      </c>
      <c r="D335" s="21" t="n">
        <v>45973.5</v>
      </c>
      <c r="E335" s="21" t="n">
        <v>45974.84375</v>
      </c>
      <c r="F335" s="22" t="n">
        <f aca="false">DATE(YEAR(E335),MONTH(E335),1)</f>
        <v>45962</v>
      </c>
      <c r="G335" s="23" t="n">
        <v>187553</v>
      </c>
      <c r="H335" s="8" t="s">
        <v>61</v>
      </c>
      <c r="I335" s="24" t="n">
        <v>4835.27</v>
      </c>
      <c r="J335" s="25" t="n">
        <f aca="false">Summary!$B$4</f>
        <v>1</v>
      </c>
      <c r="K335" s="11" t="n">
        <f aca="false">I335*J335*IF(A335="SILVER",Summary!$B$5,Summary!$B$6)</f>
        <v>145058.1</v>
      </c>
      <c r="L335" s="26" t="n">
        <v>1.782</v>
      </c>
      <c r="M335" s="27" t="n">
        <f aca="false">IF(K335&gt;0,1,0)</f>
        <v>1</v>
      </c>
      <c r="N335" s="11" t="n">
        <f aca="false">SUMIFS(K$2:K335,A$2:A335,A335,B$2:B335,B335)</f>
        <v>791418.6</v>
      </c>
      <c r="O335" s="11" t="n">
        <f aca="false">MAX(0,_xlfn.MAXIFS(N$2:N335,A$2:A335,A335,B$2:B335,B335))</f>
        <v>791418.6</v>
      </c>
      <c r="P335" s="11" t="n">
        <f aca="false">N335-O335</f>
        <v>0</v>
      </c>
    </row>
    <row r="336" customFormat="false" ht="15" hidden="false" customHeight="false" outlineLevel="0" collapsed="false">
      <c r="A336" s="8" t="s">
        <v>26</v>
      </c>
      <c r="B336" s="8" t="s">
        <v>39</v>
      </c>
      <c r="C336" s="8" t="s">
        <v>60</v>
      </c>
      <c r="D336" s="21" t="n">
        <v>45979.84375</v>
      </c>
      <c r="E336" s="21" t="n">
        <v>45980.9166666667</v>
      </c>
      <c r="F336" s="22" t="n">
        <f aca="false">DATE(YEAR(E336),MONTH(E336),1)</f>
        <v>45962</v>
      </c>
      <c r="G336" s="23" t="n">
        <v>185994</v>
      </c>
      <c r="H336" s="8" t="s">
        <v>61</v>
      </c>
      <c r="I336" s="24" t="n">
        <v>702</v>
      </c>
      <c r="J336" s="25" t="n">
        <f aca="false">Summary!$B$4</f>
        <v>1</v>
      </c>
      <c r="K336" s="11" t="n">
        <f aca="false">I336*J336*IF(A336="SILVER",Summary!$B$5,Summary!$B$6)</f>
        <v>21060</v>
      </c>
      <c r="L336" s="26" t="n">
        <v>0.2</v>
      </c>
      <c r="M336" s="27" t="n">
        <f aca="false">IF(K336&gt;0,1,0)</f>
        <v>1</v>
      </c>
      <c r="N336" s="11" t="n">
        <f aca="false">SUMIFS(K$2:K336,A$2:A336,A336,B$2:B336,B336)</f>
        <v>812478.6</v>
      </c>
      <c r="O336" s="11" t="n">
        <f aca="false">MAX(0,_xlfn.MAXIFS(N$2:N336,A$2:A336,A336,B$2:B336,B336))</f>
        <v>812478.6</v>
      </c>
      <c r="P336" s="11" t="n">
        <f aca="false">N336-O336</f>
        <v>0</v>
      </c>
    </row>
    <row r="337" customFormat="false" ht="15" hidden="false" customHeight="false" outlineLevel="0" collapsed="false">
      <c r="A337" s="8" t="s">
        <v>26</v>
      </c>
      <c r="B337" s="8" t="s">
        <v>39</v>
      </c>
      <c r="C337" s="8" t="s">
        <v>60</v>
      </c>
      <c r="D337" s="21" t="n">
        <v>45982.9375</v>
      </c>
      <c r="E337" s="21" t="n">
        <v>45993.6541666667</v>
      </c>
      <c r="F337" s="22" t="n">
        <f aca="false">DATE(YEAR(E337),MONTH(E337),1)</f>
        <v>45992</v>
      </c>
      <c r="G337" s="23" t="n">
        <v>186474</v>
      </c>
      <c r="H337" s="8" t="s">
        <v>61</v>
      </c>
      <c r="I337" s="24" t="n">
        <v>18343.16</v>
      </c>
      <c r="J337" s="25" t="n">
        <f aca="false">Summary!$B$4</f>
        <v>1</v>
      </c>
      <c r="K337" s="11" t="n">
        <f aca="false">I337*J337*IF(A337="SILVER",Summary!$B$5,Summary!$B$6)</f>
        <v>550294.8</v>
      </c>
      <c r="L337" s="26" t="n">
        <v>3.947</v>
      </c>
      <c r="M337" s="27" t="n">
        <f aca="false">IF(K337&gt;0,1,0)</f>
        <v>1</v>
      </c>
      <c r="N337" s="11" t="n">
        <f aca="false">SUMIFS(K$2:K337,A$2:A337,A337,B$2:B337,B337)</f>
        <v>1362773.4</v>
      </c>
      <c r="O337" s="11" t="n">
        <f aca="false">MAX(0,_xlfn.MAXIFS(N$2:N337,A$2:A337,A337,B$2:B337,B337))</f>
        <v>1362773.4</v>
      </c>
      <c r="P337" s="11" t="n">
        <f aca="false">N337-O337</f>
        <v>0</v>
      </c>
    </row>
    <row r="338" customFormat="false" ht="15" hidden="false" customHeight="false" outlineLevel="0" collapsed="false">
      <c r="A338" s="8" t="s">
        <v>26</v>
      </c>
      <c r="B338" s="8" t="s">
        <v>39</v>
      </c>
      <c r="C338" s="8" t="s">
        <v>60</v>
      </c>
      <c r="D338" s="21" t="n">
        <v>45993.8256944444</v>
      </c>
      <c r="E338" s="21" t="n">
        <v>45994.4638888889</v>
      </c>
      <c r="F338" s="22" t="n">
        <f aca="false">DATE(YEAR(E338),MONTH(E338),1)</f>
        <v>45992</v>
      </c>
      <c r="G338" s="23" t="n">
        <v>209090</v>
      </c>
      <c r="H338" s="8" t="s">
        <v>64</v>
      </c>
      <c r="I338" s="24" t="n">
        <v>-32.5</v>
      </c>
      <c r="J338" s="25" t="n">
        <f aca="false">Summary!$B$4</f>
        <v>1</v>
      </c>
      <c r="K338" s="11" t="n">
        <f aca="false">I338*J338*IF(A338="SILVER",Summary!$B$5,Summary!$B$6)</f>
        <v>-975</v>
      </c>
      <c r="L338" s="26" t="n">
        <v>-0.007</v>
      </c>
      <c r="M338" s="27" t="n">
        <f aca="false">IF(K338&gt;0,1,0)</f>
        <v>0</v>
      </c>
      <c r="N338" s="11" t="n">
        <f aca="false">SUMIFS(K$2:K338,A$2:A338,A338,B$2:B338,B338)</f>
        <v>1361798.4</v>
      </c>
      <c r="O338" s="11" t="n">
        <f aca="false">MAX(0,_xlfn.MAXIFS(N$2:N338,A$2:A338,A338,B$2:B338,B338))</f>
        <v>1362773.4</v>
      </c>
      <c r="P338" s="11" t="n">
        <f aca="false">N338-O338</f>
        <v>-975</v>
      </c>
    </row>
    <row r="339" customFormat="false" ht="15" hidden="false" customHeight="false" outlineLevel="0" collapsed="false">
      <c r="A339" s="8" t="s">
        <v>26</v>
      </c>
      <c r="B339" s="8" t="s">
        <v>39</v>
      </c>
      <c r="C339" s="8" t="s">
        <v>60</v>
      </c>
      <c r="D339" s="21" t="n">
        <v>45996.5777777778</v>
      </c>
      <c r="E339" s="21" t="n">
        <v>46000.4791666667</v>
      </c>
      <c r="F339" s="22" t="n">
        <f aca="false">DATE(YEAR(E339),MONTH(E339),1)</f>
        <v>45992</v>
      </c>
      <c r="G339" s="23" t="n">
        <v>210253</v>
      </c>
      <c r="H339" s="8" t="s">
        <v>61</v>
      </c>
      <c r="I339" s="24" t="n">
        <v>-1411.04</v>
      </c>
      <c r="J339" s="25" t="n">
        <f aca="false">Summary!$B$4</f>
        <v>1</v>
      </c>
      <c r="K339" s="11" t="n">
        <f aca="false">I339*J339*IF(A339="SILVER",Summary!$B$5,Summary!$B$6)</f>
        <v>-42331.2</v>
      </c>
      <c r="L339" s="26" t="n">
        <v>-0.263</v>
      </c>
      <c r="M339" s="27" t="n">
        <f aca="false">IF(K339&gt;0,1,0)</f>
        <v>0</v>
      </c>
      <c r="N339" s="11" t="n">
        <f aca="false">SUMIFS(K$2:K339,A$2:A339,A339,B$2:B339,B339)</f>
        <v>1319467.2</v>
      </c>
      <c r="O339" s="11" t="n">
        <f aca="false">MAX(0,_xlfn.MAXIFS(N$2:N339,A$2:A339,A339,B$2:B339,B339))</f>
        <v>1362773.4</v>
      </c>
      <c r="P339" s="11" t="n">
        <f aca="false">N339-O339</f>
        <v>-43306.2000000002</v>
      </c>
    </row>
    <row r="340" customFormat="false" ht="15" hidden="false" customHeight="false" outlineLevel="0" collapsed="false">
      <c r="A340" s="8" t="s">
        <v>26</v>
      </c>
      <c r="B340" s="8" t="s">
        <v>39</v>
      </c>
      <c r="C340" s="8" t="s">
        <v>60</v>
      </c>
      <c r="D340" s="21" t="n">
        <v>46000.8125</v>
      </c>
      <c r="E340" s="21" t="n">
        <v>46003.875</v>
      </c>
      <c r="F340" s="22" t="n">
        <f aca="false">DATE(YEAR(E340),MONTH(E340),1)</f>
        <v>45992</v>
      </c>
      <c r="G340" s="23" t="n">
        <v>212157</v>
      </c>
      <c r="H340" s="8" t="s">
        <v>61</v>
      </c>
      <c r="I340" s="24" t="n">
        <v>11928.03</v>
      </c>
      <c r="J340" s="25" t="n">
        <f aca="false">Summary!$B$4</f>
        <v>1</v>
      </c>
      <c r="K340" s="11" t="n">
        <f aca="false">I340*J340*IF(A340="SILVER",Summary!$B$5,Summary!$B$6)</f>
        <v>357840.9</v>
      </c>
      <c r="L340" s="26" t="n">
        <v>3.917</v>
      </c>
      <c r="M340" s="27" t="n">
        <f aca="false">IF(K340&gt;0,1,0)</f>
        <v>1</v>
      </c>
      <c r="N340" s="11" t="n">
        <f aca="false">SUMIFS(K$2:K340,A$2:A340,A340,B$2:B340,B340)</f>
        <v>1677308.1</v>
      </c>
      <c r="O340" s="11" t="n">
        <f aca="false">MAX(0,_xlfn.MAXIFS(N$2:N340,A$2:A340,A340,B$2:B340,B340))</f>
        <v>1677308.1</v>
      </c>
      <c r="P340" s="11" t="n">
        <f aca="false">N340-O340</f>
        <v>0</v>
      </c>
    </row>
    <row r="341" customFormat="false" ht="15" hidden="false" customHeight="false" outlineLevel="0" collapsed="false">
      <c r="A341" s="8" t="s">
        <v>26</v>
      </c>
      <c r="B341" s="8" t="s">
        <v>39</v>
      </c>
      <c r="C341" s="8" t="s">
        <v>60</v>
      </c>
      <c r="D341" s="21" t="n">
        <v>46006.59375</v>
      </c>
      <c r="E341" s="21" t="n">
        <v>46007.3854166667</v>
      </c>
      <c r="F341" s="22" t="n">
        <f aca="false">DATE(YEAR(E341),MONTH(E341),1)</f>
        <v>45992</v>
      </c>
      <c r="G341" s="23" t="n">
        <v>226586</v>
      </c>
      <c r="H341" s="8" t="s">
        <v>61</v>
      </c>
      <c r="I341" s="24" t="n">
        <v>-3583.31</v>
      </c>
      <c r="J341" s="25" t="n">
        <f aca="false">Summary!$B$4</f>
        <v>1</v>
      </c>
      <c r="K341" s="11" t="n">
        <f aca="false">I341*J341*IF(A341="SILVER",Summary!$B$5,Summary!$B$6)</f>
        <v>-107499.3</v>
      </c>
      <c r="L341" s="26" t="n">
        <v>-0.724</v>
      </c>
      <c r="M341" s="27" t="n">
        <f aca="false">IF(K341&gt;0,1,0)</f>
        <v>0</v>
      </c>
      <c r="N341" s="11" t="n">
        <f aca="false">SUMIFS(K$2:K341,A$2:A341,A341,B$2:B341,B341)</f>
        <v>1569808.8</v>
      </c>
      <c r="O341" s="11" t="n">
        <f aca="false">MAX(0,_xlfn.MAXIFS(N$2:N341,A$2:A341,A341,B$2:B341,B341))</f>
        <v>1677308.1</v>
      </c>
      <c r="P341" s="11" t="n">
        <f aca="false">N341-O341</f>
        <v>-107499.3</v>
      </c>
    </row>
    <row r="342" customFormat="false" ht="15" hidden="false" customHeight="false" outlineLevel="0" collapsed="false">
      <c r="A342" s="8" t="s">
        <v>26</v>
      </c>
      <c r="B342" s="8" t="s">
        <v>39</v>
      </c>
      <c r="C342" s="8" t="s">
        <v>60</v>
      </c>
      <c r="D342" s="21" t="n">
        <v>46008.3854166667</v>
      </c>
      <c r="E342" s="21" t="n">
        <v>46009.84375</v>
      </c>
      <c r="F342" s="22" t="n">
        <f aca="false">DATE(YEAR(E342),MONTH(E342),1)</f>
        <v>45992</v>
      </c>
      <c r="G342" s="23" t="n">
        <v>233734</v>
      </c>
      <c r="H342" s="8" t="s">
        <v>61</v>
      </c>
      <c r="I342" s="24" t="n">
        <v>-2706.81</v>
      </c>
      <c r="J342" s="25" t="n">
        <f aca="false">Summary!$B$4</f>
        <v>1</v>
      </c>
      <c r="K342" s="11" t="n">
        <f aca="false">I342*J342*IF(A342="SILVER",Summary!$B$5,Summary!$B$6)</f>
        <v>-81204.3</v>
      </c>
      <c r="L342" s="26" t="n">
        <v>-0.294</v>
      </c>
      <c r="M342" s="27" t="n">
        <f aca="false">IF(K342&gt;0,1,0)</f>
        <v>0</v>
      </c>
      <c r="N342" s="11" t="n">
        <f aca="false">SUMIFS(K$2:K342,A$2:A342,A342,B$2:B342,B342)</f>
        <v>1488604.5</v>
      </c>
      <c r="O342" s="11" t="n">
        <f aca="false">MAX(0,_xlfn.MAXIFS(N$2:N342,A$2:A342,A342,B$2:B342,B342))</f>
        <v>1677308.1</v>
      </c>
      <c r="P342" s="11" t="n">
        <f aca="false">N342-O342</f>
        <v>-188703.6</v>
      </c>
    </row>
    <row r="343" customFormat="false" ht="15" hidden="false" customHeight="false" outlineLevel="0" collapsed="false">
      <c r="A343" s="8" t="s">
        <v>26</v>
      </c>
      <c r="B343" s="8" t="s">
        <v>39</v>
      </c>
      <c r="C343" s="8" t="s">
        <v>60</v>
      </c>
      <c r="D343" s="21" t="n">
        <v>46010.9270833333</v>
      </c>
      <c r="E343" s="21" t="n">
        <v>46014.8645833333</v>
      </c>
      <c r="F343" s="22" t="n">
        <f aca="false">DATE(YEAR(E343),MONTH(E343),1)</f>
        <v>45992</v>
      </c>
      <c r="G343" s="23" t="n">
        <v>235984</v>
      </c>
      <c r="H343" s="8" t="s">
        <v>61</v>
      </c>
      <c r="I343" s="24" t="n">
        <v>7577.71</v>
      </c>
      <c r="J343" s="25" t="n">
        <f aca="false">Summary!$B$4</f>
        <v>1</v>
      </c>
      <c r="K343" s="11" t="n">
        <f aca="false">I343*J343*IF(A343="SILVER",Summary!$B$5,Summary!$B$6)</f>
        <v>227331.3</v>
      </c>
      <c r="L343" s="26" t="n">
        <v>1.786</v>
      </c>
      <c r="M343" s="27" t="n">
        <f aca="false">IF(K343&gt;0,1,0)</f>
        <v>1</v>
      </c>
      <c r="N343" s="11" t="n">
        <f aca="false">SUMIFS(K$2:K343,A$2:A343,A343,B$2:B343,B343)</f>
        <v>1715935.8</v>
      </c>
      <c r="O343" s="11" t="n">
        <f aca="false">MAX(0,_xlfn.MAXIFS(N$2:N343,A$2:A343,A343,B$2:B343,B343))</f>
        <v>1715935.8</v>
      </c>
      <c r="P343" s="11" t="n">
        <f aca="false">N343-O343</f>
        <v>0</v>
      </c>
    </row>
    <row r="344" customFormat="false" ht="15" hidden="false" customHeight="false" outlineLevel="0" collapsed="false">
      <c r="A344" s="8" t="s">
        <v>26</v>
      </c>
      <c r="B344" s="8" t="s">
        <v>39</v>
      </c>
      <c r="C344" s="8" t="s">
        <v>60</v>
      </c>
      <c r="D344" s="21" t="n">
        <v>46014.9479166667</v>
      </c>
      <c r="E344" s="21" t="n">
        <v>46015.85</v>
      </c>
      <c r="F344" s="22" t="n">
        <f aca="false">DATE(YEAR(E344),MONTH(E344),1)</f>
        <v>45992</v>
      </c>
      <c r="G344" s="23" t="n">
        <v>248193</v>
      </c>
      <c r="H344" s="8" t="s">
        <v>64</v>
      </c>
      <c r="I344" s="24" t="n">
        <v>549.67</v>
      </c>
      <c r="J344" s="25" t="n">
        <f aca="false">Summary!$B$4</f>
        <v>1</v>
      </c>
      <c r="K344" s="11" t="n">
        <f aca="false">I344*J344*IF(A344="SILVER",Summary!$B$5,Summary!$B$6)</f>
        <v>16490.1</v>
      </c>
      <c r="L344" s="26" t="n">
        <v>0.091</v>
      </c>
      <c r="M344" s="27" t="n">
        <f aca="false">IF(K344&gt;0,1,0)</f>
        <v>1</v>
      </c>
      <c r="N344" s="11" t="n">
        <f aca="false">SUMIFS(K$2:K344,A$2:A344,A344,B$2:B344,B344)</f>
        <v>1732425.9</v>
      </c>
      <c r="O344" s="11" t="n">
        <f aca="false">MAX(0,_xlfn.MAXIFS(N$2:N344,A$2:A344,A344,B$2:B344,B344))</f>
        <v>1732425.9</v>
      </c>
      <c r="P344" s="11" t="n">
        <f aca="false">N344-O344</f>
        <v>0</v>
      </c>
    </row>
    <row r="345" customFormat="false" ht="15" hidden="false" customHeight="false" outlineLevel="0" collapsed="false">
      <c r="A345" s="8" t="s">
        <v>26</v>
      </c>
      <c r="B345" s="8" t="s">
        <v>39</v>
      </c>
      <c r="C345" s="8" t="s">
        <v>60</v>
      </c>
      <c r="D345" s="21" t="n">
        <v>46017.3854166667</v>
      </c>
      <c r="E345" s="21" t="n">
        <v>46020.5159722222</v>
      </c>
      <c r="F345" s="22" t="n">
        <f aca="false">DATE(YEAR(E345),MONTH(E345),1)</f>
        <v>45992</v>
      </c>
      <c r="G345" s="23" t="n">
        <v>260447</v>
      </c>
      <c r="H345" s="8" t="s">
        <v>64</v>
      </c>
      <c r="I345" s="24" t="n">
        <v>1093.33</v>
      </c>
      <c r="J345" s="25" t="n">
        <f aca="false">Summary!$B$4</f>
        <v>1</v>
      </c>
      <c r="K345" s="11" t="n">
        <f aca="false">I345*J345*IF(A345="SILVER",Summary!$B$5,Summary!$B$6)</f>
        <v>32799.9</v>
      </c>
      <c r="L345" s="26" t="n">
        <v>0.095</v>
      </c>
      <c r="M345" s="27" t="n">
        <f aca="false">IF(K345&gt;0,1,0)</f>
        <v>1</v>
      </c>
      <c r="N345" s="11" t="n">
        <f aca="false">SUMIFS(K$2:K345,A$2:A345,A345,B$2:B345,B345)</f>
        <v>1765225.8</v>
      </c>
      <c r="O345" s="11" t="n">
        <f aca="false">MAX(0,_xlfn.MAXIFS(N$2:N345,A$2:A345,A345,B$2:B345,B345))</f>
        <v>1765225.8</v>
      </c>
      <c r="P345" s="11" t="n">
        <f aca="false">N345-O345</f>
        <v>0</v>
      </c>
    </row>
    <row r="346" customFormat="false" ht="15" hidden="false" customHeight="false" outlineLevel="0" collapsed="false">
      <c r="A346" s="8" t="s">
        <v>26</v>
      </c>
      <c r="B346" s="8" t="s">
        <v>39</v>
      </c>
      <c r="C346" s="8" t="s">
        <v>60</v>
      </c>
      <c r="D346" s="21" t="n">
        <v>46021.7395833333</v>
      </c>
      <c r="E346" s="21" t="n">
        <v>46022.375</v>
      </c>
      <c r="F346" s="22" t="n">
        <f aca="false">DATE(YEAR(E346),MONTH(E346),1)</f>
        <v>45992</v>
      </c>
      <c r="G346" s="23" t="n">
        <v>266134</v>
      </c>
      <c r="H346" s="8" t="s">
        <v>64</v>
      </c>
      <c r="I346" s="24" t="n">
        <v>730.5</v>
      </c>
      <c r="J346" s="25" t="n">
        <f aca="false">Summary!$B$4</f>
        <v>1</v>
      </c>
      <c r="K346" s="11" t="n">
        <f aca="false">I346*J346*IF(A346="SILVER",Summary!$B$5,Summary!$B$6)</f>
        <v>21915</v>
      </c>
      <c r="L346" s="26" t="n">
        <v>0.093</v>
      </c>
      <c r="M346" s="27" t="n">
        <f aca="false">IF(K346&gt;0,1,0)</f>
        <v>1</v>
      </c>
      <c r="N346" s="11" t="n">
        <f aca="false">SUMIFS(K$2:K346,A$2:A346,A346,B$2:B346,B346)</f>
        <v>1787140.8</v>
      </c>
      <c r="O346" s="11" t="n">
        <f aca="false">MAX(0,_xlfn.MAXIFS(N$2:N346,A$2:A346,A346,B$2:B346,B346))</f>
        <v>1787140.8</v>
      </c>
      <c r="P346" s="11" t="n">
        <f aca="false">N346-O346</f>
        <v>0</v>
      </c>
    </row>
    <row r="347" customFormat="false" ht="15" hidden="false" customHeight="false" outlineLevel="0" collapsed="false">
      <c r="A347" s="8" t="s">
        <v>26</v>
      </c>
      <c r="B347" s="8" t="s">
        <v>39</v>
      </c>
      <c r="C347" s="8" t="s">
        <v>60</v>
      </c>
      <c r="D347" s="21" t="n">
        <v>46024.3854166667</v>
      </c>
      <c r="E347" s="21" t="n">
        <v>46024.7513888889</v>
      </c>
      <c r="F347" s="22" t="n">
        <f aca="false">DATE(YEAR(E347),MONTH(E347),1)</f>
        <v>46023</v>
      </c>
      <c r="G347" s="23" t="n">
        <v>268733</v>
      </c>
      <c r="H347" s="8" t="s">
        <v>64</v>
      </c>
      <c r="I347" s="24" t="n">
        <v>601.67</v>
      </c>
      <c r="J347" s="25" t="n">
        <f aca="false">Summary!$B$4</f>
        <v>1</v>
      </c>
      <c r="K347" s="11" t="n">
        <f aca="false">I347*J347*IF(A347="SILVER",Summary!$B$5,Summary!$B$6)</f>
        <v>18050.1</v>
      </c>
      <c r="L347" s="26" t="n">
        <v>0.091</v>
      </c>
      <c r="M347" s="27" t="n">
        <f aca="false">IF(K347&gt;0,1,0)</f>
        <v>1</v>
      </c>
      <c r="N347" s="11" t="n">
        <f aca="false">SUMIFS(K$2:K347,A$2:A347,A347,B$2:B347,B347)</f>
        <v>1805190.9</v>
      </c>
      <c r="O347" s="11" t="n">
        <f aca="false">MAX(0,_xlfn.MAXIFS(N$2:N347,A$2:A347,A347,B$2:B347,B347))</f>
        <v>1805190.9</v>
      </c>
      <c r="P347" s="11" t="n">
        <f aca="false">N347-O347</f>
        <v>0</v>
      </c>
    </row>
    <row r="348" customFormat="false" ht="15" hidden="false" customHeight="false" outlineLevel="0" collapsed="false">
      <c r="A348" s="8" t="s">
        <v>26</v>
      </c>
      <c r="B348" s="8" t="s">
        <v>39</v>
      </c>
      <c r="C348" s="8" t="s">
        <v>60</v>
      </c>
      <c r="D348" s="21" t="n">
        <v>46027.4270833333</v>
      </c>
      <c r="E348" s="21" t="n">
        <v>46029.5104166667</v>
      </c>
      <c r="F348" s="22" t="n">
        <f aca="false">DATE(YEAR(E348),MONTH(E348),1)</f>
        <v>46023</v>
      </c>
      <c r="G348" s="23" t="n">
        <v>271565</v>
      </c>
      <c r="H348" s="8" t="s">
        <v>61</v>
      </c>
      <c r="I348" s="24" t="n">
        <v>9460.4</v>
      </c>
      <c r="J348" s="25" t="n">
        <f aca="false">Summary!$B$4</f>
        <v>1</v>
      </c>
      <c r="K348" s="11" t="n">
        <f aca="false">I348*J348*IF(A348="SILVER",Summary!$B$5,Summary!$B$6)</f>
        <v>283812</v>
      </c>
      <c r="L348" s="26" t="n">
        <v>1.262</v>
      </c>
      <c r="M348" s="27" t="n">
        <f aca="false">IF(K348&gt;0,1,0)</f>
        <v>1</v>
      </c>
      <c r="N348" s="11" t="n">
        <f aca="false">SUMIFS(K$2:K348,A$2:A348,A348,B$2:B348,B348)</f>
        <v>2089002.9</v>
      </c>
      <c r="O348" s="11" t="n">
        <f aca="false">MAX(0,_xlfn.MAXIFS(N$2:N348,A$2:A348,A348,B$2:B348,B348))</f>
        <v>2089002.9</v>
      </c>
      <c r="P348" s="11" t="n">
        <f aca="false">N348-O348</f>
        <v>0</v>
      </c>
    </row>
    <row r="349" customFormat="false" ht="15" hidden="false" customHeight="false" outlineLevel="0" collapsed="false">
      <c r="A349" s="8" t="s">
        <v>26</v>
      </c>
      <c r="B349" s="8" t="s">
        <v>39</v>
      </c>
      <c r="C349" s="8" t="s">
        <v>60</v>
      </c>
      <c r="D349" s="21" t="n">
        <v>46030.9270833333</v>
      </c>
      <c r="E349" s="21" t="n">
        <v>46037.7916666667</v>
      </c>
      <c r="F349" s="22" t="n">
        <f aca="false">DATE(YEAR(E349),MONTH(E349),1)</f>
        <v>46023</v>
      </c>
      <c r="G349" s="23" t="n">
        <v>273645</v>
      </c>
      <c r="H349" s="8" t="s">
        <v>61</v>
      </c>
      <c r="I349" s="24" t="n">
        <v>36944.24</v>
      </c>
      <c r="J349" s="25" t="n">
        <f aca="false">Summary!$B$4</f>
        <v>1</v>
      </c>
      <c r="K349" s="11" t="n">
        <f aca="false">I349*J349*IF(A349="SILVER",Summary!$B$5,Summary!$B$6)</f>
        <v>1108327.2</v>
      </c>
      <c r="L349" s="26" t="n">
        <v>3.666</v>
      </c>
      <c r="M349" s="27" t="n">
        <f aca="false">IF(K349&gt;0,1,0)</f>
        <v>1</v>
      </c>
      <c r="N349" s="11" t="n">
        <f aca="false">SUMIFS(K$2:K349,A$2:A349,A349,B$2:B349,B349)</f>
        <v>3197330.1</v>
      </c>
      <c r="O349" s="11" t="n">
        <f aca="false">MAX(0,_xlfn.MAXIFS(N$2:N349,A$2:A349,A349,B$2:B349,B349))</f>
        <v>3197330.1</v>
      </c>
      <c r="P349" s="11" t="n">
        <f aca="false">N349-O349</f>
        <v>0</v>
      </c>
    </row>
    <row r="350" customFormat="false" ht="15" hidden="false" customHeight="false" outlineLevel="0" collapsed="false">
      <c r="A350" s="8" t="s">
        <v>26</v>
      </c>
      <c r="B350" s="8" t="s">
        <v>39</v>
      </c>
      <c r="C350" s="8" t="s">
        <v>60</v>
      </c>
      <c r="D350" s="21" t="n">
        <v>46037.9895833333</v>
      </c>
      <c r="E350" s="21" t="n">
        <v>46043.8541666667</v>
      </c>
      <c r="F350" s="22" t="n">
        <f aca="false">DATE(YEAR(E350),MONTH(E350),1)</f>
        <v>46023</v>
      </c>
      <c r="G350" s="23" t="n">
        <v>320596</v>
      </c>
      <c r="H350" s="8" t="s">
        <v>61</v>
      </c>
      <c r="I350" s="24" t="n">
        <v>27778.74</v>
      </c>
      <c r="J350" s="25" t="n">
        <f aca="false">Summary!$B$4</f>
        <v>1</v>
      </c>
      <c r="K350" s="11" t="n">
        <f aca="false">I350*J350*IF(A350="SILVER",Summary!$B$5,Summary!$B$6)</f>
        <v>833362.2</v>
      </c>
      <c r="L350" s="26" t="n">
        <v>2.184</v>
      </c>
      <c r="M350" s="27" t="n">
        <f aca="false">IF(K350&gt;0,1,0)</f>
        <v>1</v>
      </c>
      <c r="N350" s="11" t="n">
        <f aca="false">SUMIFS(K$2:K350,A$2:A350,A350,B$2:B350,B350)</f>
        <v>4030692.3</v>
      </c>
      <c r="O350" s="11" t="n">
        <f aca="false">MAX(0,_xlfn.MAXIFS(N$2:N350,A$2:A350,A350,B$2:B350,B350))</f>
        <v>4030692.3</v>
      </c>
      <c r="P350" s="11" t="n">
        <f aca="false">N350-O350</f>
        <v>0</v>
      </c>
    </row>
    <row r="351" customFormat="false" ht="15" hidden="false" customHeight="false" outlineLevel="0" collapsed="false">
      <c r="A351" s="8" t="s">
        <v>26</v>
      </c>
      <c r="B351" s="8" t="s">
        <v>39</v>
      </c>
      <c r="C351" s="8" t="s">
        <v>60</v>
      </c>
      <c r="D351" s="21" t="n">
        <v>46044.8958333333</v>
      </c>
      <c r="E351" s="21" t="n">
        <v>46049.8645833333</v>
      </c>
      <c r="F351" s="22" t="n">
        <f aca="false">DATE(YEAR(E351),MONTH(E351),1)</f>
        <v>46023</v>
      </c>
      <c r="G351" s="23" t="n">
        <v>349412</v>
      </c>
      <c r="H351" s="8" t="s">
        <v>61</v>
      </c>
      <c r="I351" s="24" t="n">
        <v>31364.7</v>
      </c>
      <c r="J351" s="25" t="n">
        <f aca="false">Summary!$B$4</f>
        <v>1</v>
      </c>
      <c r="K351" s="11" t="n">
        <f aca="false">I351*J351*IF(A351="SILVER",Summary!$B$5,Summary!$B$6)</f>
        <v>940941</v>
      </c>
      <c r="L351" s="26" t="n">
        <v>1.795</v>
      </c>
      <c r="M351" s="27" t="n">
        <f aca="false">IF(K351&gt;0,1,0)</f>
        <v>1</v>
      </c>
      <c r="N351" s="11" t="n">
        <f aca="false">SUMIFS(K$2:K351,A$2:A351,A351,B$2:B351,B351)</f>
        <v>4971633.3</v>
      </c>
      <c r="O351" s="11" t="n">
        <f aca="false">MAX(0,_xlfn.MAXIFS(N$2:N351,A$2:A351,A351,B$2:B351,B351))</f>
        <v>4971633.3</v>
      </c>
      <c r="P351" s="11" t="n">
        <f aca="false">N351-O351</f>
        <v>0</v>
      </c>
    </row>
    <row r="352" customFormat="false" ht="15" hidden="false" customHeight="false" outlineLevel="0" collapsed="false">
      <c r="A352" s="8" t="s">
        <v>26</v>
      </c>
      <c r="B352" s="8" t="s">
        <v>39</v>
      </c>
      <c r="C352" s="8" t="s">
        <v>60</v>
      </c>
      <c r="D352" s="21" t="n">
        <v>46050.3854166667</v>
      </c>
      <c r="E352" s="21" t="n">
        <v>46051.8659722222</v>
      </c>
      <c r="F352" s="22" t="n">
        <f aca="false">DATE(YEAR(E352),MONTH(E352),1)</f>
        <v>46023</v>
      </c>
      <c r="G352" s="23" t="n">
        <v>404434</v>
      </c>
      <c r="H352" s="8" t="s">
        <v>64</v>
      </c>
      <c r="I352" s="24" t="n">
        <v>2470.08</v>
      </c>
      <c r="J352" s="25" t="n">
        <f aca="false">Summary!$B$4</f>
        <v>1</v>
      </c>
      <c r="K352" s="11" t="n">
        <f aca="false">I352*J352*IF(A352="SILVER",Summary!$B$5,Summary!$B$6)</f>
        <v>74102.4</v>
      </c>
      <c r="L352" s="26" t="n">
        <v>0.097</v>
      </c>
      <c r="M352" s="27" t="n">
        <f aca="false">IF(K352&gt;0,1,0)</f>
        <v>1</v>
      </c>
      <c r="N352" s="11" t="n">
        <f aca="false">SUMIFS(K$2:K352,A$2:A352,A352,B$2:B352,B352)</f>
        <v>5045735.7</v>
      </c>
      <c r="O352" s="11" t="n">
        <f aca="false">MAX(0,_xlfn.MAXIFS(N$2:N352,A$2:A352,A352,B$2:B352,B352))</f>
        <v>5045735.7</v>
      </c>
      <c r="P352" s="11" t="n">
        <f aca="false">N352-O352</f>
        <v>0</v>
      </c>
    </row>
    <row r="353" customFormat="false" ht="15" hidden="false" customHeight="false" outlineLevel="0" collapsed="false">
      <c r="A353" s="8" t="s">
        <v>26</v>
      </c>
      <c r="B353" s="8" t="s">
        <v>39</v>
      </c>
      <c r="C353" s="8" t="s">
        <v>60</v>
      </c>
      <c r="D353" s="21" t="n">
        <v>46052.375</v>
      </c>
      <c r="E353" s="21" t="n">
        <v>46052.59375</v>
      </c>
      <c r="F353" s="22" t="n">
        <f aca="false">DATE(YEAR(E353),MONTH(E353),1)</f>
        <v>46023</v>
      </c>
      <c r="G353" s="23" t="n">
        <v>412232</v>
      </c>
      <c r="H353" s="8" t="s">
        <v>61</v>
      </c>
      <c r="I353" s="24" t="n">
        <v>-26932.05</v>
      </c>
      <c r="J353" s="25" t="n">
        <f aca="false">Summary!$B$4</f>
        <v>1</v>
      </c>
      <c r="K353" s="11" t="n">
        <f aca="false">I353*J353*IF(A353="SILVER",Summary!$B$5,Summary!$B$6)</f>
        <v>-807961.5</v>
      </c>
      <c r="L353" s="26" t="n">
        <v>-1.312</v>
      </c>
      <c r="M353" s="27" t="n">
        <f aca="false">IF(K353&gt;0,1,0)</f>
        <v>0</v>
      </c>
      <c r="N353" s="11" t="n">
        <f aca="false">SUMIFS(K$2:K353,A$2:A353,A353,B$2:B353,B353)</f>
        <v>4237774.2</v>
      </c>
      <c r="O353" s="11" t="n">
        <f aca="false">MAX(0,_xlfn.MAXIFS(N$2:N353,A$2:A353,A353,B$2:B353,B353))</f>
        <v>5045735.7</v>
      </c>
      <c r="P353" s="11" t="n">
        <f aca="false">N353-O353</f>
        <v>-807961.5</v>
      </c>
    </row>
    <row r="354" customFormat="false" ht="15" hidden="false" customHeight="false" outlineLevel="0" collapsed="false">
      <c r="A354" s="8" t="s">
        <v>26</v>
      </c>
      <c r="B354" s="8" t="s">
        <v>39</v>
      </c>
      <c r="C354" s="8" t="s">
        <v>62</v>
      </c>
      <c r="D354" s="21" t="n">
        <v>46057.8958333333</v>
      </c>
      <c r="E354" s="21" t="n">
        <v>46062.3854166667</v>
      </c>
      <c r="F354" s="22" t="n">
        <f aca="false">DATE(YEAR(E354),MONTH(E354),1)</f>
        <v>46054</v>
      </c>
      <c r="G354" s="23" t="n">
        <v>301998</v>
      </c>
      <c r="H354" s="8" t="s">
        <v>61</v>
      </c>
      <c r="I354" s="24" t="n">
        <v>11098.42</v>
      </c>
      <c r="J354" s="25" t="n">
        <f aca="false">Summary!$B$4</f>
        <v>1</v>
      </c>
      <c r="K354" s="11" t="n">
        <f aca="false">I354*J354*IF(A354="SILVER",Summary!$B$5,Summary!$B$6)</f>
        <v>332952.6</v>
      </c>
      <c r="L354" s="26" t="n">
        <v>0.546</v>
      </c>
      <c r="M354" s="27" t="n">
        <f aca="false">IF(K354&gt;0,1,0)</f>
        <v>1</v>
      </c>
      <c r="N354" s="11" t="n">
        <f aca="false">SUMIFS(K$2:K354,A$2:A354,A354,B$2:B354,B354)</f>
        <v>4570726.8</v>
      </c>
      <c r="O354" s="11" t="n">
        <f aca="false">MAX(0,_xlfn.MAXIFS(N$2:N354,A$2:A354,A354,B$2:B354,B354))</f>
        <v>5045735.7</v>
      </c>
      <c r="P354" s="11" t="n">
        <f aca="false">N354-O354</f>
        <v>-475008.9</v>
      </c>
    </row>
    <row r="355" customFormat="false" ht="15" hidden="false" customHeight="false" outlineLevel="0" collapsed="false">
      <c r="A355" s="8" t="s">
        <v>26</v>
      </c>
      <c r="B355" s="8" t="s">
        <v>39</v>
      </c>
      <c r="C355" s="8" t="s">
        <v>62</v>
      </c>
      <c r="D355" s="21" t="n">
        <v>46063.9166666667</v>
      </c>
      <c r="E355" s="21" t="n">
        <v>46064.5625</v>
      </c>
      <c r="F355" s="22" t="n">
        <f aca="false">DATE(YEAR(E355),MONTH(E355),1)</f>
        <v>46054</v>
      </c>
      <c r="G355" s="23" t="n">
        <v>278836</v>
      </c>
      <c r="H355" s="8" t="s">
        <v>61</v>
      </c>
      <c r="I355" s="24" t="n">
        <v>-12038.31</v>
      </c>
      <c r="J355" s="25" t="n">
        <f aca="false">Summary!$B$4</f>
        <v>1</v>
      </c>
      <c r="K355" s="11" t="n">
        <f aca="false">I355*J355*IF(A355="SILVER",Summary!$B$5,Summary!$B$6)</f>
        <v>-361149.3</v>
      </c>
      <c r="L355" s="26" t="n">
        <v>-0.925</v>
      </c>
      <c r="M355" s="27" t="n">
        <f aca="false">IF(K355&gt;0,1,0)</f>
        <v>0</v>
      </c>
      <c r="N355" s="11" t="n">
        <f aca="false">SUMIFS(K$2:K355,A$2:A355,A355,B$2:B355,B355)</f>
        <v>4209577.5</v>
      </c>
      <c r="O355" s="11" t="n">
        <f aca="false">MAX(0,_xlfn.MAXIFS(N$2:N355,A$2:A355,A355,B$2:B355,B355))</f>
        <v>5045735.7</v>
      </c>
      <c r="P355" s="11" t="n">
        <f aca="false">N355-O355</f>
        <v>-836158.2</v>
      </c>
    </row>
    <row r="356" customFormat="false" ht="15" hidden="false" customHeight="false" outlineLevel="0" collapsed="false">
      <c r="A356" s="8" t="s">
        <v>26</v>
      </c>
      <c r="B356" s="8" t="s">
        <v>39</v>
      </c>
      <c r="C356" s="8" t="s">
        <v>62</v>
      </c>
      <c r="D356" s="21" t="n">
        <v>46064.875</v>
      </c>
      <c r="E356" s="21" t="n">
        <v>46071.4375</v>
      </c>
      <c r="F356" s="22" t="n">
        <f aca="false">DATE(YEAR(E356),MONTH(E356),1)</f>
        <v>46054</v>
      </c>
      <c r="G356" s="23" t="n">
        <v>287904</v>
      </c>
      <c r="H356" s="8" t="s">
        <v>61</v>
      </c>
      <c r="I356" s="24" t="n">
        <v>21576.24</v>
      </c>
      <c r="J356" s="25" t="n">
        <f aca="false">Summary!$B$4</f>
        <v>1</v>
      </c>
      <c r="K356" s="11" t="n">
        <f aca="false">I356*J356*IF(A356="SILVER",Summary!$B$5,Summary!$B$6)</f>
        <v>647287.2</v>
      </c>
      <c r="L356" s="26" t="n">
        <v>2.063</v>
      </c>
      <c r="M356" s="27" t="n">
        <f aca="false">IF(K356&gt;0,1,0)</f>
        <v>1</v>
      </c>
      <c r="N356" s="11" t="n">
        <f aca="false">SUMIFS(K$2:K356,A$2:A356,A356,B$2:B356,B356)</f>
        <v>4856864.7</v>
      </c>
      <c r="O356" s="11" t="n">
        <f aca="false">MAX(0,_xlfn.MAXIFS(N$2:N356,A$2:A356,A356,B$2:B356,B356))</f>
        <v>5045735.7</v>
      </c>
      <c r="P356" s="11" t="n">
        <f aca="false">N356-O356</f>
        <v>-188871</v>
      </c>
    </row>
    <row r="357" customFormat="false" ht="15" hidden="false" customHeight="false" outlineLevel="0" collapsed="false">
      <c r="A357" s="8" t="s">
        <v>26</v>
      </c>
      <c r="B357" s="8" t="s">
        <v>39</v>
      </c>
      <c r="C357" s="8" t="s">
        <v>62</v>
      </c>
      <c r="D357" s="21" t="n">
        <v>46072.7395833333</v>
      </c>
      <c r="E357" s="21" t="n">
        <v>46073.6145833333</v>
      </c>
      <c r="F357" s="22" t="n">
        <f aca="false">DATE(YEAR(E357),MONTH(E357),1)</f>
        <v>46054</v>
      </c>
      <c r="G357" s="23" t="n">
        <v>270236</v>
      </c>
      <c r="H357" s="8" t="s">
        <v>61</v>
      </c>
      <c r="I357" s="24" t="n">
        <v>-9522.33</v>
      </c>
      <c r="J357" s="25" t="n">
        <f aca="false">Summary!$B$4</f>
        <v>1</v>
      </c>
      <c r="K357" s="11" t="n">
        <f aca="false">I357*J357*IF(A357="SILVER",Summary!$B$5,Summary!$B$6)</f>
        <v>-285669.9</v>
      </c>
      <c r="L357" s="26" t="n">
        <v>-1.4</v>
      </c>
      <c r="M357" s="27" t="n">
        <f aca="false">IF(K357&gt;0,1,0)</f>
        <v>0</v>
      </c>
      <c r="N357" s="11" t="n">
        <f aca="false">SUMIFS(K$2:K357,A$2:A357,A357,B$2:B357,B357)</f>
        <v>4571194.8</v>
      </c>
      <c r="O357" s="11" t="n">
        <f aca="false">MAX(0,_xlfn.MAXIFS(N$2:N357,A$2:A357,A357,B$2:B357,B357))</f>
        <v>5045735.7</v>
      </c>
      <c r="P357" s="11" t="n">
        <f aca="false">N357-O357</f>
        <v>-474540.9</v>
      </c>
    </row>
    <row r="358" customFormat="false" ht="15" hidden="false" customHeight="false" outlineLevel="0" collapsed="false">
      <c r="A358" s="8" t="s">
        <v>26</v>
      </c>
      <c r="B358" s="8" t="s">
        <v>39</v>
      </c>
      <c r="C358" s="8" t="s">
        <v>62</v>
      </c>
      <c r="D358" s="21" t="n">
        <v>46077.8125</v>
      </c>
      <c r="E358" s="21" t="n">
        <v>46078.3854166667</v>
      </c>
      <c r="F358" s="22" t="n">
        <f aca="false">DATE(YEAR(E358),MONTH(E358),1)</f>
        <v>46054</v>
      </c>
      <c r="G358" s="23" t="n">
        <v>284256</v>
      </c>
      <c r="H358" s="8" t="s">
        <v>61</v>
      </c>
      <c r="I358" s="24" t="n">
        <v>-9755.16</v>
      </c>
      <c r="J358" s="25" t="n">
        <f aca="false">Summary!$B$4</f>
        <v>1</v>
      </c>
      <c r="K358" s="11" t="n">
        <f aca="false">I358*J358*IF(A358="SILVER",Summary!$B$5,Summary!$B$6)</f>
        <v>-292654.8</v>
      </c>
      <c r="L358" s="26" t="n">
        <v>-0.917</v>
      </c>
      <c r="M358" s="27" t="n">
        <f aca="false">IF(K358&gt;0,1,0)</f>
        <v>0</v>
      </c>
      <c r="N358" s="11" t="n">
        <f aca="false">SUMIFS(K$2:K358,A$2:A358,A358,B$2:B358,B358)</f>
        <v>4278540</v>
      </c>
      <c r="O358" s="11" t="n">
        <f aca="false">MAX(0,_xlfn.MAXIFS(N$2:N358,A$2:A358,A358,B$2:B358,B358))</f>
        <v>5045735.7</v>
      </c>
      <c r="P358" s="11" t="n">
        <f aca="false">N358-O358</f>
        <v>-767195.7</v>
      </c>
    </row>
    <row r="359" customFormat="false" ht="15" hidden="false" customHeight="false" outlineLevel="0" collapsed="false">
      <c r="A359" s="8" t="s">
        <v>26</v>
      </c>
      <c r="B359" s="8" t="s">
        <v>39</v>
      </c>
      <c r="C359" s="8" t="s">
        <v>62</v>
      </c>
      <c r="D359" s="21" t="n">
        <v>46079.5416666667</v>
      </c>
      <c r="E359" s="21" t="n">
        <v>46079.6402777778</v>
      </c>
      <c r="F359" s="22" t="n">
        <f aca="false">DATE(YEAR(E359),MONTH(E359),1)</f>
        <v>46054</v>
      </c>
      <c r="G359" s="23" t="n">
        <v>289744</v>
      </c>
      <c r="H359" s="8" t="s">
        <v>64</v>
      </c>
      <c r="I359" s="24" t="n">
        <v>819.52</v>
      </c>
      <c r="J359" s="25" t="n">
        <f aca="false">Summary!$B$4</f>
        <v>1</v>
      </c>
      <c r="K359" s="11" t="n">
        <f aca="false">I359*J359*IF(A359="SILVER",Summary!$B$5,Summary!$B$6)</f>
        <v>24585.6</v>
      </c>
      <c r="L359" s="26" t="n">
        <v>0.093</v>
      </c>
      <c r="M359" s="27" t="n">
        <f aca="false">IF(K359&gt;0,1,0)</f>
        <v>1</v>
      </c>
      <c r="N359" s="11" t="n">
        <f aca="false">SUMIFS(K$2:K359,A$2:A359,A359,B$2:B359,B359)</f>
        <v>4303125.6</v>
      </c>
      <c r="O359" s="11" t="n">
        <f aca="false">MAX(0,_xlfn.MAXIFS(N$2:N359,A$2:A359,A359,B$2:B359,B359))</f>
        <v>5045735.7</v>
      </c>
      <c r="P359" s="11" t="n">
        <f aca="false">N359-O359</f>
        <v>-742610.1</v>
      </c>
    </row>
    <row r="360" customFormat="false" ht="15" hidden="false" customHeight="false" outlineLevel="0" collapsed="false">
      <c r="A360" s="8" t="s">
        <v>26</v>
      </c>
      <c r="B360" s="8" t="s">
        <v>39</v>
      </c>
      <c r="C360" s="8" t="s">
        <v>62</v>
      </c>
      <c r="D360" s="21" t="n">
        <v>46083.8444444445</v>
      </c>
      <c r="E360" s="21" t="n">
        <v>46085.4243055556</v>
      </c>
      <c r="F360" s="22" t="n">
        <f aca="false">DATE(YEAR(E360),MONTH(E360),1)</f>
        <v>46082</v>
      </c>
      <c r="G360" s="23" t="n">
        <v>304907</v>
      </c>
      <c r="H360" s="8" t="s">
        <v>61</v>
      </c>
      <c r="I360" s="24" t="n">
        <v>10308.8</v>
      </c>
      <c r="J360" s="25" t="n">
        <f aca="false">Summary!$B$4</f>
        <v>1</v>
      </c>
      <c r="K360" s="11" t="n">
        <f aca="false">I360*J360*IF(A360="SILVER",Summary!$B$5,Summary!$B$6)</f>
        <v>309264</v>
      </c>
      <c r="L360" s="26" t="n">
        <v>1.252</v>
      </c>
      <c r="M360" s="27" t="n">
        <f aca="false">IF(K360&gt;0,1,0)</f>
        <v>1</v>
      </c>
      <c r="N360" s="11" t="n">
        <f aca="false">SUMIFS(K$2:K360,A$2:A360,A360,B$2:B360,B360)</f>
        <v>4612389.6</v>
      </c>
      <c r="O360" s="11" t="n">
        <f aca="false">MAX(0,_xlfn.MAXIFS(N$2:N360,A$2:A360,A360,B$2:B360,B360))</f>
        <v>5045735.7</v>
      </c>
      <c r="P360" s="11" t="n">
        <f aca="false">N360-O360</f>
        <v>-433346.1</v>
      </c>
    </row>
    <row r="361" customFormat="false" ht="15" hidden="false" customHeight="false" outlineLevel="0" collapsed="false">
      <c r="A361" s="8" t="s">
        <v>26</v>
      </c>
      <c r="B361" s="8" t="s">
        <v>39</v>
      </c>
      <c r="C361" s="8" t="s">
        <v>62</v>
      </c>
      <c r="D361" s="21" t="n">
        <v>46085.9388888889</v>
      </c>
      <c r="E361" s="21" t="n">
        <v>46086.55</v>
      </c>
      <c r="F361" s="22" t="n">
        <f aca="false">DATE(YEAR(E361),MONTH(E361),1)</f>
        <v>46082</v>
      </c>
      <c r="G361" s="23" t="n">
        <v>290334</v>
      </c>
      <c r="H361" s="8" t="s">
        <v>64</v>
      </c>
      <c r="I361" s="24" t="n">
        <v>637.76</v>
      </c>
      <c r="J361" s="25" t="n">
        <f aca="false">Summary!$B$4</f>
        <v>1</v>
      </c>
      <c r="K361" s="11" t="n">
        <f aca="false">I361*J361*IF(A361="SILVER",Summary!$B$5,Summary!$B$6)</f>
        <v>19132.8</v>
      </c>
      <c r="L361" s="26" t="n">
        <v>0.072</v>
      </c>
      <c r="M361" s="27" t="n">
        <f aca="false">IF(K361&gt;0,1,0)</f>
        <v>1</v>
      </c>
      <c r="N361" s="11" t="n">
        <f aca="false">SUMIFS(K$2:K361,A$2:A361,A361,B$2:B361,B361)</f>
        <v>4631522.4</v>
      </c>
      <c r="O361" s="11" t="n">
        <f aca="false">MAX(0,_xlfn.MAXIFS(N$2:N361,A$2:A361,A361,B$2:B361,B361))</f>
        <v>5045735.7</v>
      </c>
      <c r="P361" s="11" t="n">
        <f aca="false">N361-O361</f>
        <v>-414213.3</v>
      </c>
    </row>
    <row r="362" customFormat="false" ht="15" hidden="false" customHeight="false" outlineLevel="0" collapsed="false">
      <c r="A362" s="8" t="s">
        <v>26</v>
      </c>
      <c r="B362" s="8" t="s">
        <v>39</v>
      </c>
      <c r="C362" s="8" t="s">
        <v>62</v>
      </c>
      <c r="D362" s="21" t="n">
        <v>46092.5208333333</v>
      </c>
      <c r="E362" s="21" t="n">
        <v>46093.5090277778</v>
      </c>
      <c r="F362" s="22" t="n">
        <f aca="false">DATE(YEAR(E362),MONTH(E362),1)</f>
        <v>46082</v>
      </c>
      <c r="G362" s="23" t="n">
        <v>290447</v>
      </c>
      <c r="H362" s="8" t="s">
        <v>64</v>
      </c>
      <c r="I362" s="24" t="n">
        <v>549.22</v>
      </c>
      <c r="J362" s="25" t="n">
        <f aca="false">Summary!$B$4</f>
        <v>1</v>
      </c>
      <c r="K362" s="11" t="n">
        <f aca="false">I362*J362*IF(A362="SILVER",Summary!$B$5,Summary!$B$6)</f>
        <v>16476.6</v>
      </c>
      <c r="L362" s="26" t="n">
        <v>0.089</v>
      </c>
      <c r="M362" s="27" t="n">
        <f aca="false">IF(K362&gt;0,1,0)</f>
        <v>1</v>
      </c>
      <c r="N362" s="11" t="n">
        <f aca="false">SUMIFS(K$2:K362,A$2:A362,A362,B$2:B362,B362)</f>
        <v>4647999</v>
      </c>
      <c r="O362" s="11" t="n">
        <f aca="false">MAX(0,_xlfn.MAXIFS(N$2:N362,A$2:A362,A362,B$2:B362,B362))</f>
        <v>5045735.7</v>
      </c>
      <c r="P362" s="11" t="n">
        <f aca="false">N362-O362</f>
        <v>-397736.7</v>
      </c>
    </row>
    <row r="363" customFormat="false" ht="15" hidden="false" customHeight="false" outlineLevel="0" collapsed="false">
      <c r="A363" s="8" t="s">
        <v>26</v>
      </c>
      <c r="B363" s="8" t="s">
        <v>39</v>
      </c>
      <c r="C363" s="8" t="s">
        <v>62</v>
      </c>
      <c r="D363" s="21" t="n">
        <v>46093.8645833333</v>
      </c>
      <c r="E363" s="21" t="n">
        <v>46094.7319444444</v>
      </c>
      <c r="F363" s="22" t="n">
        <f aca="false">DATE(YEAR(E363),MONTH(E363),1)</f>
        <v>46082</v>
      </c>
      <c r="G363" s="23" t="n">
        <v>285360</v>
      </c>
      <c r="H363" s="8" t="s">
        <v>64</v>
      </c>
      <c r="I363" s="24" t="n">
        <v>714.53</v>
      </c>
      <c r="J363" s="25" t="n">
        <f aca="false">Summary!$B$4</f>
        <v>1</v>
      </c>
      <c r="K363" s="11" t="n">
        <f aca="false">I363*J363*IF(A363="SILVER",Summary!$B$5,Summary!$B$6)</f>
        <v>21435.9</v>
      </c>
      <c r="L363" s="26" t="n">
        <v>0.089</v>
      </c>
      <c r="M363" s="27" t="n">
        <f aca="false">IF(K363&gt;0,1,0)</f>
        <v>1</v>
      </c>
      <c r="N363" s="11" t="n">
        <f aca="false">SUMIFS(K$2:K363,A$2:A363,A363,B$2:B363,B363)</f>
        <v>4669434.9</v>
      </c>
      <c r="O363" s="11" t="n">
        <f aca="false">MAX(0,_xlfn.MAXIFS(N$2:N363,A$2:A363,A363,B$2:B363,B363))</f>
        <v>5045735.7</v>
      </c>
      <c r="P363" s="11" t="n">
        <f aca="false">N363-O363</f>
        <v>-376300.8</v>
      </c>
    </row>
    <row r="364" customFormat="false" ht="15" hidden="false" customHeight="false" outlineLevel="0" collapsed="false">
      <c r="A364" s="8" t="s">
        <v>26</v>
      </c>
      <c r="B364" s="8" t="s">
        <v>39</v>
      </c>
      <c r="C364" s="8" t="s">
        <v>62</v>
      </c>
      <c r="D364" s="21" t="n">
        <v>46098.8854166667</v>
      </c>
      <c r="E364" s="21" t="n">
        <v>46100.9583333333</v>
      </c>
      <c r="F364" s="22" t="n">
        <f aca="false">DATE(YEAR(E364),MONTH(E364),1)</f>
        <v>46082</v>
      </c>
      <c r="G364" s="23" t="n">
        <v>269840</v>
      </c>
      <c r="H364" s="8" t="s">
        <v>61</v>
      </c>
      <c r="I364" s="24" t="n">
        <v>21796.72</v>
      </c>
      <c r="J364" s="25" t="n">
        <f aca="false">Summary!$B$4</f>
        <v>1</v>
      </c>
      <c r="K364" s="11" t="n">
        <f aca="false">I364*J364*IF(A364="SILVER",Summary!$B$5,Summary!$B$6)</f>
        <v>653901.6</v>
      </c>
      <c r="L364" s="26" t="n">
        <v>2.489</v>
      </c>
      <c r="M364" s="27" t="n">
        <f aca="false">IF(K364&gt;0,1,0)</f>
        <v>1</v>
      </c>
      <c r="N364" s="11" t="n">
        <f aca="false">SUMIFS(K$2:K364,A$2:A364,A364,B$2:B364,B364)</f>
        <v>5323336.5</v>
      </c>
      <c r="O364" s="11" t="n">
        <f aca="false">MAX(0,_xlfn.MAXIFS(N$2:N364,A$2:A364,A364,B$2:B364,B364))</f>
        <v>5323336.5</v>
      </c>
      <c r="P364" s="11" t="n">
        <f aca="false">N364-O364</f>
        <v>0</v>
      </c>
    </row>
    <row r="365" customFormat="false" ht="15" hidden="false" customHeight="false" outlineLevel="0" collapsed="false">
      <c r="A365" s="8" t="s">
        <v>26</v>
      </c>
      <c r="B365" s="8" t="s">
        <v>39</v>
      </c>
      <c r="C365" s="8" t="s">
        <v>62</v>
      </c>
      <c r="D365" s="21" t="n">
        <v>46101.8333333333</v>
      </c>
      <c r="E365" s="21" t="n">
        <v>46104.6951388889</v>
      </c>
      <c r="F365" s="22" t="n">
        <f aca="false">DATE(YEAR(E365),MONTH(E365),1)</f>
        <v>46082</v>
      </c>
      <c r="G365" s="23" t="n">
        <v>241008</v>
      </c>
      <c r="H365" s="8" t="s">
        <v>64</v>
      </c>
      <c r="I365" s="24" t="n">
        <v>1360.02</v>
      </c>
      <c r="J365" s="25" t="n">
        <f aca="false">Summary!$B$4</f>
        <v>1</v>
      </c>
      <c r="K365" s="11" t="n">
        <f aca="false">I365*J365*IF(A365="SILVER",Summary!$B$5,Summary!$B$6)</f>
        <v>40800.6</v>
      </c>
      <c r="L365" s="26" t="n">
        <v>0.096</v>
      </c>
      <c r="M365" s="27" t="n">
        <f aca="false">IF(K365&gt;0,1,0)</f>
        <v>1</v>
      </c>
      <c r="N365" s="11" t="n">
        <f aca="false">SUMIFS(K$2:K365,A$2:A365,A365,B$2:B365,B365)</f>
        <v>5364137.1</v>
      </c>
      <c r="O365" s="11" t="n">
        <f aca="false">MAX(0,_xlfn.MAXIFS(N$2:N365,A$2:A365,A365,B$2:B365,B365))</f>
        <v>5364137.1</v>
      </c>
      <c r="P365" s="11" t="n">
        <f aca="false">N365-O365</f>
        <v>0</v>
      </c>
    </row>
    <row r="366" customFormat="false" ht="15" hidden="false" customHeight="false" outlineLevel="0" collapsed="false">
      <c r="A366" s="8" t="s">
        <v>26</v>
      </c>
      <c r="B366" s="8" t="s">
        <v>39</v>
      </c>
      <c r="C366" s="8" t="s">
        <v>62</v>
      </c>
      <c r="D366" s="21" t="n">
        <v>46107.71875</v>
      </c>
      <c r="E366" s="21" t="n">
        <v>46108.46875</v>
      </c>
      <c r="F366" s="22" t="n">
        <f aca="false">DATE(YEAR(E366),MONTH(E366),1)</f>
        <v>46082</v>
      </c>
      <c r="G366" s="23" t="n">
        <v>239270</v>
      </c>
      <c r="H366" s="8" t="s">
        <v>61</v>
      </c>
      <c r="I366" s="24" t="n">
        <v>-5646.93</v>
      </c>
      <c r="J366" s="25" t="n">
        <f aca="false">Summary!$B$4</f>
        <v>1</v>
      </c>
      <c r="K366" s="11" t="n">
        <f aca="false">I366*J366*IF(A366="SILVER",Summary!$B$5,Summary!$B$6)</f>
        <v>-169407.9</v>
      </c>
      <c r="L366" s="26" t="n">
        <v>-0.488</v>
      </c>
      <c r="M366" s="27" t="n">
        <f aca="false">IF(K366&gt;0,1,0)</f>
        <v>0</v>
      </c>
      <c r="N366" s="11" t="n">
        <f aca="false">SUMIFS(K$2:K366,A$2:A366,A366,B$2:B366,B366)</f>
        <v>5194729.2</v>
      </c>
      <c r="O366" s="11" t="n">
        <f aca="false">MAX(0,_xlfn.MAXIFS(N$2:N366,A$2:A366,A366,B$2:B366,B366))</f>
        <v>5364137.1</v>
      </c>
      <c r="P366" s="11" t="n">
        <f aca="false">N366-O366</f>
        <v>-169407.9</v>
      </c>
    </row>
    <row r="367" customFormat="false" ht="15" hidden="false" customHeight="false" outlineLevel="0" collapsed="false">
      <c r="A367" s="8" t="s">
        <v>26</v>
      </c>
      <c r="B367" s="8" t="s">
        <v>39</v>
      </c>
      <c r="C367" s="8" t="s">
        <v>62</v>
      </c>
      <c r="D367" s="21" t="n">
        <v>46114.3854166667</v>
      </c>
      <c r="E367" s="21" t="n">
        <v>46114.8291666667</v>
      </c>
      <c r="F367" s="22" t="n">
        <f aca="false">DATE(YEAR(E367),MONTH(E367),1)</f>
        <v>46113</v>
      </c>
      <c r="G367" s="23" t="n">
        <v>249885</v>
      </c>
      <c r="H367" s="8" t="s">
        <v>64</v>
      </c>
      <c r="I367" s="24" t="n">
        <v>1246.18</v>
      </c>
      <c r="J367" s="25" t="n">
        <f aca="false">Summary!$B$4</f>
        <v>1</v>
      </c>
      <c r="K367" s="11" t="n">
        <f aca="false">I367*J367*IF(A367="SILVER",Summary!$B$5,Summary!$B$6)</f>
        <v>37385.4</v>
      </c>
      <c r="L367" s="26" t="n">
        <v>0.096</v>
      </c>
      <c r="M367" s="27" t="n">
        <f aca="false">IF(K367&gt;0,1,0)</f>
        <v>1</v>
      </c>
      <c r="N367" s="11" t="n">
        <f aca="false">SUMIFS(K$2:K367,A$2:A367,A367,B$2:B367,B367)</f>
        <v>5232114.6</v>
      </c>
      <c r="O367" s="11" t="n">
        <f aca="false">MAX(0,_xlfn.MAXIFS(N$2:N367,A$2:A367,A367,B$2:B367,B367))</f>
        <v>5364137.1</v>
      </c>
      <c r="P367" s="11" t="n">
        <f aca="false">N367-O367</f>
        <v>-132022.5</v>
      </c>
    </row>
    <row r="368" customFormat="false" ht="15" hidden="false" customHeight="false" outlineLevel="0" collapsed="false">
      <c r="A368" s="8" t="s">
        <v>26</v>
      </c>
      <c r="B368" s="8" t="s">
        <v>39</v>
      </c>
      <c r="C368" s="8" t="s">
        <v>62</v>
      </c>
      <c r="D368" s="21" t="n">
        <v>46119.8020833333</v>
      </c>
      <c r="E368" s="21" t="n">
        <v>46119.8381944444</v>
      </c>
      <c r="F368" s="22" t="n">
        <f aca="false">DATE(YEAR(E368),MONTH(E368),1)</f>
        <v>46113</v>
      </c>
      <c r="G368" s="23" t="n">
        <v>246471</v>
      </c>
      <c r="H368" s="8" t="s">
        <v>64</v>
      </c>
      <c r="I368" s="24" t="n">
        <v>708.4</v>
      </c>
      <c r="J368" s="25" t="n">
        <f aca="false">Summary!$B$4</f>
        <v>1</v>
      </c>
      <c r="K368" s="11" t="n">
        <f aca="false">I368*J368*IF(A368="SILVER",Summary!$B$5,Summary!$B$6)</f>
        <v>21252</v>
      </c>
      <c r="L368" s="26" t="n">
        <v>0.093</v>
      </c>
      <c r="M368" s="27" t="n">
        <f aca="false">IF(K368&gt;0,1,0)</f>
        <v>1</v>
      </c>
      <c r="N368" s="11" t="n">
        <f aca="false">SUMIFS(K$2:K368,A$2:A368,A368,B$2:B368,B368)</f>
        <v>5253366.6</v>
      </c>
      <c r="O368" s="11" t="n">
        <f aca="false">MAX(0,_xlfn.MAXIFS(N$2:N368,A$2:A368,A368,B$2:B368,B368))</f>
        <v>5364137.1</v>
      </c>
      <c r="P368" s="11" t="n">
        <f aca="false">N368-O368</f>
        <v>-110770.5</v>
      </c>
    </row>
    <row r="369" customFormat="false" ht="15" hidden="false" customHeight="false" outlineLevel="0" collapsed="false">
      <c r="A369" s="8" t="s">
        <v>26</v>
      </c>
      <c r="B369" s="8" t="s">
        <v>39</v>
      </c>
      <c r="C369" s="8" t="s">
        <v>62</v>
      </c>
      <c r="D369" s="21" t="n">
        <v>46120.84375</v>
      </c>
      <c r="E369" s="21" t="n">
        <v>46121.7986111111</v>
      </c>
      <c r="F369" s="22" t="n">
        <f aca="false">DATE(YEAR(E369),MONTH(E369),1)</f>
        <v>46113</v>
      </c>
      <c r="G369" s="23" t="n">
        <v>258132</v>
      </c>
      <c r="H369" s="8" t="s">
        <v>64</v>
      </c>
      <c r="I369" s="24" t="n">
        <v>647.84</v>
      </c>
      <c r="J369" s="25" t="n">
        <f aca="false">Summary!$B$4</f>
        <v>1</v>
      </c>
      <c r="K369" s="11" t="n">
        <f aca="false">I369*J369*IF(A369="SILVER",Summary!$B$5,Summary!$B$6)</f>
        <v>19435.2</v>
      </c>
      <c r="L369" s="26" t="n">
        <v>0.092</v>
      </c>
      <c r="M369" s="27" t="n">
        <f aca="false">IF(K369&gt;0,1,0)</f>
        <v>1</v>
      </c>
      <c r="N369" s="11" t="n">
        <f aca="false">SUMIFS(K$2:K369,A$2:A369,A369,B$2:B369,B369)</f>
        <v>5272801.8</v>
      </c>
      <c r="O369" s="11" t="n">
        <f aca="false">MAX(0,_xlfn.MAXIFS(N$2:N369,A$2:A369,A369,B$2:B369,B369))</f>
        <v>5364137.1</v>
      </c>
      <c r="P369" s="11" t="n">
        <f aca="false">N369-O369</f>
        <v>-91335.3000000008</v>
      </c>
    </row>
    <row r="370" customFormat="false" ht="15" hidden="false" customHeight="false" outlineLevel="0" collapsed="false">
      <c r="A370" s="8" t="s">
        <v>26</v>
      </c>
      <c r="B370" s="8" t="s">
        <v>39</v>
      </c>
      <c r="C370" s="8" t="s">
        <v>62</v>
      </c>
      <c r="D370" s="21" t="n">
        <v>46125.3854166667</v>
      </c>
      <c r="E370" s="21" t="n">
        <v>46125.9270833333</v>
      </c>
      <c r="F370" s="22" t="n">
        <f aca="false">DATE(YEAR(E370),MONTH(E370),1)</f>
        <v>46113</v>
      </c>
      <c r="G370" s="23" t="n">
        <v>256168</v>
      </c>
      <c r="H370" s="8" t="s">
        <v>61</v>
      </c>
      <c r="I370" s="24" t="n">
        <v>-3157.06</v>
      </c>
      <c r="J370" s="25" t="n">
        <f aca="false">Summary!$B$4</f>
        <v>1</v>
      </c>
      <c r="K370" s="11" t="n">
        <f aca="false">I370*J370*IF(A370="SILVER",Summary!$B$5,Summary!$B$6)</f>
        <v>-94711.8</v>
      </c>
      <c r="L370" s="26" t="n">
        <v>-0.585</v>
      </c>
      <c r="M370" s="27" t="n">
        <f aca="false">IF(K370&gt;0,1,0)</f>
        <v>0</v>
      </c>
      <c r="N370" s="11" t="n">
        <f aca="false">SUMIFS(K$2:K370,A$2:A370,A370,B$2:B370,B370)</f>
        <v>5178090</v>
      </c>
      <c r="O370" s="11" t="n">
        <f aca="false">MAX(0,_xlfn.MAXIFS(N$2:N370,A$2:A370,A370,B$2:B370,B370))</f>
        <v>5364137.1</v>
      </c>
      <c r="P370" s="11" t="n">
        <f aca="false">N370-O370</f>
        <v>-186047.100000001</v>
      </c>
    </row>
    <row r="371" customFormat="false" ht="15" hidden="false" customHeight="false" outlineLevel="0" collapsed="false">
      <c r="A371" s="8" t="s">
        <v>26</v>
      </c>
      <c r="B371" s="8" t="s">
        <v>39</v>
      </c>
      <c r="C371" s="8" t="s">
        <v>62</v>
      </c>
      <c r="D371" s="21" t="n">
        <v>46128.84375</v>
      </c>
      <c r="E371" s="21" t="n">
        <v>46129.75</v>
      </c>
      <c r="F371" s="22" t="n">
        <f aca="false">DATE(YEAR(E371),MONTH(E371),1)</f>
        <v>46113</v>
      </c>
      <c r="G371" s="23" t="n">
        <v>266588</v>
      </c>
      <c r="H371" s="8" t="s">
        <v>61</v>
      </c>
      <c r="I371" s="24" t="n">
        <v>-4497.26</v>
      </c>
      <c r="J371" s="25" t="n">
        <f aca="false">Summary!$B$4</f>
        <v>1</v>
      </c>
      <c r="K371" s="11" t="n">
        <f aca="false">I371*J371*IF(A371="SILVER",Summary!$B$5,Summary!$B$6)</f>
        <v>-134917.8</v>
      </c>
      <c r="L371" s="26" t="n">
        <v>-0.782</v>
      </c>
      <c r="M371" s="27" t="n">
        <f aca="false">IF(K371&gt;0,1,0)</f>
        <v>0</v>
      </c>
      <c r="N371" s="11" t="n">
        <f aca="false">SUMIFS(K$2:K371,A$2:A371,A371,B$2:B371,B371)</f>
        <v>5043172.2</v>
      </c>
      <c r="O371" s="11" t="n">
        <f aca="false">MAX(0,_xlfn.MAXIFS(N$2:N371,A$2:A371,A371,B$2:B371,B371))</f>
        <v>5364137.1</v>
      </c>
      <c r="P371" s="11" t="n">
        <f aca="false">N371-O371</f>
        <v>-320964.9</v>
      </c>
    </row>
    <row r="372" customFormat="false" ht="15" hidden="false" customHeight="false" outlineLevel="0" collapsed="false">
      <c r="A372" s="8" t="s">
        <v>26</v>
      </c>
      <c r="B372" s="8" t="s">
        <v>39</v>
      </c>
      <c r="C372" s="8" t="s">
        <v>62</v>
      </c>
      <c r="D372" s="21" t="n">
        <v>46132.3854166667</v>
      </c>
      <c r="E372" s="21" t="n">
        <v>46134.3958333333</v>
      </c>
      <c r="F372" s="22" t="n">
        <f aca="false">DATE(YEAR(E372),MONTH(E372),1)</f>
        <v>46113</v>
      </c>
      <c r="G372" s="23" t="n">
        <v>270337</v>
      </c>
      <c r="H372" s="8" t="s">
        <v>61</v>
      </c>
      <c r="I372" s="24" t="n">
        <v>3895.78</v>
      </c>
      <c r="J372" s="25" t="n">
        <f aca="false">Summary!$B$4</f>
        <v>1</v>
      </c>
      <c r="K372" s="11" t="n">
        <f aca="false">I372*J372*IF(A372="SILVER",Summary!$B$5,Summary!$B$6)</f>
        <v>116873.4</v>
      </c>
      <c r="L372" s="26" t="n">
        <v>0.464</v>
      </c>
      <c r="M372" s="27" t="n">
        <f aca="false">IF(K372&gt;0,1,0)</f>
        <v>1</v>
      </c>
      <c r="N372" s="11" t="n">
        <f aca="false">SUMIFS(K$2:K372,A$2:A372,A372,B$2:B372,B372)</f>
        <v>5160045.6</v>
      </c>
      <c r="O372" s="11" t="n">
        <f aca="false">MAX(0,_xlfn.MAXIFS(N$2:N372,A$2:A372,A372,B$2:B372,B372))</f>
        <v>5364137.1</v>
      </c>
      <c r="P372" s="11" t="n">
        <f aca="false">N372-O372</f>
        <v>-204091.5</v>
      </c>
    </row>
    <row r="373" customFormat="false" ht="15" hidden="false" customHeight="false" outlineLevel="0" collapsed="false">
      <c r="A373" s="8" t="s">
        <v>26</v>
      </c>
      <c r="B373" s="8" t="s">
        <v>39</v>
      </c>
      <c r="C373" s="8" t="s">
        <v>62</v>
      </c>
      <c r="D373" s="21" t="n">
        <v>46135.3854166667</v>
      </c>
      <c r="E373" s="21" t="n">
        <v>46135.7319444444</v>
      </c>
      <c r="F373" s="22" t="n">
        <f aca="false">DATE(YEAR(E373),MONTH(E373),1)</f>
        <v>46113</v>
      </c>
      <c r="G373" s="23" t="n">
        <v>261624</v>
      </c>
      <c r="H373" s="8" t="s">
        <v>64</v>
      </c>
      <c r="I373" s="24" t="n">
        <v>415.11</v>
      </c>
      <c r="J373" s="25" t="n">
        <f aca="false">Summary!$B$4</f>
        <v>1</v>
      </c>
      <c r="K373" s="11" t="n">
        <f aca="false">I373*J373*IF(A373="SILVER",Summary!$B$5,Summary!$B$6)</f>
        <v>12453.3</v>
      </c>
      <c r="L373" s="26" t="n">
        <v>0.088</v>
      </c>
      <c r="M373" s="27" t="n">
        <f aca="false">IF(K373&gt;0,1,0)</f>
        <v>1</v>
      </c>
      <c r="N373" s="11" t="n">
        <f aca="false">SUMIFS(K$2:K373,A$2:A373,A373,B$2:B373,B373)</f>
        <v>5172498.9</v>
      </c>
      <c r="O373" s="11" t="n">
        <f aca="false">MAX(0,_xlfn.MAXIFS(N$2:N373,A$2:A373,A373,B$2:B373,B373))</f>
        <v>5364137.1</v>
      </c>
      <c r="P373" s="11" t="n">
        <f aca="false">N373-O373</f>
        <v>-191638.2</v>
      </c>
    </row>
    <row r="374" customFormat="false" ht="15" hidden="false" customHeight="false" outlineLevel="0" collapsed="false">
      <c r="A374" s="8" t="s">
        <v>26</v>
      </c>
      <c r="B374" s="8" t="s">
        <v>39</v>
      </c>
      <c r="C374" s="8" t="s">
        <v>62</v>
      </c>
      <c r="D374" s="21" t="n">
        <v>46135.96875</v>
      </c>
      <c r="E374" s="21" t="n">
        <v>46136.7395833333</v>
      </c>
      <c r="F374" s="22" t="n">
        <f aca="false">DATE(YEAR(E374),MONTH(E374),1)</f>
        <v>46113</v>
      </c>
      <c r="G374" s="23" t="n">
        <v>258155</v>
      </c>
      <c r="H374" s="8" t="s">
        <v>61</v>
      </c>
      <c r="I374" s="24" t="n">
        <v>-3587.52</v>
      </c>
      <c r="J374" s="25" t="n">
        <f aca="false">Summary!$B$4</f>
        <v>1</v>
      </c>
      <c r="K374" s="11" t="n">
        <f aca="false">I374*J374*IF(A374="SILVER",Summary!$B$5,Summary!$B$6)</f>
        <v>-107625.6</v>
      </c>
      <c r="L374" s="26" t="n">
        <v>-0.533</v>
      </c>
      <c r="M374" s="27" t="n">
        <f aca="false">IF(K374&gt;0,1,0)</f>
        <v>0</v>
      </c>
      <c r="N374" s="11" t="n">
        <f aca="false">SUMIFS(K$2:K374,A$2:A374,A374,B$2:B374,B374)</f>
        <v>5064873.3</v>
      </c>
      <c r="O374" s="11" t="n">
        <f aca="false">MAX(0,_xlfn.MAXIFS(N$2:N374,A$2:A374,A374,B$2:B374,B374))</f>
        <v>5364137.1</v>
      </c>
      <c r="P374" s="11" t="n">
        <f aca="false">N374-O374</f>
        <v>-299263.800000001</v>
      </c>
    </row>
    <row r="375" customFormat="false" ht="15" hidden="false" customHeight="false" outlineLevel="0" collapsed="false">
      <c r="A375" s="8" t="s">
        <v>26</v>
      </c>
      <c r="B375" s="8" t="s">
        <v>39</v>
      </c>
      <c r="C375" s="8" t="s">
        <v>62</v>
      </c>
      <c r="D375" s="21" t="n">
        <v>46140.4479166667</v>
      </c>
      <c r="E375" s="21" t="n">
        <v>46142.5</v>
      </c>
      <c r="F375" s="22" t="n">
        <f aca="false">DATE(YEAR(E375),MONTH(E375),1)</f>
        <v>46113</v>
      </c>
      <c r="G375" s="23" t="n">
        <v>256719</v>
      </c>
      <c r="H375" s="8" t="s">
        <v>61</v>
      </c>
      <c r="I375" s="24" t="n">
        <v>1776.35</v>
      </c>
      <c r="J375" s="25" t="n">
        <f aca="false">Summary!$B$4</f>
        <v>1</v>
      </c>
      <c r="K375" s="11" t="n">
        <f aca="false">I375*J375*IF(A375="SILVER",Summary!$B$5,Summary!$B$6)</f>
        <v>53290.5</v>
      </c>
      <c r="L375" s="26" t="n">
        <v>0.406</v>
      </c>
      <c r="M375" s="27" t="n">
        <f aca="false">IF(K375&gt;0,1,0)</f>
        <v>1</v>
      </c>
      <c r="N375" s="11" t="n">
        <f aca="false">SUMIFS(K$2:K375,A$2:A375,A375,B$2:B375,B375)</f>
        <v>5118163.8</v>
      </c>
      <c r="O375" s="11" t="n">
        <f aca="false">MAX(0,_xlfn.MAXIFS(N$2:N375,A$2:A375,A375,B$2:B375,B375))</f>
        <v>5364137.1</v>
      </c>
      <c r="P375" s="11" t="n">
        <f aca="false">N375-O375</f>
        <v>-245973.300000001</v>
      </c>
    </row>
    <row r="376" customFormat="false" ht="15" hidden="false" customHeight="false" outlineLevel="0" collapsed="false">
      <c r="A376" s="8" t="s">
        <v>26</v>
      </c>
      <c r="B376" s="8" t="s">
        <v>39</v>
      </c>
      <c r="C376" s="8" t="s">
        <v>62</v>
      </c>
      <c r="D376" s="21" t="n">
        <v>46146.65625</v>
      </c>
      <c r="E376" s="21" t="n">
        <v>46148.6770833333</v>
      </c>
      <c r="F376" s="22" t="n">
        <f aca="false">DATE(YEAR(E376),MONTH(E376),1)</f>
        <v>46143</v>
      </c>
      <c r="G376" s="23" t="n">
        <v>255410</v>
      </c>
      <c r="H376" s="8" t="s">
        <v>61</v>
      </c>
      <c r="I376" s="24" t="n">
        <v>-6579.38</v>
      </c>
      <c r="J376" s="25" t="n">
        <f aca="false">Summary!$B$4</f>
        <v>1</v>
      </c>
      <c r="K376" s="11" t="n">
        <f aca="false">I376*J376*IF(A376="SILVER",Summary!$B$5,Summary!$B$6)</f>
        <v>-197381.4</v>
      </c>
      <c r="L376" s="26" t="n">
        <v>-0.869</v>
      </c>
      <c r="M376" s="27" t="n">
        <f aca="false">IF(K376&gt;0,1,0)</f>
        <v>0</v>
      </c>
      <c r="N376" s="11" t="n">
        <f aca="false">SUMIFS(K$2:K376,A$2:A376,A376,B$2:B376,B376)</f>
        <v>4920782.4</v>
      </c>
      <c r="O376" s="11" t="n">
        <f aca="false">MAX(0,_xlfn.MAXIFS(N$2:N376,A$2:A376,A376,B$2:B376,B376))</f>
        <v>5364137.1</v>
      </c>
      <c r="P376" s="11" t="n">
        <f aca="false">N376-O376</f>
        <v>-443354.7</v>
      </c>
    </row>
    <row r="377" customFormat="false" ht="15" hidden="false" customHeight="false" outlineLevel="0" collapsed="false">
      <c r="A377" s="8" t="s">
        <v>26</v>
      </c>
      <c r="B377" s="8" t="s">
        <v>39</v>
      </c>
      <c r="C377" s="8" t="s">
        <v>62</v>
      </c>
      <c r="D377" s="21" t="n">
        <v>46149.9583333333</v>
      </c>
      <c r="E377" s="21" t="n">
        <v>46153.7291666667</v>
      </c>
      <c r="F377" s="22" t="n">
        <f aca="false">DATE(YEAR(E377),MONTH(E377),1)</f>
        <v>46143</v>
      </c>
      <c r="G377" s="23" t="n">
        <v>264769</v>
      </c>
      <c r="H377" s="8" t="s">
        <v>61</v>
      </c>
      <c r="I377" s="24" t="n">
        <v>-8130.38</v>
      </c>
      <c r="J377" s="25" t="n">
        <f aca="false">Summary!$B$4</f>
        <v>1</v>
      </c>
      <c r="K377" s="11" t="n">
        <f aca="false">I377*J377*IF(A377="SILVER",Summary!$B$5,Summary!$B$6)</f>
        <v>-243911.4</v>
      </c>
      <c r="L377" s="26" t="n">
        <v>-1.013</v>
      </c>
      <c r="M377" s="27" t="n">
        <f aca="false">IF(K377&gt;0,1,0)</f>
        <v>0</v>
      </c>
      <c r="N377" s="11" t="n">
        <f aca="false">SUMIFS(K$2:K377,A$2:A377,A377,B$2:B377,B377)</f>
        <v>4676871</v>
      </c>
      <c r="O377" s="11" t="n">
        <f aca="false">MAX(0,_xlfn.MAXIFS(N$2:N377,A$2:A377,A377,B$2:B377,B377))</f>
        <v>5364137.1</v>
      </c>
      <c r="P377" s="11" t="n">
        <f aca="false">N377-O377</f>
        <v>-687266.100000001</v>
      </c>
    </row>
    <row r="378" customFormat="false" ht="15" hidden="false" customHeight="false" outlineLevel="0" collapsed="false">
      <c r="A378" s="8" t="s">
        <v>26</v>
      </c>
      <c r="B378" s="8" t="s">
        <v>39</v>
      </c>
      <c r="C378" s="8" t="s">
        <v>62</v>
      </c>
      <c r="D378" s="21" t="n">
        <v>46156.3958333333</v>
      </c>
      <c r="E378" s="21" t="n">
        <v>46160.7604166667</v>
      </c>
      <c r="F378" s="22" t="n">
        <f aca="false">DATE(YEAR(E378),MONTH(E378),1)</f>
        <v>46143</v>
      </c>
      <c r="G378" s="23" t="n">
        <v>302461</v>
      </c>
      <c r="H378" s="8" t="s">
        <v>61</v>
      </c>
      <c r="I378" s="24" t="n">
        <v>17424.65</v>
      </c>
      <c r="J378" s="25" t="n">
        <f aca="false">Summary!$B$4</f>
        <v>1</v>
      </c>
      <c r="K378" s="11" t="n">
        <f aca="false">I378*J378*IF(A378="SILVER",Summary!$B$5,Summary!$B$6)</f>
        <v>522739.5</v>
      </c>
      <c r="L378" s="26" t="n">
        <v>1.815</v>
      </c>
      <c r="M378" s="27" t="n">
        <f aca="false">IF(K378&gt;0,1,0)</f>
        <v>1</v>
      </c>
      <c r="N378" s="11" t="n">
        <f aca="false">SUMIFS(K$2:K378,A$2:A378,A378,B$2:B378,B378)</f>
        <v>5199610.5</v>
      </c>
      <c r="O378" s="11" t="n">
        <f aca="false">MAX(0,_xlfn.MAXIFS(N$2:N378,A$2:A378,A378,B$2:B378,B378))</f>
        <v>5364137.1</v>
      </c>
      <c r="P378" s="11" t="n">
        <f aca="false">N378-O378</f>
        <v>-164526.600000001</v>
      </c>
    </row>
    <row r="379" customFormat="false" ht="15" hidden="false" customHeight="false" outlineLevel="0" collapsed="false">
      <c r="A379" s="8" t="s">
        <v>26</v>
      </c>
      <c r="B379" s="8" t="s">
        <v>39</v>
      </c>
      <c r="C379" s="8" t="s">
        <v>62</v>
      </c>
      <c r="D379" s="21" t="n">
        <v>46161.7916666667</v>
      </c>
      <c r="E379" s="21" t="n">
        <v>46162.6875</v>
      </c>
      <c r="F379" s="22" t="n">
        <f aca="false">DATE(YEAR(E379),MONTH(E379),1)</f>
        <v>46143</v>
      </c>
      <c r="G379" s="23" t="n">
        <v>274569</v>
      </c>
      <c r="H379" s="8" t="s">
        <v>61</v>
      </c>
      <c r="I379" s="24" t="n">
        <v>-6514.16</v>
      </c>
      <c r="J379" s="25" t="n">
        <f aca="false">Summary!$B$4</f>
        <v>1</v>
      </c>
      <c r="K379" s="11" t="n">
        <f aca="false">I379*J379*IF(A379="SILVER",Summary!$B$5,Summary!$B$6)</f>
        <v>-195424.8</v>
      </c>
      <c r="L379" s="26" t="n">
        <v>-0.594</v>
      </c>
      <c r="M379" s="27" t="n">
        <f aca="false">IF(K379&gt;0,1,0)</f>
        <v>0</v>
      </c>
      <c r="N379" s="11" t="n">
        <f aca="false">SUMIFS(K$2:K379,A$2:A379,A379,B$2:B379,B379)</f>
        <v>5004185.7</v>
      </c>
      <c r="O379" s="11" t="n">
        <f aca="false">MAX(0,_xlfn.MAXIFS(N$2:N379,A$2:A379,A379,B$2:B379,B379))</f>
        <v>5364137.1</v>
      </c>
      <c r="P379" s="11" t="n">
        <f aca="false">N379-O379</f>
        <v>-359951.4</v>
      </c>
    </row>
    <row r="380" customFormat="false" ht="15" hidden="false" customHeight="false" outlineLevel="0" collapsed="false">
      <c r="A380" s="8" t="s">
        <v>26</v>
      </c>
      <c r="B380" s="8" t="s">
        <v>39</v>
      </c>
      <c r="C380" s="8" t="s">
        <v>62</v>
      </c>
      <c r="D380" s="21" t="n">
        <v>46168.3854166667</v>
      </c>
      <c r="E380" s="21" t="n">
        <v>46170.9166666667</v>
      </c>
      <c r="F380" s="22" t="n">
        <f aca="false">DATE(YEAR(E380),MONTH(E380),1)</f>
        <v>46143</v>
      </c>
      <c r="G380" s="23" t="n">
        <v>280270</v>
      </c>
      <c r="H380" s="8" t="s">
        <v>61</v>
      </c>
      <c r="I380" s="24" t="n">
        <v>3793.76</v>
      </c>
      <c r="J380" s="25" t="n">
        <f aca="false">Summary!$B$4</f>
        <v>1</v>
      </c>
      <c r="K380" s="11" t="n">
        <f aca="false">I380*J380*IF(A380="SILVER",Summary!$B$5,Summary!$B$6)</f>
        <v>113812.8</v>
      </c>
      <c r="L380" s="26" t="n">
        <v>0.891</v>
      </c>
      <c r="M380" s="27" t="n">
        <f aca="false">IF(K380&gt;0,1,0)</f>
        <v>1</v>
      </c>
      <c r="N380" s="11" t="n">
        <f aca="false">SUMIFS(K$2:K380,A$2:A380,A380,B$2:B380,B380)</f>
        <v>5117998.5</v>
      </c>
      <c r="O380" s="11" t="n">
        <f aca="false">MAX(0,_xlfn.MAXIFS(N$2:N380,A$2:A380,A380,B$2:B380,B380))</f>
        <v>5364137.1</v>
      </c>
      <c r="P380" s="11" t="n">
        <f aca="false">N380-O380</f>
        <v>-246138.600000001</v>
      </c>
    </row>
    <row r="381" customFormat="false" ht="15" hidden="false" customHeight="false" outlineLevel="0" collapsed="false">
      <c r="A381" s="8" t="s">
        <v>26</v>
      </c>
      <c r="B381" s="8" t="s">
        <v>39</v>
      </c>
      <c r="C381" s="8" t="s">
        <v>62</v>
      </c>
      <c r="D381" s="21" t="n">
        <v>46174.8125</v>
      </c>
      <c r="E381" s="21" t="n">
        <v>46175.46875</v>
      </c>
      <c r="F381" s="22" t="n">
        <f aca="false">DATE(YEAR(E381),MONTH(E381),1)</f>
        <v>46174</v>
      </c>
      <c r="G381" s="23" t="n">
        <v>269348</v>
      </c>
      <c r="H381" s="8" t="s">
        <v>61</v>
      </c>
      <c r="I381" s="24" t="n">
        <v>-8369.32</v>
      </c>
      <c r="J381" s="25" t="n">
        <f aca="false">Summary!$B$4</f>
        <v>1</v>
      </c>
      <c r="K381" s="11" t="n">
        <f aca="false">I381*J381*IF(A381="SILVER",Summary!$B$5,Summary!$B$6)</f>
        <v>-251079.6</v>
      </c>
      <c r="L381" s="26" t="n">
        <v>-1.251</v>
      </c>
      <c r="M381" s="27" t="n">
        <f aca="false">IF(K381&gt;0,1,0)</f>
        <v>0</v>
      </c>
      <c r="N381" s="11" t="n">
        <f aca="false">SUMIFS(K$2:K381,A$2:A381,A381,B$2:B381,B381)</f>
        <v>4866918.9</v>
      </c>
      <c r="O381" s="11" t="n">
        <f aca="false">MAX(0,_xlfn.MAXIFS(N$2:N381,A$2:A381,A381,B$2:B381,B381))</f>
        <v>5364137.1</v>
      </c>
      <c r="P381" s="11" t="n">
        <f aca="false">N381-O381</f>
        <v>-497218.2</v>
      </c>
    </row>
    <row r="382" customFormat="false" ht="15" hidden="false" customHeight="false" outlineLevel="0" collapsed="false">
      <c r="A382" s="8" t="s">
        <v>26</v>
      </c>
      <c r="B382" s="8" t="s">
        <v>39</v>
      </c>
      <c r="C382" s="8" t="s">
        <v>62</v>
      </c>
      <c r="D382" s="21" t="n">
        <v>46175.96875</v>
      </c>
      <c r="E382" s="21" t="n">
        <v>46177.725</v>
      </c>
      <c r="F382" s="22" t="n">
        <f aca="false">DATE(YEAR(E382),MONTH(E382),1)</f>
        <v>46174</v>
      </c>
      <c r="G382" s="23" t="n">
        <v>273567</v>
      </c>
      <c r="H382" s="8" t="s">
        <v>64</v>
      </c>
      <c r="I382" s="24" t="n">
        <v>426.63</v>
      </c>
      <c r="J382" s="25" t="n">
        <f aca="false">Summary!$B$4</f>
        <v>1</v>
      </c>
      <c r="K382" s="11" t="n">
        <f aca="false">I382*J382*IF(A382="SILVER",Summary!$B$5,Summary!$B$6)</f>
        <v>12798.9</v>
      </c>
      <c r="L382" s="26" t="n">
        <v>0.087</v>
      </c>
      <c r="M382" s="27" t="n">
        <f aca="false">IF(K382&gt;0,1,0)</f>
        <v>1</v>
      </c>
      <c r="N382" s="11" t="n">
        <f aca="false">SUMIFS(K$2:K382,A$2:A382,A382,B$2:B382,B382)</f>
        <v>4879717.8</v>
      </c>
      <c r="O382" s="11" t="n">
        <f aca="false">MAX(0,_xlfn.MAXIFS(N$2:N382,A$2:A382,A382,B$2:B382,B382))</f>
        <v>5364137.1</v>
      </c>
      <c r="P382" s="11" t="n">
        <f aca="false">N382-O382</f>
        <v>-484419.300000001</v>
      </c>
    </row>
    <row r="383" customFormat="false" ht="15" hidden="false" customHeight="false" outlineLevel="0" collapsed="false">
      <c r="A383" s="8" t="s">
        <v>26</v>
      </c>
      <c r="B383" s="8" t="s">
        <v>39</v>
      </c>
      <c r="C383" s="8" t="s">
        <v>62</v>
      </c>
      <c r="D383" s="21" t="n">
        <v>46178.3854166667</v>
      </c>
      <c r="E383" s="21" t="n">
        <v>46178.7354166667</v>
      </c>
      <c r="F383" s="22" t="n">
        <f aca="false">DATE(YEAR(E383),MONTH(E383),1)</f>
        <v>46174</v>
      </c>
      <c r="G383" s="23" t="n">
        <v>268333</v>
      </c>
      <c r="H383" s="8" t="s">
        <v>64</v>
      </c>
      <c r="I383" s="24" t="n">
        <v>394.48</v>
      </c>
      <c r="J383" s="25" t="n">
        <f aca="false">Summary!$B$4</f>
        <v>1</v>
      </c>
      <c r="K383" s="11" t="n">
        <f aca="false">I383*J383*IF(A383="SILVER",Summary!$B$5,Summary!$B$6)</f>
        <v>11834.4</v>
      </c>
      <c r="L383" s="26" t="n">
        <v>0.086</v>
      </c>
      <c r="M383" s="27" t="n">
        <f aca="false">IF(K383&gt;0,1,0)</f>
        <v>1</v>
      </c>
      <c r="N383" s="11" t="n">
        <f aca="false">SUMIFS(K$2:K383,A$2:A383,A383,B$2:B383,B383)</f>
        <v>4891552.2</v>
      </c>
      <c r="O383" s="11" t="n">
        <f aca="false">MAX(0,_xlfn.MAXIFS(N$2:N383,A$2:A383,A383,B$2:B383,B383))</f>
        <v>5364137.1</v>
      </c>
      <c r="P383" s="11" t="n">
        <f aca="false">N383-O383</f>
        <v>-472584.9</v>
      </c>
    </row>
    <row r="384" customFormat="false" ht="15" hidden="false" customHeight="false" outlineLevel="0" collapsed="false">
      <c r="A384" s="8" t="s">
        <v>26</v>
      </c>
      <c r="B384" s="8" t="s">
        <v>39</v>
      </c>
      <c r="C384" s="8" t="s">
        <v>62</v>
      </c>
      <c r="D384" s="21" t="n">
        <v>46189.4166666667</v>
      </c>
      <c r="E384" s="21" t="n">
        <v>46189.5486111111</v>
      </c>
      <c r="F384" s="22" t="n">
        <f aca="false">DATE(YEAR(E384),MONTH(E384),1)</f>
        <v>46174</v>
      </c>
      <c r="G384" s="23" t="n">
        <v>256985</v>
      </c>
      <c r="H384" s="8" t="s">
        <v>64</v>
      </c>
      <c r="I384" s="24" t="n">
        <v>298.07</v>
      </c>
      <c r="J384" s="25" t="n">
        <f aca="false">Summary!$B$4</f>
        <v>1</v>
      </c>
      <c r="K384" s="11" t="n">
        <f aca="false">I384*J384*IF(A384="SILVER",Summary!$B$5,Summary!$B$6)</f>
        <v>8942.1</v>
      </c>
      <c r="L384" s="26" t="n">
        <v>0.077</v>
      </c>
      <c r="M384" s="27" t="n">
        <f aca="false">IF(K384&gt;0,1,0)</f>
        <v>1</v>
      </c>
      <c r="N384" s="11" t="n">
        <f aca="false">SUMIFS(K$2:K384,A$2:A384,A384,B$2:B384,B384)</f>
        <v>4900494.3</v>
      </c>
      <c r="O384" s="11" t="n">
        <f aca="false">MAX(0,_xlfn.MAXIFS(N$2:N384,A$2:A384,A384,B$2:B384,B384))</f>
        <v>5364137.1</v>
      </c>
      <c r="P384" s="11" t="n">
        <f aca="false">N384-O384</f>
        <v>-463642.800000001</v>
      </c>
    </row>
    <row r="385" customFormat="false" ht="15" hidden="false" customHeight="false" outlineLevel="0" collapsed="false">
      <c r="A385" s="8" t="s">
        <v>26</v>
      </c>
      <c r="B385" s="8" t="s">
        <v>39</v>
      </c>
      <c r="C385" s="8" t="s">
        <v>62</v>
      </c>
      <c r="D385" s="21" t="n">
        <v>46190.59375</v>
      </c>
      <c r="E385" s="21" t="n">
        <v>46190.96875</v>
      </c>
      <c r="F385" s="22" t="n">
        <f aca="false">DATE(YEAR(E385),MONTH(E385),1)</f>
        <v>46174</v>
      </c>
      <c r="G385" s="23" t="n">
        <v>255219</v>
      </c>
      <c r="H385" s="8" t="s">
        <v>61</v>
      </c>
      <c r="I385" s="24" t="n">
        <v>-4045.07</v>
      </c>
      <c r="J385" s="25" t="n">
        <f aca="false">Summary!$B$4</f>
        <v>1</v>
      </c>
      <c r="K385" s="11" t="n">
        <f aca="false">I385*J385*IF(A385="SILVER",Summary!$B$5,Summary!$B$6)</f>
        <v>-121352.1</v>
      </c>
      <c r="L385" s="26" t="n">
        <v>-1.004</v>
      </c>
      <c r="M385" s="27" t="n">
        <f aca="false">IF(K385&gt;0,1,0)</f>
        <v>0</v>
      </c>
      <c r="N385" s="11" t="n">
        <f aca="false">SUMIFS(K$2:K385,A$2:A385,A385,B$2:B385,B385)</f>
        <v>4779142.2</v>
      </c>
      <c r="O385" s="11" t="n">
        <f aca="false">MAX(0,_xlfn.MAXIFS(N$2:N385,A$2:A385,A385,B$2:B385,B385))</f>
        <v>5364137.1</v>
      </c>
      <c r="P385" s="11" t="n">
        <f aca="false">N385-O385</f>
        <v>-584994.9</v>
      </c>
    </row>
    <row r="386" customFormat="false" ht="15" hidden="false" customHeight="false" outlineLevel="0" collapsed="false">
      <c r="A386" s="8" t="s">
        <v>26</v>
      </c>
      <c r="B386" s="8" t="s">
        <v>39</v>
      </c>
      <c r="C386" s="8" t="s">
        <v>62</v>
      </c>
      <c r="D386" s="21" t="n">
        <v>46191.3854166667</v>
      </c>
      <c r="E386" s="21" t="n">
        <v>46195.40625</v>
      </c>
      <c r="F386" s="22" t="n">
        <f aca="false">DATE(YEAR(E386),MONTH(E386),1)</f>
        <v>46174</v>
      </c>
      <c r="G386" s="23" t="n">
        <v>253769</v>
      </c>
      <c r="H386" s="8" t="s">
        <v>61</v>
      </c>
      <c r="I386" s="24" t="n">
        <v>11183.76</v>
      </c>
      <c r="J386" s="25" t="n">
        <f aca="false">Summary!$B$4</f>
        <v>1</v>
      </c>
      <c r="K386" s="11" t="n">
        <f aca="false">I386*J386*IF(A386="SILVER",Summary!$B$5,Summary!$B$6)</f>
        <v>335512.8</v>
      </c>
      <c r="L386" s="26" t="n">
        <v>1.908</v>
      </c>
      <c r="M386" s="27" t="n">
        <f aca="false">IF(K386&gt;0,1,0)</f>
        <v>1</v>
      </c>
      <c r="N386" s="11" t="n">
        <f aca="false">SUMIFS(K$2:K386,A$2:A386,A386,B$2:B386,B386)</f>
        <v>5114655</v>
      </c>
      <c r="O386" s="11" t="n">
        <f aca="false">MAX(0,_xlfn.MAXIFS(N$2:N386,A$2:A386,A386,B$2:B386,B386))</f>
        <v>5364137.1</v>
      </c>
      <c r="P386" s="11" t="n">
        <f aca="false">N386-O386</f>
        <v>-249482.100000001</v>
      </c>
    </row>
    <row r="387" customFormat="false" ht="15" hidden="false" customHeight="false" outlineLevel="0" collapsed="false">
      <c r="A387" s="8" t="s">
        <v>26</v>
      </c>
      <c r="B387" s="8" t="s">
        <v>39</v>
      </c>
      <c r="C387" s="8" t="s">
        <v>62</v>
      </c>
      <c r="D387" s="21" t="n">
        <v>46196.3854166667</v>
      </c>
      <c r="E387" s="21" t="n">
        <v>46198.59375</v>
      </c>
      <c r="F387" s="22" t="n">
        <f aca="false">DATE(YEAR(E387),MONTH(E387),1)</f>
        <v>46174</v>
      </c>
      <c r="G387" s="23" t="n">
        <v>234969</v>
      </c>
      <c r="H387" s="8" t="s">
        <v>61</v>
      </c>
      <c r="I387" s="24" t="n">
        <v>8828.29</v>
      </c>
      <c r="J387" s="25" t="n">
        <f aca="false">Summary!$B$4</f>
        <v>1</v>
      </c>
      <c r="K387" s="11" t="n">
        <f aca="false">I387*J387*IF(A387="SILVER",Summary!$B$5,Summary!$B$6)</f>
        <v>264848.7</v>
      </c>
      <c r="L387" s="26" t="n">
        <v>1.454</v>
      </c>
      <c r="M387" s="27" t="n">
        <f aca="false">IF(K387&gt;0,1,0)</f>
        <v>1</v>
      </c>
      <c r="N387" s="11" t="n">
        <f aca="false">SUMIFS(K$2:K387,A$2:A387,A387,B$2:B387,B387)</f>
        <v>5379503.7</v>
      </c>
      <c r="O387" s="11" t="n">
        <f aca="false">MAX(0,_xlfn.MAXIFS(N$2:N387,A$2:A387,A387,B$2:B387,B387))</f>
        <v>5379503.7</v>
      </c>
      <c r="P387" s="11" t="n">
        <f aca="false">N387-O387</f>
        <v>0</v>
      </c>
    </row>
    <row r="388" customFormat="false" ht="15" hidden="false" customHeight="false" outlineLevel="0" collapsed="false">
      <c r="A388" s="8" t="s">
        <v>26</v>
      </c>
      <c r="B388" s="8" t="s">
        <v>39</v>
      </c>
      <c r="C388" s="8" t="s">
        <v>62</v>
      </c>
      <c r="D388" s="21" t="n">
        <v>46204.4583333333</v>
      </c>
      <c r="E388" s="21" t="n">
        <v>46204.8097222222</v>
      </c>
      <c r="F388" s="22" t="n">
        <f aca="false">DATE(YEAR(E388),MONTH(E388),1)</f>
        <v>46204</v>
      </c>
      <c r="G388" s="23" t="n">
        <v>228029</v>
      </c>
      <c r="H388" s="8" t="s">
        <v>61</v>
      </c>
      <c r="I388" s="24" t="n">
        <v>-8658.9</v>
      </c>
      <c r="J388" s="25" t="n">
        <f aca="false">Summary!$B$4</f>
        <v>1</v>
      </c>
      <c r="K388" s="11" t="n">
        <f aca="false">I388*J388*IF(A388="SILVER",Summary!$B$5,Summary!$B$6)</f>
        <v>-259767</v>
      </c>
      <c r="L388" s="26" t="n">
        <v>-1.157</v>
      </c>
      <c r="M388" s="27" t="n">
        <f aca="false">IF(K388&gt;0,1,0)</f>
        <v>0</v>
      </c>
      <c r="N388" s="11" t="n">
        <f aca="false">SUMIFS(K$2:K388,A$2:A388,A388,B$2:B388,B388)</f>
        <v>5119736.7</v>
      </c>
      <c r="O388" s="11" t="n">
        <f aca="false">MAX(0,_xlfn.MAXIFS(N$2:N388,A$2:A388,A388,B$2:B388,B388))</f>
        <v>5379503.7</v>
      </c>
      <c r="P388" s="11" t="n">
        <f aca="false">N388-O388</f>
        <v>-259767</v>
      </c>
    </row>
    <row r="389" customFormat="false" ht="15" hidden="false" customHeight="false" outlineLevel="0" collapsed="false">
      <c r="A389" s="8" t="s">
        <v>26</v>
      </c>
      <c r="B389" s="8" t="s">
        <v>39</v>
      </c>
      <c r="C389" s="8" t="s">
        <v>62</v>
      </c>
      <c r="D389" s="21" t="n">
        <v>46210.3854166667</v>
      </c>
      <c r="E389" s="21" t="n">
        <v>46210.5069444445</v>
      </c>
      <c r="F389" s="22" t="n">
        <f aca="false">DATE(YEAR(E389),MONTH(E389),1)</f>
        <v>46204</v>
      </c>
      <c r="G389" s="23" t="n">
        <v>237957</v>
      </c>
      <c r="H389" s="8" t="s">
        <v>64</v>
      </c>
      <c r="I389" s="24" t="n">
        <v>368.21</v>
      </c>
      <c r="J389" s="25" t="n">
        <f aca="false">Summary!$B$4</f>
        <v>1</v>
      </c>
      <c r="K389" s="11" t="n">
        <f aca="false">I389*J389*IF(A389="SILVER",Summary!$B$5,Summary!$B$6)</f>
        <v>11046.3</v>
      </c>
      <c r="L389" s="26" t="n">
        <v>0.087</v>
      </c>
      <c r="M389" s="27" t="n">
        <f aca="false">IF(K389&gt;0,1,0)</f>
        <v>1</v>
      </c>
      <c r="N389" s="11" t="n">
        <f aca="false">SUMIFS(K$2:K389,A$2:A389,A389,B$2:B389,B389)</f>
        <v>5130783</v>
      </c>
      <c r="O389" s="11" t="n">
        <f aca="false">MAX(0,_xlfn.MAXIFS(N$2:N389,A$2:A389,A389,B$2:B389,B389))</f>
        <v>5379503.7</v>
      </c>
      <c r="P389" s="11" t="n">
        <f aca="false">N389-O389</f>
        <v>-248720.7</v>
      </c>
    </row>
    <row r="390" customFormat="false" ht="15" hidden="false" customHeight="false" outlineLevel="0" collapsed="false">
      <c r="A390" s="8" t="s">
        <v>26</v>
      </c>
      <c r="B390" s="8" t="s">
        <v>39</v>
      </c>
      <c r="C390" s="8" t="s">
        <v>62</v>
      </c>
      <c r="D390" s="21" t="n">
        <v>46213.5833333333</v>
      </c>
      <c r="E390" s="21" t="n">
        <v>46217.75</v>
      </c>
      <c r="F390" s="22" t="n">
        <f aca="false">DATE(YEAR(E390),MONTH(E390),1)</f>
        <v>46204</v>
      </c>
      <c r="G390" s="23" t="n">
        <v>227379</v>
      </c>
      <c r="H390" s="8" t="s">
        <v>64</v>
      </c>
      <c r="I390" s="24" t="n">
        <v>348.4</v>
      </c>
      <c r="J390" s="25" t="n">
        <f aca="false">Summary!$B$4</f>
        <v>1</v>
      </c>
      <c r="K390" s="11" t="n">
        <f aca="false">I390*J390*IF(A390="SILVER",Summary!$B$5,Summary!$B$6)</f>
        <v>10452</v>
      </c>
      <c r="L390" s="26" t="n">
        <v>0.086</v>
      </c>
      <c r="M390" s="27" t="n">
        <f aca="false">IF(K390&gt;0,1,0)</f>
        <v>1</v>
      </c>
      <c r="N390" s="11" t="n">
        <f aca="false">SUMIFS(K$2:K390,A$2:A390,A390,B$2:B390,B390)</f>
        <v>5141235</v>
      </c>
      <c r="O390" s="11" t="n">
        <f aca="false">MAX(0,_xlfn.MAXIFS(N$2:N390,A$2:A390,A390,B$2:B390,B390))</f>
        <v>5379503.7</v>
      </c>
      <c r="P390" s="11" t="n">
        <f aca="false">N390-O390</f>
        <v>-238268.7</v>
      </c>
    </row>
    <row r="391" customFormat="false" ht="15" hidden="false" customHeight="false" outlineLevel="0" collapsed="false">
      <c r="A391" s="8" t="s">
        <v>26</v>
      </c>
      <c r="B391" s="8" t="s">
        <v>39</v>
      </c>
      <c r="C391" s="8" t="s">
        <v>62</v>
      </c>
      <c r="D391" s="21" t="n">
        <v>46218.90625</v>
      </c>
      <c r="E391" s="21" t="n">
        <v>46218.9576388889</v>
      </c>
      <c r="F391" s="22" t="n">
        <f aca="false">DATE(YEAR(E391),MONTH(E391),1)</f>
        <v>46204</v>
      </c>
      <c r="G391" s="23" t="n">
        <v>224872</v>
      </c>
      <c r="H391" s="8" t="s">
        <v>64</v>
      </c>
      <c r="I391" s="24" t="n">
        <v>339.47</v>
      </c>
      <c r="J391" s="25" t="n">
        <f aca="false">Summary!$B$4</f>
        <v>1</v>
      </c>
      <c r="K391" s="11" t="n">
        <f aca="false">I391*J391*IF(A391="SILVER",Summary!$B$5,Summary!$B$6)</f>
        <v>10184.1</v>
      </c>
      <c r="L391" s="26" t="n">
        <v>0.086</v>
      </c>
      <c r="M391" s="27" t="n">
        <f aca="false">IF(K391&gt;0,1,0)</f>
        <v>1</v>
      </c>
      <c r="N391" s="11" t="n">
        <f aca="false">SUMIFS(K$2:K391,A$2:A391,A391,B$2:B391,B391)</f>
        <v>5151419.1</v>
      </c>
      <c r="O391" s="11" t="n">
        <f aca="false">MAX(0,_xlfn.MAXIFS(N$2:N391,A$2:A391,A391,B$2:B391,B391))</f>
        <v>5379503.7</v>
      </c>
      <c r="P391" s="11" t="n">
        <f aca="false">N391-O391</f>
        <v>-228084.6</v>
      </c>
    </row>
    <row r="392" customFormat="false" ht="15" hidden="false" customHeight="false" outlineLevel="0" collapsed="false">
      <c r="A392" s="8" t="s">
        <v>26</v>
      </c>
      <c r="B392" s="8" t="s">
        <v>39</v>
      </c>
      <c r="C392" s="8" t="s">
        <v>62</v>
      </c>
      <c r="D392" s="21" t="n">
        <v>46226.53125</v>
      </c>
      <c r="E392" s="21" t="n">
        <v>46227.5416666667</v>
      </c>
      <c r="F392" s="22" t="n">
        <f aca="false">DATE(YEAR(E392),MONTH(E392),1)</f>
        <v>46204</v>
      </c>
      <c r="G392" s="23" t="n">
        <v>228855</v>
      </c>
      <c r="H392" s="8" t="s">
        <v>61</v>
      </c>
      <c r="I392" s="24" t="n">
        <v>2586.43</v>
      </c>
      <c r="J392" s="25" t="n">
        <f aca="false">Summary!$B$4</f>
        <v>1</v>
      </c>
      <c r="K392" s="11" t="n">
        <f aca="false">I392*J392*IF(A392="SILVER",Summary!$B$5,Summary!$B$6)</f>
        <v>77592.9</v>
      </c>
      <c r="L392" s="26" t="n">
        <v>0.664</v>
      </c>
      <c r="M392" s="27" t="n">
        <f aca="false">IF(K392&gt;0,1,0)</f>
        <v>1</v>
      </c>
      <c r="N392" s="11" t="n">
        <f aca="false">SUMIFS(K$2:K392,A$2:A392,A392,B$2:B392,B392)</f>
        <v>5229012</v>
      </c>
      <c r="O392" s="11" t="n">
        <f aca="false">MAX(0,_xlfn.MAXIFS(N$2:N392,A$2:A392,A392,B$2:B392,B392))</f>
        <v>5379503.7</v>
      </c>
      <c r="P392" s="11" t="n">
        <f aca="false">N392-O392</f>
        <v>-150491.7</v>
      </c>
    </row>
    <row r="393" customFormat="false" ht="15" hidden="false" customHeight="false" outlineLevel="0" collapsed="false">
      <c r="A393" s="8" t="s">
        <v>26</v>
      </c>
      <c r="B393" s="8" t="s">
        <v>39</v>
      </c>
      <c r="C393" s="8" t="s">
        <v>62</v>
      </c>
      <c r="D393" s="21" t="n">
        <v>46230.8333333333</v>
      </c>
      <c r="E393" s="21" t="n">
        <v>46232.46875</v>
      </c>
      <c r="F393" s="22" t="n">
        <f aca="false">DATE(YEAR(E393),MONTH(E393),1)</f>
        <v>46204</v>
      </c>
      <c r="G393" s="23" t="n">
        <v>225953</v>
      </c>
      <c r="H393" s="8" t="s">
        <v>61</v>
      </c>
      <c r="I393" s="24" t="n">
        <v>2775.03</v>
      </c>
      <c r="J393" s="25" t="n">
        <f aca="false">Summary!$B$4</f>
        <v>1</v>
      </c>
      <c r="K393" s="11" t="n">
        <f aca="false">I393*J393*IF(A393="SILVER",Summary!$B$5,Summary!$B$6)</f>
        <v>83250.9</v>
      </c>
      <c r="L393" s="26" t="n">
        <v>0.752</v>
      </c>
      <c r="M393" s="27" t="n">
        <f aca="false">IF(K393&gt;0,1,0)</f>
        <v>1</v>
      </c>
      <c r="N393" s="11" t="n">
        <f aca="false">SUMIFS(K$2:K393,A$2:A393,A393,B$2:B393,B393)</f>
        <v>5312262.9</v>
      </c>
      <c r="O393" s="11" t="n">
        <f aca="false">MAX(0,_xlfn.MAXIFS(N$2:N393,A$2:A393,A393,B$2:B393,B393))</f>
        <v>5379503.7</v>
      </c>
      <c r="P393" s="11" t="n">
        <f aca="false">N393-O393</f>
        <v>-67240.7999999998</v>
      </c>
    </row>
    <row r="394" customFormat="false" ht="15" hidden="false" customHeight="false" outlineLevel="0" collapsed="false">
      <c r="A394" s="8" t="s">
        <v>26</v>
      </c>
      <c r="B394" s="8" t="s">
        <v>39</v>
      </c>
      <c r="C394" s="8" t="s">
        <v>62</v>
      </c>
      <c r="D394" s="21" t="n">
        <v>46232.75</v>
      </c>
      <c r="E394" s="21" t="n">
        <v>46233.6666666667</v>
      </c>
      <c r="F394" s="22" t="n">
        <f aca="false">DATE(YEAR(E394),MONTH(E394),1)</f>
        <v>46204</v>
      </c>
      <c r="G394" s="23" t="n">
        <v>219767</v>
      </c>
      <c r="H394" s="8" t="s">
        <v>61</v>
      </c>
      <c r="I394" s="24" t="n">
        <v>-3294.34</v>
      </c>
      <c r="J394" s="25" t="n">
        <f aca="false">Summary!$B$4</f>
        <v>1</v>
      </c>
      <c r="K394" s="11" t="n">
        <f aca="false">I394*J394*IF(A394="SILVER",Summary!$B$5,Summary!$B$6)</f>
        <v>-98830.2</v>
      </c>
      <c r="L394" s="26" t="n">
        <v>-0.825</v>
      </c>
      <c r="M394" s="27" t="n">
        <f aca="false">IF(K394&gt;0,1,0)</f>
        <v>0</v>
      </c>
      <c r="N394" s="11" t="n">
        <f aca="false">SUMIFS(K$2:K394,A$2:A394,A394,B$2:B394,B394)</f>
        <v>5213432.7</v>
      </c>
      <c r="O394" s="11" t="n">
        <f aca="false">MAX(0,_xlfn.MAXIFS(N$2:N394,A$2:A394,A394,B$2:B394,B394))</f>
        <v>5379503.7</v>
      </c>
      <c r="P394" s="11" t="n">
        <f aca="false">N394-O394</f>
        <v>-166071</v>
      </c>
    </row>
    <row r="395" customFormat="false" ht="15" hidden="false" customHeight="false" outlineLevel="0" collapsed="false">
      <c r="A395" s="8" t="s">
        <v>26</v>
      </c>
      <c r="B395" s="8" t="s">
        <v>39</v>
      </c>
      <c r="C395" s="8" t="s">
        <v>62</v>
      </c>
      <c r="D395" s="21" t="n">
        <v>46234.8125</v>
      </c>
      <c r="E395" s="21" t="n">
        <v>46237.8145833333</v>
      </c>
      <c r="F395" s="22" t="n">
        <f aca="false">DATE(YEAR(E395),MONTH(E395),1)</f>
        <v>46235</v>
      </c>
      <c r="G395" s="23" t="n">
        <v>220597</v>
      </c>
      <c r="H395" s="8" t="s">
        <v>64</v>
      </c>
      <c r="I395" s="24" t="n">
        <v>187.84</v>
      </c>
      <c r="J395" s="25" t="n">
        <f aca="false">Summary!$B$4</f>
        <v>1</v>
      </c>
      <c r="K395" s="11" t="n">
        <f aca="false">I395*J395*IF(A395="SILVER",Summary!$B$5,Summary!$B$6)</f>
        <v>5635.2</v>
      </c>
      <c r="L395" s="26" t="n">
        <v>0.055</v>
      </c>
      <c r="M395" s="27" t="n">
        <f aca="false">IF(K395&gt;0,1,0)</f>
        <v>1</v>
      </c>
      <c r="N395" s="11" t="n">
        <f aca="false">SUMIFS(K$2:K395,A$2:A395,A395,B$2:B395,B395)</f>
        <v>5219067.9</v>
      </c>
      <c r="O395" s="11" t="n">
        <f aca="false">MAX(0,_xlfn.MAXIFS(N$2:N395,A$2:A395,A395,B$2:B395,B395))</f>
        <v>5379503.7</v>
      </c>
      <c r="P395" s="11" t="n">
        <f aca="false">N395-O395</f>
        <v>-160435.8</v>
      </c>
    </row>
    <row r="396" customFormat="false" ht="15" hidden="false" customHeight="false" outlineLevel="0" collapsed="false">
      <c r="A396" s="8" t="s">
        <v>26</v>
      </c>
      <c r="B396" s="8" t="s">
        <v>39</v>
      </c>
      <c r="C396" s="8" t="s">
        <v>62</v>
      </c>
      <c r="D396" s="21" t="n">
        <v>46247.40625</v>
      </c>
      <c r="E396" s="21" t="n">
        <v>46247.6645833333</v>
      </c>
      <c r="F396" s="22" t="n">
        <f aca="false">DATE(YEAR(E396),MONTH(E396),1)</f>
        <v>46235</v>
      </c>
      <c r="G396" s="23" t="n">
        <v>240917</v>
      </c>
      <c r="H396" s="8" t="s">
        <v>64</v>
      </c>
      <c r="I396" s="24" t="n">
        <v>389.86</v>
      </c>
      <c r="J396" s="25" t="n">
        <f aca="false">Summary!$B$4</f>
        <v>1</v>
      </c>
      <c r="K396" s="11" t="n">
        <f aca="false">I396*J396*IF(A396="SILVER",Summary!$B$5,Summary!$B$6)</f>
        <v>11695.8</v>
      </c>
      <c r="L396" s="26" t="n">
        <v>0.087</v>
      </c>
      <c r="M396" s="27" t="n">
        <f aca="false">IF(K396&gt;0,1,0)</f>
        <v>1</v>
      </c>
      <c r="N396" s="11" t="n">
        <f aca="false">SUMIFS(K$2:K396,A$2:A396,A396,B$2:B396,B396)</f>
        <v>5230763.7</v>
      </c>
      <c r="O396" s="11" t="n">
        <f aca="false">MAX(0,_xlfn.MAXIFS(N$2:N396,A$2:A396,A396,B$2:B396,B396))</f>
        <v>5379503.7</v>
      </c>
      <c r="P396" s="11" t="n">
        <f aca="false">N396-O396</f>
        <v>-148740</v>
      </c>
    </row>
    <row r="397" customFormat="false" ht="15" hidden="false" customHeight="false" outlineLevel="0" collapsed="false">
      <c r="A397" s="8" t="s">
        <v>26</v>
      </c>
      <c r="B397" s="8" t="s">
        <v>39</v>
      </c>
      <c r="C397" s="8" t="s">
        <v>62</v>
      </c>
      <c r="D397" s="21" t="n">
        <v>46252.4479166667</v>
      </c>
      <c r="E397" s="21" t="n">
        <v>46253.7604166667</v>
      </c>
      <c r="F397" s="22" t="n">
        <f aca="false">DATE(YEAR(E397),MONTH(E397),1)</f>
        <v>46235</v>
      </c>
      <c r="G397" s="23" t="n">
        <v>239907</v>
      </c>
      <c r="H397" s="8" t="s">
        <v>61</v>
      </c>
      <c r="I397" s="24" t="n">
        <v>817.04</v>
      </c>
      <c r="J397" s="25" t="n">
        <f aca="false">Summary!$B$4</f>
        <v>1</v>
      </c>
      <c r="K397" s="11" t="n">
        <f aca="false">I397*J397*IF(A397="SILVER",Summary!$B$5,Summary!$B$6)</f>
        <v>24511.2</v>
      </c>
      <c r="L397" s="26" t="n">
        <v>0.236</v>
      </c>
      <c r="M397" s="27" t="n">
        <f aca="false">IF(K397&gt;0,1,0)</f>
        <v>1</v>
      </c>
      <c r="N397" s="11" t="n">
        <f aca="false">SUMIFS(K$2:K397,A$2:A397,A397,B$2:B397,B397)</f>
        <v>5255274.9</v>
      </c>
      <c r="O397" s="11" t="n">
        <f aca="false">MAX(0,_xlfn.MAXIFS(N$2:N397,A$2:A397,A397,B$2:B397,B397))</f>
        <v>5379503.7</v>
      </c>
      <c r="P397" s="11" t="n">
        <f aca="false">N397-O397</f>
        <v>-124228.8</v>
      </c>
    </row>
    <row r="398" customFormat="false" ht="15" hidden="false" customHeight="false" outlineLevel="0" collapsed="false">
      <c r="A398" s="8" t="s">
        <v>26</v>
      </c>
      <c r="B398" s="8" t="s">
        <v>39</v>
      </c>
      <c r="C398" s="8" t="s">
        <v>62</v>
      </c>
      <c r="D398" s="21" t="n">
        <v>46259.375</v>
      </c>
      <c r="E398" s="21" t="n">
        <v>46260.3854166667</v>
      </c>
      <c r="F398" s="22" t="n">
        <f aca="false">DATE(YEAR(E398),MONTH(E398),1)</f>
        <v>46235</v>
      </c>
      <c r="G398" s="23" t="n">
        <v>246956</v>
      </c>
      <c r="H398" s="8" t="s">
        <v>61</v>
      </c>
      <c r="I398" s="24" t="n">
        <v>-3261.96</v>
      </c>
      <c r="J398" s="25" t="n">
        <f aca="false">Summary!$B$4</f>
        <v>1</v>
      </c>
      <c r="K398" s="11" t="n">
        <f aca="false">I398*J398*IF(A398="SILVER",Summary!$B$5,Summary!$B$6)</f>
        <v>-97858.8</v>
      </c>
      <c r="L398" s="26" t="n">
        <v>-0.508</v>
      </c>
      <c r="M398" s="27" t="n">
        <f aca="false">IF(K398&gt;0,1,0)</f>
        <v>0</v>
      </c>
      <c r="N398" s="11" t="n">
        <f aca="false">SUMIFS(K$2:K398,A$2:A398,A398,B$2:B398,B398)</f>
        <v>5157416.1</v>
      </c>
      <c r="O398" s="11" t="n">
        <f aca="false">MAX(0,_xlfn.MAXIFS(N$2:N398,A$2:A398,A398,B$2:B398,B398))</f>
        <v>5379503.7</v>
      </c>
      <c r="P398" s="11" t="n">
        <f aca="false">N398-O398</f>
        <v>-222087.6</v>
      </c>
    </row>
    <row r="399" customFormat="false" ht="15" hidden="false" customHeight="false" outlineLevel="0" collapsed="false">
      <c r="A399" s="8" t="s">
        <v>26</v>
      </c>
      <c r="B399" s="8" t="s">
        <v>39</v>
      </c>
      <c r="C399" s="8" t="s">
        <v>62</v>
      </c>
      <c r="D399" s="21" t="n">
        <v>46260.8541666667</v>
      </c>
      <c r="E399" s="21" t="n">
        <v>46261.375</v>
      </c>
      <c r="F399" s="22" t="n">
        <f aca="false">DATE(YEAR(E399),MONTH(E399),1)</f>
        <v>46235</v>
      </c>
      <c r="G399" s="23" t="n">
        <v>246015</v>
      </c>
      <c r="H399" s="8" t="s">
        <v>64</v>
      </c>
      <c r="I399" s="24" t="n">
        <v>-1699.28</v>
      </c>
      <c r="J399" s="25" t="n">
        <f aca="false">Summary!$B$4</f>
        <v>1</v>
      </c>
      <c r="K399" s="11" t="n">
        <f aca="false">I399*J399*IF(A399="SILVER",Summary!$B$5,Summary!$B$6)</f>
        <v>-50978.4</v>
      </c>
      <c r="L399" s="26" t="n">
        <v>-0.372</v>
      </c>
      <c r="M399" s="27" t="n">
        <f aca="false">IF(K399&gt;0,1,0)</f>
        <v>0</v>
      </c>
      <c r="N399" s="11" t="n">
        <f aca="false">SUMIFS(K$2:K399,A$2:A399,A399,B$2:B399,B399)</f>
        <v>5106437.7</v>
      </c>
      <c r="O399" s="11" t="n">
        <f aca="false">MAX(0,_xlfn.MAXIFS(N$2:N399,A$2:A399,A399,B$2:B399,B399))</f>
        <v>5379503.7</v>
      </c>
      <c r="P399" s="11" t="n">
        <f aca="false">N399-O399</f>
        <v>-273066</v>
      </c>
    </row>
    <row r="400" customFormat="false" ht="15" hidden="false" customHeight="false" outlineLevel="0" collapsed="false">
      <c r="A400" s="8" t="s">
        <v>26</v>
      </c>
      <c r="B400" s="8" t="s">
        <v>39</v>
      </c>
      <c r="C400" s="8" t="s">
        <v>62</v>
      </c>
      <c r="D400" s="21" t="n">
        <v>46262.8854166667</v>
      </c>
      <c r="E400" s="21" t="n">
        <v>46267.8020833333</v>
      </c>
      <c r="F400" s="22" t="n">
        <f aca="false">DATE(YEAR(E400),MONTH(E400),1)</f>
        <v>46266</v>
      </c>
      <c r="G400" s="23" t="n">
        <v>245477</v>
      </c>
      <c r="H400" s="8" t="s">
        <v>61</v>
      </c>
      <c r="I400" s="24" t="n">
        <v>9808.82</v>
      </c>
      <c r="J400" s="25" t="n">
        <f aca="false">Summary!$B$4</f>
        <v>1</v>
      </c>
      <c r="K400" s="11" t="n">
        <f aca="false">I400*J400*IF(A400="SILVER",Summary!$B$5,Summary!$B$6)</f>
        <v>294264.6</v>
      </c>
      <c r="L400" s="26" t="n">
        <v>1.515</v>
      </c>
      <c r="M400" s="27" t="n">
        <f aca="false">IF(K400&gt;0,1,0)</f>
        <v>1</v>
      </c>
      <c r="N400" s="11" t="n">
        <f aca="false">SUMIFS(K$2:K400,A$2:A400,A400,B$2:B400,B400)</f>
        <v>5400702.3</v>
      </c>
      <c r="O400" s="11" t="n">
        <f aca="false">MAX(0,_xlfn.MAXIFS(N$2:N400,A$2:A400,A400,B$2:B400,B400))</f>
        <v>5400702.3</v>
      </c>
      <c r="P400" s="11" t="n">
        <f aca="false">N400-O400</f>
        <v>0</v>
      </c>
    </row>
    <row r="401" customFormat="false" ht="15" hidden="false" customHeight="false" outlineLevel="0" collapsed="false">
      <c r="A401" s="8" t="s">
        <v>26</v>
      </c>
      <c r="B401" s="8" t="s">
        <v>39</v>
      </c>
      <c r="C401" s="8" t="s">
        <v>62</v>
      </c>
      <c r="D401" s="21" t="n">
        <v>46269.7784722222</v>
      </c>
      <c r="E401" s="21" t="n">
        <v>46272.8541666667</v>
      </c>
      <c r="F401" s="22" t="n">
        <f aca="false">DATE(YEAR(E401),MONTH(E401),1)</f>
        <v>46266</v>
      </c>
      <c r="G401" s="23" t="n">
        <v>234657</v>
      </c>
      <c r="H401" s="8" t="s">
        <v>61</v>
      </c>
      <c r="I401" s="24" t="n">
        <v>-5158.05</v>
      </c>
      <c r="J401" s="25" t="n">
        <f aca="false">Summary!$B$4</f>
        <v>1</v>
      </c>
      <c r="K401" s="11" t="n">
        <f aca="false">I401*J401*IF(A401="SILVER",Summary!$B$5,Summary!$B$6)</f>
        <v>-154741.5</v>
      </c>
      <c r="L401" s="26" t="n">
        <v>-1.036</v>
      </c>
      <c r="M401" s="27" t="n">
        <f aca="false">IF(K401&gt;0,1,0)</f>
        <v>0</v>
      </c>
      <c r="N401" s="11" t="n">
        <f aca="false">SUMIFS(K$2:K401,A$2:A401,A401,B$2:B401,B401)</f>
        <v>5245960.8</v>
      </c>
      <c r="O401" s="11" t="n">
        <f aca="false">MAX(0,_xlfn.MAXIFS(N$2:N401,A$2:A401,A401,B$2:B401,B401))</f>
        <v>5400702.3</v>
      </c>
      <c r="P401" s="11" t="n">
        <f aca="false">N401-O401</f>
        <v>-154741.5</v>
      </c>
    </row>
    <row r="402" customFormat="false" ht="15" hidden="false" customHeight="false" outlineLevel="0" collapsed="false">
      <c r="A402" s="8" t="s">
        <v>26</v>
      </c>
      <c r="B402" s="8" t="s">
        <v>39</v>
      </c>
      <c r="C402" s="8" t="s">
        <v>62</v>
      </c>
      <c r="D402" s="21" t="n">
        <v>46273.5729166667</v>
      </c>
      <c r="E402" s="21" t="n">
        <v>46274.7916666667</v>
      </c>
      <c r="F402" s="22" t="n">
        <f aca="false">DATE(YEAR(E402),MONTH(E402),1)</f>
        <v>46266</v>
      </c>
      <c r="G402" s="23" t="n">
        <v>237843</v>
      </c>
      <c r="H402" s="8" t="s">
        <v>61</v>
      </c>
      <c r="I402" s="24" t="n">
        <v>-5615.13</v>
      </c>
      <c r="J402" s="25" t="n">
        <f aca="false">Summary!$B$4</f>
        <v>1</v>
      </c>
      <c r="K402" s="11" t="n">
        <f aca="false">I402*J402*IF(A402="SILVER",Summary!$B$5,Summary!$B$6)</f>
        <v>-168453.9</v>
      </c>
      <c r="L402" s="26" t="n">
        <v>-1.48</v>
      </c>
      <c r="M402" s="27" t="n">
        <f aca="false">IF(K402&gt;0,1,0)</f>
        <v>0</v>
      </c>
      <c r="N402" s="11" t="n">
        <f aca="false">SUMIFS(K$2:K402,A$2:A402,A402,B$2:B402,B402)</f>
        <v>5077506.9</v>
      </c>
      <c r="O402" s="11" t="n">
        <f aca="false">MAX(0,_xlfn.MAXIFS(N$2:N402,A$2:A402,A402,B$2:B402,B402))</f>
        <v>5400702.3</v>
      </c>
      <c r="P402" s="11" t="n">
        <f aca="false">N402-O402</f>
        <v>-323195.399999999</v>
      </c>
    </row>
    <row r="403" customFormat="false" ht="15" hidden="false" customHeight="false" outlineLevel="0" collapsed="false">
      <c r="A403" s="8" t="s">
        <v>26</v>
      </c>
      <c r="B403" s="8" t="s">
        <v>39</v>
      </c>
      <c r="C403" s="8" t="s">
        <v>62</v>
      </c>
      <c r="D403" s="21" t="n">
        <v>46275.6875</v>
      </c>
      <c r="E403" s="21" t="n">
        <v>46276.7708333333</v>
      </c>
      <c r="F403" s="22" t="n">
        <f aca="false">DATE(YEAR(E403),MONTH(E403),1)</f>
        <v>46266</v>
      </c>
      <c r="G403" s="23" t="n">
        <v>238620</v>
      </c>
      <c r="H403" s="8" t="s">
        <v>61</v>
      </c>
      <c r="I403" s="24" t="n">
        <v>1552.43</v>
      </c>
      <c r="J403" s="25" t="n">
        <f aca="false">Summary!$B$4</f>
        <v>1</v>
      </c>
      <c r="K403" s="11" t="n">
        <f aca="false">I403*J403*IF(A403="SILVER",Summary!$B$5,Summary!$B$6)</f>
        <v>46572.9</v>
      </c>
      <c r="L403" s="26" t="n">
        <v>0.322</v>
      </c>
      <c r="M403" s="27" t="n">
        <f aca="false">IF(K403&gt;0,1,0)</f>
        <v>1</v>
      </c>
      <c r="N403" s="11" t="n">
        <f aca="false">SUMIFS(K$2:K403,A$2:A403,A403,B$2:B403,B403)</f>
        <v>5124079.8</v>
      </c>
      <c r="O403" s="11" t="n">
        <f aca="false">MAX(0,_xlfn.MAXIFS(N$2:N403,A$2:A403,A403,B$2:B403,B403))</f>
        <v>5400702.3</v>
      </c>
      <c r="P403" s="11" t="n">
        <f aca="false">N403-O403</f>
        <v>-276622.5</v>
      </c>
    </row>
    <row r="404" customFormat="false" ht="15" hidden="false" customHeight="false" outlineLevel="0" collapsed="false">
      <c r="A404" s="8" t="s">
        <v>26</v>
      </c>
      <c r="B404" s="8" t="s">
        <v>39</v>
      </c>
      <c r="C404" s="8" t="s">
        <v>62</v>
      </c>
      <c r="D404" s="21" t="n">
        <v>46279.7291666667</v>
      </c>
      <c r="E404" s="21" t="n">
        <v>46281.3854166667</v>
      </c>
      <c r="F404" s="22" t="n">
        <f aca="false">DATE(YEAR(E404),MONTH(E404),1)</f>
        <v>46266</v>
      </c>
      <c r="G404" s="23" t="n">
        <v>230353</v>
      </c>
      <c r="H404" s="8" t="s">
        <v>61</v>
      </c>
      <c r="I404" s="24" t="n">
        <v>-4633.54</v>
      </c>
      <c r="J404" s="25" t="n">
        <f aca="false">Summary!$B$4</f>
        <v>1</v>
      </c>
      <c r="K404" s="11" t="n">
        <f aca="false">I404*J404*IF(A404="SILVER",Summary!$B$5,Summary!$B$6)</f>
        <v>-139006.2</v>
      </c>
      <c r="L404" s="26" t="n">
        <v>-0.74</v>
      </c>
      <c r="M404" s="27" t="n">
        <f aca="false">IF(K404&gt;0,1,0)</f>
        <v>0</v>
      </c>
      <c r="N404" s="11" t="n">
        <f aca="false">SUMIFS(K$2:K404,A$2:A404,A404,B$2:B404,B404)</f>
        <v>4985073.6</v>
      </c>
      <c r="O404" s="11" t="n">
        <f aca="false">MAX(0,_xlfn.MAXIFS(N$2:N404,A$2:A404,A404,B$2:B404,B404))</f>
        <v>5400702.3</v>
      </c>
      <c r="P404" s="11" t="n">
        <f aca="false">N404-O404</f>
        <v>-415628.699999999</v>
      </c>
    </row>
    <row r="405" customFormat="false" ht="15" hidden="false" customHeight="false" outlineLevel="0" collapsed="false">
      <c r="A405" s="8" t="s">
        <v>26</v>
      </c>
      <c r="B405" s="8" t="s">
        <v>39</v>
      </c>
      <c r="C405" s="8" t="s">
        <v>62</v>
      </c>
      <c r="D405" s="21" t="n">
        <v>46282.3854166667</v>
      </c>
      <c r="E405" s="21" t="n">
        <v>46282.7395833333</v>
      </c>
      <c r="F405" s="22" t="n">
        <f aca="false">DATE(YEAR(E405),MONTH(E405),1)</f>
        <v>46266</v>
      </c>
      <c r="G405" s="23" t="n">
        <v>232746</v>
      </c>
      <c r="H405" s="8" t="s">
        <v>61</v>
      </c>
      <c r="I405" s="24" t="n">
        <v>-4130.96</v>
      </c>
      <c r="J405" s="25" t="n">
        <f aca="false">Summary!$B$4</f>
        <v>1</v>
      </c>
      <c r="K405" s="11" t="n">
        <f aca="false">I405*J405*IF(A405="SILVER",Summary!$B$5,Summary!$B$6)</f>
        <v>-123928.8</v>
      </c>
      <c r="L405" s="26" t="n">
        <v>-1.196</v>
      </c>
      <c r="M405" s="27" t="n">
        <f aca="false">IF(K405&gt;0,1,0)</f>
        <v>0</v>
      </c>
      <c r="N405" s="11" t="n">
        <f aca="false">SUMIFS(K$2:K405,A$2:A405,A405,B$2:B405,B405)</f>
        <v>4861144.8</v>
      </c>
      <c r="O405" s="11" t="n">
        <f aca="false">MAX(0,_xlfn.MAXIFS(N$2:N405,A$2:A405,A405,B$2:B405,B405))</f>
        <v>5400702.3</v>
      </c>
      <c r="P405" s="11" t="n">
        <f aca="false">N405-O405</f>
        <v>-539557.5</v>
      </c>
    </row>
    <row r="406" customFormat="false" ht="15" hidden="false" customHeight="false" outlineLevel="0" collapsed="false">
      <c r="A406" s="8" t="s">
        <v>26</v>
      </c>
      <c r="B406" s="8" t="s">
        <v>39</v>
      </c>
      <c r="C406" s="8" t="s">
        <v>62</v>
      </c>
      <c r="D406" s="21" t="n">
        <v>46283.8333333333</v>
      </c>
      <c r="E406" s="21" t="n">
        <v>46287.7444444444</v>
      </c>
      <c r="F406" s="22" t="n">
        <f aca="false">DATE(YEAR(E406),MONTH(E406),1)</f>
        <v>46266</v>
      </c>
      <c r="G406" s="23" t="n">
        <v>239353</v>
      </c>
      <c r="H406" s="8" t="s">
        <v>64</v>
      </c>
      <c r="I406" s="24" t="n">
        <v>391.9</v>
      </c>
      <c r="J406" s="25" t="n">
        <f aca="false">Summary!$B$4</f>
        <v>1</v>
      </c>
      <c r="K406" s="11" t="n">
        <f aca="false">I406*J406*IF(A406="SILVER",Summary!$B$5,Summary!$B$6)</f>
        <v>11757</v>
      </c>
      <c r="L406" s="26" t="n">
        <v>0.087</v>
      </c>
      <c r="M406" s="27" t="n">
        <f aca="false">IF(K406&gt;0,1,0)</f>
        <v>1</v>
      </c>
      <c r="N406" s="11" t="n">
        <f aca="false">SUMIFS(K$2:K406,A$2:A406,A406,B$2:B406,B406)</f>
        <v>4872901.8</v>
      </c>
      <c r="O406" s="11" t="n">
        <f aca="false">MAX(0,_xlfn.MAXIFS(N$2:N406,A$2:A406,A406,B$2:B406,B406))</f>
        <v>5400702.3</v>
      </c>
      <c r="P406" s="11" t="n">
        <f aca="false">N406-O406</f>
        <v>-527800.5</v>
      </c>
    </row>
    <row r="407" customFormat="false" ht="15" hidden="false" customHeight="false" outlineLevel="0" collapsed="false">
      <c r="A407" s="8" t="s">
        <v>26</v>
      </c>
      <c r="B407" s="8" t="s">
        <v>39</v>
      </c>
      <c r="C407" s="8" t="s">
        <v>62</v>
      </c>
      <c r="D407" s="21" t="n">
        <v>46288.6354166667</v>
      </c>
      <c r="E407" s="21" t="n">
        <v>46288.9784722222</v>
      </c>
      <c r="F407" s="22" t="n">
        <f aca="false">DATE(YEAR(E407),MONTH(E407),1)</f>
        <v>46266</v>
      </c>
      <c r="G407" s="23" t="n">
        <v>237676</v>
      </c>
      <c r="H407" s="8" t="s">
        <v>63</v>
      </c>
      <c r="I407" s="24" t="n">
        <v>1533.62</v>
      </c>
      <c r="J407" s="25" t="n">
        <f aca="false">Summary!$B$4</f>
        <v>1</v>
      </c>
      <c r="K407" s="11" t="n">
        <f aca="false">I407*J407*IF(A407="SILVER",Summary!$B$5,Summary!$B$6)</f>
        <v>46008.6</v>
      </c>
      <c r="L407" s="26" t="n">
        <v>0.475</v>
      </c>
      <c r="M407" s="27" t="n">
        <f aca="false">IF(K407&gt;0,1,0)</f>
        <v>1</v>
      </c>
      <c r="N407" s="11" t="n">
        <f aca="false">SUMIFS(K$2:K407,A$2:A407,A407,B$2:B407,B407)</f>
        <v>4918910.4</v>
      </c>
      <c r="O407" s="11" t="n">
        <f aca="false">MAX(0,_xlfn.MAXIFS(N$2:N407,A$2:A407,A407,B$2:B407,B407))</f>
        <v>5400702.3</v>
      </c>
      <c r="P407" s="11" t="n">
        <f aca="false">N407-O407</f>
        <v>-481791.899999999</v>
      </c>
    </row>
    <row r="408" customFormat="false" ht="15" hidden="false" customHeight="false" outlineLevel="0" collapsed="false">
      <c r="A408" s="8" t="s">
        <v>26</v>
      </c>
      <c r="B408" s="8" t="s">
        <v>41</v>
      </c>
      <c r="C408" s="8" t="s">
        <v>62</v>
      </c>
      <c r="D408" s="21" t="n">
        <v>45688.9027777778</v>
      </c>
      <c r="E408" s="21" t="n">
        <v>45688.91875</v>
      </c>
      <c r="F408" s="22" t="n">
        <f aca="false">DATE(YEAR(E408),MONTH(E408),1)</f>
        <v>45658</v>
      </c>
      <c r="G408" s="23" t="n">
        <v>132665</v>
      </c>
      <c r="H408" s="8" t="s">
        <v>64</v>
      </c>
      <c r="I408" s="24" t="n">
        <v>23.4</v>
      </c>
      <c r="J408" s="25" t="n">
        <f aca="false">Summary!$B$4</f>
        <v>1</v>
      </c>
      <c r="K408" s="11" t="n">
        <f aca="false">I408*J408*IF(A408="SILVER",Summary!$B$5,Summary!$B$6)</f>
        <v>702</v>
      </c>
      <c r="L408" s="26" t="n">
        <v>0.045</v>
      </c>
      <c r="M408" s="27" t="n">
        <f aca="false">IF(K408&gt;0,1,0)</f>
        <v>1</v>
      </c>
      <c r="N408" s="11" t="n">
        <f aca="false">SUMIFS(K$2:K408,A$2:A408,A408,B$2:B408,B408)</f>
        <v>702</v>
      </c>
      <c r="O408" s="11" t="n">
        <f aca="false">MAX(0,_xlfn.MAXIFS(N$2:N408,A$2:A408,A408,B$2:B408,B408))</f>
        <v>702</v>
      </c>
      <c r="P408" s="11" t="n">
        <f aca="false">N408-O408</f>
        <v>0</v>
      </c>
    </row>
    <row r="409" customFormat="false" ht="15" hidden="false" customHeight="false" outlineLevel="0" collapsed="false">
      <c r="A409" s="8" t="s">
        <v>26</v>
      </c>
      <c r="B409" s="8" t="s">
        <v>41</v>
      </c>
      <c r="C409" s="8" t="s">
        <v>62</v>
      </c>
      <c r="D409" s="21" t="n">
        <v>45691.875</v>
      </c>
      <c r="E409" s="21" t="n">
        <v>45692.7881944445</v>
      </c>
      <c r="F409" s="22" t="n">
        <f aca="false">DATE(YEAR(E409),MONTH(E409),1)</f>
        <v>45689</v>
      </c>
      <c r="G409" s="23" t="n">
        <v>132809</v>
      </c>
      <c r="H409" s="8" t="s">
        <v>61</v>
      </c>
      <c r="I409" s="24" t="n">
        <v>-937.84</v>
      </c>
      <c r="J409" s="25" t="n">
        <f aca="false">Summary!$B$4</f>
        <v>1</v>
      </c>
      <c r="K409" s="11" t="n">
        <f aca="false">I409*J409*IF(A409="SILVER",Summary!$B$5,Summary!$B$6)</f>
        <v>-28135.2</v>
      </c>
      <c r="L409" s="26" t="n">
        <v>-0.851</v>
      </c>
      <c r="M409" s="27" t="n">
        <f aca="false">IF(K409&gt;0,1,0)</f>
        <v>0</v>
      </c>
      <c r="N409" s="11" t="n">
        <f aca="false">SUMIFS(K$2:K409,A$2:A409,A409,B$2:B409,B409)</f>
        <v>-27433.2</v>
      </c>
      <c r="O409" s="11" t="n">
        <f aca="false">MAX(0,_xlfn.MAXIFS(N$2:N409,A$2:A409,A409,B$2:B409,B409))</f>
        <v>702</v>
      </c>
      <c r="P409" s="11" t="n">
        <f aca="false">N409-O409</f>
        <v>-28135.2</v>
      </c>
    </row>
    <row r="410" customFormat="false" ht="15" hidden="false" customHeight="false" outlineLevel="0" collapsed="false">
      <c r="A410" s="8" t="s">
        <v>26</v>
      </c>
      <c r="B410" s="8" t="s">
        <v>41</v>
      </c>
      <c r="C410" s="8" t="s">
        <v>62</v>
      </c>
      <c r="D410" s="21" t="n">
        <v>45693.7013888889</v>
      </c>
      <c r="E410" s="21" t="n">
        <v>45693.8333333333</v>
      </c>
      <c r="F410" s="22" t="n">
        <f aca="false">DATE(YEAR(E410),MONTH(E410),1)</f>
        <v>45689</v>
      </c>
      <c r="G410" s="23" t="n">
        <v>134833</v>
      </c>
      <c r="H410" s="8" t="s">
        <v>64</v>
      </c>
      <c r="I410" s="24" t="n">
        <v>37.32</v>
      </c>
      <c r="J410" s="25" t="n">
        <f aca="false">Summary!$B$4</f>
        <v>1</v>
      </c>
      <c r="K410" s="11" t="n">
        <f aca="false">I410*J410*IF(A410="SILVER",Summary!$B$5,Summary!$B$6)</f>
        <v>1119.6</v>
      </c>
      <c r="L410" s="26" t="n">
        <v>0.056</v>
      </c>
      <c r="M410" s="27" t="n">
        <f aca="false">IF(K410&gt;0,1,0)</f>
        <v>1</v>
      </c>
      <c r="N410" s="11" t="n">
        <f aca="false">SUMIFS(K$2:K410,A$2:A410,A410,B$2:B410,B410)</f>
        <v>-26313.6</v>
      </c>
      <c r="O410" s="11" t="n">
        <f aca="false">MAX(0,_xlfn.MAXIFS(N$2:N410,A$2:A410,A410,B$2:B410,B410))</f>
        <v>702</v>
      </c>
      <c r="P410" s="11" t="n">
        <f aca="false">N410-O410</f>
        <v>-27015.6</v>
      </c>
    </row>
    <row r="411" customFormat="false" ht="15" hidden="false" customHeight="false" outlineLevel="0" collapsed="false">
      <c r="A411" s="8" t="s">
        <v>26</v>
      </c>
      <c r="B411" s="8" t="s">
        <v>41</v>
      </c>
      <c r="C411" s="8" t="s">
        <v>62</v>
      </c>
      <c r="D411" s="21" t="n">
        <v>45694.5520833333</v>
      </c>
      <c r="E411" s="21" t="n">
        <v>45694.6069444444</v>
      </c>
      <c r="F411" s="22" t="n">
        <f aca="false">DATE(YEAR(E411),MONTH(E411),1)</f>
        <v>45689</v>
      </c>
      <c r="G411" s="23" t="n">
        <v>134353</v>
      </c>
      <c r="H411" s="8" t="s">
        <v>64</v>
      </c>
      <c r="I411" s="24" t="n">
        <v>29.23</v>
      </c>
      <c r="J411" s="25" t="n">
        <f aca="false">Summary!$B$4</f>
        <v>1</v>
      </c>
      <c r="K411" s="11" t="n">
        <f aca="false">I411*J411*IF(A411="SILVER",Summary!$B$5,Summary!$B$6)</f>
        <v>876.9</v>
      </c>
      <c r="L411" s="26" t="n">
        <v>0.05</v>
      </c>
      <c r="M411" s="27" t="n">
        <f aca="false">IF(K411&gt;0,1,0)</f>
        <v>1</v>
      </c>
      <c r="N411" s="11" t="n">
        <f aca="false">SUMIFS(K$2:K411,A$2:A411,A411,B$2:B411,B411)</f>
        <v>-25436.7</v>
      </c>
      <c r="O411" s="11" t="n">
        <f aca="false">MAX(0,_xlfn.MAXIFS(N$2:N411,A$2:A411,A411,B$2:B411,B411))</f>
        <v>702</v>
      </c>
      <c r="P411" s="11" t="n">
        <f aca="false">N411-O411</f>
        <v>-26138.7</v>
      </c>
    </row>
    <row r="412" customFormat="false" ht="15" hidden="false" customHeight="false" outlineLevel="0" collapsed="false">
      <c r="A412" s="8" t="s">
        <v>26</v>
      </c>
      <c r="B412" s="8" t="s">
        <v>41</v>
      </c>
      <c r="C412" s="8" t="s">
        <v>62</v>
      </c>
      <c r="D412" s="21" t="n">
        <v>45694.8541666667</v>
      </c>
      <c r="E412" s="21" t="n">
        <v>45694.9756944445</v>
      </c>
      <c r="F412" s="22" t="n">
        <f aca="false">DATE(YEAR(E412),MONTH(E412),1)</f>
        <v>45689</v>
      </c>
      <c r="G412" s="23" t="n">
        <v>133721</v>
      </c>
      <c r="H412" s="8" t="s">
        <v>61</v>
      </c>
      <c r="I412" s="24" t="n">
        <v>-932.03</v>
      </c>
      <c r="J412" s="25" t="n">
        <f aca="false">Summary!$B$4</f>
        <v>1</v>
      </c>
      <c r="K412" s="11" t="n">
        <f aca="false">I412*J412*IF(A412="SILVER",Summary!$B$5,Summary!$B$6)</f>
        <v>-27960.9</v>
      </c>
      <c r="L412" s="26" t="n">
        <v>-0.852</v>
      </c>
      <c r="M412" s="27" t="n">
        <f aca="false">IF(K412&gt;0,1,0)</f>
        <v>0</v>
      </c>
      <c r="N412" s="11" t="n">
        <f aca="false">SUMIFS(K$2:K412,A$2:A412,A412,B$2:B412,B412)</f>
        <v>-53397.6</v>
      </c>
      <c r="O412" s="11" t="n">
        <f aca="false">MAX(0,_xlfn.MAXIFS(N$2:N412,A$2:A412,A412,B$2:B412,B412))</f>
        <v>702</v>
      </c>
      <c r="P412" s="11" t="n">
        <f aca="false">N412-O412</f>
        <v>-54099.6</v>
      </c>
    </row>
    <row r="413" customFormat="false" ht="15" hidden="false" customHeight="false" outlineLevel="0" collapsed="false">
      <c r="A413" s="8" t="s">
        <v>26</v>
      </c>
      <c r="B413" s="8" t="s">
        <v>41</v>
      </c>
      <c r="C413" s="8" t="s">
        <v>62</v>
      </c>
      <c r="D413" s="21" t="n">
        <v>45695.9305555556</v>
      </c>
      <c r="E413" s="21" t="n">
        <v>45698.5416666667</v>
      </c>
      <c r="F413" s="22" t="n">
        <f aca="false">DATE(YEAR(E413),MONTH(E413),1)</f>
        <v>45689</v>
      </c>
      <c r="G413" s="23" t="n">
        <v>134683</v>
      </c>
      <c r="H413" s="8" t="s">
        <v>64</v>
      </c>
      <c r="I413" s="24" t="n">
        <v>73.16</v>
      </c>
      <c r="J413" s="25" t="n">
        <f aca="false">Summary!$B$4</f>
        <v>1</v>
      </c>
      <c r="K413" s="11" t="n">
        <f aca="false">I413*J413*IF(A413="SILVER",Summary!$B$5,Summary!$B$6)</f>
        <v>2194.8</v>
      </c>
      <c r="L413" s="26" t="n">
        <v>0.072</v>
      </c>
      <c r="M413" s="27" t="n">
        <f aca="false">IF(K413&gt;0,1,0)</f>
        <v>1</v>
      </c>
      <c r="N413" s="11" t="n">
        <f aca="false">SUMIFS(K$2:K413,A$2:A413,A413,B$2:B413,B413)</f>
        <v>-51202.8</v>
      </c>
      <c r="O413" s="11" t="n">
        <f aca="false">MAX(0,_xlfn.MAXIFS(N$2:N413,A$2:A413,A413,B$2:B413,B413))</f>
        <v>702</v>
      </c>
      <c r="P413" s="11" t="n">
        <f aca="false">N413-O413</f>
        <v>-51904.8</v>
      </c>
    </row>
    <row r="414" customFormat="false" ht="15" hidden="false" customHeight="false" outlineLevel="0" collapsed="false">
      <c r="A414" s="8" t="s">
        <v>26</v>
      </c>
      <c r="B414" s="8" t="s">
        <v>41</v>
      </c>
      <c r="C414" s="8" t="s">
        <v>62</v>
      </c>
      <c r="D414" s="21" t="n">
        <v>45698.8055555556</v>
      </c>
      <c r="E414" s="21" t="n">
        <v>45698.8270833333</v>
      </c>
      <c r="F414" s="22" t="n">
        <f aca="false">DATE(YEAR(E414),MONTH(E414),1)</f>
        <v>45689</v>
      </c>
      <c r="G414" s="23" t="n">
        <v>134533</v>
      </c>
      <c r="H414" s="8" t="s">
        <v>64</v>
      </c>
      <c r="I414" s="24" t="n">
        <v>35.7</v>
      </c>
      <c r="J414" s="25" t="n">
        <f aca="false">Summary!$B$4</f>
        <v>1</v>
      </c>
      <c r="K414" s="11" t="n">
        <f aca="false">I414*J414*IF(A414="SILVER",Summary!$B$5,Summary!$B$6)</f>
        <v>1071</v>
      </c>
      <c r="L414" s="26" t="n">
        <v>0.055</v>
      </c>
      <c r="M414" s="27" t="n">
        <f aca="false">IF(K414&gt;0,1,0)</f>
        <v>1</v>
      </c>
      <c r="N414" s="11" t="n">
        <f aca="false">SUMIFS(K$2:K414,A$2:A414,A414,B$2:B414,B414)</f>
        <v>-50131.8</v>
      </c>
      <c r="O414" s="11" t="n">
        <f aca="false">MAX(0,_xlfn.MAXIFS(N$2:N414,A$2:A414,A414,B$2:B414,B414))</f>
        <v>702</v>
      </c>
      <c r="P414" s="11" t="n">
        <f aca="false">N414-O414</f>
        <v>-50833.8</v>
      </c>
    </row>
    <row r="415" customFormat="false" ht="15" hidden="false" customHeight="false" outlineLevel="0" collapsed="false">
      <c r="A415" s="8" t="s">
        <v>26</v>
      </c>
      <c r="B415" s="8" t="s">
        <v>41</v>
      </c>
      <c r="C415" s="8" t="s">
        <v>62</v>
      </c>
      <c r="D415" s="21" t="n">
        <v>45700.3784722222</v>
      </c>
      <c r="E415" s="21" t="n">
        <v>45700.5659722222</v>
      </c>
      <c r="F415" s="22" t="n">
        <f aca="false">DATE(YEAR(E415),MONTH(E415),1)</f>
        <v>45689</v>
      </c>
      <c r="G415" s="23" t="n">
        <v>133073</v>
      </c>
      <c r="H415" s="8" t="s">
        <v>61</v>
      </c>
      <c r="I415" s="24" t="n">
        <v>-571.86</v>
      </c>
      <c r="J415" s="25" t="n">
        <f aca="false">Summary!$B$4</f>
        <v>1</v>
      </c>
      <c r="K415" s="11" t="n">
        <f aca="false">I415*J415*IF(A415="SILVER",Summary!$B$5,Summary!$B$6)</f>
        <v>-17155.8</v>
      </c>
      <c r="L415" s="26" t="n">
        <v>-0.755</v>
      </c>
      <c r="M415" s="27" t="n">
        <f aca="false">IF(K415&gt;0,1,0)</f>
        <v>0</v>
      </c>
      <c r="N415" s="11" t="n">
        <f aca="false">SUMIFS(K$2:K415,A$2:A415,A415,B$2:B415,B415)</f>
        <v>-67287.6</v>
      </c>
      <c r="O415" s="11" t="n">
        <f aca="false">MAX(0,_xlfn.MAXIFS(N$2:N415,A$2:A415,A415,B$2:B415,B415))</f>
        <v>702</v>
      </c>
      <c r="P415" s="11" t="n">
        <f aca="false">N415-O415</f>
        <v>-67989.6</v>
      </c>
    </row>
    <row r="416" customFormat="false" ht="15" hidden="false" customHeight="false" outlineLevel="0" collapsed="false">
      <c r="A416" s="8" t="s">
        <v>26</v>
      </c>
      <c r="B416" s="8" t="s">
        <v>41</v>
      </c>
      <c r="C416" s="8" t="s">
        <v>62</v>
      </c>
      <c r="D416" s="21" t="n">
        <v>45700.6458333333</v>
      </c>
      <c r="E416" s="21" t="n">
        <v>45700.7875</v>
      </c>
      <c r="F416" s="22" t="n">
        <f aca="false">DATE(YEAR(E416),MONTH(E416),1)</f>
        <v>45689</v>
      </c>
      <c r="G416" s="23" t="n">
        <v>133132</v>
      </c>
      <c r="H416" s="8" t="s">
        <v>64</v>
      </c>
      <c r="I416" s="24" t="n">
        <v>18.57</v>
      </c>
      <c r="J416" s="25" t="n">
        <f aca="false">Summary!$B$4</f>
        <v>1</v>
      </c>
      <c r="K416" s="11" t="n">
        <f aca="false">I416*J416*IF(A416="SILVER",Summary!$B$5,Summary!$B$6)</f>
        <v>557.1</v>
      </c>
      <c r="L416" s="26" t="n">
        <v>0.039</v>
      </c>
      <c r="M416" s="27" t="n">
        <f aca="false">IF(K416&gt;0,1,0)</f>
        <v>1</v>
      </c>
      <c r="N416" s="11" t="n">
        <f aca="false">SUMIFS(K$2:K416,A$2:A416,A416,B$2:B416,B416)</f>
        <v>-66730.5</v>
      </c>
      <c r="O416" s="11" t="n">
        <f aca="false">MAX(0,_xlfn.MAXIFS(N$2:N416,A$2:A416,A416,B$2:B416,B416))</f>
        <v>702</v>
      </c>
      <c r="P416" s="11" t="n">
        <f aca="false">N416-O416</f>
        <v>-67432.5</v>
      </c>
    </row>
    <row r="417" customFormat="false" ht="15" hidden="false" customHeight="false" outlineLevel="0" collapsed="false">
      <c r="A417" s="8" t="s">
        <v>26</v>
      </c>
      <c r="B417" s="8" t="s">
        <v>41</v>
      </c>
      <c r="C417" s="8" t="s">
        <v>62</v>
      </c>
      <c r="D417" s="21" t="n">
        <v>45701.8055555556</v>
      </c>
      <c r="E417" s="21" t="n">
        <v>45701.8409722222</v>
      </c>
      <c r="F417" s="22" t="n">
        <f aca="false">DATE(YEAR(E417),MONTH(E417),1)</f>
        <v>45689</v>
      </c>
      <c r="G417" s="23" t="n">
        <v>134222</v>
      </c>
      <c r="H417" s="8" t="s">
        <v>64</v>
      </c>
      <c r="I417" s="24" t="n">
        <v>46.43</v>
      </c>
      <c r="J417" s="25" t="n">
        <f aca="false">Summary!$B$4</f>
        <v>1</v>
      </c>
      <c r="K417" s="11" t="n">
        <f aca="false">I417*J417*IF(A417="SILVER",Summary!$B$5,Summary!$B$6)</f>
        <v>1392.9</v>
      </c>
      <c r="L417" s="26" t="n">
        <v>0.062</v>
      </c>
      <c r="M417" s="27" t="n">
        <f aca="false">IF(K417&gt;0,1,0)</f>
        <v>1</v>
      </c>
      <c r="N417" s="11" t="n">
        <f aca="false">SUMIFS(K$2:K417,A$2:A417,A417,B$2:B417,B417)</f>
        <v>-65337.6</v>
      </c>
      <c r="O417" s="11" t="n">
        <f aca="false">MAX(0,_xlfn.MAXIFS(N$2:N417,A$2:A417,A417,B$2:B417,B417))</f>
        <v>702</v>
      </c>
      <c r="P417" s="11" t="n">
        <f aca="false">N417-O417</f>
        <v>-66039.6</v>
      </c>
    </row>
    <row r="418" customFormat="false" ht="15" hidden="false" customHeight="false" outlineLevel="0" collapsed="false">
      <c r="A418" s="8" t="s">
        <v>26</v>
      </c>
      <c r="B418" s="8" t="s">
        <v>41</v>
      </c>
      <c r="C418" s="8" t="s">
        <v>62</v>
      </c>
      <c r="D418" s="21" t="n">
        <v>45702.7222222222</v>
      </c>
      <c r="E418" s="21" t="n">
        <v>45702.7951388889</v>
      </c>
      <c r="F418" s="22" t="n">
        <f aca="false">DATE(YEAR(E418),MONTH(E418),1)</f>
        <v>45689</v>
      </c>
      <c r="G418" s="23" t="n">
        <v>136602</v>
      </c>
      <c r="H418" s="8" t="s">
        <v>61</v>
      </c>
      <c r="I418" s="24" t="n">
        <v>-625.57</v>
      </c>
      <c r="J418" s="25" t="n">
        <f aca="false">Summary!$B$4</f>
        <v>1</v>
      </c>
      <c r="K418" s="11" t="n">
        <f aca="false">I418*J418*IF(A418="SILVER",Summary!$B$5,Summary!$B$6)</f>
        <v>-18767.1</v>
      </c>
      <c r="L418" s="26" t="n">
        <v>-1.066</v>
      </c>
      <c r="M418" s="27" t="n">
        <f aca="false">IF(K418&gt;0,1,0)</f>
        <v>0</v>
      </c>
      <c r="N418" s="11" t="n">
        <f aca="false">SUMIFS(K$2:K418,A$2:A418,A418,B$2:B418,B418)</f>
        <v>-84104.7</v>
      </c>
      <c r="O418" s="11" t="n">
        <f aca="false">MAX(0,_xlfn.MAXIFS(N$2:N418,A$2:A418,A418,B$2:B418,B418))</f>
        <v>702</v>
      </c>
      <c r="P418" s="11" t="n">
        <f aca="false">N418-O418</f>
        <v>-84806.7</v>
      </c>
    </row>
    <row r="419" customFormat="false" ht="15" hidden="false" customHeight="false" outlineLevel="0" collapsed="false">
      <c r="A419" s="8" t="s">
        <v>26</v>
      </c>
      <c r="B419" s="8" t="s">
        <v>41</v>
      </c>
      <c r="C419" s="8" t="s">
        <v>62</v>
      </c>
      <c r="D419" s="21" t="n">
        <v>45702.8159722222</v>
      </c>
      <c r="E419" s="21" t="n">
        <v>45705.5972222222</v>
      </c>
      <c r="F419" s="22" t="n">
        <f aca="false">DATE(YEAR(E419),MONTH(E419),1)</f>
        <v>45689</v>
      </c>
      <c r="G419" s="23" t="n">
        <v>136020</v>
      </c>
      <c r="H419" s="8" t="s">
        <v>61</v>
      </c>
      <c r="I419" s="24" t="n">
        <v>1303.73</v>
      </c>
      <c r="J419" s="25" t="n">
        <f aca="false">Summary!$B$4</f>
        <v>1</v>
      </c>
      <c r="K419" s="11" t="n">
        <f aca="false">I419*J419*IF(A419="SILVER",Summary!$B$5,Summary!$B$6)</f>
        <v>39111.9</v>
      </c>
      <c r="L419" s="26" t="n">
        <v>1.044</v>
      </c>
      <c r="M419" s="27" t="n">
        <f aca="false">IF(K419&gt;0,1,0)</f>
        <v>1</v>
      </c>
      <c r="N419" s="11" t="n">
        <f aca="false">SUMIFS(K$2:K419,A$2:A419,A419,B$2:B419,B419)</f>
        <v>-44992.8</v>
      </c>
      <c r="O419" s="11" t="n">
        <f aca="false">MAX(0,_xlfn.MAXIFS(N$2:N419,A$2:A419,A419,B$2:B419,B419))</f>
        <v>702</v>
      </c>
      <c r="P419" s="11" t="n">
        <f aca="false">N419-O419</f>
        <v>-45694.8</v>
      </c>
    </row>
    <row r="420" customFormat="false" ht="15" hidden="false" customHeight="false" outlineLevel="0" collapsed="false">
      <c r="A420" s="8" t="s">
        <v>26</v>
      </c>
      <c r="B420" s="8" t="s">
        <v>41</v>
      </c>
      <c r="C420" s="8" t="s">
        <v>62</v>
      </c>
      <c r="D420" s="21" t="n">
        <v>45705.8125</v>
      </c>
      <c r="E420" s="21" t="n">
        <v>45706.3784722222</v>
      </c>
      <c r="F420" s="22" t="n">
        <f aca="false">DATE(YEAR(E420),MONTH(E420),1)</f>
        <v>45689</v>
      </c>
      <c r="G420" s="23" t="n">
        <v>134472</v>
      </c>
      <c r="H420" s="8" t="s">
        <v>61</v>
      </c>
      <c r="I420" s="24" t="n">
        <v>-489.13</v>
      </c>
      <c r="J420" s="25" t="n">
        <f aca="false">Summary!$B$4</f>
        <v>1</v>
      </c>
      <c r="K420" s="11" t="n">
        <f aca="false">I420*J420*IF(A420="SILVER",Summary!$B$5,Summary!$B$6)</f>
        <v>-14673.9</v>
      </c>
      <c r="L420" s="26" t="n">
        <v>-0.905</v>
      </c>
      <c r="M420" s="27" t="n">
        <f aca="false">IF(K420&gt;0,1,0)</f>
        <v>0</v>
      </c>
      <c r="N420" s="11" t="n">
        <f aca="false">SUMIFS(K$2:K420,A$2:A420,A420,B$2:B420,B420)</f>
        <v>-59666.7</v>
      </c>
      <c r="O420" s="11" t="n">
        <f aca="false">MAX(0,_xlfn.MAXIFS(N$2:N420,A$2:A420,A420,B$2:B420,B420))</f>
        <v>702</v>
      </c>
      <c r="P420" s="11" t="n">
        <f aca="false">N420-O420</f>
        <v>-60368.7</v>
      </c>
    </row>
    <row r="421" customFormat="false" ht="15" hidden="false" customHeight="false" outlineLevel="0" collapsed="false">
      <c r="A421" s="8" t="s">
        <v>26</v>
      </c>
      <c r="B421" s="8" t="s">
        <v>41</v>
      </c>
      <c r="C421" s="8" t="s">
        <v>62</v>
      </c>
      <c r="D421" s="21" t="n">
        <v>45707.7291666667</v>
      </c>
      <c r="E421" s="21" t="n">
        <v>45708.375</v>
      </c>
      <c r="F421" s="22" t="n">
        <f aca="false">DATE(YEAR(E421),MONTH(E421),1)</f>
        <v>45689</v>
      </c>
      <c r="G421" s="23" t="n">
        <v>136117</v>
      </c>
      <c r="H421" s="8" t="s">
        <v>64</v>
      </c>
      <c r="I421" s="24" t="n">
        <v>20.37</v>
      </c>
      <c r="J421" s="25" t="n">
        <f aca="false">Summary!$B$4</f>
        <v>1</v>
      </c>
      <c r="K421" s="11" t="n">
        <f aca="false">I421*J421*IF(A421="SILVER",Summary!$B$5,Summary!$B$6)</f>
        <v>611.1</v>
      </c>
      <c r="L421" s="26" t="n">
        <v>0.041</v>
      </c>
      <c r="M421" s="27" t="n">
        <f aca="false">IF(K421&gt;0,1,0)</f>
        <v>1</v>
      </c>
      <c r="N421" s="11" t="n">
        <f aca="false">SUMIFS(K$2:K421,A$2:A421,A421,B$2:B421,B421)</f>
        <v>-59055.6</v>
      </c>
      <c r="O421" s="11" t="n">
        <f aca="false">MAX(0,_xlfn.MAXIFS(N$2:N421,A$2:A421,A421,B$2:B421,B421))</f>
        <v>702</v>
      </c>
      <c r="P421" s="11" t="n">
        <f aca="false">N421-O421</f>
        <v>-59757.6</v>
      </c>
    </row>
    <row r="422" customFormat="false" ht="15" hidden="false" customHeight="false" outlineLevel="0" collapsed="false">
      <c r="A422" s="8" t="s">
        <v>26</v>
      </c>
      <c r="B422" s="8" t="s">
        <v>41</v>
      </c>
      <c r="C422" s="8" t="s">
        <v>62</v>
      </c>
      <c r="D422" s="21" t="n">
        <v>45708.7465277778</v>
      </c>
      <c r="E422" s="21" t="n">
        <v>45708.8375</v>
      </c>
      <c r="F422" s="22" t="n">
        <f aca="false">DATE(YEAR(E422),MONTH(E422),1)</f>
        <v>45689</v>
      </c>
      <c r="G422" s="23" t="n">
        <v>136286</v>
      </c>
      <c r="H422" s="8" t="s">
        <v>64</v>
      </c>
      <c r="I422" s="24" t="n">
        <v>28.74</v>
      </c>
      <c r="J422" s="25" t="n">
        <f aca="false">Summary!$B$4</f>
        <v>1</v>
      </c>
      <c r="K422" s="11" t="n">
        <f aca="false">I422*J422*IF(A422="SILVER",Summary!$B$5,Summary!$B$6)</f>
        <v>862.2</v>
      </c>
      <c r="L422" s="26" t="n">
        <v>0.049</v>
      </c>
      <c r="M422" s="27" t="n">
        <f aca="false">IF(K422&gt;0,1,0)</f>
        <v>1</v>
      </c>
      <c r="N422" s="11" t="n">
        <f aca="false">SUMIFS(K$2:K422,A$2:A422,A422,B$2:B422,B422)</f>
        <v>-58193.4</v>
      </c>
      <c r="O422" s="11" t="n">
        <f aca="false">MAX(0,_xlfn.MAXIFS(N$2:N422,A$2:A422,A422,B$2:B422,B422))</f>
        <v>702</v>
      </c>
      <c r="P422" s="11" t="n">
        <f aca="false">N422-O422</f>
        <v>-58895.4</v>
      </c>
    </row>
    <row r="423" customFormat="false" ht="15" hidden="false" customHeight="false" outlineLevel="0" collapsed="false">
      <c r="A423" s="8" t="s">
        <v>26</v>
      </c>
      <c r="B423" s="8" t="s">
        <v>41</v>
      </c>
      <c r="C423" s="8" t="s">
        <v>62</v>
      </c>
      <c r="D423" s="21" t="n">
        <v>45709.5833333333</v>
      </c>
      <c r="E423" s="21" t="n">
        <v>45712.8020833333</v>
      </c>
      <c r="F423" s="22" t="n">
        <f aca="false">DATE(YEAR(E423),MONTH(E423),1)</f>
        <v>45689</v>
      </c>
      <c r="G423" s="23" t="n">
        <v>135568</v>
      </c>
      <c r="H423" s="8" t="s">
        <v>61</v>
      </c>
      <c r="I423" s="24" t="n">
        <v>431.74</v>
      </c>
      <c r="J423" s="25" t="n">
        <f aca="false">Summary!$B$4</f>
        <v>1</v>
      </c>
      <c r="K423" s="11" t="n">
        <f aca="false">I423*J423*IF(A423="SILVER",Summary!$B$5,Summary!$B$6)</f>
        <v>12952.2</v>
      </c>
      <c r="L423" s="26" t="n">
        <v>0.767</v>
      </c>
      <c r="M423" s="27" t="n">
        <f aca="false">IF(K423&gt;0,1,0)</f>
        <v>1</v>
      </c>
      <c r="N423" s="11" t="n">
        <f aca="false">SUMIFS(K$2:K423,A$2:A423,A423,B$2:B423,B423)</f>
        <v>-45241.2</v>
      </c>
      <c r="O423" s="11" t="n">
        <f aca="false">MAX(0,_xlfn.MAXIFS(N$2:N423,A$2:A423,A423,B$2:B423,B423))</f>
        <v>702</v>
      </c>
      <c r="P423" s="11" t="n">
        <f aca="false">N423-O423</f>
        <v>-45943.2</v>
      </c>
    </row>
    <row r="424" customFormat="false" ht="15" hidden="false" customHeight="false" outlineLevel="0" collapsed="false">
      <c r="A424" s="8" t="s">
        <v>26</v>
      </c>
      <c r="B424" s="8" t="s">
        <v>41</v>
      </c>
      <c r="C424" s="8" t="s">
        <v>62</v>
      </c>
      <c r="D424" s="21" t="n">
        <v>45712.8368055556</v>
      </c>
      <c r="E424" s="21" t="n">
        <v>45712.8430555556</v>
      </c>
      <c r="F424" s="22" t="n">
        <f aca="false">DATE(YEAR(E424),MONTH(E424),1)</f>
        <v>45689</v>
      </c>
      <c r="G424" s="23" t="n">
        <v>134748</v>
      </c>
      <c r="H424" s="8" t="s">
        <v>64</v>
      </c>
      <c r="I424" s="24" t="n">
        <v>36.97</v>
      </c>
      <c r="J424" s="25" t="n">
        <f aca="false">Summary!$B$4</f>
        <v>1</v>
      </c>
      <c r="K424" s="11" t="n">
        <f aca="false">I424*J424*IF(A424="SILVER",Summary!$B$5,Summary!$B$6)</f>
        <v>1109.1</v>
      </c>
      <c r="L424" s="26" t="n">
        <v>0.056</v>
      </c>
      <c r="M424" s="27" t="n">
        <f aca="false">IF(K424&gt;0,1,0)</f>
        <v>1</v>
      </c>
      <c r="N424" s="11" t="n">
        <f aca="false">SUMIFS(K$2:K424,A$2:A424,A424,B$2:B424,B424)</f>
        <v>-44132.1</v>
      </c>
      <c r="O424" s="11" t="n">
        <f aca="false">MAX(0,_xlfn.MAXIFS(N$2:N424,A$2:A424,A424,B$2:B424,B424))</f>
        <v>702</v>
      </c>
      <c r="P424" s="11" t="n">
        <f aca="false">N424-O424</f>
        <v>-44834.1</v>
      </c>
    </row>
    <row r="425" customFormat="false" ht="15" hidden="false" customHeight="false" outlineLevel="0" collapsed="false">
      <c r="A425" s="8" t="s">
        <v>26</v>
      </c>
      <c r="B425" s="8" t="s">
        <v>41</v>
      </c>
      <c r="C425" s="8" t="s">
        <v>62</v>
      </c>
      <c r="D425" s="21" t="n">
        <v>45713.5590277778</v>
      </c>
      <c r="E425" s="21" t="n">
        <v>45713.5652777778</v>
      </c>
      <c r="F425" s="22" t="n">
        <f aca="false">DATE(YEAR(E425),MONTH(E425),1)</f>
        <v>45689</v>
      </c>
      <c r="G425" s="23" t="n">
        <v>134233</v>
      </c>
      <c r="H425" s="8" t="s">
        <v>64</v>
      </c>
      <c r="I425" s="24" t="n">
        <v>28.74</v>
      </c>
      <c r="J425" s="25" t="n">
        <f aca="false">Summary!$B$4</f>
        <v>1</v>
      </c>
      <c r="K425" s="11" t="n">
        <f aca="false">I425*J425*IF(A425="SILVER",Summary!$B$5,Summary!$B$6)</f>
        <v>862.2</v>
      </c>
      <c r="L425" s="26" t="n">
        <v>0.05</v>
      </c>
      <c r="M425" s="27" t="n">
        <f aca="false">IF(K425&gt;0,1,0)</f>
        <v>1</v>
      </c>
      <c r="N425" s="11" t="n">
        <f aca="false">SUMIFS(K$2:K425,A$2:A425,A425,B$2:B425,B425)</f>
        <v>-43269.9</v>
      </c>
      <c r="O425" s="11" t="n">
        <f aca="false">MAX(0,_xlfn.MAXIFS(N$2:N425,A$2:A425,A425,B$2:B425,B425))</f>
        <v>702</v>
      </c>
      <c r="P425" s="11" t="n">
        <f aca="false">N425-O425</f>
        <v>-43971.9</v>
      </c>
    </row>
    <row r="426" customFormat="false" ht="15" hidden="false" customHeight="false" outlineLevel="0" collapsed="false">
      <c r="A426" s="8" t="s">
        <v>26</v>
      </c>
      <c r="B426" s="8" t="s">
        <v>41</v>
      </c>
      <c r="C426" s="8" t="s">
        <v>62</v>
      </c>
      <c r="D426" s="21" t="n">
        <v>45713.8680555556</v>
      </c>
      <c r="E426" s="21" t="n">
        <v>45713.8805555556</v>
      </c>
      <c r="F426" s="22" t="n">
        <f aca="false">DATE(YEAR(E426),MONTH(E426),1)</f>
        <v>45689</v>
      </c>
      <c r="G426" s="23" t="n">
        <v>133396</v>
      </c>
      <c r="H426" s="8" t="s">
        <v>64</v>
      </c>
      <c r="I426" s="24" t="n">
        <v>83.01</v>
      </c>
      <c r="J426" s="25" t="n">
        <f aca="false">Summary!$B$4</f>
        <v>1</v>
      </c>
      <c r="K426" s="11" t="n">
        <f aca="false">I426*J426*IF(A426="SILVER",Summary!$B$5,Summary!$B$6)</f>
        <v>2490.3</v>
      </c>
      <c r="L426" s="26" t="n">
        <v>0.074</v>
      </c>
      <c r="M426" s="27" t="n">
        <f aca="false">IF(K426&gt;0,1,0)</f>
        <v>1</v>
      </c>
      <c r="N426" s="11" t="n">
        <f aca="false">SUMIFS(K$2:K426,A$2:A426,A426,B$2:B426,B426)</f>
        <v>-40779.6</v>
      </c>
      <c r="O426" s="11" t="n">
        <f aca="false">MAX(0,_xlfn.MAXIFS(N$2:N426,A$2:A426,A426,B$2:B426,B426))</f>
        <v>702</v>
      </c>
      <c r="P426" s="11" t="n">
        <f aca="false">N426-O426</f>
        <v>-41481.6</v>
      </c>
    </row>
    <row r="427" customFormat="false" ht="15" hidden="false" customHeight="false" outlineLevel="0" collapsed="false">
      <c r="A427" s="8" t="s">
        <v>26</v>
      </c>
      <c r="B427" s="8" t="s">
        <v>41</v>
      </c>
      <c r="C427" s="8" t="s">
        <v>62</v>
      </c>
      <c r="D427" s="21" t="n">
        <v>45715.4201388889</v>
      </c>
      <c r="E427" s="21" t="n">
        <v>45715.4819444444</v>
      </c>
      <c r="F427" s="22" t="n">
        <f aca="false">DATE(YEAR(E427),MONTH(E427),1)</f>
        <v>45689</v>
      </c>
      <c r="G427" s="23" t="n">
        <v>133180</v>
      </c>
      <c r="H427" s="8" t="s">
        <v>64</v>
      </c>
      <c r="I427" s="24" t="n">
        <v>41.64</v>
      </c>
      <c r="J427" s="25" t="n">
        <f aca="false">Summary!$B$4</f>
        <v>1</v>
      </c>
      <c r="K427" s="11" t="n">
        <f aca="false">I427*J427*IF(A427="SILVER",Summary!$B$5,Summary!$B$6)</f>
        <v>1249.2</v>
      </c>
      <c r="L427" s="26" t="n">
        <v>0.059</v>
      </c>
      <c r="M427" s="27" t="n">
        <f aca="false">IF(K427&gt;0,1,0)</f>
        <v>1</v>
      </c>
      <c r="N427" s="11" t="n">
        <f aca="false">SUMIFS(K$2:K427,A$2:A427,A427,B$2:B427,B427)</f>
        <v>-39530.4</v>
      </c>
      <c r="O427" s="11" t="n">
        <f aca="false">MAX(0,_xlfn.MAXIFS(N$2:N427,A$2:A427,A427,B$2:B427,B427))</f>
        <v>702</v>
      </c>
      <c r="P427" s="11" t="n">
        <f aca="false">N427-O427</f>
        <v>-40232.4</v>
      </c>
    </row>
    <row r="428" customFormat="false" ht="15" hidden="false" customHeight="false" outlineLevel="0" collapsed="false">
      <c r="A428" s="8" t="s">
        <v>26</v>
      </c>
      <c r="B428" s="8" t="s">
        <v>41</v>
      </c>
      <c r="C428" s="8" t="s">
        <v>62</v>
      </c>
      <c r="D428" s="21" t="n">
        <v>45715.8472222222</v>
      </c>
      <c r="E428" s="21" t="n">
        <v>45715.9736111111</v>
      </c>
      <c r="F428" s="22" t="n">
        <f aca="false">DATE(YEAR(E428),MONTH(E428),1)</f>
        <v>45689</v>
      </c>
      <c r="G428" s="23" t="n">
        <v>132626</v>
      </c>
      <c r="H428" s="8" t="s">
        <v>64</v>
      </c>
      <c r="I428" s="24" t="n">
        <v>70.69</v>
      </c>
      <c r="J428" s="25" t="n">
        <f aca="false">Summary!$B$4</f>
        <v>1</v>
      </c>
      <c r="K428" s="11" t="n">
        <f aca="false">I428*J428*IF(A428="SILVER",Summary!$B$5,Summary!$B$6)</f>
        <v>2120.7</v>
      </c>
      <c r="L428" s="26" t="n">
        <v>0.071</v>
      </c>
      <c r="M428" s="27" t="n">
        <f aca="false">IF(K428&gt;0,1,0)</f>
        <v>1</v>
      </c>
      <c r="N428" s="11" t="n">
        <f aca="false">SUMIFS(K$2:K428,A$2:A428,A428,B$2:B428,B428)</f>
        <v>-37409.7</v>
      </c>
      <c r="O428" s="11" t="n">
        <f aca="false">MAX(0,_xlfn.MAXIFS(N$2:N428,A$2:A428,A428,B$2:B428,B428))</f>
        <v>702</v>
      </c>
      <c r="P428" s="11" t="n">
        <f aca="false">N428-O428</f>
        <v>-38111.7</v>
      </c>
    </row>
    <row r="429" customFormat="false" ht="15" hidden="false" customHeight="false" outlineLevel="0" collapsed="false">
      <c r="A429" s="8" t="s">
        <v>26</v>
      </c>
      <c r="B429" s="8" t="s">
        <v>41</v>
      </c>
      <c r="C429" s="8" t="s">
        <v>62</v>
      </c>
      <c r="D429" s="21" t="n">
        <v>45720.9</v>
      </c>
      <c r="E429" s="21" t="n">
        <v>45721.3784722222</v>
      </c>
      <c r="F429" s="22" t="n">
        <f aca="false">DATE(YEAR(E429),MONTH(E429),1)</f>
        <v>45717</v>
      </c>
      <c r="G429" s="23" t="n">
        <v>133160</v>
      </c>
      <c r="H429" s="8" t="s">
        <v>61</v>
      </c>
      <c r="I429" s="24" t="n">
        <v>-903.89</v>
      </c>
      <c r="J429" s="25" t="n">
        <f aca="false">Summary!$B$4</f>
        <v>1</v>
      </c>
      <c r="K429" s="11" t="n">
        <f aca="false">I429*J429*IF(A429="SILVER",Summary!$B$5,Summary!$B$6)</f>
        <v>-27116.7</v>
      </c>
      <c r="L429" s="26" t="n">
        <v>-0.998</v>
      </c>
      <c r="M429" s="27" t="n">
        <f aca="false">IF(K429&gt;0,1,0)</f>
        <v>0</v>
      </c>
      <c r="N429" s="11" t="n">
        <f aca="false">SUMIFS(K$2:K429,A$2:A429,A429,B$2:B429,B429)</f>
        <v>-64526.4</v>
      </c>
      <c r="O429" s="11" t="n">
        <f aca="false">MAX(0,_xlfn.MAXIFS(N$2:N429,A$2:A429,A429,B$2:B429,B429))</f>
        <v>702</v>
      </c>
      <c r="P429" s="11" t="n">
        <f aca="false">N429-O429</f>
        <v>-65228.4</v>
      </c>
    </row>
    <row r="430" customFormat="false" ht="15" hidden="false" customHeight="false" outlineLevel="0" collapsed="false">
      <c r="A430" s="8" t="s">
        <v>26</v>
      </c>
      <c r="B430" s="8" t="s">
        <v>41</v>
      </c>
      <c r="C430" s="8" t="s">
        <v>62</v>
      </c>
      <c r="D430" s="21" t="n">
        <v>45722.6076388889</v>
      </c>
      <c r="E430" s="21" t="n">
        <v>45722.6659722222</v>
      </c>
      <c r="F430" s="22" t="n">
        <f aca="false">DATE(YEAR(E430),MONTH(E430),1)</f>
        <v>45717</v>
      </c>
      <c r="G430" s="23" t="n">
        <v>134629</v>
      </c>
      <c r="H430" s="8" t="s">
        <v>64</v>
      </c>
      <c r="I430" s="24" t="n">
        <v>24.49</v>
      </c>
      <c r="J430" s="25" t="n">
        <f aca="false">Summary!$B$4</f>
        <v>1</v>
      </c>
      <c r="K430" s="11" t="n">
        <f aca="false">I430*J430*IF(A430="SILVER",Summary!$B$5,Summary!$B$6)</f>
        <v>734.7</v>
      </c>
      <c r="L430" s="26" t="n">
        <v>0.045</v>
      </c>
      <c r="M430" s="27" t="n">
        <f aca="false">IF(K430&gt;0,1,0)</f>
        <v>1</v>
      </c>
      <c r="N430" s="11" t="n">
        <f aca="false">SUMIFS(K$2:K430,A$2:A430,A430,B$2:B430,B430)</f>
        <v>-63791.7</v>
      </c>
      <c r="O430" s="11" t="n">
        <f aca="false">MAX(0,_xlfn.MAXIFS(N$2:N430,A$2:A430,A430,B$2:B430,B430))</f>
        <v>702</v>
      </c>
      <c r="P430" s="11" t="n">
        <f aca="false">N430-O430</f>
        <v>-64493.7</v>
      </c>
    </row>
    <row r="431" customFormat="false" ht="15" hidden="false" customHeight="false" outlineLevel="0" collapsed="false">
      <c r="A431" s="8" t="s">
        <v>26</v>
      </c>
      <c r="B431" s="8" t="s">
        <v>41</v>
      </c>
      <c r="C431" s="8" t="s">
        <v>62</v>
      </c>
      <c r="D431" s="21" t="n">
        <v>45723.7222222222</v>
      </c>
      <c r="E431" s="21" t="n">
        <v>45723.7493055556</v>
      </c>
      <c r="F431" s="22" t="n">
        <f aca="false">DATE(YEAR(E431),MONTH(E431),1)</f>
        <v>45717</v>
      </c>
      <c r="G431" s="23" t="n">
        <v>134733</v>
      </c>
      <c r="H431" s="8" t="s">
        <v>64</v>
      </c>
      <c r="I431" s="24" t="n">
        <v>8.68</v>
      </c>
      <c r="J431" s="25" t="n">
        <f aca="false">Summary!$B$4</f>
        <v>1</v>
      </c>
      <c r="K431" s="11" t="n">
        <f aca="false">I431*J431*IF(A431="SILVER",Summary!$B$5,Summary!$B$6)</f>
        <v>260.4</v>
      </c>
      <c r="L431" s="26" t="n">
        <v>0.023</v>
      </c>
      <c r="M431" s="27" t="n">
        <f aca="false">IF(K431&gt;0,1,0)</f>
        <v>1</v>
      </c>
      <c r="N431" s="11" t="n">
        <f aca="false">SUMIFS(K$2:K431,A$2:A431,A431,B$2:B431,B431)</f>
        <v>-63531.3</v>
      </c>
      <c r="O431" s="11" t="n">
        <f aca="false">MAX(0,_xlfn.MAXIFS(N$2:N431,A$2:A431,A431,B$2:B431,B431))</f>
        <v>702</v>
      </c>
      <c r="P431" s="11" t="n">
        <f aca="false">N431-O431</f>
        <v>-64233.3</v>
      </c>
    </row>
    <row r="432" customFormat="false" ht="15" hidden="false" customHeight="false" outlineLevel="0" collapsed="false">
      <c r="A432" s="8" t="s">
        <v>26</v>
      </c>
      <c r="B432" s="8" t="s">
        <v>41</v>
      </c>
      <c r="C432" s="8" t="s">
        <v>62</v>
      </c>
      <c r="D432" s="21" t="n">
        <v>45723.8159722222</v>
      </c>
      <c r="E432" s="21" t="n">
        <v>45726.5347222222</v>
      </c>
      <c r="F432" s="22" t="n">
        <f aca="false">DATE(YEAR(E432),MONTH(E432),1)</f>
        <v>45717</v>
      </c>
      <c r="G432" s="23" t="n">
        <v>133956</v>
      </c>
      <c r="H432" s="8" t="s">
        <v>61</v>
      </c>
      <c r="I432" s="24" t="n">
        <v>-993.48</v>
      </c>
      <c r="J432" s="25" t="n">
        <f aca="false">Summary!$B$4</f>
        <v>1</v>
      </c>
      <c r="K432" s="11" t="n">
        <f aca="false">I432*J432*IF(A432="SILVER",Summary!$B$5,Summary!$B$6)</f>
        <v>-29804.4</v>
      </c>
      <c r="L432" s="26" t="n">
        <v>-1.04</v>
      </c>
      <c r="M432" s="27" t="n">
        <f aca="false">IF(K432&gt;0,1,0)</f>
        <v>0</v>
      </c>
      <c r="N432" s="11" t="n">
        <f aca="false">SUMIFS(K$2:K432,A$2:A432,A432,B$2:B432,B432)</f>
        <v>-93335.7</v>
      </c>
      <c r="O432" s="11" t="n">
        <f aca="false">MAX(0,_xlfn.MAXIFS(N$2:N432,A$2:A432,A432,B$2:B432,B432))</f>
        <v>702</v>
      </c>
      <c r="P432" s="11" t="n">
        <f aca="false">N432-O432</f>
        <v>-94037.7</v>
      </c>
    </row>
    <row r="433" customFormat="false" ht="15" hidden="false" customHeight="false" outlineLevel="0" collapsed="false">
      <c r="A433" s="8" t="s">
        <v>26</v>
      </c>
      <c r="B433" s="8" t="s">
        <v>41</v>
      </c>
      <c r="C433" s="8" t="s">
        <v>62</v>
      </c>
      <c r="D433" s="21" t="n">
        <v>45726.5972222222</v>
      </c>
      <c r="E433" s="21" t="n">
        <v>45727.5729166667</v>
      </c>
      <c r="F433" s="22" t="n">
        <f aca="false">DATE(YEAR(E433),MONTH(E433),1)</f>
        <v>45717</v>
      </c>
      <c r="G433" s="23" t="n">
        <v>134550</v>
      </c>
      <c r="H433" s="8" t="s">
        <v>61</v>
      </c>
      <c r="I433" s="24" t="n">
        <v>348.53</v>
      </c>
      <c r="J433" s="25" t="n">
        <f aca="false">Summary!$B$4</f>
        <v>1</v>
      </c>
      <c r="K433" s="11" t="n">
        <f aca="false">I433*J433*IF(A433="SILVER",Summary!$B$5,Summary!$B$6)</f>
        <v>10455.9</v>
      </c>
      <c r="L433" s="26" t="n">
        <v>0.567</v>
      </c>
      <c r="M433" s="27" t="n">
        <f aca="false">IF(K433&gt;0,1,0)</f>
        <v>1</v>
      </c>
      <c r="N433" s="11" t="n">
        <f aca="false">SUMIFS(K$2:K433,A$2:A433,A433,B$2:B433,B433)</f>
        <v>-82879.8</v>
      </c>
      <c r="O433" s="11" t="n">
        <f aca="false">MAX(0,_xlfn.MAXIFS(N$2:N433,A$2:A433,A433,B$2:B433,B433))</f>
        <v>702</v>
      </c>
      <c r="P433" s="11" t="n">
        <f aca="false">N433-O433</f>
        <v>-83581.8</v>
      </c>
    </row>
    <row r="434" customFormat="false" ht="15" hidden="false" customHeight="false" outlineLevel="0" collapsed="false">
      <c r="A434" s="8" t="s">
        <v>26</v>
      </c>
      <c r="B434" s="8" t="s">
        <v>41</v>
      </c>
      <c r="C434" s="8" t="s">
        <v>62</v>
      </c>
      <c r="D434" s="21" t="n">
        <v>45728.7847222222</v>
      </c>
      <c r="E434" s="21" t="n">
        <v>45729.6493055556</v>
      </c>
      <c r="F434" s="22" t="n">
        <f aca="false">DATE(YEAR(E434),MONTH(E434),1)</f>
        <v>45717</v>
      </c>
      <c r="G434" s="23" t="n">
        <v>135694</v>
      </c>
      <c r="H434" s="8" t="s">
        <v>61</v>
      </c>
      <c r="I434" s="24" t="n">
        <v>-594.79</v>
      </c>
      <c r="J434" s="25" t="n">
        <f aca="false">Summary!$B$4</f>
        <v>1</v>
      </c>
      <c r="K434" s="11" t="n">
        <f aca="false">I434*J434*IF(A434="SILVER",Summary!$B$5,Summary!$B$6)</f>
        <v>-17843.7</v>
      </c>
      <c r="L434" s="26" t="n">
        <v>-0.578</v>
      </c>
      <c r="M434" s="27" t="n">
        <f aca="false">IF(K434&gt;0,1,0)</f>
        <v>0</v>
      </c>
      <c r="N434" s="11" t="n">
        <f aca="false">SUMIFS(K$2:K434,A$2:A434,A434,B$2:B434,B434)</f>
        <v>-100723.5</v>
      </c>
      <c r="O434" s="11" t="n">
        <f aca="false">MAX(0,_xlfn.MAXIFS(N$2:N434,A$2:A434,A434,B$2:B434,B434))</f>
        <v>702</v>
      </c>
      <c r="P434" s="11" t="n">
        <f aca="false">N434-O434</f>
        <v>-101425.5</v>
      </c>
    </row>
    <row r="435" customFormat="false" ht="15" hidden="false" customHeight="false" outlineLevel="0" collapsed="false">
      <c r="A435" s="8" t="s">
        <v>26</v>
      </c>
      <c r="B435" s="8" t="s">
        <v>41</v>
      </c>
      <c r="C435" s="8" t="s">
        <v>62</v>
      </c>
      <c r="D435" s="21" t="n">
        <v>45729.7708333333</v>
      </c>
      <c r="E435" s="21" t="n">
        <v>45729.8020833333</v>
      </c>
      <c r="F435" s="22" t="n">
        <f aca="false">DATE(YEAR(E435),MONTH(E435),1)</f>
        <v>45717</v>
      </c>
      <c r="G435" s="23" t="n">
        <v>135814</v>
      </c>
      <c r="H435" s="8" t="s">
        <v>61</v>
      </c>
      <c r="I435" s="24" t="n">
        <v>-724.85</v>
      </c>
      <c r="J435" s="25" t="n">
        <f aca="false">Summary!$B$4</f>
        <v>1</v>
      </c>
      <c r="K435" s="11" t="n">
        <f aca="false">I435*J435*IF(A435="SILVER",Summary!$B$5,Summary!$B$6)</f>
        <v>-21745.5</v>
      </c>
      <c r="L435" s="26" t="n">
        <v>-1.081</v>
      </c>
      <c r="M435" s="27" t="n">
        <f aca="false">IF(K435&gt;0,1,0)</f>
        <v>0</v>
      </c>
      <c r="N435" s="11" t="n">
        <f aca="false">SUMIFS(K$2:K435,A$2:A435,A435,B$2:B435,B435)</f>
        <v>-122469</v>
      </c>
      <c r="O435" s="11" t="n">
        <f aca="false">MAX(0,_xlfn.MAXIFS(N$2:N435,A$2:A435,A435,B$2:B435,B435))</f>
        <v>702</v>
      </c>
      <c r="P435" s="11" t="n">
        <f aca="false">N435-O435</f>
        <v>-123171</v>
      </c>
    </row>
    <row r="436" customFormat="false" ht="15" hidden="false" customHeight="false" outlineLevel="0" collapsed="false">
      <c r="A436" s="8" t="s">
        <v>26</v>
      </c>
      <c r="B436" s="8" t="s">
        <v>41</v>
      </c>
      <c r="C436" s="8" t="s">
        <v>62</v>
      </c>
      <c r="D436" s="21" t="n">
        <v>45730.8333333333</v>
      </c>
      <c r="E436" s="21" t="n">
        <v>45734.3784722222</v>
      </c>
      <c r="F436" s="22" t="n">
        <f aca="false">DATE(YEAR(E436),MONTH(E436),1)</f>
        <v>45717</v>
      </c>
      <c r="G436" s="23" t="n">
        <v>137148</v>
      </c>
      <c r="H436" s="8" t="s">
        <v>61</v>
      </c>
      <c r="I436" s="24" t="n">
        <v>-888.12</v>
      </c>
      <c r="J436" s="25" t="n">
        <f aca="false">Summary!$B$4</f>
        <v>1</v>
      </c>
      <c r="K436" s="11" t="n">
        <f aca="false">I436*J436*IF(A436="SILVER",Summary!$B$5,Summary!$B$6)</f>
        <v>-26643.6</v>
      </c>
      <c r="L436" s="26" t="n">
        <v>-0.561</v>
      </c>
      <c r="M436" s="27" t="n">
        <f aca="false">IF(K436&gt;0,1,0)</f>
        <v>0</v>
      </c>
      <c r="N436" s="11" t="n">
        <f aca="false">SUMIFS(K$2:K436,A$2:A436,A436,B$2:B436,B436)</f>
        <v>-149112.6</v>
      </c>
      <c r="O436" s="11" t="n">
        <f aca="false">MAX(0,_xlfn.MAXIFS(N$2:N436,A$2:A436,A436,B$2:B436,B436))</f>
        <v>702</v>
      </c>
      <c r="P436" s="11" t="n">
        <f aca="false">N436-O436</f>
        <v>-149814.6</v>
      </c>
    </row>
    <row r="437" customFormat="false" ht="15" hidden="false" customHeight="false" outlineLevel="0" collapsed="false">
      <c r="A437" s="8" t="s">
        <v>26</v>
      </c>
      <c r="B437" s="8" t="s">
        <v>41</v>
      </c>
      <c r="C437" s="8" t="s">
        <v>62</v>
      </c>
      <c r="D437" s="21" t="n">
        <v>45734.7986111111</v>
      </c>
      <c r="E437" s="21" t="n">
        <v>45736.3784722222</v>
      </c>
      <c r="F437" s="22" t="n">
        <f aca="false">DATE(YEAR(E437),MONTH(E437),1)</f>
        <v>45717</v>
      </c>
      <c r="G437" s="23" t="n">
        <v>138226</v>
      </c>
      <c r="H437" s="8" t="s">
        <v>61</v>
      </c>
      <c r="I437" s="24" t="n">
        <v>627.82</v>
      </c>
      <c r="J437" s="25" t="n">
        <f aca="false">Summary!$B$4</f>
        <v>1</v>
      </c>
      <c r="K437" s="11" t="n">
        <f aca="false">I437*J437*IF(A437="SILVER",Summary!$B$5,Summary!$B$6)</f>
        <v>18834.6</v>
      </c>
      <c r="L437" s="26" t="n">
        <v>0.633</v>
      </c>
      <c r="M437" s="27" t="n">
        <f aca="false">IF(K437&gt;0,1,0)</f>
        <v>1</v>
      </c>
      <c r="N437" s="11" t="n">
        <f aca="false">SUMIFS(K$2:K437,A$2:A437,A437,B$2:B437,B437)</f>
        <v>-130278</v>
      </c>
      <c r="O437" s="11" t="n">
        <f aca="false">MAX(0,_xlfn.MAXIFS(N$2:N437,A$2:A437,A437,B$2:B437,B437))</f>
        <v>702</v>
      </c>
      <c r="P437" s="11" t="n">
        <f aca="false">N437-O437</f>
        <v>-130980</v>
      </c>
    </row>
    <row r="438" customFormat="false" ht="15" hidden="false" customHeight="false" outlineLevel="0" collapsed="false">
      <c r="A438" s="8" t="s">
        <v>26</v>
      </c>
      <c r="B438" s="8" t="s">
        <v>41</v>
      </c>
      <c r="C438" s="8" t="s">
        <v>62</v>
      </c>
      <c r="D438" s="21" t="n">
        <v>45736.5555555556</v>
      </c>
      <c r="E438" s="21" t="n">
        <v>45736.84375</v>
      </c>
      <c r="F438" s="22" t="n">
        <f aca="false">DATE(YEAR(E438),MONTH(E438),1)</f>
        <v>45717</v>
      </c>
      <c r="G438" s="23" t="n">
        <v>137109</v>
      </c>
      <c r="H438" s="8" t="s">
        <v>61</v>
      </c>
      <c r="I438" s="24" t="n">
        <v>580.04</v>
      </c>
      <c r="J438" s="25" t="n">
        <f aca="false">Summary!$B$4</f>
        <v>1</v>
      </c>
      <c r="K438" s="11" t="n">
        <f aca="false">I438*J438*IF(A438="SILVER",Summary!$B$5,Summary!$B$6)</f>
        <v>17401.2</v>
      </c>
      <c r="L438" s="26" t="n">
        <v>0.971</v>
      </c>
      <c r="M438" s="27" t="n">
        <f aca="false">IF(K438&gt;0,1,0)</f>
        <v>1</v>
      </c>
      <c r="N438" s="11" t="n">
        <f aca="false">SUMIFS(K$2:K438,A$2:A438,A438,B$2:B438,B438)</f>
        <v>-112876.8</v>
      </c>
      <c r="O438" s="11" t="n">
        <f aca="false">MAX(0,_xlfn.MAXIFS(N$2:N438,A$2:A438,A438,B$2:B438,B438))</f>
        <v>702</v>
      </c>
      <c r="P438" s="11" t="n">
        <f aca="false">N438-O438</f>
        <v>-113578.8</v>
      </c>
    </row>
    <row r="439" customFormat="false" ht="15" hidden="false" customHeight="false" outlineLevel="0" collapsed="false">
      <c r="A439" s="8" t="s">
        <v>26</v>
      </c>
      <c r="B439" s="8" t="s">
        <v>41</v>
      </c>
      <c r="C439" s="8" t="s">
        <v>62</v>
      </c>
      <c r="D439" s="21" t="n">
        <v>45737.3784722222</v>
      </c>
      <c r="E439" s="21" t="n">
        <v>45737.4833333333</v>
      </c>
      <c r="F439" s="22" t="n">
        <f aca="false">DATE(YEAR(E439),MONTH(E439),1)</f>
        <v>45717</v>
      </c>
      <c r="G439" s="23" t="n">
        <v>135783</v>
      </c>
      <c r="H439" s="8" t="s">
        <v>64</v>
      </c>
      <c r="I439" s="24" t="n">
        <v>49.04</v>
      </c>
      <c r="J439" s="25" t="n">
        <f aca="false">Summary!$B$4</f>
        <v>1</v>
      </c>
      <c r="K439" s="11" t="n">
        <f aca="false">I439*J439*IF(A439="SILVER",Summary!$B$5,Summary!$B$6)</f>
        <v>1471.2</v>
      </c>
      <c r="L439" s="26" t="n">
        <v>0.062</v>
      </c>
      <c r="M439" s="27" t="n">
        <f aca="false">IF(K439&gt;0,1,0)</f>
        <v>1</v>
      </c>
      <c r="N439" s="11" t="n">
        <f aca="false">SUMIFS(K$2:K439,A$2:A439,A439,B$2:B439,B439)</f>
        <v>-111405.6</v>
      </c>
      <c r="O439" s="11" t="n">
        <f aca="false">MAX(0,_xlfn.MAXIFS(N$2:N439,A$2:A439,A439,B$2:B439,B439))</f>
        <v>702</v>
      </c>
      <c r="P439" s="11" t="n">
        <f aca="false">N439-O439</f>
        <v>-112107.6</v>
      </c>
    </row>
    <row r="440" customFormat="false" ht="15" hidden="false" customHeight="false" outlineLevel="0" collapsed="false">
      <c r="A440" s="8" t="s">
        <v>26</v>
      </c>
      <c r="B440" s="8" t="s">
        <v>41</v>
      </c>
      <c r="C440" s="8" t="s">
        <v>62</v>
      </c>
      <c r="D440" s="21" t="n">
        <v>45737.7986111111</v>
      </c>
      <c r="E440" s="21" t="n">
        <v>45737.9097222222</v>
      </c>
      <c r="F440" s="22" t="n">
        <f aca="false">DATE(YEAR(E440),MONTH(E440),1)</f>
        <v>45717</v>
      </c>
      <c r="G440" s="23" t="n">
        <v>135047</v>
      </c>
      <c r="H440" s="8" t="s">
        <v>64</v>
      </c>
      <c r="I440" s="24" t="n">
        <v>51.33</v>
      </c>
      <c r="J440" s="25" t="n">
        <f aca="false">Summary!$B$4</f>
        <v>1</v>
      </c>
      <c r="K440" s="11" t="n">
        <f aca="false">I440*J440*IF(A440="SILVER",Summary!$B$5,Summary!$B$6)</f>
        <v>1539.9</v>
      </c>
      <c r="L440" s="26" t="n">
        <v>0.063</v>
      </c>
      <c r="M440" s="27" t="n">
        <f aca="false">IF(K440&gt;0,1,0)</f>
        <v>1</v>
      </c>
      <c r="N440" s="11" t="n">
        <f aca="false">SUMIFS(K$2:K440,A$2:A440,A440,B$2:B440,B440)</f>
        <v>-109865.7</v>
      </c>
      <c r="O440" s="11" t="n">
        <f aca="false">MAX(0,_xlfn.MAXIFS(N$2:N440,A$2:A440,A440,B$2:B440,B440))</f>
        <v>702</v>
      </c>
      <c r="P440" s="11" t="n">
        <f aca="false">N440-O440</f>
        <v>-110567.7</v>
      </c>
    </row>
    <row r="441" customFormat="false" ht="15" hidden="false" customHeight="false" outlineLevel="0" collapsed="false">
      <c r="A441" s="8" t="s">
        <v>26</v>
      </c>
      <c r="B441" s="8" t="s">
        <v>41</v>
      </c>
      <c r="C441" s="8" t="s">
        <v>62</v>
      </c>
      <c r="D441" s="21" t="n">
        <v>45740.5590277778</v>
      </c>
      <c r="E441" s="21" t="n">
        <v>45740.7916666667</v>
      </c>
      <c r="F441" s="22" t="n">
        <f aca="false">DATE(YEAR(E441),MONTH(E441),1)</f>
        <v>45717</v>
      </c>
      <c r="G441" s="23" t="n">
        <v>135054</v>
      </c>
      <c r="H441" s="8" t="s">
        <v>64</v>
      </c>
      <c r="I441" s="24" t="n">
        <v>10.84</v>
      </c>
      <c r="J441" s="25" t="n">
        <f aca="false">Summary!$B$4</f>
        <v>1</v>
      </c>
      <c r="K441" s="11" t="n">
        <f aca="false">I441*J441*IF(A441="SILVER",Summary!$B$5,Summary!$B$6)</f>
        <v>325.2</v>
      </c>
      <c r="L441" s="26" t="n">
        <v>0.027</v>
      </c>
      <c r="M441" s="27" t="n">
        <f aca="false">IF(K441&gt;0,1,0)</f>
        <v>1</v>
      </c>
      <c r="N441" s="11" t="n">
        <f aca="false">SUMIFS(K$2:K441,A$2:A441,A441,B$2:B441,B441)</f>
        <v>-109540.5</v>
      </c>
      <c r="O441" s="11" t="n">
        <f aca="false">MAX(0,_xlfn.MAXIFS(N$2:N441,A$2:A441,A441,B$2:B441,B441))</f>
        <v>702</v>
      </c>
      <c r="P441" s="11" t="n">
        <f aca="false">N441-O441</f>
        <v>-110242.5</v>
      </c>
    </row>
    <row r="442" customFormat="false" ht="15" hidden="false" customHeight="false" outlineLevel="0" collapsed="false">
      <c r="A442" s="8" t="s">
        <v>26</v>
      </c>
      <c r="B442" s="8" t="s">
        <v>41</v>
      </c>
      <c r="C442" s="8" t="s">
        <v>62</v>
      </c>
      <c r="D442" s="21" t="n">
        <v>45742.5972222222</v>
      </c>
      <c r="E442" s="21" t="n">
        <v>45742.7222222222</v>
      </c>
      <c r="F442" s="22" t="n">
        <f aca="false">DATE(YEAR(E442),MONTH(E442),1)</f>
        <v>45717</v>
      </c>
      <c r="G442" s="23" t="n">
        <v>136334</v>
      </c>
      <c r="H442" s="8" t="s">
        <v>61</v>
      </c>
      <c r="I442" s="24" t="n">
        <v>-445.91</v>
      </c>
      <c r="J442" s="25" t="n">
        <f aca="false">Summary!$B$4</f>
        <v>1</v>
      </c>
      <c r="K442" s="11" t="n">
        <f aca="false">I442*J442*IF(A442="SILVER",Summary!$B$5,Summary!$B$6)</f>
        <v>-13377.3</v>
      </c>
      <c r="L442" s="26" t="n">
        <v>-1.023</v>
      </c>
      <c r="M442" s="27" t="n">
        <f aca="false">IF(K442&gt;0,1,0)</f>
        <v>0</v>
      </c>
      <c r="N442" s="11" t="n">
        <f aca="false">SUMIFS(K$2:K442,A$2:A442,A442,B$2:B442,B442)</f>
        <v>-122917.8</v>
      </c>
      <c r="O442" s="11" t="n">
        <f aca="false">MAX(0,_xlfn.MAXIFS(N$2:N442,A$2:A442,A442,B$2:B442,B442))</f>
        <v>702</v>
      </c>
      <c r="P442" s="11" t="n">
        <f aca="false">N442-O442</f>
        <v>-123619.8</v>
      </c>
    </row>
    <row r="443" customFormat="false" ht="15" hidden="false" customHeight="false" outlineLevel="0" collapsed="false">
      <c r="A443" s="8" t="s">
        <v>26</v>
      </c>
      <c r="B443" s="8" t="s">
        <v>41</v>
      </c>
      <c r="C443" s="8" t="s">
        <v>62</v>
      </c>
      <c r="D443" s="21" t="n">
        <v>45742.8055555556</v>
      </c>
      <c r="E443" s="21" t="n">
        <v>45743.4097222222</v>
      </c>
      <c r="F443" s="22" t="n">
        <f aca="false">DATE(YEAR(E443),MONTH(E443),1)</f>
        <v>45717</v>
      </c>
      <c r="G443" s="23" t="n">
        <v>136428</v>
      </c>
      <c r="H443" s="8" t="s">
        <v>61</v>
      </c>
      <c r="I443" s="24" t="n">
        <v>-475.93</v>
      </c>
      <c r="J443" s="25" t="n">
        <f aca="false">Summary!$B$4</f>
        <v>1</v>
      </c>
      <c r="K443" s="11" t="n">
        <f aca="false">I443*J443*IF(A443="SILVER",Summary!$B$5,Summary!$B$6)</f>
        <v>-14277.9</v>
      </c>
      <c r="L443" s="26" t="n">
        <v>-0.61</v>
      </c>
      <c r="M443" s="27" t="n">
        <f aca="false">IF(K443&gt;0,1,0)</f>
        <v>0</v>
      </c>
      <c r="N443" s="11" t="n">
        <f aca="false">SUMIFS(K$2:K443,A$2:A443,A443,B$2:B443,B443)</f>
        <v>-137195.7</v>
      </c>
      <c r="O443" s="11" t="n">
        <f aca="false">MAX(0,_xlfn.MAXIFS(N$2:N443,A$2:A443,A443,B$2:B443,B443))</f>
        <v>702</v>
      </c>
      <c r="P443" s="11" t="n">
        <f aca="false">N443-O443</f>
        <v>-137897.7</v>
      </c>
    </row>
    <row r="444" customFormat="false" ht="15" hidden="false" customHeight="false" outlineLevel="0" collapsed="false">
      <c r="A444" s="8" t="s">
        <v>26</v>
      </c>
      <c r="B444" s="8" t="s">
        <v>41</v>
      </c>
      <c r="C444" s="8" t="s">
        <v>62</v>
      </c>
      <c r="D444" s="21" t="n">
        <v>45743.7881944445</v>
      </c>
      <c r="E444" s="21" t="n">
        <v>45743.8402777778</v>
      </c>
      <c r="F444" s="22" t="n">
        <f aca="false">DATE(YEAR(E444),MONTH(E444),1)</f>
        <v>45717</v>
      </c>
      <c r="G444" s="23" t="n">
        <v>137011</v>
      </c>
      <c r="H444" s="8" t="s">
        <v>61</v>
      </c>
      <c r="I444" s="24" t="n">
        <v>-1030.1</v>
      </c>
      <c r="J444" s="25" t="n">
        <f aca="false">Summary!$B$4</f>
        <v>1</v>
      </c>
      <c r="K444" s="11" t="n">
        <f aca="false">I444*J444*IF(A444="SILVER",Summary!$B$5,Summary!$B$6)</f>
        <v>-30903</v>
      </c>
      <c r="L444" s="26" t="n">
        <v>-1.12</v>
      </c>
      <c r="M444" s="27" t="n">
        <f aca="false">IF(K444&gt;0,1,0)</f>
        <v>0</v>
      </c>
      <c r="N444" s="11" t="n">
        <f aca="false">SUMIFS(K$2:K444,A$2:A444,A444,B$2:B444,B444)</f>
        <v>-168098.7</v>
      </c>
      <c r="O444" s="11" t="n">
        <f aca="false">MAX(0,_xlfn.MAXIFS(N$2:N444,A$2:A444,A444,B$2:B444,B444))</f>
        <v>702</v>
      </c>
      <c r="P444" s="11" t="n">
        <f aca="false">N444-O444</f>
        <v>-168800.7</v>
      </c>
    </row>
    <row r="445" customFormat="false" ht="15" hidden="false" customHeight="false" outlineLevel="0" collapsed="false">
      <c r="A445" s="8" t="s">
        <v>26</v>
      </c>
      <c r="B445" s="8" t="s">
        <v>41</v>
      </c>
      <c r="C445" s="8" t="s">
        <v>62</v>
      </c>
      <c r="D445" s="21" t="n">
        <v>45744.5798611111</v>
      </c>
      <c r="E445" s="21" t="n">
        <v>45748.3784722222</v>
      </c>
      <c r="F445" s="22" t="n">
        <f aca="false">DATE(YEAR(E445),MONTH(E445),1)</f>
        <v>45748</v>
      </c>
      <c r="G445" s="23" t="n">
        <v>138338</v>
      </c>
      <c r="H445" s="8" t="s">
        <v>61</v>
      </c>
      <c r="I445" s="24" t="n">
        <v>512.79</v>
      </c>
      <c r="J445" s="25" t="n">
        <f aca="false">Summary!$B$4</f>
        <v>1</v>
      </c>
      <c r="K445" s="11" t="n">
        <f aca="false">I445*J445*IF(A445="SILVER",Summary!$B$5,Summary!$B$6)</f>
        <v>15383.7</v>
      </c>
      <c r="L445" s="26" t="n">
        <v>0.78</v>
      </c>
      <c r="M445" s="27" t="n">
        <f aca="false">IF(K445&gt;0,1,0)</f>
        <v>1</v>
      </c>
      <c r="N445" s="11" t="n">
        <f aca="false">SUMIFS(K$2:K445,A$2:A445,A445,B$2:B445,B445)</f>
        <v>-152715</v>
      </c>
      <c r="O445" s="11" t="n">
        <f aca="false">MAX(0,_xlfn.MAXIFS(N$2:N445,A$2:A445,A445,B$2:B445,B445))</f>
        <v>702</v>
      </c>
      <c r="P445" s="11" t="n">
        <f aca="false">N445-O445</f>
        <v>-153417</v>
      </c>
    </row>
    <row r="446" customFormat="false" ht="15" hidden="false" customHeight="false" outlineLevel="0" collapsed="false">
      <c r="A446" s="8" t="s">
        <v>26</v>
      </c>
      <c r="B446" s="8" t="s">
        <v>41</v>
      </c>
      <c r="C446" s="8" t="s">
        <v>62</v>
      </c>
      <c r="D446" s="21" t="n">
        <v>45748.5520833333</v>
      </c>
      <c r="E446" s="21" t="n">
        <v>45748.8166666667</v>
      </c>
      <c r="F446" s="22" t="n">
        <f aca="false">DATE(YEAR(E446),MONTH(E446),1)</f>
        <v>45748</v>
      </c>
      <c r="G446" s="23" t="n">
        <v>137081</v>
      </c>
      <c r="H446" s="8" t="s">
        <v>64</v>
      </c>
      <c r="I446" s="24" t="n">
        <v>45.63</v>
      </c>
      <c r="J446" s="25" t="n">
        <f aca="false">Summary!$B$4</f>
        <v>1</v>
      </c>
      <c r="K446" s="11" t="n">
        <f aca="false">I446*J446*IF(A446="SILVER",Summary!$B$5,Summary!$B$6)</f>
        <v>1368.9</v>
      </c>
      <c r="L446" s="26" t="n">
        <v>0.06</v>
      </c>
      <c r="M446" s="27" t="n">
        <f aca="false">IF(K446&gt;0,1,0)</f>
        <v>1</v>
      </c>
      <c r="N446" s="11" t="n">
        <f aca="false">SUMIFS(K$2:K446,A$2:A446,A446,B$2:B446,B446)</f>
        <v>-151346.1</v>
      </c>
      <c r="O446" s="11" t="n">
        <f aca="false">MAX(0,_xlfn.MAXIFS(N$2:N446,A$2:A446,A446,B$2:B446,B446))</f>
        <v>702</v>
      </c>
      <c r="P446" s="11" t="n">
        <f aca="false">N446-O446</f>
        <v>-152048.1</v>
      </c>
    </row>
    <row r="447" customFormat="false" ht="15" hidden="false" customHeight="false" outlineLevel="0" collapsed="false">
      <c r="A447" s="8" t="s">
        <v>26</v>
      </c>
      <c r="B447" s="8" t="s">
        <v>41</v>
      </c>
      <c r="C447" s="8" t="s">
        <v>62</v>
      </c>
      <c r="D447" s="21" t="n">
        <v>45749.7326388889</v>
      </c>
      <c r="E447" s="21" t="n">
        <v>45754.3784722222</v>
      </c>
      <c r="F447" s="22" t="n">
        <f aca="false">DATE(YEAR(E447),MONTH(E447),1)</f>
        <v>45748</v>
      </c>
      <c r="G447" s="23" t="n">
        <v>136745</v>
      </c>
      <c r="H447" s="8" t="s">
        <v>61</v>
      </c>
      <c r="I447" s="24" t="n">
        <v>10939.15</v>
      </c>
      <c r="J447" s="25" t="n">
        <f aca="false">Summary!$B$4</f>
        <v>1</v>
      </c>
      <c r="K447" s="11" t="n">
        <f aca="false">I447*J447*IF(A447="SILVER",Summary!$B$5,Summary!$B$6)</f>
        <v>328174.5</v>
      </c>
      <c r="L447" s="26" t="n">
        <v>17.073</v>
      </c>
      <c r="M447" s="27" t="n">
        <f aca="false">IF(K447&gt;0,1,0)</f>
        <v>1</v>
      </c>
      <c r="N447" s="11" t="n">
        <f aca="false">SUMIFS(K$2:K447,A$2:A447,A447,B$2:B447,B447)</f>
        <v>176828.4</v>
      </c>
      <c r="O447" s="11" t="n">
        <f aca="false">MAX(0,_xlfn.MAXIFS(N$2:N447,A$2:A447,A447,B$2:B447,B447))</f>
        <v>176828.4</v>
      </c>
      <c r="P447" s="11" t="n">
        <f aca="false">N447-O447</f>
        <v>0</v>
      </c>
    </row>
    <row r="448" customFormat="false" ht="15" hidden="false" customHeight="false" outlineLevel="0" collapsed="false">
      <c r="A448" s="8" t="s">
        <v>26</v>
      </c>
      <c r="B448" s="8" t="s">
        <v>41</v>
      </c>
      <c r="C448" s="8" t="s">
        <v>62</v>
      </c>
      <c r="D448" s="21" t="n">
        <v>45754.7986111111</v>
      </c>
      <c r="E448" s="21" t="n">
        <v>45755.6805555556</v>
      </c>
      <c r="F448" s="22" t="n">
        <f aca="false">DATE(YEAR(E448),MONTH(E448),1)</f>
        <v>45748</v>
      </c>
      <c r="G448" s="23" t="n">
        <v>125585</v>
      </c>
      <c r="H448" s="8" t="s">
        <v>61</v>
      </c>
      <c r="I448" s="24" t="n">
        <v>-1196.83</v>
      </c>
      <c r="J448" s="25" t="n">
        <f aca="false">Summary!$B$4</f>
        <v>1</v>
      </c>
      <c r="K448" s="11" t="n">
        <f aca="false">I448*J448*IF(A448="SILVER",Summary!$B$5,Summary!$B$6)</f>
        <v>-35904.9</v>
      </c>
      <c r="L448" s="26" t="n">
        <v>-0.713</v>
      </c>
      <c r="M448" s="27" t="n">
        <f aca="false">IF(K448&gt;0,1,0)</f>
        <v>0</v>
      </c>
      <c r="N448" s="11" t="n">
        <f aca="false">SUMIFS(K$2:K448,A$2:A448,A448,B$2:B448,B448)</f>
        <v>140923.5</v>
      </c>
      <c r="O448" s="11" t="n">
        <f aca="false">MAX(0,_xlfn.MAXIFS(N$2:N448,A$2:A448,A448,B$2:B448,B448))</f>
        <v>176828.4</v>
      </c>
      <c r="P448" s="11" t="n">
        <f aca="false">N448-O448</f>
        <v>-35904.9</v>
      </c>
    </row>
    <row r="449" customFormat="false" ht="15" hidden="false" customHeight="false" outlineLevel="0" collapsed="false">
      <c r="A449" s="8" t="s">
        <v>26</v>
      </c>
      <c r="B449" s="8" t="s">
        <v>41</v>
      </c>
      <c r="C449" s="8" t="s">
        <v>62</v>
      </c>
      <c r="D449" s="21" t="n">
        <v>45755.8888888889</v>
      </c>
      <c r="E449" s="21" t="n">
        <v>45756.4847222222</v>
      </c>
      <c r="F449" s="22" t="n">
        <f aca="false">DATE(YEAR(E449),MONTH(E449),1)</f>
        <v>45748</v>
      </c>
      <c r="G449" s="23" t="n">
        <v>126366</v>
      </c>
      <c r="H449" s="8" t="s">
        <v>64</v>
      </c>
      <c r="I449" s="24" t="n">
        <v>88.38</v>
      </c>
      <c r="J449" s="25" t="n">
        <f aca="false">Summary!$B$4</f>
        <v>1</v>
      </c>
      <c r="K449" s="11" t="n">
        <f aca="false">I449*J449*IF(A449="SILVER",Summary!$B$5,Summary!$B$6)</f>
        <v>2651.4</v>
      </c>
      <c r="L449" s="26" t="n">
        <v>0.076</v>
      </c>
      <c r="M449" s="27" t="n">
        <f aca="false">IF(K449&gt;0,1,0)</f>
        <v>1</v>
      </c>
      <c r="N449" s="11" t="n">
        <f aca="false">SUMIFS(K$2:K449,A$2:A449,A449,B$2:B449,B449)</f>
        <v>143574.9</v>
      </c>
      <c r="O449" s="11" t="n">
        <f aca="false">MAX(0,_xlfn.MAXIFS(N$2:N449,A$2:A449,A449,B$2:B449,B449))</f>
        <v>176828.4</v>
      </c>
      <c r="P449" s="11" t="n">
        <f aca="false">N449-O449</f>
        <v>-33253.5</v>
      </c>
    </row>
    <row r="450" customFormat="false" ht="15" hidden="false" customHeight="false" outlineLevel="0" collapsed="false">
      <c r="A450" s="8" t="s">
        <v>26</v>
      </c>
      <c r="B450" s="8" t="s">
        <v>41</v>
      </c>
      <c r="C450" s="8" t="s">
        <v>62</v>
      </c>
      <c r="D450" s="21" t="n">
        <v>45761.78125</v>
      </c>
      <c r="E450" s="21" t="n">
        <v>45763.4270833333</v>
      </c>
      <c r="F450" s="22" t="n">
        <f aca="false">DATE(YEAR(E450),MONTH(E450),1)</f>
        <v>45748</v>
      </c>
      <c r="G450" s="23" t="n">
        <v>131091</v>
      </c>
      <c r="H450" s="8" t="s">
        <v>61</v>
      </c>
      <c r="I450" s="24" t="n">
        <v>-1071.92</v>
      </c>
      <c r="J450" s="25" t="n">
        <f aca="false">Summary!$B$4</f>
        <v>1</v>
      </c>
      <c r="K450" s="11" t="n">
        <f aca="false">I450*J450*IF(A450="SILVER",Summary!$B$5,Summary!$B$6)</f>
        <v>-32157.6</v>
      </c>
      <c r="L450" s="26" t="n">
        <v>-0.839</v>
      </c>
      <c r="M450" s="27" t="n">
        <f aca="false">IF(K450&gt;0,1,0)</f>
        <v>0</v>
      </c>
      <c r="N450" s="11" t="n">
        <f aca="false">SUMIFS(K$2:K450,A$2:A450,A450,B$2:B450,B450)</f>
        <v>111417.3</v>
      </c>
      <c r="O450" s="11" t="n">
        <f aca="false">MAX(0,_xlfn.MAXIFS(N$2:N450,A$2:A450,A450,B$2:B450,B450))</f>
        <v>176828.4</v>
      </c>
      <c r="P450" s="11" t="n">
        <f aca="false">N450-O450</f>
        <v>-65411.1</v>
      </c>
    </row>
    <row r="451" customFormat="false" ht="15" hidden="false" customHeight="false" outlineLevel="0" collapsed="false">
      <c r="A451" s="8" t="s">
        <v>26</v>
      </c>
      <c r="B451" s="8" t="s">
        <v>41</v>
      </c>
      <c r="C451" s="8" t="s">
        <v>62</v>
      </c>
      <c r="D451" s="21" t="n">
        <v>45763.7986111111</v>
      </c>
      <c r="E451" s="21" t="n">
        <v>45764.7986111111</v>
      </c>
      <c r="F451" s="22" t="n">
        <f aca="false">DATE(YEAR(E451),MONTH(E451),1)</f>
        <v>45748</v>
      </c>
      <c r="G451" s="23" t="n">
        <v>132814</v>
      </c>
      <c r="H451" s="8" t="s">
        <v>61</v>
      </c>
      <c r="I451" s="24" t="n">
        <v>500.89</v>
      </c>
      <c r="J451" s="25" t="n">
        <f aca="false">Summary!$B$4</f>
        <v>1</v>
      </c>
      <c r="K451" s="11" t="n">
        <f aca="false">I451*J451*IF(A451="SILVER",Summary!$B$5,Summary!$B$6)</f>
        <v>15026.7</v>
      </c>
      <c r="L451" s="26" t="n">
        <v>0.4</v>
      </c>
      <c r="M451" s="27" t="n">
        <f aca="false">IF(K451&gt;0,1,0)</f>
        <v>1</v>
      </c>
      <c r="N451" s="11" t="n">
        <f aca="false">SUMIFS(K$2:K451,A$2:A451,A451,B$2:B451,B451)</f>
        <v>126444</v>
      </c>
      <c r="O451" s="11" t="n">
        <f aca="false">MAX(0,_xlfn.MAXIFS(N$2:N451,A$2:A451,A451,B$2:B451,B451))</f>
        <v>176828.4</v>
      </c>
      <c r="P451" s="11" t="n">
        <f aca="false">N451-O451</f>
        <v>-50384.4</v>
      </c>
    </row>
    <row r="452" customFormat="false" ht="15" hidden="false" customHeight="false" outlineLevel="0" collapsed="false">
      <c r="A452" s="8" t="s">
        <v>26</v>
      </c>
      <c r="B452" s="8" t="s">
        <v>41</v>
      </c>
      <c r="C452" s="8" t="s">
        <v>62</v>
      </c>
      <c r="D452" s="21" t="n">
        <v>45764.8333333333</v>
      </c>
      <c r="E452" s="21" t="n">
        <v>45768.3784722222</v>
      </c>
      <c r="F452" s="22" t="n">
        <f aca="false">DATE(YEAR(E452),MONTH(E452),1)</f>
        <v>45748</v>
      </c>
      <c r="G452" s="23" t="n">
        <v>131562</v>
      </c>
      <c r="H452" s="8" t="s">
        <v>61</v>
      </c>
      <c r="I452" s="24" t="n">
        <v>-1177.02</v>
      </c>
      <c r="J452" s="25" t="n">
        <f aca="false">Summary!$B$4</f>
        <v>1</v>
      </c>
      <c r="K452" s="11" t="n">
        <f aca="false">I452*J452*IF(A452="SILVER",Summary!$B$5,Summary!$B$6)</f>
        <v>-35310.6</v>
      </c>
      <c r="L452" s="26" t="n">
        <v>-1.114</v>
      </c>
      <c r="M452" s="27" t="n">
        <f aca="false">IF(K452&gt;0,1,0)</f>
        <v>0</v>
      </c>
      <c r="N452" s="11" t="n">
        <f aca="false">SUMIFS(K$2:K452,A$2:A452,A452,B$2:B452,B452)</f>
        <v>91133.4</v>
      </c>
      <c r="O452" s="11" t="n">
        <f aca="false">MAX(0,_xlfn.MAXIFS(N$2:N452,A$2:A452,A452,B$2:B452,B452))</f>
        <v>176828.4</v>
      </c>
      <c r="P452" s="11" t="n">
        <f aca="false">N452-O452</f>
        <v>-85695</v>
      </c>
    </row>
    <row r="453" customFormat="false" ht="15" hidden="false" customHeight="false" outlineLevel="0" collapsed="false">
      <c r="A453" s="8" t="s">
        <v>26</v>
      </c>
      <c r="B453" s="8" t="s">
        <v>41</v>
      </c>
      <c r="C453" s="8" t="s">
        <v>62</v>
      </c>
      <c r="D453" s="21" t="n">
        <v>45768.5555555556</v>
      </c>
      <c r="E453" s="21" t="n">
        <v>45768.71875</v>
      </c>
      <c r="F453" s="22" t="n">
        <f aca="false">DATE(YEAR(E453),MONTH(E453),1)</f>
        <v>45748</v>
      </c>
      <c r="G453" s="23" t="n">
        <v>132409</v>
      </c>
      <c r="H453" s="8" t="s">
        <v>61</v>
      </c>
      <c r="I453" s="24" t="n">
        <v>-820.16</v>
      </c>
      <c r="J453" s="25" t="n">
        <f aca="false">Summary!$B$4</f>
        <v>1</v>
      </c>
      <c r="K453" s="11" t="n">
        <f aca="false">I453*J453*IF(A453="SILVER",Summary!$B$5,Summary!$B$6)</f>
        <v>-24604.8</v>
      </c>
      <c r="L453" s="26" t="n">
        <v>-0.946</v>
      </c>
      <c r="M453" s="27" t="n">
        <f aca="false">IF(K453&gt;0,1,0)</f>
        <v>0</v>
      </c>
      <c r="N453" s="11" t="n">
        <f aca="false">SUMIFS(K$2:K453,A$2:A453,A453,B$2:B453,B453)</f>
        <v>66528.6</v>
      </c>
      <c r="O453" s="11" t="n">
        <f aca="false">MAX(0,_xlfn.MAXIFS(N$2:N453,A$2:A453,A453,B$2:B453,B453))</f>
        <v>176828.4</v>
      </c>
      <c r="P453" s="11" t="n">
        <f aca="false">N453-O453</f>
        <v>-110299.8</v>
      </c>
    </row>
    <row r="454" customFormat="false" ht="15" hidden="false" customHeight="false" outlineLevel="0" collapsed="false">
      <c r="A454" s="8" t="s">
        <v>26</v>
      </c>
      <c r="B454" s="8" t="s">
        <v>41</v>
      </c>
      <c r="C454" s="8" t="s">
        <v>62</v>
      </c>
      <c r="D454" s="21" t="n">
        <v>45768.8125</v>
      </c>
      <c r="E454" s="21" t="n">
        <v>45769.375</v>
      </c>
      <c r="F454" s="22" t="n">
        <f aca="false">DATE(YEAR(E454),MONTH(E454),1)</f>
        <v>45748</v>
      </c>
      <c r="G454" s="23" t="n">
        <v>132728</v>
      </c>
      <c r="H454" s="8" t="s">
        <v>64</v>
      </c>
      <c r="I454" s="24" t="n">
        <v>-103.13</v>
      </c>
      <c r="J454" s="25" t="n">
        <f aca="false">Summary!$B$4</f>
        <v>1</v>
      </c>
      <c r="K454" s="11" t="n">
        <f aca="false">I454*J454*IF(A454="SILVER",Summary!$B$5,Summary!$B$6)</f>
        <v>-3093.9</v>
      </c>
      <c r="L454" s="26" t="n">
        <v>-0.101</v>
      </c>
      <c r="M454" s="27" t="n">
        <f aca="false">IF(K454&gt;0,1,0)</f>
        <v>0</v>
      </c>
      <c r="N454" s="11" t="n">
        <f aca="false">SUMIFS(K$2:K454,A$2:A454,A454,B$2:B454,B454)</f>
        <v>63434.7</v>
      </c>
      <c r="O454" s="11" t="n">
        <f aca="false">MAX(0,_xlfn.MAXIFS(N$2:N454,A$2:A454,A454,B$2:B454,B454))</f>
        <v>176828.4</v>
      </c>
      <c r="P454" s="11" t="n">
        <f aca="false">N454-O454</f>
        <v>-113393.7</v>
      </c>
    </row>
    <row r="455" customFormat="false" ht="15" hidden="false" customHeight="false" outlineLevel="0" collapsed="false">
      <c r="A455" s="8" t="s">
        <v>26</v>
      </c>
      <c r="B455" s="8" t="s">
        <v>41</v>
      </c>
      <c r="C455" s="8" t="s">
        <v>62</v>
      </c>
      <c r="D455" s="21" t="n">
        <v>45769.5243055556</v>
      </c>
      <c r="E455" s="21" t="n">
        <v>45769.5458333333</v>
      </c>
      <c r="F455" s="22" t="n">
        <f aca="false">DATE(YEAR(E455),MONTH(E455),1)</f>
        <v>45748</v>
      </c>
      <c r="G455" s="23" t="n">
        <v>132111</v>
      </c>
      <c r="H455" s="8" t="s">
        <v>64</v>
      </c>
      <c r="I455" s="24" t="n">
        <v>58.87</v>
      </c>
      <c r="J455" s="25" t="n">
        <f aca="false">Summary!$B$4</f>
        <v>1</v>
      </c>
      <c r="K455" s="11" t="n">
        <f aca="false">I455*J455*IF(A455="SILVER",Summary!$B$5,Summary!$B$6)</f>
        <v>1766.1</v>
      </c>
      <c r="L455" s="26" t="n">
        <v>0.067</v>
      </c>
      <c r="M455" s="27" t="n">
        <f aca="false">IF(K455&gt;0,1,0)</f>
        <v>1</v>
      </c>
      <c r="N455" s="11" t="n">
        <f aca="false">SUMIFS(K$2:K455,A$2:A455,A455,B$2:B455,B455)</f>
        <v>65200.8</v>
      </c>
      <c r="O455" s="11" t="n">
        <f aca="false">MAX(0,_xlfn.MAXIFS(N$2:N455,A$2:A455,A455,B$2:B455,B455))</f>
        <v>176828.4</v>
      </c>
      <c r="P455" s="11" t="n">
        <f aca="false">N455-O455</f>
        <v>-111627.6</v>
      </c>
    </row>
    <row r="456" customFormat="false" ht="15" hidden="false" customHeight="false" outlineLevel="0" collapsed="false">
      <c r="A456" s="8" t="s">
        <v>26</v>
      </c>
      <c r="B456" s="8" t="s">
        <v>41</v>
      </c>
      <c r="C456" s="8" t="s">
        <v>62</v>
      </c>
      <c r="D456" s="21" t="n">
        <v>45770.7361111111</v>
      </c>
      <c r="E456" s="21" t="n">
        <v>45770.8298611111</v>
      </c>
      <c r="F456" s="22" t="n">
        <f aca="false">DATE(YEAR(E456),MONTH(E456),1)</f>
        <v>45748</v>
      </c>
      <c r="G456" s="23" t="n">
        <v>132889</v>
      </c>
      <c r="H456" s="8" t="s">
        <v>61</v>
      </c>
      <c r="I456" s="24" t="n">
        <v>-801.25</v>
      </c>
      <c r="J456" s="25" t="n">
        <f aca="false">Summary!$B$4</f>
        <v>1</v>
      </c>
      <c r="K456" s="11" t="n">
        <f aca="false">I456*J456*IF(A456="SILVER",Summary!$B$5,Summary!$B$6)</f>
        <v>-24037.5</v>
      </c>
      <c r="L456" s="26" t="n">
        <v>-1.204</v>
      </c>
      <c r="M456" s="27" t="n">
        <f aca="false">IF(K456&gt;0,1,0)</f>
        <v>0</v>
      </c>
      <c r="N456" s="11" t="n">
        <f aca="false">SUMIFS(K$2:K456,A$2:A456,A456,B$2:B456,B456)</f>
        <v>41163.3</v>
      </c>
      <c r="O456" s="11" t="n">
        <f aca="false">MAX(0,_xlfn.MAXIFS(N$2:N456,A$2:A456,A456,B$2:B456,B456))</f>
        <v>176828.4</v>
      </c>
      <c r="P456" s="11" t="n">
        <f aca="false">N456-O456</f>
        <v>-135665.1</v>
      </c>
    </row>
    <row r="457" customFormat="false" ht="15" hidden="false" customHeight="false" outlineLevel="0" collapsed="false">
      <c r="A457" s="8" t="s">
        <v>26</v>
      </c>
      <c r="B457" s="8" t="s">
        <v>41</v>
      </c>
      <c r="C457" s="8" t="s">
        <v>62</v>
      </c>
      <c r="D457" s="21" t="n">
        <v>45771.7951388889</v>
      </c>
      <c r="E457" s="21" t="n">
        <v>45775.5486111111</v>
      </c>
      <c r="F457" s="22" t="n">
        <f aca="false">DATE(YEAR(E457),MONTH(E457),1)</f>
        <v>45748</v>
      </c>
      <c r="G457" s="23" t="n">
        <v>134117</v>
      </c>
      <c r="H457" s="8" t="s">
        <v>61</v>
      </c>
      <c r="I457" s="24" t="n">
        <v>1054.68</v>
      </c>
      <c r="J457" s="25" t="n">
        <f aca="false">Summary!$B$4</f>
        <v>1</v>
      </c>
      <c r="K457" s="11" t="n">
        <f aca="false">I457*J457*IF(A457="SILVER",Summary!$B$5,Summary!$B$6)</f>
        <v>31640.4</v>
      </c>
      <c r="L457" s="26" t="n">
        <v>1.382</v>
      </c>
      <c r="M457" s="27" t="n">
        <f aca="false">IF(K457&gt;0,1,0)</f>
        <v>1</v>
      </c>
      <c r="N457" s="11" t="n">
        <f aca="false">SUMIFS(K$2:K457,A$2:A457,A457,B$2:B457,B457)</f>
        <v>72803.7</v>
      </c>
      <c r="O457" s="11" t="n">
        <f aca="false">MAX(0,_xlfn.MAXIFS(N$2:N457,A$2:A457,A457,B$2:B457,B457))</f>
        <v>176828.4</v>
      </c>
      <c r="P457" s="11" t="n">
        <f aca="false">N457-O457</f>
        <v>-104024.7</v>
      </c>
    </row>
    <row r="458" customFormat="false" ht="15" hidden="false" customHeight="false" outlineLevel="0" collapsed="false">
      <c r="A458" s="8" t="s">
        <v>26</v>
      </c>
      <c r="B458" s="8" t="s">
        <v>41</v>
      </c>
      <c r="C458" s="8" t="s">
        <v>62</v>
      </c>
      <c r="D458" s="21" t="n">
        <v>45775.8020833333</v>
      </c>
      <c r="E458" s="21" t="n">
        <v>45775.8645833333</v>
      </c>
      <c r="F458" s="22" t="n">
        <f aca="false">DATE(YEAR(E458),MONTH(E458),1)</f>
        <v>45748</v>
      </c>
      <c r="G458" s="23" t="n">
        <v>132840</v>
      </c>
      <c r="H458" s="8" t="s">
        <v>61</v>
      </c>
      <c r="I458" s="24" t="n">
        <v>-648.23</v>
      </c>
      <c r="J458" s="25" t="n">
        <f aca="false">Summary!$B$4</f>
        <v>1</v>
      </c>
      <c r="K458" s="11" t="n">
        <f aca="false">I458*J458*IF(A458="SILVER",Summary!$B$5,Summary!$B$6)</f>
        <v>-19446.9</v>
      </c>
      <c r="L458" s="26" t="n">
        <v>-0.966</v>
      </c>
      <c r="M458" s="27" t="n">
        <f aca="false">IF(K458&gt;0,1,0)</f>
        <v>0</v>
      </c>
      <c r="N458" s="11" t="n">
        <f aca="false">SUMIFS(K$2:K458,A$2:A458,A458,B$2:B458,B458)</f>
        <v>53356.8</v>
      </c>
      <c r="O458" s="11" t="n">
        <f aca="false">MAX(0,_xlfn.MAXIFS(N$2:N458,A$2:A458,A458,B$2:B458,B458))</f>
        <v>176828.4</v>
      </c>
      <c r="P458" s="11" t="n">
        <f aca="false">N458-O458</f>
        <v>-123471.6</v>
      </c>
    </row>
    <row r="459" customFormat="false" ht="15" hidden="false" customHeight="false" outlineLevel="0" collapsed="false">
      <c r="A459" s="8" t="s">
        <v>26</v>
      </c>
      <c r="B459" s="8" t="s">
        <v>41</v>
      </c>
      <c r="C459" s="8" t="s">
        <v>62</v>
      </c>
      <c r="D459" s="21" t="n">
        <v>45776.3895833333</v>
      </c>
      <c r="E459" s="21" t="n">
        <v>45776.5243055556</v>
      </c>
      <c r="F459" s="22" t="n">
        <f aca="false">DATE(YEAR(E459),MONTH(E459),1)</f>
        <v>45748</v>
      </c>
      <c r="G459" s="23" t="n">
        <v>132909</v>
      </c>
      <c r="H459" s="8" t="s">
        <v>61</v>
      </c>
      <c r="I459" s="24" t="n">
        <v>-691.25</v>
      </c>
      <c r="J459" s="25" t="n">
        <f aca="false">Summary!$B$4</f>
        <v>1</v>
      </c>
      <c r="K459" s="11" t="n">
        <f aca="false">I459*J459*IF(A459="SILVER",Summary!$B$5,Summary!$B$6)</f>
        <v>-20737.5</v>
      </c>
      <c r="L459" s="26" t="n">
        <v>-0.935</v>
      </c>
      <c r="M459" s="27" t="n">
        <f aca="false">IF(K459&gt;0,1,0)</f>
        <v>0</v>
      </c>
      <c r="N459" s="11" t="n">
        <f aca="false">SUMIFS(K$2:K459,A$2:A459,A459,B$2:B459,B459)</f>
        <v>32619.3</v>
      </c>
      <c r="O459" s="11" t="n">
        <f aca="false">MAX(0,_xlfn.MAXIFS(N$2:N459,A$2:A459,A459,B$2:B459,B459))</f>
        <v>176828.4</v>
      </c>
      <c r="P459" s="11" t="n">
        <f aca="false">N459-O459</f>
        <v>-144209.1</v>
      </c>
    </row>
    <row r="460" customFormat="false" ht="15" hidden="false" customHeight="false" outlineLevel="0" collapsed="false">
      <c r="A460" s="8" t="s">
        <v>26</v>
      </c>
      <c r="B460" s="8" t="s">
        <v>41</v>
      </c>
      <c r="C460" s="8" t="s">
        <v>62</v>
      </c>
      <c r="D460" s="21" t="n">
        <v>45776.8298611111</v>
      </c>
      <c r="E460" s="21" t="n">
        <v>45777.7715277778</v>
      </c>
      <c r="F460" s="22" t="n">
        <f aca="false">DATE(YEAR(E460),MONTH(E460),1)</f>
        <v>45748</v>
      </c>
      <c r="G460" s="23" t="n">
        <v>133920</v>
      </c>
      <c r="H460" s="8" t="s">
        <v>61</v>
      </c>
      <c r="I460" s="24" t="n">
        <v>2442.89</v>
      </c>
      <c r="J460" s="25" t="n">
        <f aca="false">Summary!$B$4</f>
        <v>1</v>
      </c>
      <c r="K460" s="11" t="n">
        <f aca="false">I460*J460*IF(A460="SILVER",Summary!$B$5,Summary!$B$6)</f>
        <v>73286.7</v>
      </c>
      <c r="L460" s="26" t="n">
        <v>2.382</v>
      </c>
      <c r="M460" s="27" t="n">
        <f aca="false">IF(K460&gt;0,1,0)</f>
        <v>1</v>
      </c>
      <c r="N460" s="11" t="n">
        <f aca="false">SUMIFS(K$2:K460,A$2:A460,A460,B$2:B460,B460)</f>
        <v>105906</v>
      </c>
      <c r="O460" s="11" t="n">
        <f aca="false">MAX(0,_xlfn.MAXIFS(N$2:N460,A$2:A460,A460,B$2:B460,B460))</f>
        <v>176828.4</v>
      </c>
      <c r="P460" s="11" t="n">
        <f aca="false">N460-O460</f>
        <v>-70922.4</v>
      </c>
    </row>
    <row r="461" customFormat="false" ht="15" hidden="false" customHeight="false" outlineLevel="0" collapsed="false">
      <c r="A461" s="8" t="s">
        <v>26</v>
      </c>
      <c r="B461" s="8" t="s">
        <v>41</v>
      </c>
      <c r="C461" s="8" t="s">
        <v>62</v>
      </c>
      <c r="D461" s="21" t="n">
        <v>45778.7159722222</v>
      </c>
      <c r="E461" s="21" t="n">
        <v>45778.7520833333</v>
      </c>
      <c r="F461" s="22" t="n">
        <f aca="false">DATE(YEAR(E461),MONTH(E461),1)</f>
        <v>45778</v>
      </c>
      <c r="G461" s="23" t="n">
        <v>130009</v>
      </c>
      <c r="H461" s="8" t="s">
        <v>64</v>
      </c>
      <c r="I461" s="24" t="n">
        <v>-458.66</v>
      </c>
      <c r="J461" s="25" t="n">
        <f aca="false">Summary!$B$4</f>
        <v>1</v>
      </c>
      <c r="K461" s="11" t="n">
        <f aca="false">I461*J461*IF(A461="SILVER",Summary!$B$5,Summary!$B$6)</f>
        <v>-13759.8</v>
      </c>
      <c r="L461" s="26" t="n">
        <v>-0.322</v>
      </c>
      <c r="M461" s="27" t="n">
        <f aca="false">IF(K461&gt;0,1,0)</f>
        <v>0</v>
      </c>
      <c r="N461" s="11" t="n">
        <f aca="false">SUMIFS(K$2:K461,A$2:A461,A461,B$2:B461,B461)</f>
        <v>92146.2</v>
      </c>
      <c r="O461" s="11" t="n">
        <f aca="false">MAX(0,_xlfn.MAXIFS(N$2:N461,A$2:A461,A461,B$2:B461,B461))</f>
        <v>176828.4</v>
      </c>
      <c r="P461" s="11" t="n">
        <f aca="false">N461-O461</f>
        <v>-84682.2</v>
      </c>
    </row>
    <row r="462" customFormat="false" ht="15" hidden="false" customHeight="false" outlineLevel="0" collapsed="false">
      <c r="A462" s="8" t="s">
        <v>26</v>
      </c>
      <c r="B462" s="8" t="s">
        <v>41</v>
      </c>
      <c r="C462" s="8" t="s">
        <v>62</v>
      </c>
      <c r="D462" s="21" t="n">
        <v>45779.8263888889</v>
      </c>
      <c r="E462" s="21" t="n">
        <v>45782.6368055556</v>
      </c>
      <c r="F462" s="22" t="n">
        <f aca="false">DATE(YEAR(E462),MONTH(E462),1)</f>
        <v>45778</v>
      </c>
      <c r="G462" s="23" t="n">
        <v>130256</v>
      </c>
      <c r="H462" s="8" t="s">
        <v>61</v>
      </c>
      <c r="I462" s="24" t="n">
        <v>-801.74</v>
      </c>
      <c r="J462" s="25" t="n">
        <f aca="false">Summary!$B$4</f>
        <v>1</v>
      </c>
      <c r="K462" s="11" t="n">
        <f aca="false">I462*J462*IF(A462="SILVER",Summary!$B$5,Summary!$B$6)</f>
        <v>-24052.2</v>
      </c>
      <c r="L462" s="26" t="n">
        <v>-0.754</v>
      </c>
      <c r="M462" s="27" t="n">
        <f aca="false">IF(K462&gt;0,1,0)</f>
        <v>0</v>
      </c>
      <c r="N462" s="11" t="n">
        <f aca="false">SUMIFS(K$2:K462,A$2:A462,A462,B$2:B462,B462)</f>
        <v>68094</v>
      </c>
      <c r="O462" s="11" t="n">
        <f aca="false">MAX(0,_xlfn.MAXIFS(N$2:N462,A$2:A462,A462,B$2:B462,B462))</f>
        <v>176828.4</v>
      </c>
      <c r="P462" s="11" t="n">
        <f aca="false">N462-O462</f>
        <v>-108734.4</v>
      </c>
    </row>
    <row r="463" customFormat="false" ht="15" hidden="false" customHeight="false" outlineLevel="0" collapsed="false">
      <c r="A463" s="8" t="s">
        <v>26</v>
      </c>
      <c r="B463" s="8" t="s">
        <v>41</v>
      </c>
      <c r="C463" s="8" t="s">
        <v>62</v>
      </c>
      <c r="D463" s="21" t="n">
        <v>45782.88125</v>
      </c>
      <c r="E463" s="21" t="n">
        <v>45783.3819444445</v>
      </c>
      <c r="F463" s="22" t="n">
        <f aca="false">DATE(YEAR(E463),MONTH(E463),1)</f>
        <v>45778</v>
      </c>
      <c r="G463" s="23" t="n">
        <v>130409</v>
      </c>
      <c r="H463" s="8" t="s">
        <v>61</v>
      </c>
      <c r="I463" s="24" t="n">
        <v>-986.27</v>
      </c>
      <c r="J463" s="25" t="n">
        <f aca="false">Summary!$B$4</f>
        <v>1</v>
      </c>
      <c r="K463" s="11" t="n">
        <f aca="false">I463*J463*IF(A463="SILVER",Summary!$B$5,Summary!$B$6)</f>
        <v>-29588.1</v>
      </c>
      <c r="L463" s="26" t="n">
        <v>-0.971</v>
      </c>
      <c r="M463" s="27" t="n">
        <f aca="false">IF(K463&gt;0,1,0)</f>
        <v>0</v>
      </c>
      <c r="N463" s="11" t="n">
        <f aca="false">SUMIFS(K$2:K463,A$2:A463,A463,B$2:B463,B463)</f>
        <v>38505.9</v>
      </c>
      <c r="O463" s="11" t="n">
        <f aca="false">MAX(0,_xlfn.MAXIFS(N$2:N463,A$2:A463,A463,B$2:B463,B463))</f>
        <v>176828.4</v>
      </c>
      <c r="P463" s="11" t="n">
        <f aca="false">N463-O463</f>
        <v>-138322.5</v>
      </c>
    </row>
    <row r="464" customFormat="false" ht="15" hidden="false" customHeight="false" outlineLevel="0" collapsed="false">
      <c r="A464" s="8" t="s">
        <v>26</v>
      </c>
      <c r="B464" s="8" t="s">
        <v>41</v>
      </c>
      <c r="C464" s="8" t="s">
        <v>62</v>
      </c>
      <c r="D464" s="21" t="n">
        <v>45784.6215277778</v>
      </c>
      <c r="E464" s="21" t="n">
        <v>45785.3868055556</v>
      </c>
      <c r="F464" s="22" t="n">
        <f aca="false">DATE(YEAR(E464),MONTH(E464),1)</f>
        <v>45778</v>
      </c>
      <c r="G464" s="23" t="n">
        <v>131099</v>
      </c>
      <c r="H464" s="8" t="s">
        <v>64</v>
      </c>
      <c r="I464" s="24" t="n">
        <v>28.16</v>
      </c>
      <c r="J464" s="25" t="n">
        <f aca="false">Summary!$B$4</f>
        <v>1</v>
      </c>
      <c r="K464" s="11" t="n">
        <f aca="false">I464*J464*IF(A464="SILVER",Summary!$B$5,Summary!$B$6)</f>
        <v>844.8</v>
      </c>
      <c r="L464" s="26" t="n">
        <v>0.049</v>
      </c>
      <c r="M464" s="27" t="n">
        <f aca="false">IF(K464&gt;0,1,0)</f>
        <v>1</v>
      </c>
      <c r="N464" s="11" t="n">
        <f aca="false">SUMIFS(K$2:K464,A$2:A464,A464,B$2:B464,B464)</f>
        <v>39350.7</v>
      </c>
      <c r="O464" s="11" t="n">
        <f aca="false">MAX(0,_xlfn.MAXIFS(N$2:N464,A$2:A464,A464,B$2:B464,B464))</f>
        <v>176828.4</v>
      </c>
      <c r="P464" s="11" t="n">
        <f aca="false">N464-O464</f>
        <v>-137477.7</v>
      </c>
    </row>
    <row r="465" customFormat="false" ht="15" hidden="false" customHeight="false" outlineLevel="0" collapsed="false">
      <c r="A465" s="8" t="s">
        <v>26</v>
      </c>
      <c r="B465" s="8" t="s">
        <v>41</v>
      </c>
      <c r="C465" s="8" t="s">
        <v>62</v>
      </c>
      <c r="D465" s="21" t="n">
        <v>45785.4791666667</v>
      </c>
      <c r="E465" s="21" t="n">
        <v>45785.6006944445</v>
      </c>
      <c r="F465" s="22" t="n">
        <f aca="false">DATE(YEAR(E465),MONTH(E465),1)</f>
        <v>45778</v>
      </c>
      <c r="G465" s="23" t="n">
        <v>130497</v>
      </c>
      <c r="H465" s="8" t="s">
        <v>64</v>
      </c>
      <c r="I465" s="24" t="n">
        <v>29.53</v>
      </c>
      <c r="J465" s="25" t="n">
        <f aca="false">Summary!$B$4</f>
        <v>1</v>
      </c>
      <c r="K465" s="11" t="n">
        <f aca="false">I465*J465*IF(A465="SILVER",Summary!$B$5,Summary!$B$6)</f>
        <v>885.9</v>
      </c>
      <c r="L465" s="26" t="n">
        <v>0.05</v>
      </c>
      <c r="M465" s="27" t="n">
        <f aca="false">IF(K465&gt;0,1,0)</f>
        <v>1</v>
      </c>
      <c r="N465" s="11" t="n">
        <f aca="false">SUMIFS(K$2:K465,A$2:A465,A465,B$2:B465,B465)</f>
        <v>40236.6</v>
      </c>
      <c r="O465" s="11" t="n">
        <f aca="false">MAX(0,_xlfn.MAXIFS(N$2:N465,A$2:A465,A465,B$2:B465,B465))</f>
        <v>176828.4</v>
      </c>
      <c r="P465" s="11" t="n">
        <f aca="false">N465-O465</f>
        <v>-136591.8</v>
      </c>
    </row>
    <row r="466" customFormat="false" ht="15" hidden="false" customHeight="false" outlineLevel="0" collapsed="false">
      <c r="A466" s="8" t="s">
        <v>26</v>
      </c>
      <c r="B466" s="8" t="s">
        <v>41</v>
      </c>
      <c r="C466" s="8" t="s">
        <v>62</v>
      </c>
      <c r="D466" s="21" t="n">
        <v>45786.7118055556</v>
      </c>
      <c r="E466" s="21" t="n">
        <v>45786.8090277778</v>
      </c>
      <c r="F466" s="22" t="n">
        <f aca="false">DATE(YEAR(E466),MONTH(E466),1)</f>
        <v>45778</v>
      </c>
      <c r="G466" s="23" t="n">
        <v>130778</v>
      </c>
      <c r="H466" s="8" t="s">
        <v>61</v>
      </c>
      <c r="I466" s="24" t="n">
        <v>-684.25</v>
      </c>
      <c r="J466" s="25" t="n">
        <f aca="false">Summary!$B$4</f>
        <v>1</v>
      </c>
      <c r="K466" s="11" t="n">
        <f aca="false">I466*J466*IF(A466="SILVER",Summary!$B$5,Summary!$B$6)</f>
        <v>-20527.5</v>
      </c>
      <c r="L466" s="26" t="n">
        <v>-1.044</v>
      </c>
      <c r="M466" s="27" t="n">
        <f aca="false">IF(K466&gt;0,1,0)</f>
        <v>0</v>
      </c>
      <c r="N466" s="11" t="n">
        <f aca="false">SUMIFS(K$2:K466,A$2:A466,A466,B$2:B466,B466)</f>
        <v>19709.1</v>
      </c>
      <c r="O466" s="11" t="n">
        <f aca="false">MAX(0,_xlfn.MAXIFS(N$2:N466,A$2:A466,A466,B$2:B466,B466))</f>
        <v>176828.4</v>
      </c>
      <c r="P466" s="11" t="n">
        <f aca="false">N466-O466</f>
        <v>-157119.3</v>
      </c>
    </row>
    <row r="467" customFormat="false" ht="15" hidden="false" customHeight="false" outlineLevel="0" collapsed="false">
      <c r="A467" s="8" t="s">
        <v>26</v>
      </c>
      <c r="B467" s="8" t="s">
        <v>41</v>
      </c>
      <c r="C467" s="8" t="s">
        <v>62</v>
      </c>
      <c r="D467" s="21" t="n">
        <v>45789.3784722222</v>
      </c>
      <c r="E467" s="21" t="n">
        <v>45789.7708333333</v>
      </c>
      <c r="F467" s="22" t="n">
        <f aca="false">DATE(YEAR(E467),MONTH(E467),1)</f>
        <v>45778</v>
      </c>
      <c r="G467" s="23" t="n">
        <v>131024</v>
      </c>
      <c r="H467" s="8" t="s">
        <v>61</v>
      </c>
      <c r="I467" s="24" t="n">
        <v>696.85</v>
      </c>
      <c r="J467" s="25" t="n">
        <f aca="false">Summary!$B$4</f>
        <v>1</v>
      </c>
      <c r="K467" s="11" t="n">
        <f aca="false">I467*J467*IF(A467="SILVER",Summary!$B$5,Summary!$B$6)</f>
        <v>20905.5</v>
      </c>
      <c r="L467" s="26" t="n">
        <v>1.228</v>
      </c>
      <c r="M467" s="27" t="n">
        <f aca="false">IF(K467&gt;0,1,0)</f>
        <v>1</v>
      </c>
      <c r="N467" s="11" t="n">
        <f aca="false">SUMIFS(K$2:K467,A$2:A467,A467,B$2:B467,B467)</f>
        <v>40614.6</v>
      </c>
      <c r="O467" s="11" t="n">
        <f aca="false">MAX(0,_xlfn.MAXIFS(N$2:N467,A$2:A467,A467,B$2:B467,B467))</f>
        <v>176828.4</v>
      </c>
      <c r="P467" s="11" t="n">
        <f aca="false">N467-O467</f>
        <v>-136213.8</v>
      </c>
    </row>
    <row r="468" customFormat="false" ht="15" hidden="false" customHeight="false" outlineLevel="0" collapsed="false">
      <c r="A468" s="8" t="s">
        <v>26</v>
      </c>
      <c r="B468" s="8" t="s">
        <v>41</v>
      </c>
      <c r="C468" s="8" t="s">
        <v>62</v>
      </c>
      <c r="D468" s="21" t="n">
        <v>45790.7326388889</v>
      </c>
      <c r="E468" s="21" t="n">
        <v>45790.8347222222</v>
      </c>
      <c r="F468" s="22" t="n">
        <f aca="false">DATE(YEAR(E468),MONTH(E468),1)</f>
        <v>45778</v>
      </c>
      <c r="G468" s="23" t="n">
        <v>131626</v>
      </c>
      <c r="H468" s="8" t="s">
        <v>64</v>
      </c>
      <c r="I468" s="24" t="n">
        <v>45.01</v>
      </c>
      <c r="J468" s="25" t="n">
        <f aca="false">Summary!$B$4</f>
        <v>1</v>
      </c>
      <c r="K468" s="11" t="n">
        <f aca="false">I468*J468*IF(A468="SILVER",Summary!$B$5,Summary!$B$6)</f>
        <v>1350.3</v>
      </c>
      <c r="L468" s="26" t="n">
        <v>0.061</v>
      </c>
      <c r="M468" s="27" t="n">
        <f aca="false">IF(K468&gt;0,1,0)</f>
        <v>1</v>
      </c>
      <c r="N468" s="11" t="n">
        <f aca="false">SUMIFS(K$2:K468,A$2:A468,A468,B$2:B468,B468)</f>
        <v>41964.9</v>
      </c>
      <c r="O468" s="11" t="n">
        <f aca="false">MAX(0,_xlfn.MAXIFS(N$2:N468,A$2:A468,A468,B$2:B468,B468))</f>
        <v>176828.4</v>
      </c>
      <c r="P468" s="11" t="n">
        <f aca="false">N468-O468</f>
        <v>-134863.5</v>
      </c>
    </row>
    <row r="469" customFormat="false" ht="15" hidden="false" customHeight="false" outlineLevel="0" collapsed="false">
      <c r="A469" s="8" t="s">
        <v>26</v>
      </c>
      <c r="B469" s="8" t="s">
        <v>41</v>
      </c>
      <c r="C469" s="8" t="s">
        <v>62</v>
      </c>
      <c r="D469" s="21" t="n">
        <v>45791.3784722222</v>
      </c>
      <c r="E469" s="21" t="n">
        <v>45791.5486111111</v>
      </c>
      <c r="F469" s="22" t="n">
        <f aca="false">DATE(YEAR(E469),MONTH(E469),1)</f>
        <v>45778</v>
      </c>
      <c r="G469" s="23" t="n">
        <v>130943</v>
      </c>
      <c r="H469" s="8" t="s">
        <v>61</v>
      </c>
      <c r="I469" s="24" t="n">
        <v>-746.29</v>
      </c>
      <c r="J469" s="25" t="n">
        <f aca="false">Summary!$B$4</f>
        <v>1</v>
      </c>
      <c r="K469" s="11" t="n">
        <f aca="false">I469*J469*IF(A469="SILVER",Summary!$B$5,Summary!$B$6)</f>
        <v>-22388.7</v>
      </c>
      <c r="L469" s="26" t="n">
        <v>-0.747</v>
      </c>
      <c r="M469" s="27" t="n">
        <f aca="false">IF(K469&gt;0,1,0)</f>
        <v>0</v>
      </c>
      <c r="N469" s="11" t="n">
        <f aca="false">SUMIFS(K$2:K469,A$2:A469,A469,B$2:B469,B469)</f>
        <v>19576.2</v>
      </c>
      <c r="O469" s="11" t="n">
        <f aca="false">MAX(0,_xlfn.MAXIFS(N$2:N469,A$2:A469,A469,B$2:B469,B469))</f>
        <v>176828.4</v>
      </c>
      <c r="P469" s="11" t="n">
        <f aca="false">N469-O469</f>
        <v>-157252.2</v>
      </c>
    </row>
    <row r="470" customFormat="false" ht="15" hidden="false" customHeight="false" outlineLevel="0" collapsed="false">
      <c r="A470" s="8" t="s">
        <v>26</v>
      </c>
      <c r="B470" s="8" t="s">
        <v>41</v>
      </c>
      <c r="C470" s="8" t="s">
        <v>62</v>
      </c>
      <c r="D470" s="21" t="n">
        <v>45791.7430555556</v>
      </c>
      <c r="E470" s="21" t="n">
        <v>45792.6180555556</v>
      </c>
      <c r="F470" s="22" t="n">
        <f aca="false">DATE(YEAR(E470),MONTH(E470),1)</f>
        <v>45778</v>
      </c>
      <c r="G470" s="23" t="n">
        <v>131108</v>
      </c>
      <c r="H470" s="8" t="s">
        <v>61</v>
      </c>
      <c r="I470" s="24" t="n">
        <v>1447.89</v>
      </c>
      <c r="J470" s="25" t="n">
        <f aca="false">Summary!$B$4</f>
        <v>1</v>
      </c>
      <c r="K470" s="11" t="n">
        <f aca="false">I470*J470*IF(A470="SILVER",Summary!$B$5,Summary!$B$6)</f>
        <v>43436.7</v>
      </c>
      <c r="L470" s="26" t="n">
        <v>1.854</v>
      </c>
      <c r="M470" s="27" t="n">
        <f aca="false">IF(K470&gt;0,1,0)</f>
        <v>1</v>
      </c>
      <c r="N470" s="11" t="n">
        <f aca="false">SUMIFS(K$2:K470,A$2:A470,A470,B$2:B470,B470)</f>
        <v>63012.9</v>
      </c>
      <c r="O470" s="11" t="n">
        <f aca="false">MAX(0,_xlfn.MAXIFS(N$2:N470,A$2:A470,A470,B$2:B470,B470))</f>
        <v>176828.4</v>
      </c>
      <c r="P470" s="11" t="n">
        <f aca="false">N470-O470</f>
        <v>-113815.5</v>
      </c>
    </row>
    <row r="471" customFormat="false" ht="15" hidden="false" customHeight="false" outlineLevel="0" collapsed="false">
      <c r="A471" s="8" t="s">
        <v>26</v>
      </c>
      <c r="B471" s="8" t="s">
        <v>41</v>
      </c>
      <c r="C471" s="8" t="s">
        <v>62</v>
      </c>
      <c r="D471" s="21" t="n">
        <v>45793.3854166667</v>
      </c>
      <c r="E471" s="21" t="n">
        <v>45793.8</v>
      </c>
      <c r="F471" s="22" t="n">
        <f aca="false">DATE(YEAR(E471),MONTH(E471),1)</f>
        <v>45778</v>
      </c>
      <c r="G471" s="23" t="n">
        <v>130321</v>
      </c>
      <c r="H471" s="8" t="s">
        <v>64</v>
      </c>
      <c r="I471" s="24" t="n">
        <v>42.56</v>
      </c>
      <c r="J471" s="25" t="n">
        <f aca="false">Summary!$B$4</f>
        <v>1</v>
      </c>
      <c r="K471" s="11" t="n">
        <f aca="false">I471*J471*IF(A471="SILVER",Summary!$B$5,Summary!$B$6)</f>
        <v>1276.8</v>
      </c>
      <c r="L471" s="26" t="n">
        <v>0.059</v>
      </c>
      <c r="M471" s="27" t="n">
        <f aca="false">IF(K471&gt;0,1,0)</f>
        <v>1</v>
      </c>
      <c r="N471" s="11" t="n">
        <f aca="false">SUMIFS(K$2:K471,A$2:A471,A471,B$2:B471,B471)</f>
        <v>64289.7</v>
      </c>
      <c r="O471" s="11" t="n">
        <f aca="false">MAX(0,_xlfn.MAXIFS(N$2:N471,A$2:A471,A471,B$2:B471,B471))</f>
        <v>176828.4</v>
      </c>
      <c r="P471" s="11" t="n">
        <f aca="false">N471-O471</f>
        <v>-112538.7</v>
      </c>
    </row>
    <row r="472" customFormat="false" ht="15" hidden="false" customHeight="false" outlineLevel="0" collapsed="false">
      <c r="A472" s="8" t="s">
        <v>26</v>
      </c>
      <c r="B472" s="8" t="s">
        <v>41</v>
      </c>
      <c r="C472" s="8" t="s">
        <v>62</v>
      </c>
      <c r="D472" s="21" t="n">
        <v>45796.7708333333</v>
      </c>
      <c r="E472" s="21" t="n">
        <v>45796.8277777778</v>
      </c>
      <c r="F472" s="22" t="n">
        <f aca="false">DATE(YEAR(E472),MONTH(E472),1)</f>
        <v>45778</v>
      </c>
      <c r="G472" s="23" t="n">
        <v>130530</v>
      </c>
      <c r="H472" s="8" t="s">
        <v>64</v>
      </c>
      <c r="I472" s="24" t="n">
        <v>39.47</v>
      </c>
      <c r="J472" s="25" t="n">
        <f aca="false">Summary!$B$4</f>
        <v>1</v>
      </c>
      <c r="K472" s="11" t="n">
        <f aca="false">I472*J472*IF(A472="SILVER",Summary!$B$5,Summary!$B$6)</f>
        <v>1184.1</v>
      </c>
      <c r="L472" s="26" t="n">
        <v>0.058</v>
      </c>
      <c r="M472" s="27" t="n">
        <f aca="false">IF(K472&gt;0,1,0)</f>
        <v>1</v>
      </c>
      <c r="N472" s="11" t="n">
        <f aca="false">SUMIFS(K$2:K472,A$2:A472,A472,B$2:B472,B472)</f>
        <v>65473.8</v>
      </c>
      <c r="O472" s="11" t="n">
        <f aca="false">MAX(0,_xlfn.MAXIFS(N$2:N472,A$2:A472,A472,B$2:B472,B472))</f>
        <v>176828.4</v>
      </c>
      <c r="P472" s="11" t="n">
        <f aca="false">N472-O472</f>
        <v>-111354.6</v>
      </c>
    </row>
    <row r="473" customFormat="false" ht="15" hidden="false" customHeight="false" outlineLevel="0" collapsed="false">
      <c r="A473" s="8" t="s">
        <v>26</v>
      </c>
      <c r="B473" s="8" t="s">
        <v>41</v>
      </c>
      <c r="C473" s="8" t="s">
        <v>62</v>
      </c>
      <c r="D473" s="21" t="n">
        <v>45799.5138888889</v>
      </c>
      <c r="E473" s="21" t="n">
        <v>45799.7743055556</v>
      </c>
      <c r="F473" s="22" t="n">
        <f aca="false">DATE(YEAR(E473),MONTH(E473),1)</f>
        <v>45778</v>
      </c>
      <c r="G473" s="23" t="n">
        <v>133561</v>
      </c>
      <c r="H473" s="8" t="s">
        <v>61</v>
      </c>
      <c r="I473" s="24" t="n">
        <v>492.31</v>
      </c>
      <c r="J473" s="25" t="n">
        <f aca="false">Summary!$B$4</f>
        <v>1</v>
      </c>
      <c r="K473" s="11" t="n">
        <f aca="false">I473*J473*IF(A473="SILVER",Summary!$B$5,Summary!$B$6)</f>
        <v>14769.3</v>
      </c>
      <c r="L473" s="26" t="n">
        <v>0.708</v>
      </c>
      <c r="M473" s="27" t="n">
        <f aca="false">IF(K473&gt;0,1,0)</f>
        <v>1</v>
      </c>
      <c r="N473" s="11" t="n">
        <f aca="false">SUMIFS(K$2:K473,A$2:A473,A473,B$2:B473,B473)</f>
        <v>80243.1</v>
      </c>
      <c r="O473" s="11" t="n">
        <f aca="false">MAX(0,_xlfn.MAXIFS(N$2:N473,A$2:A473,A473,B$2:B473,B473))</f>
        <v>176828.4</v>
      </c>
      <c r="P473" s="11" t="n">
        <f aca="false">N473-O473</f>
        <v>-96585.3</v>
      </c>
    </row>
    <row r="474" customFormat="false" ht="15" hidden="false" customHeight="false" outlineLevel="0" collapsed="false">
      <c r="A474" s="8" t="s">
        <v>26</v>
      </c>
      <c r="B474" s="8" t="s">
        <v>41</v>
      </c>
      <c r="C474" s="8" t="s">
        <v>62</v>
      </c>
      <c r="D474" s="21" t="n">
        <v>45800.5625</v>
      </c>
      <c r="E474" s="21" t="n">
        <v>45800.8375</v>
      </c>
      <c r="F474" s="22" t="n">
        <f aca="false">DATE(YEAR(E474),MONTH(E474),1)</f>
        <v>45778</v>
      </c>
      <c r="G474" s="23" t="n">
        <v>132655</v>
      </c>
      <c r="H474" s="8" t="s">
        <v>64</v>
      </c>
      <c r="I474" s="24" t="n">
        <v>22.62</v>
      </c>
      <c r="J474" s="25" t="n">
        <f aca="false">Summary!$B$4</f>
        <v>1</v>
      </c>
      <c r="K474" s="11" t="n">
        <f aca="false">I474*J474*IF(A474="SILVER",Summary!$B$5,Summary!$B$6)</f>
        <v>678.6</v>
      </c>
      <c r="L474" s="26" t="n">
        <v>0.043</v>
      </c>
      <c r="M474" s="27" t="n">
        <f aca="false">IF(K474&gt;0,1,0)</f>
        <v>1</v>
      </c>
      <c r="N474" s="11" t="n">
        <f aca="false">SUMIFS(K$2:K474,A$2:A474,A474,B$2:B474,B474)</f>
        <v>80921.7</v>
      </c>
      <c r="O474" s="11" t="n">
        <f aca="false">MAX(0,_xlfn.MAXIFS(N$2:N474,A$2:A474,A474,B$2:B474,B474))</f>
        <v>176828.4</v>
      </c>
      <c r="P474" s="11" t="n">
        <f aca="false">N474-O474</f>
        <v>-95906.7</v>
      </c>
    </row>
    <row r="475" customFormat="false" ht="15" hidden="false" customHeight="false" outlineLevel="0" collapsed="false">
      <c r="A475" s="8" t="s">
        <v>26</v>
      </c>
      <c r="B475" s="8" t="s">
        <v>41</v>
      </c>
      <c r="C475" s="8" t="s">
        <v>62</v>
      </c>
      <c r="D475" s="21" t="n">
        <v>45803.5347222222</v>
      </c>
      <c r="E475" s="21" t="n">
        <v>45803.9270833333</v>
      </c>
      <c r="F475" s="22" t="n">
        <f aca="false">DATE(YEAR(E475),MONTH(E475),1)</f>
        <v>45778</v>
      </c>
      <c r="G475" s="23" t="n">
        <v>132612</v>
      </c>
      <c r="H475" s="8" t="s">
        <v>61</v>
      </c>
      <c r="I475" s="24" t="n">
        <v>-333.58</v>
      </c>
      <c r="J475" s="25" t="n">
        <f aca="false">Summary!$B$4</f>
        <v>1</v>
      </c>
      <c r="K475" s="11" t="n">
        <f aca="false">I475*J475*IF(A475="SILVER",Summary!$B$5,Summary!$B$6)</f>
        <v>-10007.4</v>
      </c>
      <c r="L475" s="26" t="n">
        <v>-0.625</v>
      </c>
      <c r="M475" s="27" t="n">
        <f aca="false">IF(K475&gt;0,1,0)</f>
        <v>0</v>
      </c>
      <c r="N475" s="11" t="n">
        <f aca="false">SUMIFS(K$2:K475,A$2:A475,A475,B$2:B475,B475)</f>
        <v>70914.3</v>
      </c>
      <c r="O475" s="11" t="n">
        <f aca="false">MAX(0,_xlfn.MAXIFS(N$2:N475,A$2:A475,A475,B$2:B475,B475))</f>
        <v>176828.4</v>
      </c>
      <c r="P475" s="11" t="n">
        <f aca="false">N475-O475</f>
        <v>-105914.1</v>
      </c>
    </row>
    <row r="476" customFormat="false" ht="15" hidden="false" customHeight="false" outlineLevel="0" collapsed="false">
      <c r="A476" s="8" t="s">
        <v>26</v>
      </c>
      <c r="B476" s="8" t="s">
        <v>41</v>
      </c>
      <c r="C476" s="8" t="s">
        <v>62</v>
      </c>
      <c r="D476" s="21" t="n">
        <v>45804.4305555556</v>
      </c>
      <c r="E476" s="21" t="n">
        <v>45804.4909722222</v>
      </c>
      <c r="F476" s="22" t="n">
        <f aca="false">DATE(YEAR(E476),MONTH(E476),1)</f>
        <v>45778</v>
      </c>
      <c r="G476" s="23" t="n">
        <v>132564</v>
      </c>
      <c r="H476" s="8" t="s">
        <v>64</v>
      </c>
      <c r="I476" s="24" t="n">
        <v>2.97</v>
      </c>
      <c r="J476" s="25" t="n">
        <f aca="false">Summary!$B$4</f>
        <v>1</v>
      </c>
      <c r="K476" s="11" t="n">
        <f aca="false">I476*J476*IF(A476="SILVER",Summary!$B$5,Summary!$B$6)</f>
        <v>89.1</v>
      </c>
      <c r="L476" s="26" t="n">
        <v>0.009</v>
      </c>
      <c r="M476" s="27" t="n">
        <f aca="false">IF(K476&gt;0,1,0)</f>
        <v>1</v>
      </c>
      <c r="N476" s="11" t="n">
        <f aca="false">SUMIFS(K$2:K476,A$2:A476,A476,B$2:B476,B476)</f>
        <v>71003.4</v>
      </c>
      <c r="O476" s="11" t="n">
        <f aca="false">MAX(0,_xlfn.MAXIFS(N$2:N476,A$2:A476,A476,B$2:B476,B476))</f>
        <v>176828.4</v>
      </c>
      <c r="P476" s="11" t="n">
        <f aca="false">N476-O476</f>
        <v>-105825</v>
      </c>
    </row>
    <row r="477" customFormat="false" ht="15" hidden="false" customHeight="false" outlineLevel="0" collapsed="false">
      <c r="A477" s="8" t="s">
        <v>26</v>
      </c>
      <c r="B477" s="8" t="s">
        <v>41</v>
      </c>
      <c r="C477" s="8" t="s">
        <v>62</v>
      </c>
      <c r="D477" s="21" t="n">
        <v>45804.5590277778</v>
      </c>
      <c r="E477" s="21" t="n">
        <v>45804.7444444444</v>
      </c>
      <c r="F477" s="22" t="n">
        <f aca="false">DATE(YEAR(E477),MONTH(E477),1)</f>
        <v>45778</v>
      </c>
      <c r="G477" s="23" t="n">
        <v>131990</v>
      </c>
      <c r="H477" s="8" t="s">
        <v>64</v>
      </c>
      <c r="I477" s="24" t="n">
        <v>42.96</v>
      </c>
      <c r="J477" s="25" t="n">
        <f aca="false">Summary!$B$4</f>
        <v>1</v>
      </c>
      <c r="K477" s="11" t="n">
        <f aca="false">I477*J477*IF(A477="SILVER",Summary!$B$5,Summary!$B$6)</f>
        <v>1288.8</v>
      </c>
      <c r="L477" s="26" t="n">
        <v>0.059</v>
      </c>
      <c r="M477" s="27" t="n">
        <f aca="false">IF(K477&gt;0,1,0)</f>
        <v>1</v>
      </c>
      <c r="N477" s="11" t="n">
        <f aca="false">SUMIFS(K$2:K477,A$2:A477,A477,B$2:B477,B477)</f>
        <v>72292.2</v>
      </c>
      <c r="O477" s="11" t="n">
        <f aca="false">MAX(0,_xlfn.MAXIFS(N$2:N477,A$2:A477,A477,B$2:B477,B477))</f>
        <v>176828.4</v>
      </c>
      <c r="P477" s="11" t="n">
        <f aca="false">N477-O477</f>
        <v>-104536.2</v>
      </c>
    </row>
    <row r="478" customFormat="false" ht="15" hidden="false" customHeight="false" outlineLevel="0" collapsed="false">
      <c r="A478" s="8" t="s">
        <v>26</v>
      </c>
      <c r="B478" s="8" t="s">
        <v>41</v>
      </c>
      <c r="C478" s="8" t="s">
        <v>62</v>
      </c>
      <c r="D478" s="21" t="n">
        <v>45805.7013888889</v>
      </c>
      <c r="E478" s="21" t="n">
        <v>45805.8145833333</v>
      </c>
      <c r="F478" s="22" t="n">
        <f aca="false">DATE(YEAR(E478),MONTH(E478),1)</f>
        <v>45778</v>
      </c>
      <c r="G478" s="23" t="n">
        <v>132556</v>
      </c>
      <c r="H478" s="8" t="s">
        <v>64</v>
      </c>
      <c r="I478" s="24" t="n">
        <v>17.33</v>
      </c>
      <c r="J478" s="25" t="n">
        <f aca="false">Summary!$B$4</f>
        <v>1</v>
      </c>
      <c r="K478" s="11" t="n">
        <f aca="false">I478*J478*IF(A478="SILVER",Summary!$B$5,Summary!$B$6)</f>
        <v>519.9</v>
      </c>
      <c r="L478" s="26" t="n">
        <v>0.037</v>
      </c>
      <c r="M478" s="27" t="n">
        <f aca="false">IF(K478&gt;0,1,0)</f>
        <v>1</v>
      </c>
      <c r="N478" s="11" t="n">
        <f aca="false">SUMIFS(K$2:K478,A$2:A478,A478,B$2:B478,B478)</f>
        <v>72812.1</v>
      </c>
      <c r="O478" s="11" t="n">
        <f aca="false">MAX(0,_xlfn.MAXIFS(N$2:N478,A$2:A478,A478,B$2:B478,B478))</f>
        <v>176828.4</v>
      </c>
      <c r="P478" s="11" t="n">
        <f aca="false">N478-O478</f>
        <v>-104016.3</v>
      </c>
    </row>
    <row r="479" customFormat="false" ht="15" hidden="false" customHeight="false" outlineLevel="0" collapsed="false">
      <c r="A479" s="8" t="s">
        <v>26</v>
      </c>
      <c r="B479" s="8" t="s">
        <v>41</v>
      </c>
      <c r="C479" s="8" t="s">
        <v>62</v>
      </c>
      <c r="D479" s="21" t="n">
        <v>45806.7743055556</v>
      </c>
      <c r="E479" s="21" t="n">
        <v>45806.8583333333</v>
      </c>
      <c r="F479" s="22" t="n">
        <f aca="false">DATE(YEAR(E479),MONTH(E479),1)</f>
        <v>45778</v>
      </c>
      <c r="G479" s="23" t="n">
        <v>132649</v>
      </c>
      <c r="H479" s="8" t="s">
        <v>64</v>
      </c>
      <c r="I479" s="24" t="n">
        <v>29.45</v>
      </c>
      <c r="J479" s="25" t="n">
        <f aca="false">Summary!$B$4</f>
        <v>1</v>
      </c>
      <c r="K479" s="11" t="n">
        <f aca="false">I479*J479*IF(A479="SILVER",Summary!$B$5,Summary!$B$6)</f>
        <v>883.5</v>
      </c>
      <c r="L479" s="26" t="n">
        <v>0.035</v>
      </c>
      <c r="M479" s="27" t="n">
        <f aca="false">IF(K479&gt;0,1,0)</f>
        <v>1</v>
      </c>
      <c r="N479" s="11" t="n">
        <f aca="false">SUMIFS(K$2:K479,A$2:A479,A479,B$2:B479,B479)</f>
        <v>73695.6</v>
      </c>
      <c r="O479" s="11" t="n">
        <f aca="false">MAX(0,_xlfn.MAXIFS(N$2:N479,A$2:A479,A479,B$2:B479,B479))</f>
        <v>176828.4</v>
      </c>
      <c r="P479" s="11" t="n">
        <f aca="false">N479-O479</f>
        <v>-103132.8</v>
      </c>
    </row>
    <row r="480" customFormat="false" ht="15" hidden="false" customHeight="false" outlineLevel="0" collapsed="false">
      <c r="A480" s="8" t="s">
        <v>26</v>
      </c>
      <c r="B480" s="8" t="s">
        <v>41</v>
      </c>
      <c r="C480" s="8" t="s">
        <v>62</v>
      </c>
      <c r="D480" s="21" t="n">
        <v>45807.8090277778</v>
      </c>
      <c r="E480" s="21" t="n">
        <v>45810.375</v>
      </c>
      <c r="F480" s="22" t="n">
        <f aca="false">DATE(YEAR(E480),MONTH(E480),1)</f>
        <v>45809</v>
      </c>
      <c r="G480" s="23" t="n">
        <v>132220</v>
      </c>
      <c r="H480" s="8" t="s">
        <v>64</v>
      </c>
      <c r="I480" s="24" t="n">
        <v>-45.45</v>
      </c>
      <c r="J480" s="25" t="n">
        <f aca="false">Summary!$B$4</f>
        <v>1</v>
      </c>
      <c r="K480" s="11" t="n">
        <f aca="false">I480*J480*IF(A480="SILVER",Summary!$B$5,Summary!$B$6)</f>
        <v>-1363.5</v>
      </c>
      <c r="L480" s="26" t="n">
        <v>-0.055</v>
      </c>
      <c r="M480" s="27" t="n">
        <f aca="false">IF(K480&gt;0,1,0)</f>
        <v>0</v>
      </c>
      <c r="N480" s="11" t="n">
        <f aca="false">SUMIFS(K$2:K480,A$2:A480,A480,B$2:B480,B480)</f>
        <v>72332.1</v>
      </c>
      <c r="O480" s="11" t="n">
        <f aca="false">MAX(0,_xlfn.MAXIFS(N$2:N480,A$2:A480,A480,B$2:B480,B480))</f>
        <v>176828.4</v>
      </c>
      <c r="P480" s="11" t="n">
        <f aca="false">N480-O480</f>
        <v>-104496.3</v>
      </c>
    </row>
    <row r="481" customFormat="false" ht="15" hidden="false" customHeight="false" outlineLevel="0" collapsed="false">
      <c r="A481" s="8" t="s">
        <v>26</v>
      </c>
      <c r="B481" s="8" t="s">
        <v>41</v>
      </c>
      <c r="C481" s="8" t="s">
        <v>62</v>
      </c>
      <c r="D481" s="21" t="n">
        <v>45810.6701388889</v>
      </c>
      <c r="E481" s="21" t="n">
        <v>45810.75</v>
      </c>
      <c r="F481" s="22" t="n">
        <f aca="false">DATE(YEAR(E481),MONTH(E481),1)</f>
        <v>45809</v>
      </c>
      <c r="G481" s="23" t="n">
        <v>132626</v>
      </c>
      <c r="H481" s="8" t="s">
        <v>61</v>
      </c>
      <c r="I481" s="24" t="n">
        <v>-598.61</v>
      </c>
      <c r="J481" s="25" t="n">
        <f aca="false">Summary!$B$4</f>
        <v>1</v>
      </c>
      <c r="K481" s="11" t="n">
        <f aca="false">I481*J481*IF(A481="SILVER",Summary!$B$5,Summary!$B$6)</f>
        <v>-17958.3</v>
      </c>
      <c r="L481" s="26" t="n">
        <v>-1.103</v>
      </c>
      <c r="M481" s="27" t="n">
        <f aca="false">IF(K481&gt;0,1,0)</f>
        <v>0</v>
      </c>
      <c r="N481" s="11" t="n">
        <f aca="false">SUMIFS(K$2:K481,A$2:A481,A481,B$2:B481,B481)</f>
        <v>54373.8</v>
      </c>
      <c r="O481" s="11" t="n">
        <f aca="false">MAX(0,_xlfn.MAXIFS(N$2:N481,A$2:A481,A481,B$2:B481,B481))</f>
        <v>176828.4</v>
      </c>
      <c r="P481" s="11" t="n">
        <f aca="false">N481-O481</f>
        <v>-122454.6</v>
      </c>
    </row>
    <row r="482" customFormat="false" ht="15" hidden="false" customHeight="false" outlineLevel="0" collapsed="false">
      <c r="A482" s="8" t="s">
        <v>26</v>
      </c>
      <c r="B482" s="8" t="s">
        <v>41</v>
      </c>
      <c r="C482" s="8" t="s">
        <v>62</v>
      </c>
      <c r="D482" s="21" t="n">
        <v>45811.3784722222</v>
      </c>
      <c r="E482" s="21" t="n">
        <v>45811.6979166667</v>
      </c>
      <c r="F482" s="22" t="n">
        <f aca="false">DATE(YEAR(E482),MONTH(E482),1)</f>
        <v>45809</v>
      </c>
      <c r="G482" s="23" t="n">
        <v>134954</v>
      </c>
      <c r="H482" s="8" t="s">
        <v>61</v>
      </c>
      <c r="I482" s="24" t="n">
        <v>-672.08</v>
      </c>
      <c r="J482" s="25" t="n">
        <f aca="false">Summary!$B$4</f>
        <v>1</v>
      </c>
      <c r="K482" s="11" t="n">
        <f aca="false">I482*J482*IF(A482="SILVER",Summary!$B$5,Summary!$B$6)</f>
        <v>-20162.4</v>
      </c>
      <c r="L482" s="26" t="n">
        <v>-0.679</v>
      </c>
      <c r="M482" s="27" t="n">
        <f aca="false">IF(K482&gt;0,1,0)</f>
        <v>0</v>
      </c>
      <c r="N482" s="11" t="n">
        <f aca="false">SUMIFS(K$2:K482,A$2:A482,A482,B$2:B482,B482)</f>
        <v>34211.4</v>
      </c>
      <c r="O482" s="11" t="n">
        <f aca="false">MAX(0,_xlfn.MAXIFS(N$2:N482,A$2:A482,A482,B$2:B482,B482))</f>
        <v>176828.4</v>
      </c>
      <c r="P482" s="11" t="n">
        <f aca="false">N482-O482</f>
        <v>-142617</v>
      </c>
    </row>
    <row r="483" customFormat="false" ht="15" hidden="false" customHeight="false" outlineLevel="0" collapsed="false">
      <c r="A483" s="8" t="s">
        <v>26</v>
      </c>
      <c r="B483" s="8" t="s">
        <v>41</v>
      </c>
      <c r="C483" s="8" t="s">
        <v>62</v>
      </c>
      <c r="D483" s="21" t="n">
        <v>45812.6805555556</v>
      </c>
      <c r="E483" s="21" t="n">
        <v>45812.8402777778</v>
      </c>
      <c r="F483" s="22" t="n">
        <f aca="false">DATE(YEAR(E483),MONTH(E483),1)</f>
        <v>45809</v>
      </c>
      <c r="G483" s="23" t="n">
        <v>135715</v>
      </c>
      <c r="H483" s="8" t="s">
        <v>61</v>
      </c>
      <c r="I483" s="24" t="n">
        <v>-713.24</v>
      </c>
      <c r="J483" s="25" t="n">
        <f aca="false">Summary!$B$4</f>
        <v>1</v>
      </c>
      <c r="K483" s="11" t="n">
        <f aca="false">I483*J483*IF(A483="SILVER",Summary!$B$5,Summary!$B$6)</f>
        <v>-21397.2</v>
      </c>
      <c r="L483" s="26" t="n">
        <v>-0.947</v>
      </c>
      <c r="M483" s="27" t="n">
        <f aca="false">IF(K483&gt;0,1,0)</f>
        <v>0</v>
      </c>
      <c r="N483" s="11" t="n">
        <f aca="false">SUMIFS(K$2:K483,A$2:A483,A483,B$2:B483,B483)</f>
        <v>12814.2</v>
      </c>
      <c r="O483" s="11" t="n">
        <f aca="false">MAX(0,_xlfn.MAXIFS(N$2:N483,A$2:A483,A483,B$2:B483,B483))</f>
        <v>176828.4</v>
      </c>
      <c r="P483" s="11" t="n">
        <f aca="false">N483-O483</f>
        <v>-164014.2</v>
      </c>
    </row>
    <row r="484" customFormat="false" ht="15" hidden="false" customHeight="false" outlineLevel="0" collapsed="false">
      <c r="A484" s="8" t="s">
        <v>26</v>
      </c>
      <c r="B484" s="8" t="s">
        <v>41</v>
      </c>
      <c r="C484" s="8" t="s">
        <v>62</v>
      </c>
      <c r="D484" s="21" t="n">
        <v>45813.8923611111</v>
      </c>
      <c r="E484" s="21" t="n">
        <v>45814.3784722222</v>
      </c>
      <c r="F484" s="22" t="n">
        <f aca="false">DATE(YEAR(E484),MONTH(E484),1)</f>
        <v>45809</v>
      </c>
      <c r="G484" s="23" t="n">
        <v>138710</v>
      </c>
      <c r="H484" s="8" t="s">
        <v>61</v>
      </c>
      <c r="I484" s="24" t="n">
        <v>-1580.92</v>
      </c>
      <c r="J484" s="25" t="n">
        <f aca="false">Summary!$B$4</f>
        <v>1</v>
      </c>
      <c r="K484" s="11" t="n">
        <f aca="false">I484*J484*IF(A484="SILVER",Summary!$B$5,Summary!$B$6)</f>
        <v>-47427.6</v>
      </c>
      <c r="L484" s="26" t="n">
        <v>-0.981</v>
      </c>
      <c r="M484" s="27" t="n">
        <f aca="false">IF(K484&gt;0,1,0)</f>
        <v>0</v>
      </c>
      <c r="N484" s="11" t="n">
        <f aca="false">SUMIFS(K$2:K484,A$2:A484,A484,B$2:B484,B484)</f>
        <v>-34613.4</v>
      </c>
      <c r="O484" s="11" t="n">
        <f aca="false">MAX(0,_xlfn.MAXIFS(N$2:N484,A$2:A484,A484,B$2:B484,B484))</f>
        <v>176828.4</v>
      </c>
      <c r="P484" s="11" t="n">
        <f aca="false">N484-O484</f>
        <v>-211441.8</v>
      </c>
    </row>
    <row r="485" customFormat="false" ht="15" hidden="false" customHeight="false" outlineLevel="0" collapsed="false">
      <c r="A485" s="8" t="s">
        <v>26</v>
      </c>
      <c r="B485" s="8" t="s">
        <v>41</v>
      </c>
      <c r="C485" s="8" t="s">
        <v>60</v>
      </c>
      <c r="D485" s="21" t="n">
        <v>45814.3784722222</v>
      </c>
      <c r="E485" s="21" t="n">
        <v>45814.4569444444</v>
      </c>
      <c r="F485" s="22" t="n">
        <f aca="false">DATE(YEAR(E485),MONTH(E485),1)</f>
        <v>45809</v>
      </c>
      <c r="G485" s="23" t="n">
        <v>140260</v>
      </c>
      <c r="H485" s="8" t="s">
        <v>64</v>
      </c>
      <c r="I485" s="24" t="n">
        <v>86.45</v>
      </c>
      <c r="J485" s="25" t="n">
        <f aca="false">Summary!$B$4</f>
        <v>1</v>
      </c>
      <c r="K485" s="11" t="n">
        <f aca="false">I485*J485*IF(A485="SILVER",Summary!$B$5,Summary!$B$6)</f>
        <v>2593.5</v>
      </c>
      <c r="L485" s="26" t="n">
        <v>0.074</v>
      </c>
      <c r="M485" s="27" t="n">
        <f aca="false">IF(K485&gt;0,1,0)</f>
        <v>1</v>
      </c>
      <c r="N485" s="11" t="n">
        <f aca="false">SUMIFS(K$2:K485,A$2:A485,A485,B$2:B485,B485)</f>
        <v>-32019.9</v>
      </c>
      <c r="O485" s="11" t="n">
        <f aca="false">MAX(0,_xlfn.MAXIFS(N$2:N485,A$2:A485,A485,B$2:B485,B485))</f>
        <v>176828.4</v>
      </c>
      <c r="P485" s="11" t="n">
        <f aca="false">N485-O485</f>
        <v>-208848.3</v>
      </c>
    </row>
    <row r="486" customFormat="false" ht="15" hidden="false" customHeight="false" outlineLevel="0" collapsed="false">
      <c r="A486" s="8" t="s">
        <v>26</v>
      </c>
      <c r="B486" s="8" t="s">
        <v>41</v>
      </c>
      <c r="C486" s="8" t="s">
        <v>60</v>
      </c>
      <c r="D486" s="21" t="n">
        <v>45817.5173611111</v>
      </c>
      <c r="E486" s="21" t="n">
        <v>45817.6194444444</v>
      </c>
      <c r="F486" s="22" t="n">
        <f aca="false">DATE(YEAR(E486),MONTH(E486),1)</f>
        <v>45809</v>
      </c>
      <c r="G486" s="23" t="n">
        <v>140695</v>
      </c>
      <c r="H486" s="8" t="s">
        <v>64</v>
      </c>
      <c r="I486" s="24" t="n">
        <v>27.03</v>
      </c>
      <c r="J486" s="25" t="n">
        <f aca="false">Summary!$B$4</f>
        <v>1</v>
      </c>
      <c r="K486" s="11" t="n">
        <f aca="false">I486*J486*IF(A486="SILVER",Summary!$B$5,Summary!$B$6)</f>
        <v>810.9</v>
      </c>
      <c r="L486" s="26" t="n">
        <v>0.046</v>
      </c>
      <c r="M486" s="27" t="n">
        <f aca="false">IF(K486&gt;0,1,0)</f>
        <v>1</v>
      </c>
      <c r="N486" s="11" t="n">
        <f aca="false">SUMIFS(K$2:K486,A$2:A486,A486,B$2:B486,B486)</f>
        <v>-31209</v>
      </c>
      <c r="O486" s="11" t="n">
        <f aca="false">MAX(0,_xlfn.MAXIFS(N$2:N486,A$2:A486,A486,B$2:B486,B486))</f>
        <v>176828.4</v>
      </c>
      <c r="P486" s="11" t="n">
        <f aca="false">N486-O486</f>
        <v>-208037.4</v>
      </c>
    </row>
    <row r="487" customFormat="false" ht="15" hidden="false" customHeight="false" outlineLevel="0" collapsed="false">
      <c r="A487" s="8" t="s">
        <v>26</v>
      </c>
      <c r="B487" s="8" t="s">
        <v>41</v>
      </c>
      <c r="C487" s="8" t="s">
        <v>60</v>
      </c>
      <c r="D487" s="21" t="n">
        <v>45818.6666666667</v>
      </c>
      <c r="E487" s="21" t="n">
        <v>45818.7166666667</v>
      </c>
      <c r="F487" s="22" t="n">
        <f aca="false">DATE(YEAR(E487),MONTH(E487),1)</f>
        <v>45809</v>
      </c>
      <c r="G487" s="23" t="n">
        <v>141930</v>
      </c>
      <c r="H487" s="8" t="s">
        <v>64</v>
      </c>
      <c r="I487" s="24" t="n">
        <v>22.17</v>
      </c>
      <c r="J487" s="25" t="n">
        <f aca="false">Summary!$B$4</f>
        <v>1</v>
      </c>
      <c r="K487" s="11" t="n">
        <f aca="false">I487*J487*IF(A487="SILVER",Summary!$B$5,Summary!$B$6)</f>
        <v>665.1</v>
      </c>
      <c r="L487" s="26" t="n">
        <v>0.041</v>
      </c>
      <c r="M487" s="27" t="n">
        <f aca="false">IF(K487&gt;0,1,0)</f>
        <v>1</v>
      </c>
      <c r="N487" s="11" t="n">
        <f aca="false">SUMIFS(K$2:K487,A$2:A487,A487,B$2:B487,B487)</f>
        <v>-30543.9</v>
      </c>
      <c r="O487" s="11" t="n">
        <f aca="false">MAX(0,_xlfn.MAXIFS(N$2:N487,A$2:A487,A487,B$2:B487,B487))</f>
        <v>176828.4</v>
      </c>
      <c r="P487" s="11" t="n">
        <f aca="false">N487-O487</f>
        <v>-207372.3</v>
      </c>
    </row>
    <row r="488" customFormat="false" ht="15" hidden="false" customHeight="false" outlineLevel="0" collapsed="false">
      <c r="A488" s="8" t="s">
        <v>26</v>
      </c>
      <c r="B488" s="8" t="s">
        <v>41</v>
      </c>
      <c r="C488" s="8" t="s">
        <v>60</v>
      </c>
      <c r="D488" s="21" t="n">
        <v>45820.3819444445</v>
      </c>
      <c r="E488" s="21" t="n">
        <v>45820.5347222222</v>
      </c>
      <c r="F488" s="22" t="n">
        <f aca="false">DATE(YEAR(E488),MONTH(E488),1)</f>
        <v>45809</v>
      </c>
      <c r="G488" s="23" t="n">
        <v>141068</v>
      </c>
      <c r="H488" s="8" t="s">
        <v>61</v>
      </c>
      <c r="I488" s="24" t="n">
        <v>-554.19</v>
      </c>
      <c r="J488" s="25" t="n">
        <f aca="false">Summary!$B$4</f>
        <v>1</v>
      </c>
      <c r="K488" s="11" t="n">
        <f aca="false">I488*J488*IF(A488="SILVER",Summary!$B$5,Summary!$B$6)</f>
        <v>-16625.7</v>
      </c>
      <c r="L488" s="26" t="n">
        <v>-0.556</v>
      </c>
      <c r="M488" s="27" t="n">
        <f aca="false">IF(K488&gt;0,1,0)</f>
        <v>0</v>
      </c>
      <c r="N488" s="11" t="n">
        <f aca="false">SUMIFS(K$2:K488,A$2:A488,A488,B$2:B488,B488)</f>
        <v>-47169.6</v>
      </c>
      <c r="O488" s="11" t="n">
        <f aca="false">MAX(0,_xlfn.MAXIFS(N$2:N488,A$2:A488,A488,B$2:B488,B488))</f>
        <v>176828.4</v>
      </c>
      <c r="P488" s="11" t="n">
        <f aca="false">N488-O488</f>
        <v>-223998</v>
      </c>
    </row>
    <row r="489" customFormat="false" ht="15" hidden="false" customHeight="false" outlineLevel="0" collapsed="false">
      <c r="A489" s="8" t="s">
        <v>26</v>
      </c>
      <c r="B489" s="8" t="s">
        <v>41</v>
      </c>
      <c r="C489" s="8" t="s">
        <v>60</v>
      </c>
      <c r="D489" s="21" t="n">
        <v>45820.6805555556</v>
      </c>
      <c r="E489" s="21" t="n">
        <v>45821.5236111111</v>
      </c>
      <c r="F489" s="22" t="n">
        <f aca="false">DATE(YEAR(E489),MONTH(E489),1)</f>
        <v>45809</v>
      </c>
      <c r="G489" s="23" t="n">
        <v>140633</v>
      </c>
      <c r="H489" s="8" t="s">
        <v>64</v>
      </c>
      <c r="I489" s="24" t="n">
        <v>68.87</v>
      </c>
      <c r="J489" s="25" t="n">
        <f aca="false">Summary!$B$4</f>
        <v>1</v>
      </c>
      <c r="K489" s="11" t="n">
        <f aca="false">I489*J489*IF(A489="SILVER",Summary!$B$5,Summary!$B$6)</f>
        <v>2066.1</v>
      </c>
      <c r="L489" s="26" t="n">
        <v>0.069</v>
      </c>
      <c r="M489" s="27" t="n">
        <f aca="false">IF(K489&gt;0,1,0)</f>
        <v>1</v>
      </c>
      <c r="N489" s="11" t="n">
        <f aca="false">SUMIFS(K$2:K489,A$2:A489,A489,B$2:B489,B489)</f>
        <v>-45103.5</v>
      </c>
      <c r="O489" s="11" t="n">
        <f aca="false">MAX(0,_xlfn.MAXIFS(N$2:N489,A$2:A489,A489,B$2:B489,B489))</f>
        <v>176828.4</v>
      </c>
      <c r="P489" s="11" t="n">
        <f aca="false">N489-O489</f>
        <v>-221931.9</v>
      </c>
    </row>
    <row r="490" customFormat="false" ht="15" hidden="false" customHeight="false" outlineLevel="0" collapsed="false">
      <c r="A490" s="8" t="s">
        <v>26</v>
      </c>
      <c r="B490" s="8" t="s">
        <v>41</v>
      </c>
      <c r="C490" s="8" t="s">
        <v>60</v>
      </c>
      <c r="D490" s="21" t="n">
        <v>45821.6145833333</v>
      </c>
      <c r="E490" s="21" t="n">
        <v>45824.8125</v>
      </c>
      <c r="F490" s="22" t="n">
        <f aca="false">DATE(YEAR(E490),MONTH(E490),1)</f>
        <v>45809</v>
      </c>
      <c r="G490" s="23" t="n">
        <v>141673</v>
      </c>
      <c r="H490" s="8" t="s">
        <v>61</v>
      </c>
      <c r="I490" s="24" t="n">
        <v>-614.3</v>
      </c>
      <c r="J490" s="25" t="n">
        <f aca="false">Summary!$B$4</f>
        <v>1</v>
      </c>
      <c r="K490" s="11" t="n">
        <f aca="false">I490*J490*IF(A490="SILVER",Summary!$B$5,Summary!$B$6)</f>
        <v>-18429</v>
      </c>
      <c r="L490" s="26" t="n">
        <v>-0.602</v>
      </c>
      <c r="M490" s="27" t="n">
        <f aca="false">IF(K490&gt;0,1,0)</f>
        <v>0</v>
      </c>
      <c r="N490" s="11" t="n">
        <f aca="false">SUMIFS(K$2:K490,A$2:A490,A490,B$2:B490,B490)</f>
        <v>-63532.5</v>
      </c>
      <c r="O490" s="11" t="n">
        <f aca="false">MAX(0,_xlfn.MAXIFS(N$2:N490,A$2:A490,A490,B$2:B490,B490))</f>
        <v>176828.4</v>
      </c>
      <c r="P490" s="11" t="n">
        <f aca="false">N490-O490</f>
        <v>-240360.9</v>
      </c>
    </row>
    <row r="491" customFormat="false" ht="15" hidden="false" customHeight="false" outlineLevel="0" collapsed="false">
      <c r="A491" s="8" t="s">
        <v>26</v>
      </c>
      <c r="B491" s="8" t="s">
        <v>41</v>
      </c>
      <c r="C491" s="8" t="s">
        <v>60</v>
      </c>
      <c r="D491" s="21" t="n">
        <v>45825.4166666667</v>
      </c>
      <c r="E491" s="21" t="n">
        <v>45826.75</v>
      </c>
      <c r="F491" s="22" t="n">
        <f aca="false">DATE(YEAR(E491),MONTH(E491),1)</f>
        <v>45809</v>
      </c>
      <c r="G491" s="23" t="n">
        <v>141550</v>
      </c>
      <c r="H491" s="8" t="s">
        <v>61</v>
      </c>
      <c r="I491" s="24" t="n">
        <v>2444.42</v>
      </c>
      <c r="J491" s="25" t="n">
        <f aca="false">Summary!$B$4</f>
        <v>1</v>
      </c>
      <c r="K491" s="11" t="n">
        <f aca="false">I491*J491*IF(A491="SILVER",Summary!$B$5,Summary!$B$6)</f>
        <v>73332.6</v>
      </c>
      <c r="L491" s="26" t="n">
        <v>3.655</v>
      </c>
      <c r="M491" s="27" t="n">
        <f aca="false">IF(K491&gt;0,1,0)</f>
        <v>1</v>
      </c>
      <c r="N491" s="11" t="n">
        <f aca="false">SUMIFS(K$2:K491,A$2:A491,A491,B$2:B491,B491)</f>
        <v>9800.10000000001</v>
      </c>
      <c r="O491" s="11" t="n">
        <f aca="false">MAX(0,_xlfn.MAXIFS(N$2:N491,A$2:A491,A491,B$2:B491,B491))</f>
        <v>176828.4</v>
      </c>
      <c r="P491" s="11" t="n">
        <f aca="false">N491-O491</f>
        <v>-167028.3</v>
      </c>
    </row>
    <row r="492" customFormat="false" ht="15" hidden="false" customHeight="false" outlineLevel="0" collapsed="false">
      <c r="A492" s="8" t="s">
        <v>26</v>
      </c>
      <c r="B492" s="8" t="s">
        <v>41</v>
      </c>
      <c r="C492" s="8" t="s">
        <v>60</v>
      </c>
      <c r="D492" s="21" t="n">
        <v>45828.5625</v>
      </c>
      <c r="E492" s="21" t="n">
        <v>45828.7729166667</v>
      </c>
      <c r="F492" s="22" t="n">
        <f aca="false">DATE(YEAR(E492),MONTH(E492),1)</f>
        <v>45809</v>
      </c>
      <c r="G492" s="23" t="n">
        <v>140813</v>
      </c>
      <c r="H492" s="8" t="s">
        <v>64</v>
      </c>
      <c r="I492" s="24" t="n">
        <v>47.47</v>
      </c>
      <c r="J492" s="25" t="n">
        <f aca="false">Summary!$B$4</f>
        <v>1</v>
      </c>
      <c r="K492" s="11" t="n">
        <f aca="false">I492*J492*IF(A492="SILVER",Summary!$B$5,Summary!$B$6)</f>
        <v>1424.1</v>
      </c>
      <c r="L492" s="26" t="n">
        <v>0.06</v>
      </c>
      <c r="M492" s="27" t="n">
        <f aca="false">IF(K492&gt;0,1,0)</f>
        <v>1</v>
      </c>
      <c r="N492" s="11" t="n">
        <f aca="false">SUMIFS(K$2:K492,A$2:A492,A492,B$2:B492,B492)</f>
        <v>11224.2</v>
      </c>
      <c r="O492" s="11" t="n">
        <f aca="false">MAX(0,_xlfn.MAXIFS(N$2:N492,A$2:A492,A492,B$2:B492,B492))</f>
        <v>176828.4</v>
      </c>
      <c r="P492" s="11" t="n">
        <f aca="false">N492-O492</f>
        <v>-165604.2</v>
      </c>
    </row>
    <row r="493" customFormat="false" ht="15" hidden="false" customHeight="false" outlineLevel="0" collapsed="false">
      <c r="A493" s="8" t="s">
        <v>26</v>
      </c>
      <c r="B493" s="8" t="s">
        <v>41</v>
      </c>
      <c r="C493" s="8" t="s">
        <v>60</v>
      </c>
      <c r="D493" s="21" t="n">
        <v>45831.3784722222</v>
      </c>
      <c r="E493" s="21" t="n">
        <v>45831.75</v>
      </c>
      <c r="F493" s="22" t="n">
        <f aca="false">DATE(YEAR(E493),MONTH(E493),1)</f>
        <v>45809</v>
      </c>
      <c r="G493" s="23" t="n">
        <v>141584</v>
      </c>
      <c r="H493" s="8" t="s">
        <v>61</v>
      </c>
      <c r="I493" s="24" t="n">
        <v>-303.31</v>
      </c>
      <c r="J493" s="25" t="n">
        <f aca="false">Summary!$B$4</f>
        <v>1</v>
      </c>
      <c r="K493" s="11" t="n">
        <f aca="false">I493*J493*IF(A493="SILVER",Summary!$B$5,Summary!$B$6)</f>
        <v>-9099.3</v>
      </c>
      <c r="L493" s="26" t="n">
        <v>-0.423</v>
      </c>
      <c r="M493" s="27" t="n">
        <f aca="false">IF(K493&gt;0,1,0)</f>
        <v>0</v>
      </c>
      <c r="N493" s="11" t="n">
        <f aca="false">SUMIFS(K$2:K493,A$2:A493,A493,B$2:B493,B493)</f>
        <v>2124.90000000001</v>
      </c>
      <c r="O493" s="11" t="n">
        <f aca="false">MAX(0,_xlfn.MAXIFS(N$2:N493,A$2:A493,A493,B$2:B493,B493))</f>
        <v>176828.4</v>
      </c>
      <c r="P493" s="11" t="n">
        <f aca="false">N493-O493</f>
        <v>-174703.5</v>
      </c>
    </row>
    <row r="494" customFormat="false" ht="15" hidden="false" customHeight="false" outlineLevel="0" collapsed="false">
      <c r="A494" s="8" t="s">
        <v>26</v>
      </c>
      <c r="B494" s="8" t="s">
        <v>41</v>
      </c>
      <c r="C494" s="8" t="s">
        <v>60</v>
      </c>
      <c r="D494" s="21" t="n">
        <v>45831.8263888889</v>
      </c>
      <c r="E494" s="21" t="n">
        <v>45832.3784722222</v>
      </c>
      <c r="F494" s="22" t="n">
        <f aca="false">DATE(YEAR(E494),MONTH(E494),1)</f>
        <v>45809</v>
      </c>
      <c r="G494" s="23" t="n">
        <v>141841</v>
      </c>
      <c r="H494" s="8" t="s">
        <v>61</v>
      </c>
      <c r="I494" s="24" t="n">
        <v>-862.32</v>
      </c>
      <c r="J494" s="25" t="n">
        <f aca="false">Summary!$B$4</f>
        <v>1</v>
      </c>
      <c r="K494" s="11" t="n">
        <f aca="false">I494*J494*IF(A494="SILVER",Summary!$B$5,Summary!$B$6)</f>
        <v>-25869.6</v>
      </c>
      <c r="L494" s="26" t="n">
        <v>-1.284</v>
      </c>
      <c r="M494" s="27" t="n">
        <f aca="false">IF(K494&gt;0,1,0)</f>
        <v>0</v>
      </c>
      <c r="N494" s="11" t="n">
        <f aca="false">SUMIFS(K$2:K494,A$2:A494,A494,B$2:B494,B494)</f>
        <v>-23744.7</v>
      </c>
      <c r="O494" s="11" t="n">
        <f aca="false">MAX(0,_xlfn.MAXIFS(N$2:N494,A$2:A494,A494,B$2:B494,B494))</f>
        <v>176828.4</v>
      </c>
      <c r="P494" s="11" t="n">
        <f aca="false">N494-O494</f>
        <v>-200573.1</v>
      </c>
    </row>
    <row r="495" customFormat="false" ht="15" hidden="false" customHeight="false" outlineLevel="0" collapsed="false">
      <c r="A495" s="8" t="s">
        <v>26</v>
      </c>
      <c r="B495" s="8" t="s">
        <v>41</v>
      </c>
      <c r="C495" s="8" t="s">
        <v>60</v>
      </c>
      <c r="D495" s="21" t="n">
        <v>45833.3784722222</v>
      </c>
      <c r="E495" s="21" t="n">
        <v>45833.6111111111</v>
      </c>
      <c r="F495" s="22" t="n">
        <f aca="false">DATE(YEAR(E495),MONTH(E495),1)</f>
        <v>45809</v>
      </c>
      <c r="G495" s="23" t="n">
        <v>140195</v>
      </c>
      <c r="H495" s="8" t="s">
        <v>61</v>
      </c>
      <c r="I495" s="24" t="n">
        <v>-338.04</v>
      </c>
      <c r="J495" s="25" t="n">
        <f aca="false">Summary!$B$4</f>
        <v>1</v>
      </c>
      <c r="K495" s="11" t="n">
        <f aca="false">I495*J495*IF(A495="SILVER",Summary!$B$5,Summary!$B$6)</f>
        <v>-10141.2</v>
      </c>
      <c r="L495" s="26" t="n">
        <v>-0.44</v>
      </c>
      <c r="M495" s="27" t="n">
        <f aca="false">IF(K495&gt;0,1,0)</f>
        <v>0</v>
      </c>
      <c r="N495" s="11" t="n">
        <f aca="false">SUMIFS(K$2:K495,A$2:A495,A495,B$2:B495,B495)</f>
        <v>-33885.9</v>
      </c>
      <c r="O495" s="11" t="n">
        <f aca="false">MAX(0,_xlfn.MAXIFS(N$2:N495,A$2:A495,A495,B$2:B495,B495))</f>
        <v>176828.4</v>
      </c>
      <c r="P495" s="11" t="n">
        <f aca="false">N495-O495</f>
        <v>-210714.3</v>
      </c>
    </row>
    <row r="496" customFormat="false" ht="15" hidden="false" customHeight="false" outlineLevel="0" collapsed="false">
      <c r="A496" s="8" t="s">
        <v>26</v>
      </c>
      <c r="B496" s="8" t="s">
        <v>41</v>
      </c>
      <c r="C496" s="8" t="s">
        <v>60</v>
      </c>
      <c r="D496" s="21" t="n">
        <v>45833.8194444445</v>
      </c>
      <c r="E496" s="21" t="n">
        <v>45834.7673611111</v>
      </c>
      <c r="F496" s="22" t="n">
        <f aca="false">DATE(YEAR(E496),MONTH(E496),1)</f>
        <v>45809</v>
      </c>
      <c r="G496" s="23" t="n">
        <v>140148</v>
      </c>
      <c r="H496" s="8" t="s">
        <v>61</v>
      </c>
      <c r="I496" s="24" t="n">
        <v>949.84</v>
      </c>
      <c r="J496" s="25" t="n">
        <f aca="false">Summary!$B$4</f>
        <v>1</v>
      </c>
      <c r="K496" s="11" t="n">
        <f aca="false">I496*J496*IF(A496="SILVER",Summary!$B$5,Summary!$B$6)</f>
        <v>28495.2</v>
      </c>
      <c r="L496" s="26" t="n">
        <v>1.552</v>
      </c>
      <c r="M496" s="27" t="n">
        <f aca="false">IF(K496&gt;0,1,0)</f>
        <v>1</v>
      </c>
      <c r="N496" s="11" t="n">
        <f aca="false">SUMIFS(K$2:K496,A$2:A496,A496,B$2:B496,B496)</f>
        <v>-5390.69999999999</v>
      </c>
      <c r="O496" s="11" t="n">
        <f aca="false">MAX(0,_xlfn.MAXIFS(N$2:N496,A$2:A496,A496,B$2:B496,B496))</f>
        <v>176828.4</v>
      </c>
      <c r="P496" s="11" t="n">
        <f aca="false">N496-O496</f>
        <v>-182219.1</v>
      </c>
    </row>
    <row r="497" customFormat="false" ht="15" hidden="false" customHeight="false" outlineLevel="0" collapsed="false">
      <c r="A497" s="8" t="s">
        <v>26</v>
      </c>
      <c r="B497" s="8" t="s">
        <v>41</v>
      </c>
      <c r="C497" s="8" t="s">
        <v>60</v>
      </c>
      <c r="D497" s="21" t="n">
        <v>45838.4520833333</v>
      </c>
      <c r="E497" s="21" t="n">
        <v>45838.5402777778</v>
      </c>
      <c r="F497" s="22" t="n">
        <f aca="false">DATE(YEAR(E497),MONTH(E497),1)</f>
        <v>45809</v>
      </c>
      <c r="G497" s="23" t="n">
        <v>140313</v>
      </c>
      <c r="H497" s="8" t="s">
        <v>64</v>
      </c>
      <c r="I497" s="24" t="n">
        <v>20.93</v>
      </c>
      <c r="J497" s="25" t="n">
        <f aca="false">Summary!$B$4</f>
        <v>1</v>
      </c>
      <c r="K497" s="11" t="n">
        <f aca="false">I497*J497*IF(A497="SILVER",Summary!$B$5,Summary!$B$6)</f>
        <v>627.9</v>
      </c>
      <c r="L497" s="26" t="n">
        <v>0.04</v>
      </c>
      <c r="M497" s="27" t="n">
        <f aca="false">IF(K497&gt;0,1,0)</f>
        <v>1</v>
      </c>
      <c r="N497" s="11" t="n">
        <f aca="false">SUMIFS(K$2:K497,A$2:A497,A497,B$2:B497,B497)</f>
        <v>-4762.79999999999</v>
      </c>
      <c r="O497" s="11" t="n">
        <f aca="false">MAX(0,_xlfn.MAXIFS(N$2:N497,A$2:A497,A497,B$2:B497,B497))</f>
        <v>176828.4</v>
      </c>
      <c r="P497" s="11" t="n">
        <f aca="false">N497-O497</f>
        <v>-181591.2</v>
      </c>
    </row>
    <row r="498" customFormat="false" ht="15" hidden="false" customHeight="false" outlineLevel="0" collapsed="false">
      <c r="A498" s="8" t="s">
        <v>26</v>
      </c>
      <c r="B498" s="8" t="s">
        <v>41</v>
      </c>
      <c r="C498" s="8" t="s">
        <v>60</v>
      </c>
      <c r="D498" s="21" t="n">
        <v>45838.8104166667</v>
      </c>
      <c r="E498" s="21" t="n">
        <v>45839.5493055556</v>
      </c>
      <c r="F498" s="22" t="n">
        <f aca="false">DATE(YEAR(E498),MONTH(E498),1)</f>
        <v>45839</v>
      </c>
      <c r="G498" s="23" t="n">
        <v>140260</v>
      </c>
      <c r="H498" s="8" t="s">
        <v>61</v>
      </c>
      <c r="I498" s="24" t="n">
        <v>281.86</v>
      </c>
      <c r="J498" s="25" t="n">
        <f aca="false">Summary!$B$4</f>
        <v>1</v>
      </c>
      <c r="K498" s="11" t="n">
        <f aca="false">I498*J498*IF(A498="SILVER",Summary!$B$5,Summary!$B$6)</f>
        <v>8455.8</v>
      </c>
      <c r="L498" s="26" t="n">
        <v>0.437</v>
      </c>
      <c r="M498" s="27" t="n">
        <f aca="false">IF(K498&gt;0,1,0)</f>
        <v>1</v>
      </c>
      <c r="N498" s="11" t="n">
        <f aca="false">SUMIFS(K$2:K498,A$2:A498,A498,B$2:B498,B498)</f>
        <v>3693.00000000001</v>
      </c>
      <c r="O498" s="11" t="n">
        <f aca="false">MAX(0,_xlfn.MAXIFS(N$2:N498,A$2:A498,A498,B$2:B498,B498))</f>
        <v>176828.4</v>
      </c>
      <c r="P498" s="11" t="n">
        <f aca="false">N498-O498</f>
        <v>-173135.4</v>
      </c>
    </row>
    <row r="499" customFormat="false" ht="15" hidden="false" customHeight="false" outlineLevel="0" collapsed="false">
      <c r="A499" s="8" t="s">
        <v>26</v>
      </c>
      <c r="B499" s="8" t="s">
        <v>41</v>
      </c>
      <c r="C499" s="8" t="s">
        <v>60</v>
      </c>
      <c r="D499" s="21" t="n">
        <v>45839.6305555556</v>
      </c>
      <c r="E499" s="21" t="n">
        <v>45839.875</v>
      </c>
      <c r="F499" s="22" t="n">
        <f aca="false">DATE(YEAR(E499),MONTH(E499),1)</f>
        <v>45839</v>
      </c>
      <c r="G499" s="23" t="n">
        <v>141629</v>
      </c>
      <c r="H499" s="8" t="s">
        <v>61</v>
      </c>
      <c r="I499" s="24" t="n">
        <v>-1042.25</v>
      </c>
      <c r="J499" s="25" t="n">
        <f aca="false">Summary!$B$4</f>
        <v>1</v>
      </c>
      <c r="K499" s="11" t="n">
        <f aca="false">I499*J499*IF(A499="SILVER",Summary!$B$5,Summary!$B$6)</f>
        <v>-31267.5</v>
      </c>
      <c r="L499" s="26" t="n">
        <v>-1.175</v>
      </c>
      <c r="M499" s="27" t="n">
        <f aca="false">IF(K499&gt;0,1,0)</f>
        <v>0</v>
      </c>
      <c r="N499" s="11" t="n">
        <f aca="false">SUMIFS(K$2:K499,A$2:A499,A499,B$2:B499,B499)</f>
        <v>-27574.5</v>
      </c>
      <c r="O499" s="11" t="n">
        <f aca="false">MAX(0,_xlfn.MAXIFS(N$2:N499,A$2:A499,A499,B$2:B499,B499))</f>
        <v>176828.4</v>
      </c>
      <c r="P499" s="11" t="n">
        <f aca="false">N499-O499</f>
        <v>-204402.9</v>
      </c>
    </row>
    <row r="500" customFormat="false" ht="15" hidden="false" customHeight="false" outlineLevel="0" collapsed="false">
      <c r="A500" s="8" t="s">
        <v>26</v>
      </c>
      <c r="B500" s="8" t="s">
        <v>41</v>
      </c>
      <c r="C500" s="8" t="s">
        <v>60</v>
      </c>
      <c r="D500" s="21" t="n">
        <v>45840.6402777778</v>
      </c>
      <c r="E500" s="21" t="n">
        <v>45841.7534722222</v>
      </c>
      <c r="F500" s="22" t="n">
        <f aca="false">DATE(YEAR(E500),MONTH(E500),1)</f>
        <v>45839</v>
      </c>
      <c r="G500" s="23" t="n">
        <v>140948</v>
      </c>
      <c r="H500" s="8" t="s">
        <v>61</v>
      </c>
      <c r="I500" s="24" t="n">
        <v>782.69</v>
      </c>
      <c r="J500" s="25" t="n">
        <f aca="false">Summary!$B$4</f>
        <v>1</v>
      </c>
      <c r="K500" s="11" t="n">
        <f aca="false">I500*J500*IF(A500="SILVER",Summary!$B$5,Summary!$B$6)</f>
        <v>23480.7</v>
      </c>
      <c r="L500" s="26" t="n">
        <v>1.033</v>
      </c>
      <c r="M500" s="27" t="n">
        <f aca="false">IF(K500&gt;0,1,0)</f>
        <v>1</v>
      </c>
      <c r="N500" s="11" t="n">
        <f aca="false">SUMIFS(K$2:K500,A$2:A500,A500,B$2:B500,B500)</f>
        <v>-4093.79999999999</v>
      </c>
      <c r="O500" s="11" t="n">
        <f aca="false">MAX(0,_xlfn.MAXIFS(N$2:N500,A$2:A500,A500,B$2:B500,B500))</f>
        <v>176828.4</v>
      </c>
      <c r="P500" s="11" t="n">
        <f aca="false">N500-O500</f>
        <v>-180922.2</v>
      </c>
    </row>
    <row r="501" customFormat="false" ht="15" hidden="false" customHeight="false" outlineLevel="0" collapsed="false">
      <c r="A501" s="8" t="s">
        <v>26</v>
      </c>
      <c r="B501" s="8" t="s">
        <v>41</v>
      </c>
      <c r="C501" s="8" t="s">
        <v>60</v>
      </c>
      <c r="D501" s="21" t="n">
        <v>45842.4138888889</v>
      </c>
      <c r="E501" s="21" t="n">
        <v>45845.4236111111</v>
      </c>
      <c r="F501" s="22" t="n">
        <f aca="false">DATE(YEAR(E501),MONTH(E501),1)</f>
        <v>45839</v>
      </c>
      <c r="G501" s="23" t="n">
        <v>142537</v>
      </c>
      <c r="H501" s="8" t="s">
        <v>61</v>
      </c>
      <c r="I501" s="24" t="n">
        <v>-698.02</v>
      </c>
      <c r="J501" s="25" t="n">
        <f aca="false">Summary!$B$4</f>
        <v>1</v>
      </c>
      <c r="K501" s="11" t="n">
        <f aca="false">I501*J501*IF(A501="SILVER",Summary!$B$5,Summary!$B$6)</f>
        <v>-20940.6</v>
      </c>
      <c r="L501" s="26" t="n">
        <v>-0.771</v>
      </c>
      <c r="M501" s="27" t="n">
        <f aca="false">IF(K501&gt;0,1,0)</f>
        <v>0</v>
      </c>
      <c r="N501" s="11" t="n">
        <f aca="false">SUMIFS(K$2:K501,A$2:A501,A501,B$2:B501,B501)</f>
        <v>-25034.4</v>
      </c>
      <c r="O501" s="11" t="n">
        <f aca="false">MAX(0,_xlfn.MAXIFS(N$2:N501,A$2:A501,A501,B$2:B501,B501))</f>
        <v>176828.4</v>
      </c>
      <c r="P501" s="11" t="n">
        <f aca="false">N501-O501</f>
        <v>-201862.8</v>
      </c>
    </row>
    <row r="502" customFormat="false" ht="15" hidden="false" customHeight="false" outlineLevel="0" collapsed="false">
      <c r="A502" s="8" t="s">
        <v>26</v>
      </c>
      <c r="B502" s="8" t="s">
        <v>41</v>
      </c>
      <c r="C502" s="8" t="s">
        <v>60</v>
      </c>
      <c r="D502" s="21" t="n">
        <v>45845.8229166667</v>
      </c>
      <c r="E502" s="21" t="n">
        <v>45846.6423611111</v>
      </c>
      <c r="F502" s="22" t="n">
        <f aca="false">DATE(YEAR(E502),MONTH(E502),1)</f>
        <v>45839</v>
      </c>
      <c r="G502" s="23" t="n">
        <v>142356</v>
      </c>
      <c r="H502" s="8" t="s">
        <v>61</v>
      </c>
      <c r="I502" s="24" t="n">
        <v>122.39</v>
      </c>
      <c r="J502" s="25" t="n">
        <f aca="false">Summary!$B$4</f>
        <v>1</v>
      </c>
      <c r="K502" s="11" t="n">
        <f aca="false">I502*J502*IF(A502="SILVER",Summary!$B$5,Summary!$B$6)</f>
        <v>3671.7</v>
      </c>
      <c r="L502" s="26" t="n">
        <v>0.141</v>
      </c>
      <c r="M502" s="27" t="n">
        <f aca="false">IF(K502&gt;0,1,0)</f>
        <v>1</v>
      </c>
      <c r="N502" s="11" t="n">
        <f aca="false">SUMIFS(K$2:K502,A$2:A502,A502,B$2:B502,B502)</f>
        <v>-21362.7</v>
      </c>
      <c r="O502" s="11" t="n">
        <f aca="false">MAX(0,_xlfn.MAXIFS(N$2:N502,A$2:A502,A502,B$2:B502,B502))</f>
        <v>176828.4</v>
      </c>
      <c r="P502" s="11" t="n">
        <f aca="false">N502-O502</f>
        <v>-198191.1</v>
      </c>
    </row>
    <row r="503" customFormat="false" ht="15" hidden="false" customHeight="false" outlineLevel="0" collapsed="false">
      <c r="A503" s="8" t="s">
        <v>26</v>
      </c>
      <c r="B503" s="8" t="s">
        <v>41</v>
      </c>
      <c r="C503" s="8" t="s">
        <v>60</v>
      </c>
      <c r="D503" s="21" t="n">
        <v>45846.9618055556</v>
      </c>
      <c r="E503" s="21" t="n">
        <v>45847.5451388889</v>
      </c>
      <c r="F503" s="22" t="n">
        <f aca="false">DATE(YEAR(E503),MONTH(E503),1)</f>
        <v>45839</v>
      </c>
      <c r="G503" s="23" t="n">
        <v>142386</v>
      </c>
      <c r="H503" s="8" t="s">
        <v>61</v>
      </c>
      <c r="I503" s="24" t="n">
        <v>-343.56</v>
      </c>
      <c r="J503" s="25" t="n">
        <f aca="false">Summary!$B$4</f>
        <v>1</v>
      </c>
      <c r="K503" s="11" t="n">
        <f aca="false">I503*J503*IF(A503="SILVER",Summary!$B$5,Summary!$B$6)</f>
        <v>-10306.8</v>
      </c>
      <c r="L503" s="26" t="n">
        <v>-0.439</v>
      </c>
      <c r="M503" s="27" t="n">
        <f aca="false">IF(K503&gt;0,1,0)</f>
        <v>0</v>
      </c>
      <c r="N503" s="11" t="n">
        <f aca="false">SUMIFS(K$2:K503,A$2:A503,A503,B$2:B503,B503)</f>
        <v>-31669.5</v>
      </c>
      <c r="O503" s="11" t="n">
        <f aca="false">MAX(0,_xlfn.MAXIFS(N$2:N503,A$2:A503,A503,B$2:B503,B503))</f>
        <v>176828.4</v>
      </c>
      <c r="P503" s="11" t="n">
        <f aca="false">N503-O503</f>
        <v>-208497.9</v>
      </c>
    </row>
    <row r="504" customFormat="false" ht="15" hidden="false" customHeight="false" outlineLevel="0" collapsed="false">
      <c r="A504" s="8" t="s">
        <v>26</v>
      </c>
      <c r="B504" s="8" t="s">
        <v>41</v>
      </c>
      <c r="C504" s="8" t="s">
        <v>60</v>
      </c>
      <c r="D504" s="21" t="n">
        <v>45848.5034722222</v>
      </c>
      <c r="E504" s="21" t="n">
        <v>45848.5652777778</v>
      </c>
      <c r="F504" s="22" t="n">
        <f aca="false">DATE(YEAR(E504),MONTH(E504),1)</f>
        <v>45839</v>
      </c>
      <c r="G504" s="23" t="n">
        <v>142024</v>
      </c>
      <c r="H504" s="8" t="s">
        <v>64</v>
      </c>
      <c r="I504" s="24" t="n">
        <v>-8.52</v>
      </c>
      <c r="J504" s="25" t="n">
        <f aca="false">Summary!$B$4</f>
        <v>1</v>
      </c>
      <c r="K504" s="11" t="n">
        <f aca="false">I504*J504*IF(A504="SILVER",Summary!$B$5,Summary!$B$6)</f>
        <v>-255.6</v>
      </c>
      <c r="L504" s="26" t="n">
        <v>-0.021</v>
      </c>
      <c r="M504" s="27" t="n">
        <f aca="false">IF(K504&gt;0,1,0)</f>
        <v>0</v>
      </c>
      <c r="N504" s="11" t="n">
        <f aca="false">SUMIFS(K$2:K504,A$2:A504,A504,B$2:B504,B504)</f>
        <v>-31925.1</v>
      </c>
      <c r="O504" s="11" t="n">
        <f aca="false">MAX(0,_xlfn.MAXIFS(N$2:N504,A$2:A504,A504,B$2:B504,B504))</f>
        <v>176828.4</v>
      </c>
      <c r="P504" s="11" t="n">
        <f aca="false">N504-O504</f>
        <v>-208753.5</v>
      </c>
    </row>
    <row r="505" customFormat="false" ht="15" hidden="false" customHeight="false" outlineLevel="0" collapsed="false">
      <c r="A505" s="8" t="s">
        <v>26</v>
      </c>
      <c r="B505" s="8" t="s">
        <v>41</v>
      </c>
      <c r="C505" s="8" t="s">
        <v>60</v>
      </c>
      <c r="D505" s="21" t="n">
        <v>45848.6666666667</v>
      </c>
      <c r="E505" s="21" t="n">
        <v>45848.7236111111</v>
      </c>
      <c r="F505" s="22" t="n">
        <f aca="false">DATE(YEAR(E505),MONTH(E505),1)</f>
        <v>45839</v>
      </c>
      <c r="G505" s="23" t="n">
        <v>142569</v>
      </c>
      <c r="H505" s="8" t="s">
        <v>64</v>
      </c>
      <c r="I505" s="24" t="n">
        <v>20.59</v>
      </c>
      <c r="J505" s="25" t="n">
        <f aca="false">Summary!$B$4</f>
        <v>1</v>
      </c>
      <c r="K505" s="11" t="n">
        <f aca="false">I505*J505*IF(A505="SILVER",Summary!$B$5,Summary!$B$6)</f>
        <v>617.7</v>
      </c>
      <c r="L505" s="26" t="n">
        <v>0.039</v>
      </c>
      <c r="M505" s="27" t="n">
        <f aca="false">IF(K505&gt;0,1,0)</f>
        <v>1</v>
      </c>
      <c r="N505" s="11" t="n">
        <f aca="false">SUMIFS(K$2:K505,A$2:A505,A505,B$2:B505,B505)</f>
        <v>-31307.4</v>
      </c>
      <c r="O505" s="11" t="n">
        <f aca="false">MAX(0,_xlfn.MAXIFS(N$2:N505,A$2:A505,A505,B$2:B505,B505))</f>
        <v>176828.4</v>
      </c>
      <c r="P505" s="11" t="n">
        <f aca="false">N505-O505</f>
        <v>-208135.8</v>
      </c>
    </row>
    <row r="506" customFormat="false" ht="15" hidden="false" customHeight="false" outlineLevel="0" collapsed="false">
      <c r="A506" s="8" t="s">
        <v>26</v>
      </c>
      <c r="B506" s="8" t="s">
        <v>41</v>
      </c>
      <c r="C506" s="8" t="s">
        <v>60</v>
      </c>
      <c r="D506" s="21" t="n">
        <v>45849.3784722222</v>
      </c>
      <c r="E506" s="21" t="n">
        <v>45852.7534722222</v>
      </c>
      <c r="F506" s="22" t="n">
        <f aca="false">DATE(YEAR(E506),MONTH(E506),1)</f>
        <v>45839</v>
      </c>
      <c r="G506" s="23" t="n">
        <v>144824</v>
      </c>
      <c r="H506" s="8" t="s">
        <v>61</v>
      </c>
      <c r="I506" s="24" t="n">
        <v>3789.53</v>
      </c>
      <c r="J506" s="25" t="n">
        <f aca="false">Summary!$B$4</f>
        <v>1</v>
      </c>
      <c r="K506" s="11" t="n">
        <f aca="false">I506*J506*IF(A506="SILVER",Summary!$B$5,Summary!$B$6)</f>
        <v>113685.9</v>
      </c>
      <c r="L506" s="26" t="n">
        <v>2.54</v>
      </c>
      <c r="M506" s="27" t="n">
        <f aca="false">IF(K506&gt;0,1,0)</f>
        <v>1</v>
      </c>
      <c r="N506" s="11" t="n">
        <f aca="false">SUMIFS(K$2:K506,A$2:A506,A506,B$2:B506,B506)</f>
        <v>82378.5</v>
      </c>
      <c r="O506" s="11" t="n">
        <f aca="false">MAX(0,_xlfn.MAXIFS(N$2:N506,A$2:A506,A506,B$2:B506,B506))</f>
        <v>176828.4</v>
      </c>
      <c r="P506" s="11" t="n">
        <f aca="false">N506-O506</f>
        <v>-94449.9</v>
      </c>
    </row>
    <row r="507" customFormat="false" ht="15" hidden="false" customHeight="false" outlineLevel="0" collapsed="false">
      <c r="A507" s="8" t="s">
        <v>26</v>
      </c>
      <c r="B507" s="8" t="s">
        <v>41</v>
      </c>
      <c r="C507" s="8" t="s">
        <v>60</v>
      </c>
      <c r="D507" s="21" t="n">
        <v>45854.5659722222</v>
      </c>
      <c r="E507" s="21" t="n">
        <v>45854.6770833333</v>
      </c>
      <c r="F507" s="22" t="n">
        <f aca="false">DATE(YEAR(E507),MONTH(E507),1)</f>
        <v>45839</v>
      </c>
      <c r="G507" s="23" t="n">
        <v>146353</v>
      </c>
      <c r="H507" s="8" t="s">
        <v>64</v>
      </c>
      <c r="I507" s="24" t="n">
        <v>19.61</v>
      </c>
      <c r="J507" s="25" t="n">
        <f aca="false">Summary!$B$4</f>
        <v>1</v>
      </c>
      <c r="K507" s="11" t="n">
        <f aca="false">I507*J507*IF(A507="SILVER",Summary!$B$5,Summary!$B$6)</f>
        <v>588.3</v>
      </c>
      <c r="L507" s="26" t="n">
        <v>0.037</v>
      </c>
      <c r="M507" s="27" t="n">
        <f aca="false">IF(K507&gt;0,1,0)</f>
        <v>1</v>
      </c>
      <c r="N507" s="11" t="n">
        <f aca="false">SUMIFS(K$2:K507,A$2:A507,A507,B$2:B507,B507)</f>
        <v>82966.8</v>
      </c>
      <c r="O507" s="11" t="n">
        <f aca="false">MAX(0,_xlfn.MAXIFS(N$2:N507,A$2:A507,A507,B$2:B507,B507))</f>
        <v>176828.4</v>
      </c>
      <c r="P507" s="11" t="n">
        <f aca="false">N507-O507</f>
        <v>-93861.6</v>
      </c>
    </row>
    <row r="508" customFormat="false" ht="15" hidden="false" customHeight="false" outlineLevel="0" collapsed="false">
      <c r="A508" s="8" t="s">
        <v>26</v>
      </c>
      <c r="B508" s="8" t="s">
        <v>41</v>
      </c>
      <c r="C508" s="8" t="s">
        <v>60</v>
      </c>
      <c r="D508" s="21" t="n">
        <v>45854.8715277778</v>
      </c>
      <c r="E508" s="21" t="n">
        <v>45855.5590277778</v>
      </c>
      <c r="F508" s="22" t="n">
        <f aca="false">DATE(YEAR(E508),MONTH(E508),1)</f>
        <v>45839</v>
      </c>
      <c r="G508" s="23" t="n">
        <v>146482</v>
      </c>
      <c r="H508" s="8" t="s">
        <v>61</v>
      </c>
      <c r="I508" s="24" t="n">
        <v>-735.35</v>
      </c>
      <c r="J508" s="25" t="n">
        <f aca="false">Summary!$B$4</f>
        <v>1</v>
      </c>
      <c r="K508" s="11" t="n">
        <f aca="false">I508*J508*IF(A508="SILVER",Summary!$B$5,Summary!$B$6)</f>
        <v>-22060.5</v>
      </c>
      <c r="L508" s="26" t="n">
        <v>-0.593</v>
      </c>
      <c r="M508" s="27" t="n">
        <f aca="false">IF(K508&gt;0,1,0)</f>
        <v>0</v>
      </c>
      <c r="N508" s="11" t="n">
        <f aca="false">SUMIFS(K$2:K508,A$2:A508,A508,B$2:B508,B508)</f>
        <v>60906.3</v>
      </c>
      <c r="O508" s="11" t="n">
        <f aca="false">MAX(0,_xlfn.MAXIFS(N$2:N508,A$2:A508,A508,B$2:B508,B508))</f>
        <v>176828.4</v>
      </c>
      <c r="P508" s="11" t="n">
        <f aca="false">N508-O508</f>
        <v>-115922.1</v>
      </c>
    </row>
    <row r="509" customFormat="false" ht="15" hidden="false" customHeight="false" outlineLevel="0" collapsed="false">
      <c r="A509" s="8" t="s">
        <v>26</v>
      </c>
      <c r="B509" s="8" t="s">
        <v>41</v>
      </c>
      <c r="C509" s="8" t="s">
        <v>60</v>
      </c>
      <c r="D509" s="21" t="n">
        <v>45855.8402777778</v>
      </c>
      <c r="E509" s="21" t="n">
        <v>45856.7986111111</v>
      </c>
      <c r="F509" s="22" t="n">
        <f aca="false">DATE(YEAR(E509),MONTH(E509),1)</f>
        <v>45839</v>
      </c>
      <c r="G509" s="23" t="n">
        <v>146075</v>
      </c>
      <c r="H509" s="8" t="s">
        <v>61</v>
      </c>
      <c r="I509" s="24" t="n">
        <v>1210.54</v>
      </c>
      <c r="J509" s="25" t="n">
        <f aca="false">Summary!$B$4</f>
        <v>1</v>
      </c>
      <c r="K509" s="11" t="n">
        <f aca="false">I509*J509*IF(A509="SILVER",Summary!$B$5,Summary!$B$6)</f>
        <v>36316.2</v>
      </c>
      <c r="L509" s="26" t="n">
        <v>1.354</v>
      </c>
      <c r="M509" s="27" t="n">
        <f aca="false">IF(K509&gt;0,1,0)</f>
        <v>1</v>
      </c>
      <c r="N509" s="11" t="n">
        <f aca="false">SUMIFS(K$2:K509,A$2:A509,A509,B$2:B509,B509)</f>
        <v>97222.5</v>
      </c>
      <c r="O509" s="11" t="n">
        <f aca="false">MAX(0,_xlfn.MAXIFS(N$2:N509,A$2:A509,A509,B$2:B509,B509))</f>
        <v>176828.4</v>
      </c>
      <c r="P509" s="11" t="n">
        <f aca="false">N509-O509</f>
        <v>-79605.9</v>
      </c>
    </row>
    <row r="510" customFormat="false" ht="15" hidden="false" customHeight="false" outlineLevel="0" collapsed="false">
      <c r="A510" s="8" t="s">
        <v>26</v>
      </c>
      <c r="B510" s="8" t="s">
        <v>41</v>
      </c>
      <c r="C510" s="8" t="s">
        <v>60</v>
      </c>
      <c r="D510" s="21" t="n">
        <v>45859.5138888889</v>
      </c>
      <c r="E510" s="21" t="n">
        <v>45860.4131944445</v>
      </c>
      <c r="F510" s="22" t="n">
        <f aca="false">DATE(YEAR(E510),MONTH(E510),1)</f>
        <v>45839</v>
      </c>
      <c r="G510" s="23" t="n">
        <v>147708</v>
      </c>
      <c r="H510" s="8" t="s">
        <v>61</v>
      </c>
      <c r="I510" s="24" t="n">
        <v>1164.21</v>
      </c>
      <c r="J510" s="25" t="n">
        <f aca="false">Summary!$B$4</f>
        <v>1</v>
      </c>
      <c r="K510" s="11" t="n">
        <f aca="false">I510*J510*IF(A510="SILVER",Summary!$B$5,Summary!$B$6)</f>
        <v>34926.3</v>
      </c>
      <c r="L510" s="26" t="n">
        <v>2.239</v>
      </c>
      <c r="M510" s="27" t="n">
        <f aca="false">IF(K510&gt;0,1,0)</f>
        <v>1</v>
      </c>
      <c r="N510" s="11" t="n">
        <f aca="false">SUMIFS(K$2:K510,A$2:A510,A510,B$2:B510,B510)</f>
        <v>132148.8</v>
      </c>
      <c r="O510" s="11" t="n">
        <f aca="false">MAX(0,_xlfn.MAXIFS(N$2:N510,A$2:A510,A510,B$2:B510,B510))</f>
        <v>176828.4</v>
      </c>
      <c r="P510" s="11" t="n">
        <f aca="false">N510-O510</f>
        <v>-44679.6</v>
      </c>
    </row>
    <row r="511" customFormat="false" ht="15" hidden="false" customHeight="false" outlineLevel="0" collapsed="false">
      <c r="A511" s="8" t="s">
        <v>26</v>
      </c>
      <c r="B511" s="8" t="s">
        <v>41</v>
      </c>
      <c r="C511" s="8" t="s">
        <v>60</v>
      </c>
      <c r="D511" s="21" t="n">
        <v>45860.53125</v>
      </c>
      <c r="E511" s="21" t="n">
        <v>45860.8090277778</v>
      </c>
      <c r="F511" s="22" t="n">
        <f aca="false">DATE(YEAR(E511),MONTH(E511),1)</f>
        <v>45839</v>
      </c>
      <c r="G511" s="23" t="n">
        <v>149255</v>
      </c>
      <c r="H511" s="8" t="s">
        <v>61</v>
      </c>
      <c r="I511" s="24" t="n">
        <v>220</v>
      </c>
      <c r="J511" s="25" t="n">
        <f aca="false">Summary!$B$4</f>
        <v>1</v>
      </c>
      <c r="K511" s="11" t="n">
        <f aca="false">I511*J511*IF(A511="SILVER",Summary!$B$5,Summary!$B$6)</f>
        <v>6600</v>
      </c>
      <c r="L511" s="26" t="n">
        <v>0.386</v>
      </c>
      <c r="M511" s="27" t="n">
        <f aca="false">IF(K511&gt;0,1,0)</f>
        <v>1</v>
      </c>
      <c r="N511" s="11" t="n">
        <f aca="false">SUMIFS(K$2:K511,A$2:A511,A511,B$2:B511,B511)</f>
        <v>138748.8</v>
      </c>
      <c r="O511" s="11" t="n">
        <f aca="false">MAX(0,_xlfn.MAXIFS(N$2:N511,A$2:A511,A511,B$2:B511,B511))</f>
        <v>176828.4</v>
      </c>
      <c r="P511" s="11" t="n">
        <f aca="false">N511-O511</f>
        <v>-38079.6</v>
      </c>
    </row>
    <row r="512" customFormat="false" ht="15" hidden="false" customHeight="false" outlineLevel="0" collapsed="false">
      <c r="A512" s="8" t="s">
        <v>26</v>
      </c>
      <c r="B512" s="8" t="s">
        <v>41</v>
      </c>
      <c r="C512" s="8" t="s">
        <v>60</v>
      </c>
      <c r="D512" s="21" t="n">
        <v>45861.4284722222</v>
      </c>
      <c r="E512" s="21" t="n">
        <v>45861.7951388889</v>
      </c>
      <c r="F512" s="22" t="n">
        <f aca="false">DATE(YEAR(E512),MONTH(E512),1)</f>
        <v>45839</v>
      </c>
      <c r="G512" s="23" t="n">
        <v>150589</v>
      </c>
      <c r="H512" s="8" t="s">
        <v>61</v>
      </c>
      <c r="I512" s="24" t="n">
        <v>-325.22</v>
      </c>
      <c r="J512" s="25" t="n">
        <f aca="false">Summary!$B$4</f>
        <v>1</v>
      </c>
      <c r="K512" s="11" t="n">
        <f aca="false">I512*J512*IF(A512="SILVER",Summary!$B$5,Summary!$B$6)</f>
        <v>-9756.6</v>
      </c>
      <c r="L512" s="26" t="n">
        <v>-0.398</v>
      </c>
      <c r="M512" s="27" t="n">
        <f aca="false">IF(K512&gt;0,1,0)</f>
        <v>0</v>
      </c>
      <c r="N512" s="11" t="n">
        <f aca="false">SUMIFS(K$2:K512,A$2:A512,A512,B$2:B512,B512)</f>
        <v>128992.2</v>
      </c>
      <c r="O512" s="11" t="n">
        <f aca="false">MAX(0,_xlfn.MAXIFS(N$2:N512,A$2:A512,A512,B$2:B512,B512))</f>
        <v>176828.4</v>
      </c>
      <c r="P512" s="11" t="n">
        <f aca="false">N512-O512</f>
        <v>-47836.2</v>
      </c>
    </row>
    <row r="513" customFormat="false" ht="15" hidden="false" customHeight="false" outlineLevel="0" collapsed="false">
      <c r="A513" s="8" t="s">
        <v>26</v>
      </c>
      <c r="B513" s="8" t="s">
        <v>41</v>
      </c>
      <c r="C513" s="8" t="s">
        <v>60</v>
      </c>
      <c r="D513" s="21" t="n">
        <v>45863.3784722222</v>
      </c>
      <c r="E513" s="21" t="n">
        <v>45863.5569444444</v>
      </c>
      <c r="F513" s="22" t="n">
        <f aca="false">DATE(YEAR(E513),MONTH(E513),1)</f>
        <v>45839</v>
      </c>
      <c r="G513" s="23" t="n">
        <v>149759</v>
      </c>
      <c r="H513" s="8" t="s">
        <v>64</v>
      </c>
      <c r="I513" s="24" t="n">
        <v>11.92</v>
      </c>
      <c r="J513" s="25" t="n">
        <f aca="false">Summary!$B$4</f>
        <v>1</v>
      </c>
      <c r="K513" s="11" t="n">
        <f aca="false">I513*J513*IF(A513="SILVER",Summary!$B$5,Summary!$B$6)</f>
        <v>357.6</v>
      </c>
      <c r="L513" s="26" t="n">
        <v>0.025</v>
      </c>
      <c r="M513" s="27" t="n">
        <f aca="false">IF(K513&gt;0,1,0)</f>
        <v>1</v>
      </c>
      <c r="N513" s="11" t="n">
        <f aca="false">SUMIFS(K$2:K513,A$2:A513,A513,B$2:B513,B513)</f>
        <v>129349.8</v>
      </c>
      <c r="O513" s="11" t="n">
        <f aca="false">MAX(0,_xlfn.MAXIFS(N$2:N513,A$2:A513,A513,B$2:B513,B513))</f>
        <v>176828.4</v>
      </c>
      <c r="P513" s="11" t="n">
        <f aca="false">N513-O513</f>
        <v>-47478.6</v>
      </c>
    </row>
    <row r="514" customFormat="false" ht="15" hidden="false" customHeight="false" outlineLevel="0" collapsed="false">
      <c r="A514" s="8" t="s">
        <v>26</v>
      </c>
      <c r="B514" s="8" t="s">
        <v>41</v>
      </c>
      <c r="C514" s="8" t="s">
        <v>60</v>
      </c>
      <c r="D514" s="21" t="n">
        <v>45867.3784722222</v>
      </c>
      <c r="E514" s="21" t="n">
        <v>45867.5243055556</v>
      </c>
      <c r="F514" s="22" t="n">
        <f aca="false">DATE(YEAR(E514),MONTH(E514),1)</f>
        <v>45839</v>
      </c>
      <c r="G514" s="23" t="n">
        <v>147756</v>
      </c>
      <c r="H514" s="8" t="s">
        <v>61</v>
      </c>
      <c r="I514" s="24" t="n">
        <v>-324.65</v>
      </c>
      <c r="J514" s="25" t="n">
        <f aca="false">Summary!$B$4</f>
        <v>1</v>
      </c>
      <c r="K514" s="11" t="n">
        <f aca="false">I514*J514*IF(A514="SILVER",Summary!$B$5,Summary!$B$6)</f>
        <v>-9739.5</v>
      </c>
      <c r="L514" s="26" t="n">
        <v>-0.51</v>
      </c>
      <c r="M514" s="27" t="n">
        <f aca="false">IF(K514&gt;0,1,0)</f>
        <v>0</v>
      </c>
      <c r="N514" s="11" t="n">
        <f aca="false">SUMIFS(K$2:K514,A$2:A514,A514,B$2:B514,B514)</f>
        <v>119610.3</v>
      </c>
      <c r="O514" s="11" t="n">
        <f aca="false">MAX(0,_xlfn.MAXIFS(N$2:N514,A$2:A514,A514,B$2:B514,B514))</f>
        <v>176828.4</v>
      </c>
      <c r="P514" s="11" t="n">
        <f aca="false">N514-O514</f>
        <v>-57218.1</v>
      </c>
    </row>
    <row r="515" customFormat="false" ht="15" hidden="false" customHeight="false" outlineLevel="0" collapsed="false">
      <c r="A515" s="8" t="s">
        <v>26</v>
      </c>
      <c r="B515" s="8" t="s">
        <v>41</v>
      </c>
      <c r="C515" s="8" t="s">
        <v>60</v>
      </c>
      <c r="D515" s="21" t="n">
        <v>45867.5763888889</v>
      </c>
      <c r="E515" s="21" t="n">
        <v>45867.8701388889</v>
      </c>
      <c r="F515" s="22" t="n">
        <f aca="false">DATE(YEAR(E515),MONTH(E515),1)</f>
        <v>45839</v>
      </c>
      <c r="G515" s="23" t="n">
        <v>147834</v>
      </c>
      <c r="H515" s="8" t="s">
        <v>64</v>
      </c>
      <c r="I515" s="24" t="n">
        <v>30.68</v>
      </c>
      <c r="J515" s="25" t="n">
        <f aca="false">Summary!$B$4</f>
        <v>1</v>
      </c>
      <c r="K515" s="11" t="n">
        <f aca="false">I515*J515*IF(A515="SILVER",Summary!$B$5,Summary!$B$6)</f>
        <v>920.4</v>
      </c>
      <c r="L515" s="26" t="n">
        <v>0.048</v>
      </c>
      <c r="M515" s="27" t="n">
        <f aca="false">IF(K515&gt;0,1,0)</f>
        <v>1</v>
      </c>
      <c r="N515" s="11" t="n">
        <f aca="false">SUMIFS(K$2:K515,A$2:A515,A515,B$2:B515,B515)</f>
        <v>120530.7</v>
      </c>
      <c r="O515" s="11" t="n">
        <f aca="false">MAX(0,_xlfn.MAXIFS(N$2:N515,A$2:A515,A515,B$2:B515,B515))</f>
        <v>176828.4</v>
      </c>
      <c r="P515" s="11" t="n">
        <f aca="false">N515-O515</f>
        <v>-56297.7</v>
      </c>
    </row>
    <row r="516" customFormat="false" ht="15" hidden="false" customHeight="false" outlineLevel="0" collapsed="false">
      <c r="A516" s="8" t="s">
        <v>26</v>
      </c>
      <c r="B516" s="8" t="s">
        <v>41</v>
      </c>
      <c r="C516" s="8" t="s">
        <v>60</v>
      </c>
      <c r="D516" s="21" t="n">
        <v>45869.7743055556</v>
      </c>
      <c r="E516" s="21" t="n">
        <v>45870.5451388889</v>
      </c>
      <c r="F516" s="22" t="n">
        <f aca="false">DATE(YEAR(E516),MONTH(E516),1)</f>
        <v>45870</v>
      </c>
      <c r="G516" s="23" t="n">
        <v>144723</v>
      </c>
      <c r="H516" s="8" t="s">
        <v>61</v>
      </c>
      <c r="I516" s="24" t="n">
        <v>-929.98</v>
      </c>
      <c r="J516" s="25" t="n">
        <f aca="false">Summary!$B$4</f>
        <v>1</v>
      </c>
      <c r="K516" s="11" t="n">
        <f aca="false">I516*J516*IF(A516="SILVER",Summary!$B$5,Summary!$B$6)</f>
        <v>-27899.4</v>
      </c>
      <c r="L516" s="26" t="n">
        <v>-0.888</v>
      </c>
      <c r="M516" s="27" t="n">
        <f aca="false">IF(K516&gt;0,1,0)</f>
        <v>0</v>
      </c>
      <c r="N516" s="11" t="n">
        <f aca="false">SUMIFS(K$2:K516,A$2:A516,A516,B$2:B516,B516)</f>
        <v>92631.3</v>
      </c>
      <c r="O516" s="11" t="n">
        <f aca="false">MAX(0,_xlfn.MAXIFS(N$2:N516,A$2:A516,A516,B$2:B516,B516))</f>
        <v>176828.4</v>
      </c>
      <c r="P516" s="11" t="n">
        <f aca="false">N516-O516</f>
        <v>-84197.1</v>
      </c>
    </row>
    <row r="517" customFormat="false" ht="15" hidden="false" customHeight="false" outlineLevel="0" collapsed="false">
      <c r="A517" s="8" t="s">
        <v>26</v>
      </c>
      <c r="B517" s="8" t="s">
        <v>41</v>
      </c>
      <c r="C517" s="8" t="s">
        <v>60</v>
      </c>
      <c r="D517" s="21" t="n">
        <v>45870.7534722222</v>
      </c>
      <c r="E517" s="21" t="n">
        <v>45870.8048611111</v>
      </c>
      <c r="F517" s="22" t="n">
        <f aca="false">DATE(YEAR(E517),MONTH(E517),1)</f>
        <v>45870</v>
      </c>
      <c r="G517" s="23" t="n">
        <v>144570</v>
      </c>
      <c r="H517" s="8" t="s">
        <v>64</v>
      </c>
      <c r="I517" s="24" t="n">
        <v>75.28</v>
      </c>
      <c r="J517" s="25" t="n">
        <f aca="false">Summary!$B$4</f>
        <v>1</v>
      </c>
      <c r="K517" s="11" t="n">
        <f aca="false">I517*J517*IF(A517="SILVER",Summary!$B$5,Summary!$B$6)</f>
        <v>2258.4</v>
      </c>
      <c r="L517" s="26" t="n">
        <v>0.07</v>
      </c>
      <c r="M517" s="27" t="n">
        <f aca="false">IF(K517&gt;0,1,0)</f>
        <v>1</v>
      </c>
      <c r="N517" s="11" t="n">
        <f aca="false">SUMIFS(K$2:K517,A$2:A517,A517,B$2:B517,B517)</f>
        <v>94889.7</v>
      </c>
      <c r="O517" s="11" t="n">
        <f aca="false">MAX(0,_xlfn.MAXIFS(N$2:N517,A$2:A517,A517,B$2:B517,B517))</f>
        <v>176828.4</v>
      </c>
      <c r="P517" s="11" t="n">
        <f aca="false">N517-O517</f>
        <v>-81938.7</v>
      </c>
    </row>
    <row r="518" customFormat="false" ht="15" hidden="false" customHeight="false" outlineLevel="0" collapsed="false">
      <c r="A518" s="8" t="s">
        <v>26</v>
      </c>
      <c r="B518" s="8" t="s">
        <v>41</v>
      </c>
      <c r="C518" s="8" t="s">
        <v>60</v>
      </c>
      <c r="D518" s="21" t="n">
        <v>45875.7916666667</v>
      </c>
      <c r="E518" s="21" t="n">
        <v>45875.8784722222</v>
      </c>
      <c r="F518" s="22" t="n">
        <f aca="false">DATE(YEAR(E518),MONTH(E518),1)</f>
        <v>45870</v>
      </c>
      <c r="G518" s="23" t="n">
        <v>147845</v>
      </c>
      <c r="H518" s="8" t="s">
        <v>64</v>
      </c>
      <c r="I518" s="24" t="n">
        <v>24.94</v>
      </c>
      <c r="J518" s="25" t="n">
        <f aca="false">Summary!$B$4</f>
        <v>1</v>
      </c>
      <c r="K518" s="11" t="n">
        <f aca="false">I518*J518*IF(A518="SILVER",Summary!$B$5,Summary!$B$6)</f>
        <v>748.2</v>
      </c>
      <c r="L518" s="26" t="n">
        <v>0.043</v>
      </c>
      <c r="M518" s="27" t="n">
        <f aca="false">IF(K518&gt;0,1,0)</f>
        <v>1</v>
      </c>
      <c r="N518" s="11" t="n">
        <f aca="false">SUMIFS(K$2:K518,A$2:A518,A518,B$2:B518,B518)</f>
        <v>95637.9</v>
      </c>
      <c r="O518" s="11" t="n">
        <f aca="false">MAX(0,_xlfn.MAXIFS(N$2:N518,A$2:A518,A518,B$2:B518,B518))</f>
        <v>176828.4</v>
      </c>
      <c r="P518" s="11" t="n">
        <f aca="false">N518-O518</f>
        <v>-81190.5</v>
      </c>
    </row>
    <row r="519" customFormat="false" ht="15" hidden="false" customHeight="false" outlineLevel="0" collapsed="false">
      <c r="A519" s="8" t="s">
        <v>26</v>
      </c>
      <c r="B519" s="8" t="s">
        <v>41</v>
      </c>
      <c r="C519" s="8" t="s">
        <v>60</v>
      </c>
      <c r="D519" s="21" t="n">
        <v>45876.6770833333</v>
      </c>
      <c r="E519" s="21" t="n">
        <v>45876.8541666667</v>
      </c>
      <c r="F519" s="22" t="n">
        <f aca="false">DATE(YEAR(E519),MONTH(E519),1)</f>
        <v>45870</v>
      </c>
      <c r="G519" s="23" t="n">
        <v>149734</v>
      </c>
      <c r="H519" s="8" t="s">
        <v>61</v>
      </c>
      <c r="I519" s="24" t="n">
        <v>-1081.96</v>
      </c>
      <c r="J519" s="25" t="n">
        <f aca="false">Summary!$B$4</f>
        <v>1</v>
      </c>
      <c r="K519" s="11" t="n">
        <f aca="false">I519*J519*IF(A519="SILVER",Summary!$B$5,Summary!$B$6)</f>
        <v>-32458.8</v>
      </c>
      <c r="L519" s="26" t="n">
        <v>-1.124</v>
      </c>
      <c r="M519" s="27" t="n">
        <f aca="false">IF(K519&gt;0,1,0)</f>
        <v>0</v>
      </c>
      <c r="N519" s="11" t="n">
        <f aca="false">SUMIFS(K$2:K519,A$2:A519,A519,B$2:B519,B519)</f>
        <v>63179.1</v>
      </c>
      <c r="O519" s="11" t="n">
        <f aca="false">MAX(0,_xlfn.MAXIFS(N$2:N519,A$2:A519,A519,B$2:B519,B519))</f>
        <v>176828.4</v>
      </c>
      <c r="P519" s="11" t="n">
        <f aca="false">N519-O519</f>
        <v>-113649.3</v>
      </c>
    </row>
    <row r="520" customFormat="false" ht="15" hidden="false" customHeight="false" outlineLevel="0" collapsed="false">
      <c r="A520" s="8" t="s">
        <v>26</v>
      </c>
      <c r="B520" s="8" t="s">
        <v>41</v>
      </c>
      <c r="C520" s="8" t="s">
        <v>60</v>
      </c>
      <c r="D520" s="21" t="n">
        <v>45877.3819444445</v>
      </c>
      <c r="E520" s="21" t="n">
        <v>45877.65625</v>
      </c>
      <c r="F520" s="22" t="n">
        <f aca="false">DATE(YEAR(E520),MONTH(E520),1)</f>
        <v>45870</v>
      </c>
      <c r="G520" s="23" t="n">
        <v>149220</v>
      </c>
      <c r="H520" s="8" t="s">
        <v>61</v>
      </c>
      <c r="I520" s="24" t="n">
        <v>231.01</v>
      </c>
      <c r="J520" s="25" t="n">
        <f aca="false">Summary!$B$4</f>
        <v>1</v>
      </c>
      <c r="K520" s="11" t="n">
        <f aca="false">I520*J520*IF(A520="SILVER",Summary!$B$5,Summary!$B$6)</f>
        <v>6930.3</v>
      </c>
      <c r="L520" s="26" t="n">
        <v>0.297</v>
      </c>
      <c r="M520" s="27" t="n">
        <f aca="false">IF(K520&gt;0,1,0)</f>
        <v>1</v>
      </c>
      <c r="N520" s="11" t="n">
        <f aca="false">SUMIFS(K$2:K520,A$2:A520,A520,B$2:B520,B520)</f>
        <v>70109.4</v>
      </c>
      <c r="O520" s="11" t="n">
        <f aca="false">MAX(0,_xlfn.MAXIFS(N$2:N520,A$2:A520,A520,B$2:B520,B520))</f>
        <v>176828.4</v>
      </c>
      <c r="P520" s="11" t="n">
        <f aca="false">N520-O520</f>
        <v>-106719</v>
      </c>
    </row>
    <row r="521" customFormat="false" ht="15" hidden="false" customHeight="false" outlineLevel="0" collapsed="false">
      <c r="A521" s="8" t="s">
        <v>26</v>
      </c>
      <c r="B521" s="8" t="s">
        <v>41</v>
      </c>
      <c r="C521" s="8" t="s">
        <v>60</v>
      </c>
      <c r="D521" s="21" t="n">
        <v>45881.46875</v>
      </c>
      <c r="E521" s="21" t="n">
        <v>45881.5590277778</v>
      </c>
      <c r="F521" s="22" t="n">
        <f aca="false">DATE(YEAR(E521),MONTH(E521),1)</f>
        <v>45870</v>
      </c>
      <c r="G521" s="23" t="n">
        <v>148099</v>
      </c>
      <c r="H521" s="8" t="s">
        <v>61</v>
      </c>
      <c r="I521" s="24" t="n">
        <v>-461.7</v>
      </c>
      <c r="J521" s="25" t="n">
        <f aca="false">Summary!$B$4</f>
        <v>1</v>
      </c>
      <c r="K521" s="11" t="n">
        <f aca="false">I521*J521*IF(A521="SILVER",Summary!$B$5,Summary!$B$6)</f>
        <v>-13851</v>
      </c>
      <c r="L521" s="26" t="n">
        <v>-0.976</v>
      </c>
      <c r="M521" s="27" t="n">
        <f aca="false">IF(K521&gt;0,1,0)</f>
        <v>0</v>
      </c>
      <c r="N521" s="11" t="n">
        <f aca="false">SUMIFS(K$2:K521,A$2:A521,A521,B$2:B521,B521)</f>
        <v>56258.4</v>
      </c>
      <c r="O521" s="11" t="n">
        <f aca="false">MAX(0,_xlfn.MAXIFS(N$2:N521,A$2:A521,A521,B$2:B521,B521))</f>
        <v>176828.4</v>
      </c>
      <c r="P521" s="11" t="n">
        <f aca="false">N521-O521</f>
        <v>-120570</v>
      </c>
    </row>
    <row r="522" customFormat="false" ht="15" hidden="false" customHeight="false" outlineLevel="0" collapsed="false">
      <c r="A522" s="8" t="s">
        <v>26</v>
      </c>
      <c r="B522" s="8" t="s">
        <v>41</v>
      </c>
      <c r="C522" s="8" t="s">
        <v>60</v>
      </c>
      <c r="D522" s="21" t="n">
        <v>45881.8680555556</v>
      </c>
      <c r="E522" s="21" t="n">
        <v>45882.7847222222</v>
      </c>
      <c r="F522" s="22" t="n">
        <f aca="false">DATE(YEAR(E522),MONTH(E522),1)</f>
        <v>45870</v>
      </c>
      <c r="G522" s="23" t="n">
        <v>147988</v>
      </c>
      <c r="H522" s="8" t="s">
        <v>61</v>
      </c>
      <c r="I522" s="24" t="n">
        <v>1258.15</v>
      </c>
      <c r="J522" s="25" t="n">
        <f aca="false">Summary!$B$4</f>
        <v>1</v>
      </c>
      <c r="K522" s="11" t="n">
        <f aca="false">I522*J522*IF(A522="SILVER",Summary!$B$5,Summary!$B$6)</f>
        <v>37744.5</v>
      </c>
      <c r="L522" s="26" t="n">
        <v>1.712</v>
      </c>
      <c r="M522" s="27" t="n">
        <f aca="false">IF(K522&gt;0,1,0)</f>
        <v>1</v>
      </c>
      <c r="N522" s="11" t="n">
        <f aca="false">SUMIFS(K$2:K522,A$2:A522,A522,B$2:B522,B522)</f>
        <v>94002.9</v>
      </c>
      <c r="O522" s="11" t="n">
        <f aca="false">MAX(0,_xlfn.MAXIFS(N$2:N522,A$2:A522,A522,B$2:B522,B522))</f>
        <v>176828.4</v>
      </c>
      <c r="P522" s="11" t="n">
        <f aca="false">N522-O522</f>
        <v>-82825.5</v>
      </c>
    </row>
    <row r="523" customFormat="false" ht="15" hidden="false" customHeight="false" outlineLevel="0" collapsed="false">
      <c r="A523" s="8" t="s">
        <v>26</v>
      </c>
      <c r="B523" s="8" t="s">
        <v>41</v>
      </c>
      <c r="C523" s="8" t="s">
        <v>60</v>
      </c>
      <c r="D523" s="21" t="n">
        <v>45887.7569444445</v>
      </c>
      <c r="E523" s="21" t="n">
        <v>45887.8194444445</v>
      </c>
      <c r="F523" s="22" t="n">
        <f aca="false">DATE(YEAR(E523),MONTH(E523),1)</f>
        <v>45870</v>
      </c>
      <c r="G523" s="23" t="n">
        <v>148684</v>
      </c>
      <c r="H523" s="8" t="s">
        <v>61</v>
      </c>
      <c r="I523" s="24" t="n">
        <v>-583.8</v>
      </c>
      <c r="J523" s="25" t="n">
        <f aca="false">Summary!$B$4</f>
        <v>1</v>
      </c>
      <c r="K523" s="11" t="n">
        <f aca="false">I523*J523*IF(A523="SILVER",Summary!$B$5,Summary!$B$6)</f>
        <v>-17514</v>
      </c>
      <c r="L523" s="26" t="n">
        <v>-1.041</v>
      </c>
      <c r="M523" s="27" t="n">
        <f aca="false">IF(K523&gt;0,1,0)</f>
        <v>0</v>
      </c>
      <c r="N523" s="11" t="n">
        <f aca="false">SUMIFS(K$2:K523,A$2:A523,A523,B$2:B523,B523)</f>
        <v>76488.9</v>
      </c>
      <c r="O523" s="11" t="n">
        <f aca="false">MAX(0,_xlfn.MAXIFS(N$2:N523,A$2:A523,A523,B$2:B523,B523))</f>
        <v>176828.4</v>
      </c>
      <c r="P523" s="11" t="n">
        <f aca="false">N523-O523</f>
        <v>-100339.5</v>
      </c>
    </row>
    <row r="524" customFormat="false" ht="15" hidden="false" customHeight="false" outlineLevel="0" collapsed="false">
      <c r="A524" s="8" t="s">
        <v>26</v>
      </c>
      <c r="B524" s="8" t="s">
        <v>41</v>
      </c>
      <c r="C524" s="8" t="s">
        <v>60</v>
      </c>
      <c r="D524" s="21" t="n">
        <v>45888.6597222222</v>
      </c>
      <c r="E524" s="21" t="n">
        <v>45888.7777777778</v>
      </c>
      <c r="F524" s="22" t="n">
        <f aca="false">DATE(YEAR(E524),MONTH(E524),1)</f>
        <v>45870</v>
      </c>
      <c r="G524" s="23" t="n">
        <v>147809</v>
      </c>
      <c r="H524" s="8" t="s">
        <v>61</v>
      </c>
      <c r="I524" s="24" t="n">
        <v>-421.65</v>
      </c>
      <c r="J524" s="25" t="n">
        <f aca="false">Summary!$B$4</f>
        <v>1</v>
      </c>
      <c r="K524" s="11" t="n">
        <f aca="false">I524*J524*IF(A524="SILVER",Summary!$B$5,Summary!$B$6)</f>
        <v>-12649.5</v>
      </c>
      <c r="L524" s="26" t="n">
        <v>-1.077</v>
      </c>
      <c r="M524" s="27" t="n">
        <f aca="false">IF(K524&gt;0,1,0)</f>
        <v>0</v>
      </c>
      <c r="N524" s="11" t="n">
        <f aca="false">SUMIFS(K$2:K524,A$2:A524,A524,B$2:B524,B524)</f>
        <v>63839.4</v>
      </c>
      <c r="O524" s="11" t="n">
        <f aca="false">MAX(0,_xlfn.MAXIFS(N$2:N524,A$2:A524,A524,B$2:B524,B524))</f>
        <v>176828.4</v>
      </c>
      <c r="P524" s="11" t="n">
        <f aca="false">N524-O524</f>
        <v>-112989</v>
      </c>
    </row>
    <row r="525" customFormat="false" ht="15" hidden="false" customHeight="false" outlineLevel="0" collapsed="false">
      <c r="A525" s="8" t="s">
        <v>26</v>
      </c>
      <c r="B525" s="8" t="s">
        <v>41</v>
      </c>
      <c r="C525" s="8" t="s">
        <v>60</v>
      </c>
      <c r="D525" s="21" t="n">
        <v>45889.7083333333</v>
      </c>
      <c r="E525" s="21" t="n">
        <v>45890.5145833333</v>
      </c>
      <c r="F525" s="22" t="n">
        <f aca="false">DATE(YEAR(E525),MONTH(E525),1)</f>
        <v>45870</v>
      </c>
      <c r="G525" s="23" t="n">
        <v>145306</v>
      </c>
      <c r="H525" s="8" t="s">
        <v>61</v>
      </c>
      <c r="I525" s="24" t="n">
        <v>1463.67</v>
      </c>
      <c r="J525" s="25" t="n">
        <f aca="false">Summary!$B$4</f>
        <v>1</v>
      </c>
      <c r="K525" s="11" t="n">
        <f aca="false">I525*J525*IF(A525="SILVER",Summary!$B$5,Summary!$B$6)</f>
        <v>43910.1</v>
      </c>
      <c r="L525" s="26" t="n">
        <v>2.878</v>
      </c>
      <c r="M525" s="27" t="n">
        <f aca="false">IF(K525&gt;0,1,0)</f>
        <v>1</v>
      </c>
      <c r="N525" s="11" t="n">
        <f aca="false">SUMIFS(K$2:K525,A$2:A525,A525,B$2:B525,B525)</f>
        <v>107749.5</v>
      </c>
      <c r="O525" s="11" t="n">
        <f aca="false">MAX(0,_xlfn.MAXIFS(N$2:N525,A$2:A525,A525,B$2:B525,B525))</f>
        <v>176828.4</v>
      </c>
      <c r="P525" s="11" t="n">
        <f aca="false">N525-O525</f>
        <v>-69078.9</v>
      </c>
    </row>
    <row r="526" customFormat="false" ht="15" hidden="false" customHeight="false" outlineLevel="0" collapsed="false">
      <c r="A526" s="8" t="s">
        <v>26</v>
      </c>
      <c r="B526" s="8" t="s">
        <v>41</v>
      </c>
      <c r="C526" s="8" t="s">
        <v>60</v>
      </c>
      <c r="D526" s="21" t="n">
        <v>45890.7256944445</v>
      </c>
      <c r="E526" s="21" t="n">
        <v>45891.5069444445</v>
      </c>
      <c r="F526" s="22" t="n">
        <f aca="false">DATE(YEAR(E526),MONTH(E526),1)</f>
        <v>45870</v>
      </c>
      <c r="G526" s="23" t="n">
        <v>146945</v>
      </c>
      <c r="H526" s="8" t="s">
        <v>61</v>
      </c>
      <c r="I526" s="24" t="n">
        <v>801.4</v>
      </c>
      <c r="J526" s="25" t="n">
        <f aca="false">Summary!$B$4</f>
        <v>1</v>
      </c>
      <c r="K526" s="11" t="n">
        <f aca="false">I526*J526*IF(A526="SILVER",Summary!$B$5,Summary!$B$6)</f>
        <v>24042</v>
      </c>
      <c r="L526" s="26" t="n">
        <v>1.373</v>
      </c>
      <c r="M526" s="27" t="n">
        <f aca="false">IF(K526&gt;0,1,0)</f>
        <v>1</v>
      </c>
      <c r="N526" s="11" t="n">
        <f aca="false">SUMIFS(K$2:K526,A$2:A526,A526,B$2:B526,B526)</f>
        <v>131791.5</v>
      </c>
      <c r="O526" s="11" t="n">
        <f aca="false">MAX(0,_xlfn.MAXIFS(N$2:N526,A$2:A526,A526,B$2:B526,B526))</f>
        <v>176828.4</v>
      </c>
      <c r="P526" s="11" t="n">
        <f aca="false">N526-O526</f>
        <v>-45036.9</v>
      </c>
    </row>
    <row r="527" customFormat="false" ht="15" hidden="false" customHeight="false" outlineLevel="0" collapsed="false">
      <c r="A527" s="8" t="s">
        <v>26</v>
      </c>
      <c r="B527" s="8" t="s">
        <v>41</v>
      </c>
      <c r="C527" s="8" t="s">
        <v>60</v>
      </c>
      <c r="D527" s="21" t="n">
        <v>45891.5277777778</v>
      </c>
      <c r="E527" s="21" t="n">
        <v>45891.7395833333</v>
      </c>
      <c r="F527" s="22" t="n">
        <f aca="false">DATE(YEAR(E527),MONTH(E527),1)</f>
        <v>45870</v>
      </c>
      <c r="G527" s="23" t="n">
        <v>148192</v>
      </c>
      <c r="H527" s="8" t="s">
        <v>61</v>
      </c>
      <c r="I527" s="24" t="n">
        <v>-590.7</v>
      </c>
      <c r="J527" s="25" t="n">
        <f aca="false">Summary!$B$4</f>
        <v>1</v>
      </c>
      <c r="K527" s="11" t="n">
        <f aca="false">I527*J527*IF(A527="SILVER",Summary!$B$5,Summary!$B$6)</f>
        <v>-17721</v>
      </c>
      <c r="L527" s="26" t="n">
        <v>-1.015</v>
      </c>
      <c r="M527" s="27" t="n">
        <f aca="false">IF(K527&gt;0,1,0)</f>
        <v>0</v>
      </c>
      <c r="N527" s="11" t="n">
        <f aca="false">SUMIFS(K$2:K527,A$2:A527,A527,B$2:B527,B527)</f>
        <v>114070.5</v>
      </c>
      <c r="O527" s="11" t="n">
        <f aca="false">MAX(0,_xlfn.MAXIFS(N$2:N527,A$2:A527,A527,B$2:B527,B527))</f>
        <v>176828.4</v>
      </c>
      <c r="P527" s="11" t="n">
        <f aca="false">N527-O527</f>
        <v>-62757.9</v>
      </c>
    </row>
    <row r="528" customFormat="false" ht="15" hidden="false" customHeight="false" outlineLevel="0" collapsed="false">
      <c r="A528" s="8" t="s">
        <v>26</v>
      </c>
      <c r="B528" s="8" t="s">
        <v>41</v>
      </c>
      <c r="C528" s="8" t="s">
        <v>60</v>
      </c>
      <c r="D528" s="21" t="n">
        <v>45891.8159722222</v>
      </c>
      <c r="E528" s="21" t="n">
        <v>45894.6145833333</v>
      </c>
      <c r="F528" s="22" t="n">
        <f aca="false">DATE(YEAR(E528),MONTH(E528),1)</f>
        <v>45870</v>
      </c>
      <c r="G528" s="23" t="n">
        <v>148422</v>
      </c>
      <c r="H528" s="8" t="s">
        <v>61</v>
      </c>
      <c r="I528" s="24" t="n">
        <v>1931</v>
      </c>
      <c r="J528" s="25" t="n">
        <f aca="false">Summary!$B$4</f>
        <v>1</v>
      </c>
      <c r="K528" s="11" t="n">
        <f aca="false">I528*J528*IF(A528="SILVER",Summary!$B$5,Summary!$B$6)</f>
        <v>57930</v>
      </c>
      <c r="L528" s="26" t="n">
        <v>1.785</v>
      </c>
      <c r="M528" s="27" t="n">
        <f aca="false">IF(K528&gt;0,1,0)</f>
        <v>1</v>
      </c>
      <c r="N528" s="11" t="n">
        <f aca="false">SUMIFS(K$2:K528,A$2:A528,A528,B$2:B528,B528)</f>
        <v>172000.5</v>
      </c>
      <c r="O528" s="11" t="n">
        <f aca="false">MAX(0,_xlfn.MAXIFS(N$2:N528,A$2:A528,A528,B$2:B528,B528))</f>
        <v>176828.4</v>
      </c>
      <c r="P528" s="11" t="n">
        <f aca="false">N528-O528</f>
        <v>-4827.89999999997</v>
      </c>
    </row>
    <row r="529" customFormat="false" ht="15" hidden="false" customHeight="false" outlineLevel="0" collapsed="false">
      <c r="A529" s="8" t="s">
        <v>26</v>
      </c>
      <c r="B529" s="8" t="s">
        <v>41</v>
      </c>
      <c r="C529" s="8" t="s">
        <v>60</v>
      </c>
      <c r="D529" s="21" t="n">
        <v>45894.8229166667</v>
      </c>
      <c r="E529" s="21" t="n">
        <v>45895.5277777778</v>
      </c>
      <c r="F529" s="22" t="n">
        <f aca="false">DATE(YEAR(E529),MONTH(E529),1)</f>
        <v>45870</v>
      </c>
      <c r="G529" s="23" t="n">
        <v>150754</v>
      </c>
      <c r="H529" s="8" t="s">
        <v>61</v>
      </c>
      <c r="I529" s="24" t="n">
        <v>-203.26</v>
      </c>
      <c r="J529" s="25" t="n">
        <f aca="false">Summary!$B$4</f>
        <v>1</v>
      </c>
      <c r="K529" s="11" t="n">
        <f aca="false">I529*J529*IF(A529="SILVER",Summary!$B$5,Summary!$B$6)</f>
        <v>-6097.8</v>
      </c>
      <c r="L529" s="26" t="n">
        <v>-0.238</v>
      </c>
      <c r="M529" s="27" t="n">
        <f aca="false">IF(K529&gt;0,1,0)</f>
        <v>0</v>
      </c>
      <c r="N529" s="11" t="n">
        <f aca="false">SUMIFS(K$2:K529,A$2:A529,A529,B$2:B529,B529)</f>
        <v>165902.7</v>
      </c>
      <c r="O529" s="11" t="n">
        <f aca="false">MAX(0,_xlfn.MAXIFS(N$2:N529,A$2:A529,A529,B$2:B529,B529))</f>
        <v>176828.4</v>
      </c>
      <c r="P529" s="11" t="n">
        <f aca="false">N529-O529</f>
        <v>-10925.7</v>
      </c>
    </row>
    <row r="530" customFormat="false" ht="15" hidden="false" customHeight="false" outlineLevel="0" collapsed="false">
      <c r="A530" s="8" t="s">
        <v>26</v>
      </c>
      <c r="B530" s="8" t="s">
        <v>41</v>
      </c>
      <c r="C530" s="8" t="s">
        <v>60</v>
      </c>
      <c r="D530" s="21" t="n">
        <v>45895.8854166667</v>
      </c>
      <c r="E530" s="21" t="n">
        <v>45896.7118055556</v>
      </c>
      <c r="F530" s="22" t="n">
        <f aca="false">DATE(YEAR(E530),MONTH(E530),1)</f>
        <v>45870</v>
      </c>
      <c r="G530" s="23" t="n">
        <v>150477</v>
      </c>
      <c r="H530" s="8" t="s">
        <v>61</v>
      </c>
      <c r="I530" s="24" t="n">
        <v>-736.15</v>
      </c>
      <c r="J530" s="25" t="n">
        <f aca="false">Summary!$B$4</f>
        <v>1</v>
      </c>
      <c r="K530" s="11" t="n">
        <f aca="false">I530*J530*IF(A530="SILVER",Summary!$B$5,Summary!$B$6)</f>
        <v>-22084.5</v>
      </c>
      <c r="L530" s="26" t="n">
        <v>-1.165</v>
      </c>
      <c r="M530" s="27" t="n">
        <f aca="false">IF(K530&gt;0,1,0)</f>
        <v>0</v>
      </c>
      <c r="N530" s="11" t="n">
        <f aca="false">SUMIFS(K$2:K530,A$2:A530,A530,B$2:B530,B530)</f>
        <v>143818.2</v>
      </c>
      <c r="O530" s="11" t="n">
        <f aca="false">MAX(0,_xlfn.MAXIFS(N$2:N530,A$2:A530,A530,B$2:B530,B530))</f>
        <v>176828.4</v>
      </c>
      <c r="P530" s="11" t="n">
        <f aca="false">N530-O530</f>
        <v>-33010.2</v>
      </c>
    </row>
    <row r="531" customFormat="false" ht="15" hidden="false" customHeight="false" outlineLevel="0" collapsed="false">
      <c r="A531" s="8" t="s">
        <v>26</v>
      </c>
      <c r="B531" s="8" t="s">
        <v>41</v>
      </c>
      <c r="C531" s="8" t="s">
        <v>60</v>
      </c>
      <c r="D531" s="21" t="n">
        <v>45896.8576388889</v>
      </c>
      <c r="E531" s="21" t="n">
        <v>45897.8680555556</v>
      </c>
      <c r="F531" s="22" t="n">
        <f aca="false">DATE(YEAR(E531),MONTH(E531),1)</f>
        <v>45870</v>
      </c>
      <c r="G531" s="23" t="n">
        <v>149988</v>
      </c>
      <c r="H531" s="8" t="s">
        <v>61</v>
      </c>
      <c r="I531" s="24" t="n">
        <v>1192.75</v>
      </c>
      <c r="J531" s="25" t="n">
        <f aca="false">Summary!$B$4</f>
        <v>1</v>
      </c>
      <c r="K531" s="11" t="n">
        <f aca="false">I531*J531*IF(A531="SILVER",Summary!$B$5,Summary!$B$6)</f>
        <v>35782.5</v>
      </c>
      <c r="L531" s="26" t="n">
        <v>1.756</v>
      </c>
      <c r="M531" s="27" t="n">
        <f aca="false">IF(K531&gt;0,1,0)</f>
        <v>1</v>
      </c>
      <c r="N531" s="11" t="n">
        <f aca="false">SUMIFS(K$2:K531,A$2:A531,A531,B$2:B531,B531)</f>
        <v>179600.7</v>
      </c>
      <c r="O531" s="11" t="n">
        <f aca="false">MAX(0,_xlfn.MAXIFS(N$2:N531,A$2:A531,A531,B$2:B531,B531))</f>
        <v>179600.7</v>
      </c>
      <c r="P531" s="11" t="n">
        <f aca="false">N531-O531</f>
        <v>0</v>
      </c>
    </row>
    <row r="532" customFormat="false" ht="15" hidden="false" customHeight="false" outlineLevel="0" collapsed="false">
      <c r="A532" s="8" t="s">
        <v>26</v>
      </c>
      <c r="B532" s="8" t="s">
        <v>41</v>
      </c>
      <c r="C532" s="8" t="s">
        <v>60</v>
      </c>
      <c r="D532" s="21" t="n">
        <v>45898.5694444445</v>
      </c>
      <c r="E532" s="21" t="n">
        <v>45898.6527777778</v>
      </c>
      <c r="F532" s="22" t="n">
        <f aca="false">DATE(YEAR(E532),MONTH(E532),1)</f>
        <v>45870</v>
      </c>
      <c r="G532" s="23" t="n">
        <v>151739</v>
      </c>
      <c r="H532" s="8" t="s">
        <v>64</v>
      </c>
      <c r="I532" s="24" t="n">
        <v>15.76</v>
      </c>
      <c r="J532" s="25" t="n">
        <f aca="false">Summary!$B$4</f>
        <v>1</v>
      </c>
      <c r="K532" s="11" t="n">
        <f aca="false">I532*J532*IF(A532="SILVER",Summary!$B$5,Summary!$B$6)</f>
        <v>472.8</v>
      </c>
      <c r="L532" s="26" t="n">
        <v>0.032</v>
      </c>
      <c r="M532" s="27" t="n">
        <f aca="false">IF(K532&gt;0,1,0)</f>
        <v>1</v>
      </c>
      <c r="N532" s="11" t="n">
        <f aca="false">SUMIFS(K$2:K532,A$2:A532,A532,B$2:B532,B532)</f>
        <v>180073.5</v>
      </c>
      <c r="O532" s="11" t="n">
        <f aca="false">MAX(0,_xlfn.MAXIFS(N$2:N532,A$2:A532,A532,B$2:B532,B532))</f>
        <v>180073.5</v>
      </c>
      <c r="P532" s="11" t="n">
        <f aca="false">N532-O532</f>
        <v>0</v>
      </c>
    </row>
    <row r="533" customFormat="false" ht="15" hidden="false" customHeight="false" outlineLevel="0" collapsed="false">
      <c r="A533" s="8" t="s">
        <v>26</v>
      </c>
      <c r="B533" s="8" t="s">
        <v>41</v>
      </c>
      <c r="C533" s="8" t="s">
        <v>60</v>
      </c>
      <c r="D533" s="21" t="n">
        <v>45898.7951388889</v>
      </c>
      <c r="E533" s="21" t="n">
        <v>45901.7013888889</v>
      </c>
      <c r="F533" s="22" t="n">
        <f aca="false">DATE(YEAR(E533),MONTH(E533),1)</f>
        <v>45901</v>
      </c>
      <c r="G533" s="23" t="n">
        <v>152033</v>
      </c>
      <c r="H533" s="8" t="s">
        <v>61</v>
      </c>
      <c r="I533" s="24" t="n">
        <v>4577.01</v>
      </c>
      <c r="J533" s="25" t="n">
        <f aca="false">Summary!$B$4</f>
        <v>1</v>
      </c>
      <c r="K533" s="11" t="n">
        <f aca="false">I533*J533*IF(A533="SILVER",Summary!$B$5,Summary!$B$6)</f>
        <v>137310.3</v>
      </c>
      <c r="L533" s="26" t="n">
        <v>6.309</v>
      </c>
      <c r="M533" s="27" t="n">
        <f aca="false">IF(K533&gt;0,1,0)</f>
        <v>1</v>
      </c>
      <c r="N533" s="11" t="n">
        <f aca="false">SUMIFS(K$2:K533,A$2:A533,A533,B$2:B533,B533)</f>
        <v>317383.8</v>
      </c>
      <c r="O533" s="11" t="n">
        <f aca="false">MAX(0,_xlfn.MAXIFS(N$2:N533,A$2:A533,A533,B$2:B533,B533))</f>
        <v>317383.8</v>
      </c>
      <c r="P533" s="11" t="n">
        <f aca="false">N533-O533</f>
        <v>0</v>
      </c>
    </row>
    <row r="534" customFormat="false" ht="15" hidden="false" customHeight="false" outlineLevel="0" collapsed="false">
      <c r="A534" s="8" t="s">
        <v>26</v>
      </c>
      <c r="B534" s="8" t="s">
        <v>41</v>
      </c>
      <c r="C534" s="8" t="s">
        <v>60</v>
      </c>
      <c r="D534" s="21" t="n">
        <v>45901.7881944445</v>
      </c>
      <c r="E534" s="21" t="n">
        <v>45902.4965277778</v>
      </c>
      <c r="F534" s="22" t="n">
        <f aca="false">DATE(YEAR(E534),MONTH(E534),1)</f>
        <v>45901</v>
      </c>
      <c r="G534" s="23" t="n">
        <v>157226</v>
      </c>
      <c r="H534" s="8" t="s">
        <v>64</v>
      </c>
      <c r="I534" s="24" t="n">
        <v>40.84</v>
      </c>
      <c r="J534" s="25" t="n">
        <f aca="false">Summary!$B$4</f>
        <v>1</v>
      </c>
      <c r="K534" s="11" t="n">
        <f aca="false">I534*J534*IF(A534="SILVER",Summary!$B$5,Summary!$B$6)</f>
        <v>1225.2</v>
      </c>
      <c r="L534" s="26" t="n">
        <v>0.054</v>
      </c>
      <c r="M534" s="27" t="n">
        <f aca="false">IF(K534&gt;0,1,0)</f>
        <v>1</v>
      </c>
      <c r="N534" s="11" t="n">
        <f aca="false">SUMIFS(K$2:K534,A$2:A534,A534,B$2:B534,B534)</f>
        <v>318609</v>
      </c>
      <c r="O534" s="11" t="n">
        <f aca="false">MAX(0,_xlfn.MAXIFS(N$2:N534,A$2:A534,A534,B$2:B534,B534))</f>
        <v>318609</v>
      </c>
      <c r="P534" s="11" t="n">
        <f aca="false">N534-O534</f>
        <v>0</v>
      </c>
    </row>
    <row r="535" customFormat="false" ht="15" hidden="false" customHeight="false" outlineLevel="0" collapsed="false">
      <c r="A535" s="8" t="s">
        <v>26</v>
      </c>
      <c r="B535" s="8" t="s">
        <v>41</v>
      </c>
      <c r="C535" s="8" t="s">
        <v>60</v>
      </c>
      <c r="D535" s="21" t="n">
        <v>45902.6729166667</v>
      </c>
      <c r="E535" s="21" t="n">
        <v>45902.7583333333</v>
      </c>
      <c r="F535" s="22" t="n">
        <f aca="false">DATE(YEAR(E535),MONTH(E535),1)</f>
        <v>45901</v>
      </c>
      <c r="G535" s="23" t="n">
        <v>157034</v>
      </c>
      <c r="H535" s="8" t="s">
        <v>61</v>
      </c>
      <c r="I535" s="24" t="n">
        <v>-1084.42</v>
      </c>
      <c r="J535" s="25" t="n">
        <f aca="false">Summary!$B$4</f>
        <v>1</v>
      </c>
      <c r="K535" s="11" t="n">
        <f aca="false">I535*J535*IF(A535="SILVER",Summary!$B$5,Summary!$B$6)</f>
        <v>-32532.6</v>
      </c>
      <c r="L535" s="26" t="n">
        <v>-1.403</v>
      </c>
      <c r="M535" s="27" t="n">
        <f aca="false">IF(K535&gt;0,1,0)</f>
        <v>0</v>
      </c>
      <c r="N535" s="11" t="n">
        <f aca="false">SUMIFS(K$2:K535,A$2:A535,A535,B$2:B535,B535)</f>
        <v>286076.4</v>
      </c>
      <c r="O535" s="11" t="n">
        <f aca="false">MAX(0,_xlfn.MAXIFS(N$2:N535,A$2:A535,A535,B$2:B535,B535))</f>
        <v>318609</v>
      </c>
      <c r="P535" s="11" t="n">
        <f aca="false">N535-O535</f>
        <v>-32532.6</v>
      </c>
    </row>
    <row r="536" customFormat="false" ht="15" hidden="false" customHeight="false" outlineLevel="0" collapsed="false">
      <c r="A536" s="8" t="s">
        <v>26</v>
      </c>
      <c r="B536" s="8" t="s">
        <v>41</v>
      </c>
      <c r="C536" s="8" t="s">
        <v>60</v>
      </c>
      <c r="D536" s="21" t="n">
        <v>45902.8958333333</v>
      </c>
      <c r="E536" s="21" t="n">
        <v>45903.8673611111</v>
      </c>
      <c r="F536" s="22" t="n">
        <f aca="false">DATE(YEAR(E536),MONTH(E536),1)</f>
        <v>45901</v>
      </c>
      <c r="G536" s="23" t="n">
        <v>157184</v>
      </c>
      <c r="H536" s="8" t="s">
        <v>61</v>
      </c>
      <c r="I536" s="24" t="n">
        <v>873.42</v>
      </c>
      <c r="J536" s="25" t="n">
        <f aca="false">Summary!$B$4</f>
        <v>1</v>
      </c>
      <c r="K536" s="11" t="n">
        <f aca="false">I536*J536*IF(A536="SILVER",Summary!$B$5,Summary!$B$6)</f>
        <v>26202.6</v>
      </c>
      <c r="L536" s="26" t="n">
        <v>0.646</v>
      </c>
      <c r="M536" s="27" t="n">
        <f aca="false">IF(K536&gt;0,1,0)</f>
        <v>1</v>
      </c>
      <c r="N536" s="11" t="n">
        <f aca="false">SUMIFS(K$2:K536,A$2:A536,A536,B$2:B536,B536)</f>
        <v>312279</v>
      </c>
      <c r="O536" s="11" t="n">
        <f aca="false">MAX(0,_xlfn.MAXIFS(N$2:N536,A$2:A536,A536,B$2:B536,B536))</f>
        <v>318609</v>
      </c>
      <c r="P536" s="11" t="n">
        <f aca="false">N536-O536</f>
        <v>-6330</v>
      </c>
    </row>
    <row r="537" customFormat="false" ht="15" hidden="false" customHeight="false" outlineLevel="0" collapsed="false">
      <c r="A537" s="8" t="s">
        <v>26</v>
      </c>
      <c r="B537" s="8" t="s">
        <v>41</v>
      </c>
      <c r="C537" s="8" t="s">
        <v>60</v>
      </c>
      <c r="D537" s="21" t="n">
        <v>45905.4083333333</v>
      </c>
      <c r="E537" s="21" t="n">
        <v>45905.7520833333</v>
      </c>
      <c r="F537" s="22" t="n">
        <f aca="false">DATE(YEAR(E537),MONTH(E537),1)</f>
        <v>45901</v>
      </c>
      <c r="G537" s="23" t="n">
        <v>157814</v>
      </c>
      <c r="H537" s="8" t="s">
        <v>61</v>
      </c>
      <c r="I537" s="24" t="n">
        <v>60.42</v>
      </c>
      <c r="J537" s="25" t="n">
        <f aca="false">Summary!$B$4</f>
        <v>1</v>
      </c>
      <c r="K537" s="11" t="n">
        <f aca="false">I537*J537*IF(A537="SILVER",Summary!$B$5,Summary!$B$6)</f>
        <v>1812.6</v>
      </c>
      <c r="L537" s="26" t="n">
        <v>0.052</v>
      </c>
      <c r="M537" s="27" t="n">
        <f aca="false">IF(K537&gt;0,1,0)</f>
        <v>1</v>
      </c>
      <c r="N537" s="11" t="n">
        <f aca="false">SUMIFS(K$2:K537,A$2:A537,A537,B$2:B537,B537)</f>
        <v>314091.6</v>
      </c>
      <c r="O537" s="11" t="n">
        <f aca="false">MAX(0,_xlfn.MAXIFS(N$2:N537,A$2:A537,A537,B$2:B537,B537))</f>
        <v>318609</v>
      </c>
      <c r="P537" s="11" t="n">
        <f aca="false">N537-O537</f>
        <v>-4517.40000000002</v>
      </c>
    </row>
    <row r="538" customFormat="false" ht="15" hidden="false" customHeight="false" outlineLevel="0" collapsed="false">
      <c r="A538" s="8" t="s">
        <v>26</v>
      </c>
      <c r="B538" s="8" t="s">
        <v>41</v>
      </c>
      <c r="C538" s="8" t="s">
        <v>60</v>
      </c>
      <c r="D538" s="21" t="n">
        <v>45905.7701388889</v>
      </c>
      <c r="E538" s="21" t="n">
        <v>45905.8534722222</v>
      </c>
      <c r="F538" s="22" t="n">
        <f aca="false">DATE(YEAR(E538),MONTH(E538),1)</f>
        <v>45901</v>
      </c>
      <c r="G538" s="23" t="n">
        <v>158634</v>
      </c>
      <c r="H538" s="8" t="s">
        <v>61</v>
      </c>
      <c r="I538" s="24" t="n">
        <v>-947.66</v>
      </c>
      <c r="J538" s="25" t="n">
        <f aca="false">Summary!$B$4</f>
        <v>1</v>
      </c>
      <c r="K538" s="11" t="n">
        <f aca="false">I538*J538*IF(A538="SILVER",Summary!$B$5,Summary!$B$6)</f>
        <v>-28429.8</v>
      </c>
      <c r="L538" s="26" t="n">
        <v>-0.505</v>
      </c>
      <c r="M538" s="27" t="n">
        <f aca="false">IF(K538&gt;0,1,0)</f>
        <v>0</v>
      </c>
      <c r="N538" s="11" t="n">
        <f aca="false">SUMIFS(K$2:K538,A$2:A538,A538,B$2:B538,B538)</f>
        <v>285661.8</v>
      </c>
      <c r="O538" s="11" t="n">
        <f aca="false">MAX(0,_xlfn.MAXIFS(N$2:N538,A$2:A538,A538,B$2:B538,B538))</f>
        <v>318609</v>
      </c>
      <c r="P538" s="11" t="n">
        <f aca="false">N538-O538</f>
        <v>-32947.2</v>
      </c>
    </row>
    <row r="539" customFormat="false" ht="15" hidden="false" customHeight="false" outlineLevel="0" collapsed="false">
      <c r="A539" s="8" t="s">
        <v>26</v>
      </c>
      <c r="B539" s="8" t="s">
        <v>41</v>
      </c>
      <c r="C539" s="8" t="s">
        <v>60</v>
      </c>
      <c r="D539" s="21" t="n">
        <v>45908.53125</v>
      </c>
      <c r="E539" s="21" t="n">
        <v>45909.7465277778</v>
      </c>
      <c r="F539" s="22" t="n">
        <f aca="false">DATE(YEAR(E539),MONTH(E539),1)</f>
        <v>45901</v>
      </c>
      <c r="G539" s="23" t="n">
        <v>156343</v>
      </c>
      <c r="H539" s="8" t="s">
        <v>61</v>
      </c>
      <c r="I539" s="24" t="n">
        <v>480.96</v>
      </c>
      <c r="J539" s="25" t="n">
        <f aca="false">Summary!$B$4</f>
        <v>1</v>
      </c>
      <c r="K539" s="11" t="n">
        <f aca="false">I539*J539*IF(A539="SILVER",Summary!$B$5,Summary!$B$6)</f>
        <v>14428.8</v>
      </c>
      <c r="L539" s="26" t="n">
        <v>0.511</v>
      </c>
      <c r="M539" s="27" t="n">
        <f aca="false">IF(K539&gt;0,1,0)</f>
        <v>1</v>
      </c>
      <c r="N539" s="11" t="n">
        <f aca="false">SUMIFS(K$2:K539,A$2:A539,A539,B$2:B539,B539)</f>
        <v>300090.6</v>
      </c>
      <c r="O539" s="11" t="n">
        <f aca="false">MAX(0,_xlfn.MAXIFS(N$2:N539,A$2:A539,A539,B$2:B539,B539))</f>
        <v>318609</v>
      </c>
      <c r="P539" s="11" t="n">
        <f aca="false">N539-O539</f>
        <v>-18518.4</v>
      </c>
    </row>
    <row r="540" customFormat="false" ht="15" hidden="false" customHeight="false" outlineLevel="0" collapsed="false">
      <c r="A540" s="8" t="s">
        <v>26</v>
      </c>
      <c r="B540" s="8" t="s">
        <v>41</v>
      </c>
      <c r="C540" s="8" t="s">
        <v>60</v>
      </c>
      <c r="D540" s="21" t="n">
        <v>45910.5381944445</v>
      </c>
      <c r="E540" s="21" t="n">
        <v>45910.7138888889</v>
      </c>
      <c r="F540" s="22" t="n">
        <f aca="false">DATE(YEAR(E540),MONTH(E540),1)</f>
        <v>45901</v>
      </c>
      <c r="G540" s="23" t="n">
        <v>156503</v>
      </c>
      <c r="H540" s="8" t="s">
        <v>64</v>
      </c>
      <c r="I540" s="24" t="n">
        <v>16.66</v>
      </c>
      <c r="J540" s="25" t="n">
        <f aca="false">Summary!$B$4</f>
        <v>1</v>
      </c>
      <c r="K540" s="11" t="n">
        <f aca="false">I540*J540*IF(A540="SILVER",Summary!$B$5,Summary!$B$6)</f>
        <v>499.8</v>
      </c>
      <c r="L540" s="26" t="n">
        <v>0.032</v>
      </c>
      <c r="M540" s="27" t="n">
        <f aca="false">IF(K540&gt;0,1,0)</f>
        <v>1</v>
      </c>
      <c r="N540" s="11" t="n">
        <f aca="false">SUMIFS(K$2:K540,A$2:A540,A540,B$2:B540,B540)</f>
        <v>300590.4</v>
      </c>
      <c r="O540" s="11" t="n">
        <f aca="false">MAX(0,_xlfn.MAXIFS(N$2:N540,A$2:A540,A540,B$2:B540,B540))</f>
        <v>318609</v>
      </c>
      <c r="P540" s="11" t="n">
        <f aca="false">N540-O540</f>
        <v>-18018.6</v>
      </c>
    </row>
    <row r="541" customFormat="false" ht="15" hidden="false" customHeight="false" outlineLevel="0" collapsed="false">
      <c r="A541" s="8" t="s">
        <v>26</v>
      </c>
      <c r="B541" s="8" t="s">
        <v>41</v>
      </c>
      <c r="C541" s="8" t="s">
        <v>60</v>
      </c>
      <c r="D541" s="21" t="n">
        <v>45911.5069444445</v>
      </c>
      <c r="E541" s="21" t="n">
        <v>45911.7583333333</v>
      </c>
      <c r="F541" s="22" t="n">
        <f aca="false">DATE(YEAR(E541),MONTH(E541),1)</f>
        <v>45901</v>
      </c>
      <c r="G541" s="23" t="n">
        <v>156573</v>
      </c>
      <c r="H541" s="8" t="s">
        <v>64</v>
      </c>
      <c r="I541" s="24" t="n">
        <v>32.81</v>
      </c>
      <c r="J541" s="25" t="n">
        <f aca="false">Summary!$B$4</f>
        <v>1</v>
      </c>
      <c r="K541" s="11" t="n">
        <f aca="false">I541*J541*IF(A541="SILVER",Summary!$B$5,Summary!$B$6)</f>
        <v>984.3</v>
      </c>
      <c r="L541" s="26" t="n">
        <v>0.048</v>
      </c>
      <c r="M541" s="27" t="n">
        <f aca="false">IF(K541&gt;0,1,0)</f>
        <v>1</v>
      </c>
      <c r="N541" s="11" t="n">
        <f aca="false">SUMIFS(K$2:K541,A$2:A541,A541,B$2:B541,B541)</f>
        <v>301574.7</v>
      </c>
      <c r="O541" s="11" t="n">
        <f aca="false">MAX(0,_xlfn.MAXIFS(N$2:N541,A$2:A541,A541,B$2:B541,B541))</f>
        <v>318609</v>
      </c>
      <c r="P541" s="11" t="n">
        <f aca="false">N541-O541</f>
        <v>-17034.3</v>
      </c>
    </row>
    <row r="542" customFormat="false" ht="15" hidden="false" customHeight="false" outlineLevel="0" collapsed="false">
      <c r="A542" s="8" t="s">
        <v>26</v>
      </c>
      <c r="B542" s="8" t="s">
        <v>41</v>
      </c>
      <c r="C542" s="8" t="s">
        <v>60</v>
      </c>
      <c r="D542" s="21" t="n">
        <v>45912.9513888889</v>
      </c>
      <c r="E542" s="21" t="n">
        <v>45915.75</v>
      </c>
      <c r="F542" s="22" t="n">
        <f aca="false">DATE(YEAR(E542),MONTH(E542),1)</f>
        <v>45901</v>
      </c>
      <c r="G542" s="23" t="n">
        <v>160309</v>
      </c>
      <c r="H542" s="8" t="s">
        <v>61</v>
      </c>
      <c r="I542" s="24" t="n">
        <v>-841.71</v>
      </c>
      <c r="J542" s="25" t="n">
        <f aca="false">Summary!$B$4</f>
        <v>1</v>
      </c>
      <c r="K542" s="11" t="n">
        <f aca="false">I542*J542*IF(A542="SILVER",Summary!$B$5,Summary!$B$6)</f>
        <v>-25251.3</v>
      </c>
      <c r="L542" s="26" t="n">
        <v>-1.168</v>
      </c>
      <c r="M542" s="27" t="n">
        <f aca="false">IF(K542&gt;0,1,0)</f>
        <v>0</v>
      </c>
      <c r="N542" s="11" t="n">
        <f aca="false">SUMIFS(K$2:K542,A$2:A542,A542,B$2:B542,B542)</f>
        <v>276323.4</v>
      </c>
      <c r="O542" s="11" t="n">
        <f aca="false">MAX(0,_xlfn.MAXIFS(N$2:N542,A$2:A542,A542,B$2:B542,B542))</f>
        <v>318609</v>
      </c>
      <c r="P542" s="11" t="n">
        <f aca="false">N542-O542</f>
        <v>-42285.6</v>
      </c>
    </row>
    <row r="543" customFormat="false" ht="15" hidden="false" customHeight="false" outlineLevel="0" collapsed="false">
      <c r="A543" s="8" t="s">
        <v>26</v>
      </c>
      <c r="B543" s="8" t="s">
        <v>41</v>
      </c>
      <c r="C543" s="8" t="s">
        <v>60</v>
      </c>
      <c r="D543" s="21" t="n">
        <v>45915.8368055556</v>
      </c>
      <c r="E543" s="21" t="n">
        <v>45916.8333333333</v>
      </c>
      <c r="F543" s="22" t="n">
        <f aca="false">DATE(YEAR(E543),MONTH(E543),1)</f>
        <v>45901</v>
      </c>
      <c r="G543" s="23" t="n">
        <v>160177</v>
      </c>
      <c r="H543" s="8" t="s">
        <v>61</v>
      </c>
      <c r="I543" s="24" t="n">
        <v>900.14</v>
      </c>
      <c r="J543" s="25" t="n">
        <f aca="false">Summary!$B$4</f>
        <v>1</v>
      </c>
      <c r="K543" s="11" t="n">
        <f aca="false">I543*J543*IF(A543="SILVER",Summary!$B$5,Summary!$B$6)</f>
        <v>27004.2</v>
      </c>
      <c r="L543" s="26" t="n">
        <v>1.054</v>
      </c>
      <c r="M543" s="27" t="n">
        <f aca="false">IF(K543&gt;0,1,0)</f>
        <v>1</v>
      </c>
      <c r="N543" s="11" t="n">
        <f aca="false">SUMIFS(K$2:K543,A$2:A543,A543,B$2:B543,B543)</f>
        <v>303327.6</v>
      </c>
      <c r="O543" s="11" t="n">
        <f aca="false">MAX(0,_xlfn.MAXIFS(N$2:N543,A$2:A543,A543,B$2:B543,B543))</f>
        <v>318609</v>
      </c>
      <c r="P543" s="11" t="n">
        <f aca="false">N543-O543</f>
        <v>-15281.4</v>
      </c>
    </row>
    <row r="544" customFormat="false" ht="15" hidden="false" customHeight="false" outlineLevel="0" collapsed="false">
      <c r="A544" s="8" t="s">
        <v>26</v>
      </c>
      <c r="B544" s="8" t="s">
        <v>41</v>
      </c>
      <c r="C544" s="8" t="s">
        <v>60</v>
      </c>
      <c r="D544" s="21" t="n">
        <v>45917.7430555556</v>
      </c>
      <c r="E544" s="21" t="n">
        <v>45917.7777777778</v>
      </c>
      <c r="F544" s="22" t="n">
        <f aca="false">DATE(YEAR(E544),MONTH(E544),1)</f>
        <v>45901</v>
      </c>
      <c r="G544" s="23" t="n">
        <v>157877</v>
      </c>
      <c r="H544" s="8" t="s">
        <v>64</v>
      </c>
      <c r="I544" s="24" t="n">
        <v>66.79</v>
      </c>
      <c r="J544" s="25" t="n">
        <f aca="false">Summary!$B$4</f>
        <v>1</v>
      </c>
      <c r="K544" s="11" t="n">
        <f aca="false">I544*J544*IF(A544="SILVER",Summary!$B$5,Summary!$B$6)</f>
        <v>2003.7</v>
      </c>
      <c r="L544" s="26" t="n">
        <v>0.065</v>
      </c>
      <c r="M544" s="27" t="n">
        <f aca="false">IF(K544&gt;0,1,0)</f>
        <v>1</v>
      </c>
      <c r="N544" s="11" t="n">
        <f aca="false">SUMIFS(K$2:K544,A$2:A544,A544,B$2:B544,B544)</f>
        <v>305331.3</v>
      </c>
      <c r="O544" s="11" t="n">
        <f aca="false">MAX(0,_xlfn.MAXIFS(N$2:N544,A$2:A544,A544,B$2:B544,B544))</f>
        <v>318609</v>
      </c>
      <c r="P544" s="11" t="n">
        <f aca="false">N544-O544</f>
        <v>-13277.7</v>
      </c>
    </row>
    <row r="545" customFormat="false" ht="15" hidden="false" customHeight="false" outlineLevel="0" collapsed="false">
      <c r="A545" s="8" t="s">
        <v>26</v>
      </c>
      <c r="B545" s="8" t="s">
        <v>41</v>
      </c>
      <c r="C545" s="8" t="s">
        <v>60</v>
      </c>
      <c r="D545" s="21" t="n">
        <v>45918.5451388889</v>
      </c>
      <c r="E545" s="21" t="n">
        <v>45918.7895833333</v>
      </c>
      <c r="F545" s="22" t="n">
        <f aca="false">DATE(YEAR(E545),MONTH(E545),1)</f>
        <v>45901</v>
      </c>
      <c r="G545" s="23" t="n">
        <v>157956</v>
      </c>
      <c r="H545" s="8" t="s">
        <v>64</v>
      </c>
      <c r="I545" s="24" t="n">
        <v>69.6</v>
      </c>
      <c r="J545" s="25" t="n">
        <f aca="false">Summary!$B$4</f>
        <v>1</v>
      </c>
      <c r="K545" s="11" t="n">
        <f aca="false">I545*J545*IF(A545="SILVER",Summary!$B$5,Summary!$B$6)</f>
        <v>2088</v>
      </c>
      <c r="L545" s="26" t="n">
        <v>0.066</v>
      </c>
      <c r="M545" s="27" t="n">
        <f aca="false">IF(K545&gt;0,1,0)</f>
        <v>1</v>
      </c>
      <c r="N545" s="11" t="n">
        <f aca="false">SUMIFS(K$2:K545,A$2:A545,A545,B$2:B545,B545)</f>
        <v>307419.3</v>
      </c>
      <c r="O545" s="11" t="n">
        <f aca="false">MAX(0,_xlfn.MAXIFS(N$2:N545,A$2:A545,A545,B$2:B545,B545))</f>
        <v>318609</v>
      </c>
      <c r="P545" s="11" t="n">
        <f aca="false">N545-O545</f>
        <v>-11189.7</v>
      </c>
    </row>
    <row r="546" customFormat="false" ht="15" hidden="false" customHeight="false" outlineLevel="0" collapsed="false">
      <c r="A546" s="8" t="s">
        <v>26</v>
      </c>
      <c r="B546" s="8" t="s">
        <v>41</v>
      </c>
      <c r="C546" s="8" t="s">
        <v>60</v>
      </c>
      <c r="D546" s="21" t="n">
        <v>45919.3784722222</v>
      </c>
      <c r="E546" s="21" t="n">
        <v>45919.5208333333</v>
      </c>
      <c r="F546" s="22" t="n">
        <f aca="false">DATE(YEAR(E546),MONTH(E546),1)</f>
        <v>45901</v>
      </c>
      <c r="G546" s="23" t="n">
        <v>159675</v>
      </c>
      <c r="H546" s="8" t="s">
        <v>61</v>
      </c>
      <c r="I546" s="24" t="n">
        <v>-313.64</v>
      </c>
      <c r="J546" s="25" t="n">
        <f aca="false">Summary!$B$4</f>
        <v>1</v>
      </c>
      <c r="K546" s="11" t="n">
        <f aca="false">I546*J546*IF(A546="SILVER",Summary!$B$5,Summary!$B$6)</f>
        <v>-9409.2</v>
      </c>
      <c r="L546" s="26" t="n">
        <v>-0.237</v>
      </c>
      <c r="M546" s="27" t="n">
        <f aca="false">IF(K546&gt;0,1,0)</f>
        <v>0</v>
      </c>
      <c r="N546" s="11" t="n">
        <f aca="false">SUMIFS(K$2:K546,A$2:A546,A546,B$2:B546,B546)</f>
        <v>298010.1</v>
      </c>
      <c r="O546" s="11" t="n">
        <f aca="false">MAX(0,_xlfn.MAXIFS(N$2:N546,A$2:A546,A546,B$2:B546,B546))</f>
        <v>318609</v>
      </c>
      <c r="P546" s="11" t="n">
        <f aca="false">N546-O546</f>
        <v>-20598.9</v>
      </c>
    </row>
    <row r="547" customFormat="false" ht="15" hidden="false" customHeight="false" outlineLevel="0" collapsed="false">
      <c r="A547" s="8" t="s">
        <v>26</v>
      </c>
      <c r="B547" s="8" t="s">
        <v>41</v>
      </c>
      <c r="C547" s="8" t="s">
        <v>60</v>
      </c>
      <c r="D547" s="21" t="n">
        <v>45919.8159722222</v>
      </c>
      <c r="E547" s="21" t="n">
        <v>45922.7395833333</v>
      </c>
      <c r="F547" s="22" t="n">
        <f aca="false">DATE(YEAR(E547),MONTH(E547),1)</f>
        <v>45901</v>
      </c>
      <c r="G547" s="23" t="n">
        <v>159882</v>
      </c>
      <c r="H547" s="8" t="s">
        <v>61</v>
      </c>
      <c r="I547" s="24" t="n">
        <v>3714.92</v>
      </c>
      <c r="J547" s="25" t="n">
        <f aca="false">Summary!$B$4</f>
        <v>1</v>
      </c>
      <c r="K547" s="11" t="n">
        <f aca="false">I547*J547*IF(A547="SILVER",Summary!$B$5,Summary!$B$6)</f>
        <v>111447.6</v>
      </c>
      <c r="L547" s="26" t="n">
        <v>3.587</v>
      </c>
      <c r="M547" s="27" t="n">
        <f aca="false">IF(K547&gt;0,1,0)</f>
        <v>1</v>
      </c>
      <c r="N547" s="11" t="n">
        <f aca="false">SUMIFS(K$2:K547,A$2:A547,A547,B$2:B547,B547)</f>
        <v>409457.7</v>
      </c>
      <c r="O547" s="11" t="n">
        <f aca="false">MAX(0,_xlfn.MAXIFS(N$2:N547,A$2:A547,A547,B$2:B547,B547))</f>
        <v>409457.7</v>
      </c>
      <c r="P547" s="11" t="n">
        <f aca="false">N547-O547</f>
        <v>0</v>
      </c>
    </row>
    <row r="548" customFormat="false" ht="15" hidden="false" customHeight="false" outlineLevel="0" collapsed="false">
      <c r="A548" s="8" t="s">
        <v>26</v>
      </c>
      <c r="B548" s="8" t="s">
        <v>41</v>
      </c>
      <c r="C548" s="8" t="s">
        <v>60</v>
      </c>
      <c r="D548" s="21" t="n">
        <v>45922.8541666667</v>
      </c>
      <c r="E548" s="21" t="n">
        <v>45924.3784722222</v>
      </c>
      <c r="F548" s="22" t="n">
        <f aca="false">DATE(YEAR(E548),MONTH(E548),1)</f>
        <v>45901</v>
      </c>
      <c r="G548" s="23" t="n">
        <v>164253</v>
      </c>
      <c r="H548" s="8" t="s">
        <v>61</v>
      </c>
      <c r="I548" s="24" t="n">
        <v>1756.24</v>
      </c>
      <c r="J548" s="25" t="n">
        <f aca="false">Summary!$B$4</f>
        <v>1</v>
      </c>
      <c r="K548" s="11" t="n">
        <f aca="false">I548*J548*IF(A548="SILVER",Summary!$B$5,Summary!$B$6)</f>
        <v>52687.2</v>
      </c>
      <c r="L548" s="26" t="n">
        <v>1.453</v>
      </c>
      <c r="M548" s="27" t="n">
        <f aca="false">IF(K548&gt;0,1,0)</f>
        <v>1</v>
      </c>
      <c r="N548" s="11" t="n">
        <f aca="false">SUMIFS(K$2:K548,A$2:A548,A548,B$2:B548,B548)</f>
        <v>462144.9</v>
      </c>
      <c r="O548" s="11" t="n">
        <f aca="false">MAX(0,_xlfn.MAXIFS(N$2:N548,A$2:A548,A548,B$2:B548,B548))</f>
        <v>462144.9</v>
      </c>
      <c r="P548" s="11" t="n">
        <f aca="false">N548-O548</f>
        <v>0</v>
      </c>
    </row>
    <row r="549" customFormat="false" ht="15" hidden="false" customHeight="false" outlineLevel="0" collapsed="false">
      <c r="A549" s="8" t="s">
        <v>26</v>
      </c>
      <c r="B549" s="8" t="s">
        <v>41</v>
      </c>
      <c r="C549" s="8" t="s">
        <v>60</v>
      </c>
      <c r="D549" s="21" t="n">
        <v>45924.78125</v>
      </c>
      <c r="E549" s="21" t="n">
        <v>45924.8958333333</v>
      </c>
      <c r="F549" s="22" t="n">
        <f aca="false">DATE(YEAR(E549),MONTH(E549),1)</f>
        <v>45901</v>
      </c>
      <c r="G549" s="23" t="n">
        <v>166515</v>
      </c>
      <c r="H549" s="8" t="s">
        <v>61</v>
      </c>
      <c r="I549" s="24" t="n">
        <v>-1191.92</v>
      </c>
      <c r="J549" s="25" t="n">
        <f aca="false">Summary!$B$4</f>
        <v>1</v>
      </c>
      <c r="K549" s="11" t="n">
        <f aca="false">I549*J549*IF(A549="SILVER",Summary!$B$5,Summary!$B$6)</f>
        <v>-35757.6</v>
      </c>
      <c r="L549" s="26" t="n">
        <v>-1.034</v>
      </c>
      <c r="M549" s="27" t="n">
        <f aca="false">IF(K549&gt;0,1,0)</f>
        <v>0</v>
      </c>
      <c r="N549" s="11" t="n">
        <f aca="false">SUMIFS(K$2:K549,A$2:A549,A549,B$2:B549,B549)</f>
        <v>426387.3</v>
      </c>
      <c r="O549" s="11" t="n">
        <f aca="false">MAX(0,_xlfn.MAXIFS(N$2:N549,A$2:A549,A549,B$2:B549,B549))</f>
        <v>462144.9</v>
      </c>
      <c r="P549" s="11" t="n">
        <f aca="false">N549-O549</f>
        <v>-35757.6</v>
      </c>
    </row>
    <row r="550" customFormat="false" ht="15" hidden="false" customHeight="false" outlineLevel="0" collapsed="false">
      <c r="A550" s="8" t="s">
        <v>26</v>
      </c>
      <c r="B550" s="8" t="s">
        <v>41</v>
      </c>
      <c r="C550" s="8" t="s">
        <v>60</v>
      </c>
      <c r="D550" s="21" t="n">
        <v>45925.5451388889</v>
      </c>
      <c r="E550" s="21" t="n">
        <v>45925.7638888889</v>
      </c>
      <c r="F550" s="22" t="n">
        <f aca="false">DATE(YEAR(E550),MONTH(E550),1)</f>
        <v>45901</v>
      </c>
      <c r="G550" s="23" t="n">
        <v>166181</v>
      </c>
      <c r="H550" s="8" t="s">
        <v>61</v>
      </c>
      <c r="I550" s="24" t="n">
        <v>1347.89</v>
      </c>
      <c r="J550" s="25" t="n">
        <f aca="false">Summary!$B$4</f>
        <v>1</v>
      </c>
      <c r="K550" s="11" t="n">
        <f aca="false">I550*J550*IF(A550="SILVER",Summary!$B$5,Summary!$B$6)</f>
        <v>40436.7</v>
      </c>
      <c r="L550" s="26" t="n">
        <v>1.629</v>
      </c>
      <c r="M550" s="27" t="n">
        <f aca="false">IF(K550&gt;0,1,0)</f>
        <v>1</v>
      </c>
      <c r="N550" s="11" t="n">
        <f aca="false">SUMIFS(K$2:K550,A$2:A550,A550,B$2:B550,B550)</f>
        <v>466824</v>
      </c>
      <c r="O550" s="11" t="n">
        <f aca="false">MAX(0,_xlfn.MAXIFS(N$2:N550,A$2:A550,A550,B$2:B550,B550))</f>
        <v>466824</v>
      </c>
      <c r="P550" s="11" t="n">
        <f aca="false">N550-O550</f>
        <v>0</v>
      </c>
    </row>
    <row r="551" customFormat="false" ht="15" hidden="false" customHeight="false" outlineLevel="0" collapsed="false">
      <c r="A551" s="8" t="s">
        <v>26</v>
      </c>
      <c r="B551" s="8" t="s">
        <v>41</v>
      </c>
      <c r="C551" s="8" t="s">
        <v>60</v>
      </c>
      <c r="D551" s="21" t="n">
        <v>45925.8680555556</v>
      </c>
      <c r="E551" s="21" t="n">
        <v>45929.75</v>
      </c>
      <c r="F551" s="22" t="n">
        <f aca="false">DATE(YEAR(E551),MONTH(E551),1)</f>
        <v>45901</v>
      </c>
      <c r="G551" s="23" t="n">
        <v>168332</v>
      </c>
      <c r="H551" s="8" t="s">
        <v>61</v>
      </c>
      <c r="I551" s="24" t="n">
        <v>5850.02</v>
      </c>
      <c r="J551" s="25" t="n">
        <f aca="false">Summary!$B$4</f>
        <v>1</v>
      </c>
      <c r="K551" s="11" t="n">
        <f aca="false">I551*J551*IF(A551="SILVER",Summary!$B$5,Summary!$B$6)</f>
        <v>175500.6</v>
      </c>
      <c r="L551" s="26" t="n">
        <v>3.198</v>
      </c>
      <c r="M551" s="27" t="n">
        <f aca="false">IF(K551&gt;0,1,0)</f>
        <v>1</v>
      </c>
      <c r="N551" s="11" t="n">
        <f aca="false">SUMIFS(K$2:K551,A$2:A551,A551,B$2:B551,B551)</f>
        <v>642324.6</v>
      </c>
      <c r="O551" s="11" t="n">
        <f aca="false">MAX(0,_xlfn.MAXIFS(N$2:N551,A$2:A551,A551,B$2:B551,B551))</f>
        <v>642324.6</v>
      </c>
      <c r="P551" s="11" t="n">
        <f aca="false">N551-O551</f>
        <v>0</v>
      </c>
    </row>
    <row r="552" customFormat="false" ht="15" hidden="false" customHeight="false" outlineLevel="0" collapsed="false">
      <c r="A552" s="8" t="s">
        <v>26</v>
      </c>
      <c r="B552" s="8" t="s">
        <v>41</v>
      </c>
      <c r="C552" s="8" t="s">
        <v>60</v>
      </c>
      <c r="D552" s="21" t="n">
        <v>45930.3854166667</v>
      </c>
      <c r="E552" s="21" t="n">
        <v>45930.5173611111</v>
      </c>
      <c r="F552" s="22" t="n">
        <f aca="false">DATE(YEAR(E552),MONTH(E552),1)</f>
        <v>45901</v>
      </c>
      <c r="G552" s="23" t="n">
        <v>175383</v>
      </c>
      <c r="H552" s="8" t="s">
        <v>61</v>
      </c>
      <c r="I552" s="24" t="n">
        <v>-848.73</v>
      </c>
      <c r="J552" s="25" t="n">
        <f aca="false">Summary!$B$4</f>
        <v>1</v>
      </c>
      <c r="K552" s="11" t="n">
        <f aca="false">I552*J552*IF(A552="SILVER",Summary!$B$5,Summary!$B$6)</f>
        <v>-25461.9</v>
      </c>
      <c r="L552" s="26" t="n">
        <v>-0.618</v>
      </c>
      <c r="M552" s="27" t="n">
        <f aca="false">IF(K552&gt;0,1,0)</f>
        <v>0</v>
      </c>
      <c r="N552" s="11" t="n">
        <f aca="false">SUMIFS(K$2:K552,A$2:A552,A552,B$2:B552,B552)</f>
        <v>616862.7</v>
      </c>
      <c r="O552" s="11" t="n">
        <f aca="false">MAX(0,_xlfn.MAXIFS(N$2:N552,A$2:A552,A552,B$2:B552,B552))</f>
        <v>642324.6</v>
      </c>
      <c r="P552" s="11" t="n">
        <f aca="false">N552-O552</f>
        <v>-25461.9</v>
      </c>
    </row>
    <row r="553" customFormat="false" ht="15" hidden="false" customHeight="false" outlineLevel="0" collapsed="false">
      <c r="A553" s="8" t="s">
        <v>26</v>
      </c>
      <c r="B553" s="8" t="s">
        <v>41</v>
      </c>
      <c r="C553" s="8" t="s">
        <v>60</v>
      </c>
      <c r="D553" s="21" t="n">
        <v>45930.8229166667</v>
      </c>
      <c r="E553" s="21" t="n">
        <v>45931.4930555556</v>
      </c>
      <c r="F553" s="22" t="n">
        <f aca="false">DATE(YEAR(E553),MONTH(E553),1)</f>
        <v>45931</v>
      </c>
      <c r="G553" s="23" t="n">
        <v>173776</v>
      </c>
      <c r="H553" s="8" t="s">
        <v>64</v>
      </c>
      <c r="I553" s="24" t="n">
        <v>174.89</v>
      </c>
      <c r="J553" s="25" t="n">
        <f aca="false">Summary!$B$4</f>
        <v>1</v>
      </c>
      <c r="K553" s="11" t="n">
        <f aca="false">I553*J553*IF(A553="SILVER",Summary!$B$5,Summary!$B$6)</f>
        <v>5246.7</v>
      </c>
      <c r="L553" s="26" t="n">
        <v>0.082</v>
      </c>
      <c r="M553" s="27" t="n">
        <f aca="false">IF(K553&gt;0,1,0)</f>
        <v>1</v>
      </c>
      <c r="N553" s="11" t="n">
        <f aca="false">SUMIFS(K$2:K553,A$2:A553,A553,B$2:B553,B553)</f>
        <v>622109.4</v>
      </c>
      <c r="O553" s="11" t="n">
        <f aca="false">MAX(0,_xlfn.MAXIFS(N$2:N553,A$2:A553,A553,B$2:B553,B553))</f>
        <v>642324.6</v>
      </c>
      <c r="P553" s="11" t="n">
        <f aca="false">N553-O553</f>
        <v>-20215.2000000001</v>
      </c>
    </row>
    <row r="554" customFormat="false" ht="15" hidden="false" customHeight="false" outlineLevel="0" collapsed="false">
      <c r="A554" s="8" t="s">
        <v>26</v>
      </c>
      <c r="B554" s="8" t="s">
        <v>41</v>
      </c>
      <c r="C554" s="8" t="s">
        <v>60</v>
      </c>
      <c r="D554" s="21" t="n">
        <v>45933.6458333333</v>
      </c>
      <c r="E554" s="21" t="n">
        <v>45933.6993055556</v>
      </c>
      <c r="F554" s="22" t="n">
        <f aca="false">DATE(YEAR(E554),MONTH(E554),1)</f>
        <v>45931</v>
      </c>
      <c r="G554" s="23" t="n">
        <v>175498</v>
      </c>
      <c r="H554" s="8" t="s">
        <v>64</v>
      </c>
      <c r="I554" s="24" t="n">
        <v>51.92</v>
      </c>
      <c r="J554" s="25" t="n">
        <f aca="false">Summary!$B$4</f>
        <v>1</v>
      </c>
      <c r="K554" s="11" t="n">
        <f aca="false">I554*J554*IF(A554="SILVER",Summary!$B$5,Summary!$B$6)</f>
        <v>1557.6</v>
      </c>
      <c r="L554" s="26" t="n">
        <v>0.057</v>
      </c>
      <c r="M554" s="27" t="n">
        <f aca="false">IF(K554&gt;0,1,0)</f>
        <v>1</v>
      </c>
      <c r="N554" s="11" t="n">
        <f aca="false">SUMIFS(K$2:K554,A$2:A554,A554,B$2:B554,B554)</f>
        <v>623667</v>
      </c>
      <c r="O554" s="11" t="n">
        <f aca="false">MAX(0,_xlfn.MAXIFS(N$2:N554,A$2:A554,A554,B$2:B554,B554))</f>
        <v>642324.6</v>
      </c>
      <c r="P554" s="11" t="n">
        <f aca="false">N554-O554</f>
        <v>-18657.6000000001</v>
      </c>
    </row>
    <row r="555" customFormat="false" ht="15" hidden="false" customHeight="false" outlineLevel="0" collapsed="false">
      <c r="A555" s="8" t="s">
        <v>26</v>
      </c>
      <c r="B555" s="8" t="s">
        <v>41</v>
      </c>
      <c r="C555" s="8" t="s">
        <v>60</v>
      </c>
      <c r="D555" s="21" t="n">
        <v>45937.6145833333</v>
      </c>
      <c r="E555" s="21" t="n">
        <v>45937.7951388889</v>
      </c>
      <c r="F555" s="22" t="n">
        <f aca="false">DATE(YEAR(E555),MONTH(E555),1)</f>
        <v>45931</v>
      </c>
      <c r="G555" s="23" t="n">
        <v>178243</v>
      </c>
      <c r="H555" s="8" t="s">
        <v>64</v>
      </c>
      <c r="I555" s="24" t="n">
        <v>118.3</v>
      </c>
      <c r="J555" s="25" t="n">
        <f aca="false">Summary!$B$4</f>
        <v>1</v>
      </c>
      <c r="K555" s="11" t="n">
        <f aca="false">I555*J555*IF(A555="SILVER",Summary!$B$5,Summary!$B$6)</f>
        <v>3549</v>
      </c>
      <c r="L555" s="26" t="n">
        <v>0.075</v>
      </c>
      <c r="M555" s="27" t="n">
        <f aca="false">IF(K555&gt;0,1,0)</f>
        <v>1</v>
      </c>
      <c r="N555" s="11" t="n">
        <f aca="false">SUMIFS(K$2:K555,A$2:A555,A555,B$2:B555,B555)</f>
        <v>627216</v>
      </c>
      <c r="O555" s="11" t="n">
        <f aca="false">MAX(0,_xlfn.MAXIFS(N$2:N555,A$2:A555,A555,B$2:B555,B555))</f>
        <v>642324.6</v>
      </c>
      <c r="P555" s="11" t="n">
        <f aca="false">N555-O555</f>
        <v>-15108.6000000001</v>
      </c>
    </row>
    <row r="556" customFormat="false" ht="15" hidden="false" customHeight="false" outlineLevel="0" collapsed="false">
      <c r="A556" s="8" t="s">
        <v>26</v>
      </c>
      <c r="B556" s="8" t="s">
        <v>41</v>
      </c>
      <c r="C556" s="8" t="s">
        <v>60</v>
      </c>
      <c r="D556" s="21" t="n">
        <v>45938.3888888889</v>
      </c>
      <c r="E556" s="21" t="n">
        <v>45939.375</v>
      </c>
      <c r="F556" s="22" t="n">
        <f aca="false">DATE(YEAR(E556),MONTH(E556),1)</f>
        <v>45931</v>
      </c>
      <c r="G556" s="23" t="n">
        <v>178603</v>
      </c>
      <c r="H556" s="8" t="s">
        <v>64</v>
      </c>
      <c r="I556" s="24" t="n">
        <v>191.09</v>
      </c>
      <c r="J556" s="25" t="n">
        <f aca="false">Summary!$B$4</f>
        <v>1</v>
      </c>
      <c r="K556" s="11" t="n">
        <f aca="false">I556*J556*IF(A556="SILVER",Summary!$B$5,Summary!$B$6)</f>
        <v>5732.7</v>
      </c>
      <c r="L556" s="26" t="n">
        <v>0.083</v>
      </c>
      <c r="M556" s="27" t="n">
        <f aca="false">IF(K556&gt;0,1,0)</f>
        <v>1</v>
      </c>
      <c r="N556" s="11" t="n">
        <f aca="false">SUMIFS(K$2:K556,A$2:A556,A556,B$2:B556,B556)</f>
        <v>632948.7</v>
      </c>
      <c r="O556" s="11" t="n">
        <f aca="false">MAX(0,_xlfn.MAXIFS(N$2:N556,A$2:A556,A556,B$2:B556,B556))</f>
        <v>642324.6</v>
      </c>
      <c r="P556" s="11" t="n">
        <f aca="false">N556-O556</f>
        <v>-9375.90000000002</v>
      </c>
    </row>
    <row r="557" customFormat="false" ht="15" hidden="false" customHeight="false" outlineLevel="0" collapsed="false">
      <c r="A557" s="8" t="s">
        <v>26</v>
      </c>
      <c r="B557" s="8" t="s">
        <v>41</v>
      </c>
      <c r="C557" s="8" t="s">
        <v>60</v>
      </c>
      <c r="D557" s="21" t="n">
        <v>45939.4791666667</v>
      </c>
      <c r="E557" s="21" t="n">
        <v>45939.8020833333</v>
      </c>
      <c r="F557" s="22" t="n">
        <f aca="false">DATE(YEAR(E557),MONTH(E557),1)</f>
        <v>45931</v>
      </c>
      <c r="G557" s="23" t="n">
        <v>180653</v>
      </c>
      <c r="H557" s="8" t="s">
        <v>61</v>
      </c>
      <c r="I557" s="24" t="n">
        <v>1428.01</v>
      </c>
      <c r="J557" s="25" t="n">
        <f aca="false">Summary!$B$4</f>
        <v>1</v>
      </c>
      <c r="K557" s="11" t="n">
        <f aca="false">I557*J557*IF(A557="SILVER",Summary!$B$5,Summary!$B$6)</f>
        <v>42840.3</v>
      </c>
      <c r="L557" s="26" t="n">
        <v>0.983</v>
      </c>
      <c r="M557" s="27" t="n">
        <f aca="false">IF(K557&gt;0,1,0)</f>
        <v>1</v>
      </c>
      <c r="N557" s="11" t="n">
        <f aca="false">SUMIFS(K$2:K557,A$2:A557,A557,B$2:B557,B557)</f>
        <v>675789</v>
      </c>
      <c r="O557" s="11" t="n">
        <f aca="false">MAX(0,_xlfn.MAXIFS(N$2:N557,A$2:A557,A557,B$2:B557,B557))</f>
        <v>675789</v>
      </c>
      <c r="P557" s="11" t="n">
        <f aca="false">N557-O557</f>
        <v>0</v>
      </c>
    </row>
    <row r="558" customFormat="false" ht="15" hidden="false" customHeight="false" outlineLevel="0" collapsed="false">
      <c r="A558" s="8" t="s">
        <v>26</v>
      </c>
      <c r="B558" s="8" t="s">
        <v>41</v>
      </c>
      <c r="C558" s="8" t="s">
        <v>60</v>
      </c>
      <c r="D558" s="21" t="n">
        <v>45940.5694444445</v>
      </c>
      <c r="E558" s="21" t="n">
        <v>45940.8993055556</v>
      </c>
      <c r="F558" s="22" t="n">
        <f aca="false">DATE(YEAR(E558),MONTH(E558),1)</f>
        <v>45931</v>
      </c>
      <c r="G558" s="23" t="n">
        <v>179804</v>
      </c>
      <c r="H558" s="8" t="s">
        <v>61</v>
      </c>
      <c r="I558" s="24" t="n">
        <v>-1172.57</v>
      </c>
      <c r="J558" s="25" t="n">
        <f aca="false">Summary!$B$4</f>
        <v>1</v>
      </c>
      <c r="K558" s="11" t="n">
        <f aca="false">I558*J558*IF(A558="SILVER",Summary!$B$5,Summary!$B$6)</f>
        <v>-35177.1</v>
      </c>
      <c r="L558" s="26" t="n">
        <v>-0.526</v>
      </c>
      <c r="M558" s="27" t="n">
        <f aca="false">IF(K558&gt;0,1,0)</f>
        <v>0</v>
      </c>
      <c r="N558" s="11" t="n">
        <f aca="false">SUMIFS(K$2:K558,A$2:A558,A558,B$2:B558,B558)</f>
        <v>640611.9</v>
      </c>
      <c r="O558" s="11" t="n">
        <f aca="false">MAX(0,_xlfn.MAXIFS(N$2:N558,A$2:A558,A558,B$2:B558,B558))</f>
        <v>675789</v>
      </c>
      <c r="P558" s="11" t="n">
        <f aca="false">N558-O558</f>
        <v>-35177.1</v>
      </c>
    </row>
    <row r="559" customFormat="false" ht="15" hidden="false" customHeight="false" outlineLevel="0" collapsed="false">
      <c r="A559" s="8" t="s">
        <v>26</v>
      </c>
      <c r="B559" s="8" t="s">
        <v>41</v>
      </c>
      <c r="C559" s="8" t="s">
        <v>60</v>
      </c>
      <c r="D559" s="21" t="n">
        <v>45943.3784722222</v>
      </c>
      <c r="E559" s="21" t="n">
        <v>45944.46875</v>
      </c>
      <c r="F559" s="22" t="n">
        <f aca="false">DATE(YEAR(E559),MONTH(E559),1)</f>
        <v>45931</v>
      </c>
      <c r="G559" s="23" t="n">
        <v>182394</v>
      </c>
      <c r="H559" s="8" t="s">
        <v>61</v>
      </c>
      <c r="I559" s="24" t="n">
        <v>7804.99</v>
      </c>
      <c r="J559" s="25" t="n">
        <f aca="false">Summary!$B$4</f>
        <v>1</v>
      </c>
      <c r="K559" s="11" t="n">
        <f aca="false">I559*J559*IF(A559="SILVER",Summary!$B$5,Summary!$B$6)</f>
        <v>234149.7</v>
      </c>
      <c r="L559" s="26" t="n">
        <v>1.54</v>
      </c>
      <c r="M559" s="27" t="n">
        <f aca="false">IF(K559&gt;0,1,0)</f>
        <v>1</v>
      </c>
      <c r="N559" s="11" t="n">
        <f aca="false">SUMIFS(K$2:K559,A$2:A559,A559,B$2:B559,B559)</f>
        <v>874761.6</v>
      </c>
      <c r="O559" s="11" t="n">
        <f aca="false">MAX(0,_xlfn.MAXIFS(N$2:N559,A$2:A559,A559,B$2:B559,B559))</f>
        <v>874761.6</v>
      </c>
      <c r="P559" s="11" t="n">
        <f aca="false">N559-O559</f>
        <v>0</v>
      </c>
    </row>
    <row r="560" customFormat="false" ht="15" hidden="false" customHeight="false" outlineLevel="0" collapsed="false">
      <c r="A560" s="8" t="s">
        <v>26</v>
      </c>
      <c r="B560" s="8" t="s">
        <v>41</v>
      </c>
      <c r="C560" s="8" t="s">
        <v>60</v>
      </c>
      <c r="D560" s="21" t="n">
        <v>45944.9305555556</v>
      </c>
      <c r="E560" s="21" t="n">
        <v>45945.3979166667</v>
      </c>
      <c r="F560" s="22" t="n">
        <f aca="false">DATE(YEAR(E560),MONTH(E560),1)</f>
        <v>45931</v>
      </c>
      <c r="G560" s="23" t="n">
        <v>190854</v>
      </c>
      <c r="H560" s="8" t="s">
        <v>64</v>
      </c>
      <c r="I560" s="24" t="n">
        <v>229.43</v>
      </c>
      <c r="J560" s="25" t="n">
        <f aca="false">Summary!$B$4</f>
        <v>1</v>
      </c>
      <c r="K560" s="11" t="n">
        <f aca="false">I560*J560*IF(A560="SILVER",Summary!$B$5,Summary!$B$6)</f>
        <v>6882.9</v>
      </c>
      <c r="L560" s="26" t="n">
        <v>0.085</v>
      </c>
      <c r="M560" s="27" t="n">
        <f aca="false">IF(K560&gt;0,1,0)</f>
        <v>1</v>
      </c>
      <c r="N560" s="11" t="n">
        <f aca="false">SUMIFS(K$2:K560,A$2:A560,A560,B$2:B560,B560)</f>
        <v>881644.5</v>
      </c>
      <c r="O560" s="11" t="n">
        <f aca="false">MAX(0,_xlfn.MAXIFS(N$2:N560,A$2:A560,A560,B$2:B560,B560))</f>
        <v>881644.5</v>
      </c>
      <c r="P560" s="11" t="n">
        <f aca="false">N560-O560</f>
        <v>0</v>
      </c>
    </row>
    <row r="561" customFormat="false" ht="15" hidden="false" customHeight="false" outlineLevel="0" collapsed="false">
      <c r="A561" s="8" t="s">
        <v>26</v>
      </c>
      <c r="B561" s="8" t="s">
        <v>41</v>
      </c>
      <c r="C561" s="8" t="s">
        <v>60</v>
      </c>
      <c r="D561" s="21" t="n">
        <v>45946.375</v>
      </c>
      <c r="E561" s="21" t="n">
        <v>45946.9236111111</v>
      </c>
      <c r="F561" s="22" t="n">
        <f aca="false">DATE(YEAR(E561),MONTH(E561),1)</f>
        <v>45931</v>
      </c>
      <c r="G561" s="23" t="n">
        <v>194852</v>
      </c>
      <c r="H561" s="8" t="s">
        <v>61</v>
      </c>
      <c r="I561" s="24" t="n">
        <v>1883.2</v>
      </c>
      <c r="J561" s="25" t="n">
        <f aca="false">Summary!$B$4</f>
        <v>1</v>
      </c>
      <c r="K561" s="11" t="n">
        <f aca="false">I561*J561*IF(A561="SILVER",Summary!$B$5,Summary!$B$6)</f>
        <v>56496</v>
      </c>
      <c r="L561" s="26" t="n">
        <v>0.807</v>
      </c>
      <c r="M561" s="27" t="n">
        <f aca="false">IF(K561&gt;0,1,0)</f>
        <v>1</v>
      </c>
      <c r="N561" s="11" t="n">
        <f aca="false">SUMIFS(K$2:K561,A$2:A561,A561,B$2:B561,B561)</f>
        <v>938140.5</v>
      </c>
      <c r="O561" s="11" t="n">
        <f aca="false">MAX(0,_xlfn.MAXIFS(N$2:N561,A$2:A561,A561,B$2:B561,B561))</f>
        <v>938140.5</v>
      </c>
      <c r="P561" s="11" t="n">
        <f aca="false">N561-O561</f>
        <v>0</v>
      </c>
    </row>
    <row r="562" customFormat="false" ht="15" hidden="false" customHeight="false" outlineLevel="0" collapsed="false">
      <c r="A562" s="8" t="s">
        <v>26</v>
      </c>
      <c r="B562" s="8" t="s">
        <v>41</v>
      </c>
      <c r="C562" s="8" t="s">
        <v>60</v>
      </c>
      <c r="D562" s="21" t="n">
        <v>45947.3784722222</v>
      </c>
      <c r="E562" s="21" t="n">
        <v>45947.5694444445</v>
      </c>
      <c r="F562" s="22" t="n">
        <f aca="false">DATE(YEAR(E562),MONTH(E562),1)</f>
        <v>45931</v>
      </c>
      <c r="G562" s="23" t="n">
        <v>200302</v>
      </c>
      <c r="H562" s="8" t="s">
        <v>61</v>
      </c>
      <c r="I562" s="24" t="n">
        <v>-1553.63</v>
      </c>
      <c r="J562" s="25" t="n">
        <f aca="false">Summary!$B$4</f>
        <v>1</v>
      </c>
      <c r="K562" s="11" t="n">
        <f aca="false">I562*J562*IF(A562="SILVER",Summary!$B$5,Summary!$B$6)</f>
        <v>-46608.9</v>
      </c>
      <c r="L562" s="26" t="n">
        <v>-0.433</v>
      </c>
      <c r="M562" s="27" t="n">
        <f aca="false">IF(K562&gt;0,1,0)</f>
        <v>0</v>
      </c>
      <c r="N562" s="11" t="n">
        <f aca="false">SUMIFS(K$2:K562,A$2:A562,A562,B$2:B562,B562)</f>
        <v>891531.6</v>
      </c>
      <c r="O562" s="11" t="n">
        <f aca="false">MAX(0,_xlfn.MAXIFS(N$2:N562,A$2:A562,A562,B$2:B562,B562))</f>
        <v>938140.5</v>
      </c>
      <c r="P562" s="11" t="n">
        <f aca="false">N562-O562</f>
        <v>-46608.9</v>
      </c>
    </row>
    <row r="563" customFormat="false" ht="15" hidden="false" customHeight="false" outlineLevel="0" collapsed="false">
      <c r="A563" s="8" t="s">
        <v>26</v>
      </c>
      <c r="B563" s="8" t="s">
        <v>41</v>
      </c>
      <c r="C563" s="8" t="s">
        <v>60</v>
      </c>
      <c r="D563" s="21" t="n">
        <v>45950.7465277778</v>
      </c>
      <c r="E563" s="21" t="n">
        <v>45950.7854166667</v>
      </c>
      <c r="F563" s="22" t="n">
        <f aca="false">DATE(YEAR(E563),MONTH(E563),1)</f>
        <v>45931</v>
      </c>
      <c r="G563" s="23" t="n">
        <v>188019</v>
      </c>
      <c r="H563" s="8" t="s">
        <v>64</v>
      </c>
      <c r="I563" s="24" t="n">
        <v>246.5</v>
      </c>
      <c r="J563" s="25" t="n">
        <f aca="false">Summary!$B$4</f>
        <v>1</v>
      </c>
      <c r="K563" s="11" t="n">
        <f aca="false">I563*J563*IF(A563="SILVER",Summary!$B$5,Summary!$B$6)</f>
        <v>7395</v>
      </c>
      <c r="L563" s="26" t="n">
        <v>0.086</v>
      </c>
      <c r="M563" s="27" t="n">
        <f aca="false">IF(K563&gt;0,1,0)</f>
        <v>1</v>
      </c>
      <c r="N563" s="11" t="n">
        <f aca="false">SUMIFS(K$2:K563,A$2:A563,A563,B$2:B563,B563)</f>
        <v>898926.6</v>
      </c>
      <c r="O563" s="11" t="n">
        <f aca="false">MAX(0,_xlfn.MAXIFS(N$2:N563,A$2:A563,A563,B$2:B563,B563))</f>
        <v>938140.5</v>
      </c>
      <c r="P563" s="11" t="n">
        <f aca="false">N563-O563</f>
        <v>-39213.9</v>
      </c>
    </row>
    <row r="564" customFormat="false" ht="15" hidden="false" customHeight="false" outlineLevel="0" collapsed="false">
      <c r="A564" s="8" t="s">
        <v>26</v>
      </c>
      <c r="B564" s="8" t="s">
        <v>41</v>
      </c>
      <c r="C564" s="8" t="s">
        <v>60</v>
      </c>
      <c r="D564" s="21" t="n">
        <v>45953.4756944445</v>
      </c>
      <c r="E564" s="21" t="n">
        <v>45953.5465277778</v>
      </c>
      <c r="F564" s="22" t="n">
        <f aca="false">DATE(YEAR(E564),MONTH(E564),1)</f>
        <v>45931</v>
      </c>
      <c r="G564" s="23" t="n">
        <v>179077</v>
      </c>
      <c r="H564" s="8" t="s">
        <v>64</v>
      </c>
      <c r="I564" s="24" t="n">
        <v>162.22</v>
      </c>
      <c r="J564" s="25" t="n">
        <f aca="false">Summary!$B$4</f>
        <v>1</v>
      </c>
      <c r="K564" s="11" t="n">
        <f aca="false">I564*J564*IF(A564="SILVER",Summary!$B$5,Summary!$B$6)</f>
        <v>4866.6</v>
      </c>
      <c r="L564" s="26" t="n">
        <v>0.08</v>
      </c>
      <c r="M564" s="27" t="n">
        <f aca="false">IF(K564&gt;0,1,0)</f>
        <v>1</v>
      </c>
      <c r="N564" s="11" t="n">
        <f aca="false">SUMIFS(K$2:K564,A$2:A564,A564,B$2:B564,B564)</f>
        <v>903793.2</v>
      </c>
      <c r="O564" s="11" t="n">
        <f aca="false">MAX(0,_xlfn.MAXIFS(N$2:N564,A$2:A564,A564,B$2:B564,B564))</f>
        <v>938140.5</v>
      </c>
      <c r="P564" s="11" t="n">
        <f aca="false">N564-O564</f>
        <v>-34347.2999999999</v>
      </c>
    </row>
    <row r="565" customFormat="false" ht="15" hidden="false" customHeight="false" outlineLevel="0" collapsed="false">
      <c r="A565" s="8" t="s">
        <v>26</v>
      </c>
      <c r="B565" s="8" t="s">
        <v>41</v>
      </c>
      <c r="C565" s="8" t="s">
        <v>60</v>
      </c>
      <c r="D565" s="21" t="n">
        <v>45954.7743055556</v>
      </c>
      <c r="E565" s="21" t="n">
        <v>45957.375</v>
      </c>
      <c r="F565" s="22" t="n">
        <f aca="false">DATE(YEAR(E565),MONTH(E565),1)</f>
        <v>45931</v>
      </c>
      <c r="G565" s="23" t="n">
        <v>177978</v>
      </c>
      <c r="H565" s="8" t="s">
        <v>64</v>
      </c>
      <c r="I565" s="24" t="n">
        <v>-3754.3</v>
      </c>
      <c r="J565" s="25" t="n">
        <f aca="false">Summary!$B$4</f>
        <v>1</v>
      </c>
      <c r="K565" s="11" t="n">
        <f aca="false">I565*J565*IF(A565="SILVER",Summary!$B$5,Summary!$B$6)</f>
        <v>-112629</v>
      </c>
      <c r="L565" s="26" t="n">
        <v>-2.074</v>
      </c>
      <c r="M565" s="27" t="n">
        <f aca="false">IF(K565&gt;0,1,0)</f>
        <v>0</v>
      </c>
      <c r="N565" s="11" t="n">
        <f aca="false">SUMIFS(K$2:K565,A$2:A565,A565,B$2:B565,B565)</f>
        <v>791164.2</v>
      </c>
      <c r="O565" s="11" t="n">
        <f aca="false">MAX(0,_xlfn.MAXIFS(N$2:N565,A$2:A565,A565,B$2:B565,B565))</f>
        <v>938140.5</v>
      </c>
      <c r="P565" s="11" t="n">
        <f aca="false">N565-O565</f>
        <v>-146976.3</v>
      </c>
    </row>
    <row r="566" customFormat="false" ht="15" hidden="false" customHeight="false" outlineLevel="0" collapsed="false">
      <c r="A566" s="8" t="s">
        <v>26</v>
      </c>
      <c r="B566" s="8" t="s">
        <v>41</v>
      </c>
      <c r="C566" s="8" t="s">
        <v>60</v>
      </c>
      <c r="D566" s="21" t="n">
        <v>45957.4826388889</v>
      </c>
      <c r="E566" s="21" t="n">
        <v>45957.6006944445</v>
      </c>
      <c r="F566" s="22" t="n">
        <f aca="false">DATE(YEAR(E566),MONTH(E566),1)</f>
        <v>45931</v>
      </c>
      <c r="G566" s="23" t="n">
        <v>178603</v>
      </c>
      <c r="H566" s="8" t="s">
        <v>61</v>
      </c>
      <c r="I566" s="24" t="n">
        <v>-1563.31</v>
      </c>
      <c r="J566" s="25" t="n">
        <f aca="false">Summary!$B$4</f>
        <v>1</v>
      </c>
      <c r="K566" s="11" t="n">
        <f aca="false">I566*J566*IF(A566="SILVER",Summary!$B$5,Summary!$B$6)</f>
        <v>-46899.3</v>
      </c>
      <c r="L566" s="26" t="n">
        <v>-1.039</v>
      </c>
      <c r="M566" s="27" t="n">
        <f aca="false">IF(K566&gt;0,1,0)</f>
        <v>0</v>
      </c>
      <c r="N566" s="11" t="n">
        <f aca="false">SUMIFS(K$2:K566,A$2:A566,A566,B$2:B566,B566)</f>
        <v>744264.9</v>
      </c>
      <c r="O566" s="11" t="n">
        <f aca="false">MAX(0,_xlfn.MAXIFS(N$2:N566,A$2:A566,A566,B$2:B566,B566))</f>
        <v>938140.5</v>
      </c>
      <c r="P566" s="11" t="n">
        <f aca="false">N566-O566</f>
        <v>-193875.6</v>
      </c>
    </row>
    <row r="567" customFormat="false" ht="15" hidden="false" customHeight="false" outlineLevel="0" collapsed="false">
      <c r="A567" s="8" t="s">
        <v>26</v>
      </c>
      <c r="B567" s="8" t="s">
        <v>41</v>
      </c>
      <c r="C567" s="8" t="s">
        <v>60</v>
      </c>
      <c r="D567" s="21" t="n">
        <v>45958.7430555556</v>
      </c>
      <c r="E567" s="21" t="n">
        <v>45959.8923611111</v>
      </c>
      <c r="F567" s="22" t="n">
        <f aca="false">DATE(YEAR(E567),MONTH(E567),1)</f>
        <v>45931</v>
      </c>
      <c r="G567" s="23" t="n">
        <v>173609</v>
      </c>
      <c r="H567" s="8" t="s">
        <v>61</v>
      </c>
      <c r="I567" s="24" t="n">
        <v>4055.13</v>
      </c>
      <c r="J567" s="25" t="n">
        <f aca="false">Summary!$B$4</f>
        <v>1</v>
      </c>
      <c r="K567" s="11" t="n">
        <f aca="false">I567*J567*IF(A567="SILVER",Summary!$B$5,Summary!$B$6)</f>
        <v>121653.9</v>
      </c>
      <c r="L567" s="26" t="n">
        <v>1.948</v>
      </c>
      <c r="M567" s="27" t="n">
        <f aca="false">IF(K567&gt;0,1,0)</f>
        <v>1</v>
      </c>
      <c r="N567" s="11" t="n">
        <f aca="false">SUMIFS(K$2:K567,A$2:A567,A567,B$2:B567,B567)</f>
        <v>865918.8</v>
      </c>
      <c r="O567" s="11" t="n">
        <f aca="false">MAX(0,_xlfn.MAXIFS(N$2:N567,A$2:A567,A567,B$2:B567,B567))</f>
        <v>938140.5</v>
      </c>
      <c r="P567" s="11" t="n">
        <f aca="false">N567-O567</f>
        <v>-72221.7</v>
      </c>
    </row>
    <row r="568" customFormat="false" ht="15" hidden="false" customHeight="false" outlineLevel="0" collapsed="false">
      <c r="A568" s="8" t="s">
        <v>26</v>
      </c>
      <c r="B568" s="8" t="s">
        <v>41</v>
      </c>
      <c r="C568" s="8" t="s">
        <v>60</v>
      </c>
      <c r="D568" s="21" t="n">
        <v>45960.5902777778</v>
      </c>
      <c r="E568" s="21" t="n">
        <v>45960.6590277778</v>
      </c>
      <c r="F568" s="22" t="n">
        <f aca="false">DATE(YEAR(E568),MONTH(E568),1)</f>
        <v>45931</v>
      </c>
      <c r="G568" s="23" t="n">
        <v>177700</v>
      </c>
      <c r="H568" s="8" t="s">
        <v>64</v>
      </c>
      <c r="I568" s="24" t="n">
        <v>123.85</v>
      </c>
      <c r="J568" s="25" t="n">
        <f aca="false">Summary!$B$4</f>
        <v>1</v>
      </c>
      <c r="K568" s="11" t="n">
        <f aca="false">I568*J568*IF(A568="SILVER",Summary!$B$5,Summary!$B$6)</f>
        <v>3715.5</v>
      </c>
      <c r="L568" s="26" t="n">
        <v>0.076</v>
      </c>
      <c r="M568" s="27" t="n">
        <f aca="false">IF(K568&gt;0,1,0)</f>
        <v>1</v>
      </c>
      <c r="N568" s="11" t="n">
        <f aca="false">SUMIFS(K$2:K568,A$2:A568,A568,B$2:B568,B568)</f>
        <v>869634.3</v>
      </c>
      <c r="O568" s="11" t="n">
        <f aca="false">MAX(0,_xlfn.MAXIFS(N$2:N568,A$2:A568,A568,B$2:B568,B568))</f>
        <v>938140.5</v>
      </c>
      <c r="P568" s="11" t="n">
        <f aca="false">N568-O568</f>
        <v>-68506.2</v>
      </c>
    </row>
    <row r="569" customFormat="false" ht="15" hidden="false" customHeight="false" outlineLevel="0" collapsed="false">
      <c r="A569" s="8" t="s">
        <v>26</v>
      </c>
      <c r="B569" s="8" t="s">
        <v>41</v>
      </c>
      <c r="C569" s="8" t="s">
        <v>60</v>
      </c>
      <c r="D569" s="21" t="n">
        <v>45964.5486111111</v>
      </c>
      <c r="E569" s="21" t="n">
        <v>45964.625</v>
      </c>
      <c r="F569" s="22" t="n">
        <f aca="false">DATE(YEAR(E569),MONTH(E569),1)</f>
        <v>45962</v>
      </c>
      <c r="G569" s="23" t="n">
        <v>180824</v>
      </c>
      <c r="H569" s="8" t="s">
        <v>61</v>
      </c>
      <c r="I569" s="24" t="n">
        <v>-665.83</v>
      </c>
      <c r="J569" s="25" t="n">
        <f aca="false">Summary!$B$4</f>
        <v>1</v>
      </c>
      <c r="K569" s="11" t="n">
        <f aca="false">I569*J569*IF(A569="SILVER",Summary!$B$5,Summary!$B$6)</f>
        <v>-19974.9</v>
      </c>
      <c r="L569" s="26" t="n">
        <v>-0.704</v>
      </c>
      <c r="M569" s="27" t="n">
        <f aca="false">IF(K569&gt;0,1,0)</f>
        <v>0</v>
      </c>
      <c r="N569" s="11" t="n">
        <f aca="false">SUMIFS(K$2:K569,A$2:A569,A569,B$2:B569,B569)</f>
        <v>849659.4</v>
      </c>
      <c r="O569" s="11" t="n">
        <f aca="false">MAX(0,_xlfn.MAXIFS(N$2:N569,A$2:A569,A569,B$2:B569,B569))</f>
        <v>938140.5</v>
      </c>
      <c r="P569" s="11" t="n">
        <f aca="false">N569-O569</f>
        <v>-88481.1</v>
      </c>
    </row>
    <row r="570" customFormat="false" ht="15" hidden="false" customHeight="false" outlineLevel="0" collapsed="false">
      <c r="A570" s="8" t="s">
        <v>26</v>
      </c>
      <c r="B570" s="8" t="s">
        <v>41</v>
      </c>
      <c r="C570" s="8" t="s">
        <v>60</v>
      </c>
      <c r="D570" s="21" t="n">
        <v>45965.5833333333</v>
      </c>
      <c r="E570" s="21" t="n">
        <v>45965.8333333333</v>
      </c>
      <c r="F570" s="22" t="n">
        <f aca="false">DATE(YEAR(E570),MONTH(E570),1)</f>
        <v>45962</v>
      </c>
      <c r="G570" s="23" t="n">
        <v>178216</v>
      </c>
      <c r="H570" s="8" t="s">
        <v>61</v>
      </c>
      <c r="I570" s="24" t="n">
        <v>-1435.23</v>
      </c>
      <c r="J570" s="25" t="n">
        <f aca="false">Summary!$B$4</f>
        <v>1</v>
      </c>
      <c r="K570" s="11" t="n">
        <f aca="false">I570*J570*IF(A570="SILVER",Summary!$B$5,Summary!$B$6)</f>
        <v>-43056.9</v>
      </c>
      <c r="L570" s="26" t="n">
        <v>-0.886</v>
      </c>
      <c r="M570" s="27" t="n">
        <f aca="false">IF(K570&gt;0,1,0)</f>
        <v>0</v>
      </c>
      <c r="N570" s="11" t="n">
        <f aca="false">SUMIFS(K$2:K570,A$2:A570,A570,B$2:B570,B570)</f>
        <v>806602.5</v>
      </c>
      <c r="O570" s="11" t="n">
        <f aca="false">MAX(0,_xlfn.MAXIFS(N$2:N570,A$2:A570,A570,B$2:B570,B570))</f>
        <v>938140.5</v>
      </c>
      <c r="P570" s="11" t="n">
        <f aca="false">N570-O570</f>
        <v>-131538</v>
      </c>
    </row>
    <row r="571" customFormat="false" ht="15" hidden="false" customHeight="false" outlineLevel="0" collapsed="false">
      <c r="A571" s="8" t="s">
        <v>26</v>
      </c>
      <c r="B571" s="8" t="s">
        <v>41</v>
      </c>
      <c r="C571" s="8" t="s">
        <v>60</v>
      </c>
      <c r="D571" s="21" t="n">
        <v>45965.9201388889</v>
      </c>
      <c r="E571" s="21" t="n">
        <v>45966.8465277778</v>
      </c>
      <c r="F571" s="22" t="n">
        <f aca="false">DATE(YEAR(E571),MONTH(E571),1)</f>
        <v>45962</v>
      </c>
      <c r="G571" s="23" t="n">
        <v>177466</v>
      </c>
      <c r="H571" s="8" t="s">
        <v>64</v>
      </c>
      <c r="I571" s="24" t="n">
        <v>128.58</v>
      </c>
      <c r="J571" s="25" t="n">
        <f aca="false">Summary!$B$4</f>
        <v>1</v>
      </c>
      <c r="K571" s="11" t="n">
        <f aca="false">I571*J571*IF(A571="SILVER",Summary!$B$5,Summary!$B$6)</f>
        <v>3857.4</v>
      </c>
      <c r="L571" s="26" t="n">
        <v>0.077</v>
      </c>
      <c r="M571" s="27" t="n">
        <f aca="false">IF(K571&gt;0,1,0)</f>
        <v>1</v>
      </c>
      <c r="N571" s="11" t="n">
        <f aca="false">SUMIFS(K$2:K571,A$2:A571,A571,B$2:B571,B571)</f>
        <v>810459.9</v>
      </c>
      <c r="O571" s="11" t="n">
        <f aca="false">MAX(0,_xlfn.MAXIFS(N$2:N571,A$2:A571,A571,B$2:B571,B571))</f>
        <v>938140.5</v>
      </c>
      <c r="P571" s="11" t="n">
        <f aca="false">N571-O571</f>
        <v>-127680.6</v>
      </c>
    </row>
    <row r="572" customFormat="false" ht="15" hidden="false" customHeight="false" outlineLevel="0" collapsed="false">
      <c r="A572" s="8" t="s">
        <v>26</v>
      </c>
      <c r="B572" s="8" t="s">
        <v>41</v>
      </c>
      <c r="C572" s="8" t="s">
        <v>60</v>
      </c>
      <c r="D572" s="21" t="n">
        <v>45968.3784722222</v>
      </c>
      <c r="E572" s="21" t="n">
        <v>45968.8375</v>
      </c>
      <c r="F572" s="22" t="n">
        <f aca="false">DATE(YEAR(E572),MONTH(E572),1)</f>
        <v>45962</v>
      </c>
      <c r="G572" s="23" t="n">
        <v>179263</v>
      </c>
      <c r="H572" s="8" t="s">
        <v>64</v>
      </c>
      <c r="I572" s="24" t="n">
        <v>137.15</v>
      </c>
      <c r="J572" s="25" t="n">
        <f aca="false">Summary!$B$4</f>
        <v>1</v>
      </c>
      <c r="K572" s="11" t="n">
        <f aca="false">I572*J572*IF(A572="SILVER",Summary!$B$5,Summary!$B$6)</f>
        <v>4114.5</v>
      </c>
      <c r="L572" s="26" t="n">
        <v>0.078</v>
      </c>
      <c r="M572" s="27" t="n">
        <f aca="false">IF(K572&gt;0,1,0)</f>
        <v>1</v>
      </c>
      <c r="N572" s="11" t="n">
        <f aca="false">SUMIFS(K$2:K572,A$2:A572,A572,B$2:B572,B572)</f>
        <v>814574.4</v>
      </c>
      <c r="O572" s="11" t="n">
        <f aca="false">MAX(0,_xlfn.MAXIFS(N$2:N572,A$2:A572,A572,B$2:B572,B572))</f>
        <v>938140.5</v>
      </c>
      <c r="P572" s="11" t="n">
        <f aca="false">N572-O572</f>
        <v>-123566.1</v>
      </c>
    </row>
    <row r="573" customFormat="false" ht="15" hidden="false" customHeight="false" outlineLevel="0" collapsed="false">
      <c r="A573" s="8" t="s">
        <v>26</v>
      </c>
      <c r="B573" s="8" t="s">
        <v>41</v>
      </c>
      <c r="C573" s="8" t="s">
        <v>60</v>
      </c>
      <c r="D573" s="21" t="n">
        <v>45968.9236111111</v>
      </c>
      <c r="E573" s="21" t="n">
        <v>45968.9479166667</v>
      </c>
      <c r="F573" s="22" t="n">
        <f aca="false">DATE(YEAR(E573),MONTH(E573),1)</f>
        <v>45962</v>
      </c>
      <c r="G573" s="23" t="n">
        <v>180382</v>
      </c>
      <c r="H573" s="8" t="s">
        <v>61</v>
      </c>
      <c r="I573" s="24" t="n">
        <v>-1734.63</v>
      </c>
      <c r="J573" s="25" t="n">
        <f aca="false">Summary!$B$4</f>
        <v>1</v>
      </c>
      <c r="K573" s="11" t="n">
        <f aca="false">I573*J573*IF(A573="SILVER",Summary!$B$5,Summary!$B$6)</f>
        <v>-52038.9</v>
      </c>
      <c r="L573" s="26" t="n">
        <v>-1.039</v>
      </c>
      <c r="M573" s="27" t="n">
        <f aca="false">IF(K573&gt;0,1,0)</f>
        <v>0</v>
      </c>
      <c r="N573" s="11" t="n">
        <f aca="false">SUMIFS(K$2:K573,A$2:A573,A573,B$2:B573,B573)</f>
        <v>762535.5</v>
      </c>
      <c r="O573" s="11" t="n">
        <f aca="false">MAX(0,_xlfn.MAXIFS(N$2:N573,A$2:A573,A573,B$2:B573,B573))</f>
        <v>938140.5</v>
      </c>
      <c r="P573" s="11" t="n">
        <f aca="false">N573-O573</f>
        <v>-175605</v>
      </c>
    </row>
    <row r="574" customFormat="false" ht="15" hidden="false" customHeight="false" outlineLevel="0" collapsed="false">
      <c r="A574" s="8" t="s">
        <v>26</v>
      </c>
      <c r="B574" s="8" t="s">
        <v>41</v>
      </c>
      <c r="C574" s="8" t="s">
        <v>60</v>
      </c>
      <c r="D574" s="21" t="n">
        <v>45971.3784722222</v>
      </c>
      <c r="E574" s="21" t="n">
        <v>45971.8229166667</v>
      </c>
      <c r="F574" s="22" t="n">
        <f aca="false">DATE(YEAR(E574),MONTH(E574),1)</f>
        <v>45962</v>
      </c>
      <c r="G574" s="23" t="n">
        <v>181712</v>
      </c>
      <c r="H574" s="8" t="s">
        <v>61</v>
      </c>
      <c r="I574" s="24" t="n">
        <v>1514.78</v>
      </c>
      <c r="J574" s="25" t="n">
        <f aca="false">Summary!$B$4</f>
        <v>1</v>
      </c>
      <c r="K574" s="11" t="n">
        <f aca="false">I574*J574*IF(A574="SILVER",Summary!$B$5,Summary!$B$6)</f>
        <v>45443.4</v>
      </c>
      <c r="L574" s="26" t="n">
        <v>0.611</v>
      </c>
      <c r="M574" s="27" t="n">
        <f aca="false">IF(K574&gt;0,1,0)</f>
        <v>1</v>
      </c>
      <c r="N574" s="11" t="n">
        <f aca="false">SUMIFS(K$2:K574,A$2:A574,A574,B$2:B574,B574)</f>
        <v>807978.9</v>
      </c>
      <c r="O574" s="11" t="n">
        <f aca="false">MAX(0,_xlfn.MAXIFS(N$2:N574,A$2:A574,A574,B$2:B574,B574))</f>
        <v>938140.5</v>
      </c>
      <c r="P574" s="11" t="n">
        <f aca="false">N574-O574</f>
        <v>-130161.6</v>
      </c>
    </row>
    <row r="575" customFormat="false" ht="15" hidden="false" customHeight="false" outlineLevel="0" collapsed="false">
      <c r="A575" s="8" t="s">
        <v>26</v>
      </c>
      <c r="B575" s="8" t="s">
        <v>41</v>
      </c>
      <c r="C575" s="8" t="s">
        <v>60</v>
      </c>
      <c r="D575" s="21" t="n">
        <v>45971.9409722222</v>
      </c>
      <c r="E575" s="21" t="n">
        <v>45972.5555555556</v>
      </c>
      <c r="F575" s="22" t="n">
        <f aca="false">DATE(YEAR(E575),MONTH(E575),1)</f>
        <v>45962</v>
      </c>
      <c r="G575" s="23" t="n">
        <v>184403</v>
      </c>
      <c r="H575" s="8" t="s">
        <v>61</v>
      </c>
      <c r="I575" s="24" t="n">
        <v>1203.27</v>
      </c>
      <c r="J575" s="25" t="n">
        <f aca="false">Summary!$B$4</f>
        <v>1</v>
      </c>
      <c r="K575" s="11" t="n">
        <f aca="false">I575*J575*IF(A575="SILVER",Summary!$B$5,Summary!$B$6)</f>
        <v>36098.1</v>
      </c>
      <c r="L575" s="26" t="n">
        <v>0.929</v>
      </c>
      <c r="M575" s="27" t="n">
        <f aca="false">IF(K575&gt;0,1,0)</f>
        <v>1</v>
      </c>
      <c r="N575" s="11" t="n">
        <f aca="false">SUMIFS(K$2:K575,A$2:A575,A575,B$2:B575,B575)</f>
        <v>844077</v>
      </c>
      <c r="O575" s="11" t="n">
        <f aca="false">MAX(0,_xlfn.MAXIFS(N$2:N575,A$2:A575,A575,B$2:B575,B575))</f>
        <v>938140.5</v>
      </c>
      <c r="P575" s="11" t="n">
        <f aca="false">N575-O575</f>
        <v>-94063.5</v>
      </c>
    </row>
    <row r="576" customFormat="false" ht="15" hidden="false" customHeight="false" outlineLevel="0" collapsed="false">
      <c r="A576" s="8" t="s">
        <v>26</v>
      </c>
      <c r="B576" s="8" t="s">
        <v>41</v>
      </c>
      <c r="C576" s="8" t="s">
        <v>60</v>
      </c>
      <c r="D576" s="21" t="n">
        <v>45972.7118055556</v>
      </c>
      <c r="E576" s="21" t="n">
        <v>45972.8472222222</v>
      </c>
      <c r="F576" s="22" t="n">
        <f aca="false">DATE(YEAR(E576),MONTH(E576),1)</f>
        <v>45962</v>
      </c>
      <c r="G576" s="23" t="n">
        <v>186946</v>
      </c>
      <c r="H576" s="8" t="s">
        <v>61</v>
      </c>
      <c r="I576" s="24" t="n">
        <v>-1242</v>
      </c>
      <c r="J576" s="25" t="n">
        <f aca="false">Summary!$B$4</f>
        <v>1</v>
      </c>
      <c r="K576" s="11" t="n">
        <f aca="false">I576*J576*IF(A576="SILVER",Summary!$B$5,Summary!$B$6)</f>
        <v>-37260</v>
      </c>
      <c r="L576" s="26" t="n">
        <v>-1.145</v>
      </c>
      <c r="M576" s="27" t="n">
        <f aca="false">IF(K576&gt;0,1,0)</f>
        <v>0</v>
      </c>
      <c r="N576" s="11" t="n">
        <f aca="false">SUMIFS(K$2:K576,A$2:A576,A576,B$2:B576,B576)</f>
        <v>806817</v>
      </c>
      <c r="O576" s="11" t="n">
        <f aca="false">MAX(0,_xlfn.MAXIFS(N$2:N576,A$2:A576,A576,B$2:B576,B576))</f>
        <v>938140.5</v>
      </c>
      <c r="P576" s="11" t="n">
        <f aca="false">N576-O576</f>
        <v>-131323.5</v>
      </c>
    </row>
    <row r="577" customFormat="false" ht="15" hidden="false" customHeight="false" outlineLevel="0" collapsed="false">
      <c r="A577" s="8" t="s">
        <v>26</v>
      </c>
      <c r="B577" s="8" t="s">
        <v>41</v>
      </c>
      <c r="C577" s="8" t="s">
        <v>60</v>
      </c>
      <c r="D577" s="21" t="n">
        <v>45973.3784722222</v>
      </c>
      <c r="E577" s="21" t="n">
        <v>45974.6875</v>
      </c>
      <c r="F577" s="22" t="n">
        <f aca="false">DATE(YEAR(E577),MONTH(E577),1)</f>
        <v>45962</v>
      </c>
      <c r="G577" s="23" t="n">
        <v>186953</v>
      </c>
      <c r="H577" s="8" t="s">
        <v>61</v>
      </c>
      <c r="I577" s="24" t="n">
        <v>7931.09</v>
      </c>
      <c r="J577" s="25" t="n">
        <f aca="false">Summary!$B$4</f>
        <v>1</v>
      </c>
      <c r="K577" s="11" t="n">
        <f aca="false">I577*J577*IF(A577="SILVER",Summary!$B$5,Summary!$B$6)</f>
        <v>237932.7</v>
      </c>
      <c r="L577" s="26" t="n">
        <v>5.019</v>
      </c>
      <c r="M577" s="27" t="n">
        <f aca="false">IF(K577&gt;0,1,0)</f>
        <v>1</v>
      </c>
      <c r="N577" s="11" t="n">
        <f aca="false">SUMIFS(K$2:K577,A$2:A577,A577,B$2:B577,B577)</f>
        <v>1044749.7</v>
      </c>
      <c r="O577" s="11" t="n">
        <f aca="false">MAX(0,_xlfn.MAXIFS(N$2:N577,A$2:A577,A577,B$2:B577,B577))</f>
        <v>1044749.7</v>
      </c>
      <c r="P577" s="11" t="n">
        <f aca="false">N577-O577</f>
        <v>0</v>
      </c>
    </row>
    <row r="578" customFormat="false" ht="15" hidden="false" customHeight="false" outlineLevel="0" collapsed="false">
      <c r="A578" s="8" t="s">
        <v>26</v>
      </c>
      <c r="B578" s="8" t="s">
        <v>41</v>
      </c>
      <c r="C578" s="8" t="s">
        <v>60</v>
      </c>
      <c r="D578" s="21" t="n">
        <v>45978.5416666667</v>
      </c>
      <c r="E578" s="21" t="n">
        <v>45978.8055555556</v>
      </c>
      <c r="F578" s="22" t="n">
        <f aca="false">DATE(YEAR(E578),MONTH(E578),1)</f>
        <v>45962</v>
      </c>
      <c r="G578" s="23" t="n">
        <v>187058</v>
      </c>
      <c r="H578" s="8" t="s">
        <v>61</v>
      </c>
      <c r="I578" s="24" t="n">
        <v>-1288.02</v>
      </c>
      <c r="J578" s="25" t="n">
        <f aca="false">Summary!$B$4</f>
        <v>1</v>
      </c>
      <c r="K578" s="11" t="n">
        <f aca="false">I578*J578*IF(A578="SILVER",Summary!$B$5,Summary!$B$6)</f>
        <v>-38640.6</v>
      </c>
      <c r="L578" s="26" t="n">
        <v>-0.529</v>
      </c>
      <c r="M578" s="27" t="n">
        <f aca="false">IF(K578&gt;0,1,0)</f>
        <v>0</v>
      </c>
      <c r="N578" s="11" t="n">
        <f aca="false">SUMIFS(K$2:K578,A$2:A578,A578,B$2:B578,B578)</f>
        <v>1006109.1</v>
      </c>
      <c r="O578" s="11" t="n">
        <f aca="false">MAX(0,_xlfn.MAXIFS(N$2:N578,A$2:A578,A578,B$2:B578,B578))</f>
        <v>1044749.7</v>
      </c>
      <c r="P578" s="11" t="n">
        <f aca="false">N578-O578</f>
        <v>-38640.6</v>
      </c>
    </row>
    <row r="579" customFormat="false" ht="15" hidden="false" customHeight="false" outlineLevel="0" collapsed="false">
      <c r="A579" s="8" t="s">
        <v>26</v>
      </c>
      <c r="B579" s="8" t="s">
        <v>41</v>
      </c>
      <c r="C579" s="8" t="s">
        <v>60</v>
      </c>
      <c r="D579" s="21" t="n">
        <v>45979.5694444445</v>
      </c>
      <c r="E579" s="21" t="n">
        <v>45979.7465277778</v>
      </c>
      <c r="F579" s="22" t="n">
        <f aca="false">DATE(YEAR(E579),MONTH(E579),1)</f>
        <v>45962</v>
      </c>
      <c r="G579" s="23" t="n">
        <v>184032</v>
      </c>
      <c r="H579" s="8" t="s">
        <v>64</v>
      </c>
      <c r="I579" s="24" t="n">
        <v>133.47</v>
      </c>
      <c r="J579" s="25" t="n">
        <f aca="false">Summary!$B$4</f>
        <v>1</v>
      </c>
      <c r="K579" s="11" t="n">
        <f aca="false">I579*J579*IF(A579="SILVER",Summary!$B$5,Summary!$B$6)</f>
        <v>4004.1</v>
      </c>
      <c r="L579" s="26" t="n">
        <v>0.077</v>
      </c>
      <c r="M579" s="27" t="n">
        <f aca="false">IF(K579&gt;0,1,0)</f>
        <v>1</v>
      </c>
      <c r="N579" s="11" t="n">
        <f aca="false">SUMIFS(K$2:K579,A$2:A579,A579,B$2:B579,B579)</f>
        <v>1010113.2</v>
      </c>
      <c r="O579" s="11" t="n">
        <f aca="false">MAX(0,_xlfn.MAXIFS(N$2:N579,A$2:A579,A579,B$2:B579,B579))</f>
        <v>1044749.7</v>
      </c>
      <c r="P579" s="11" t="n">
        <f aca="false">N579-O579</f>
        <v>-34636.5</v>
      </c>
    </row>
    <row r="580" customFormat="false" ht="15" hidden="false" customHeight="false" outlineLevel="0" collapsed="false">
      <c r="A580" s="8" t="s">
        <v>26</v>
      </c>
      <c r="B580" s="8" t="s">
        <v>41</v>
      </c>
      <c r="C580" s="8" t="s">
        <v>60</v>
      </c>
      <c r="D580" s="21" t="n">
        <v>45979.8263888889</v>
      </c>
      <c r="E580" s="21" t="n">
        <v>45980.3958333333</v>
      </c>
      <c r="F580" s="22" t="n">
        <f aca="false">DATE(YEAR(E580),MONTH(E580),1)</f>
        <v>45962</v>
      </c>
      <c r="G580" s="23" t="n">
        <v>185688</v>
      </c>
      <c r="H580" s="8" t="s">
        <v>64</v>
      </c>
      <c r="I580" s="24" t="n">
        <v>149.45</v>
      </c>
      <c r="J580" s="25" t="n">
        <f aca="false">Summary!$B$4</f>
        <v>1</v>
      </c>
      <c r="K580" s="11" t="n">
        <f aca="false">I580*J580*IF(A580="SILVER",Summary!$B$5,Summary!$B$6)</f>
        <v>4483.5</v>
      </c>
      <c r="L580" s="26" t="n">
        <v>0.078</v>
      </c>
      <c r="M580" s="27" t="n">
        <f aca="false">IF(K580&gt;0,1,0)</f>
        <v>1</v>
      </c>
      <c r="N580" s="11" t="n">
        <f aca="false">SUMIFS(K$2:K580,A$2:A580,A580,B$2:B580,B580)</f>
        <v>1014596.7</v>
      </c>
      <c r="O580" s="11" t="n">
        <f aca="false">MAX(0,_xlfn.MAXIFS(N$2:N580,A$2:A580,A580,B$2:B580,B580))</f>
        <v>1044749.7</v>
      </c>
      <c r="P580" s="11" t="n">
        <f aca="false">N580-O580</f>
        <v>-30153</v>
      </c>
    </row>
    <row r="581" customFormat="false" ht="15" hidden="false" customHeight="false" outlineLevel="0" collapsed="false">
      <c r="A581" s="8" t="s">
        <v>26</v>
      </c>
      <c r="B581" s="8" t="s">
        <v>41</v>
      </c>
      <c r="C581" s="8" t="s">
        <v>60</v>
      </c>
      <c r="D581" s="21" t="n">
        <v>45981.7708333333</v>
      </c>
      <c r="E581" s="21" t="n">
        <v>45981.9236111111</v>
      </c>
      <c r="F581" s="22" t="n">
        <f aca="false">DATE(YEAR(E581),MONTH(E581),1)</f>
        <v>45962</v>
      </c>
      <c r="G581" s="23" t="n">
        <v>187194</v>
      </c>
      <c r="H581" s="8" t="s">
        <v>61</v>
      </c>
      <c r="I581" s="24" t="n">
        <v>-1571.01</v>
      </c>
      <c r="J581" s="25" t="n">
        <f aca="false">Summary!$B$4</f>
        <v>1</v>
      </c>
      <c r="K581" s="11" t="n">
        <f aca="false">I581*J581*IF(A581="SILVER",Summary!$B$5,Summary!$B$6)</f>
        <v>-47130.3</v>
      </c>
      <c r="L581" s="26" t="n">
        <v>-0.837</v>
      </c>
      <c r="M581" s="27" t="n">
        <f aca="false">IF(K581&gt;0,1,0)</f>
        <v>0</v>
      </c>
      <c r="N581" s="11" t="n">
        <f aca="false">SUMIFS(K$2:K581,A$2:A581,A581,B$2:B581,B581)</f>
        <v>967466.4</v>
      </c>
      <c r="O581" s="11" t="n">
        <f aca="false">MAX(0,_xlfn.MAXIFS(N$2:N581,A$2:A581,A581,B$2:B581,B581))</f>
        <v>1044749.7</v>
      </c>
      <c r="P581" s="11" t="n">
        <f aca="false">N581-O581</f>
        <v>-77283.3000000001</v>
      </c>
    </row>
    <row r="582" customFormat="false" ht="15" hidden="false" customHeight="false" outlineLevel="0" collapsed="false">
      <c r="A582" s="8" t="s">
        <v>26</v>
      </c>
      <c r="B582" s="8" t="s">
        <v>41</v>
      </c>
      <c r="C582" s="8" t="s">
        <v>60</v>
      </c>
      <c r="D582" s="21" t="n">
        <v>45982.7638888889</v>
      </c>
      <c r="E582" s="21" t="n">
        <v>45982.8263888889</v>
      </c>
      <c r="F582" s="22" t="n">
        <f aca="false">DATE(YEAR(E582),MONTH(E582),1)</f>
        <v>45962</v>
      </c>
      <c r="G582" s="23" t="n">
        <v>184067</v>
      </c>
      <c r="H582" s="8" t="s">
        <v>64</v>
      </c>
      <c r="I582" s="24" t="n">
        <v>166.78</v>
      </c>
      <c r="J582" s="25" t="n">
        <f aca="false">Summary!$B$4</f>
        <v>1</v>
      </c>
      <c r="K582" s="11" t="n">
        <f aca="false">I582*J582*IF(A582="SILVER",Summary!$B$5,Summary!$B$6)</f>
        <v>5003.4</v>
      </c>
      <c r="L582" s="26" t="n">
        <v>0.08</v>
      </c>
      <c r="M582" s="27" t="n">
        <f aca="false">IF(K582&gt;0,1,0)</f>
        <v>1</v>
      </c>
      <c r="N582" s="11" t="n">
        <f aca="false">SUMIFS(K$2:K582,A$2:A582,A582,B$2:B582,B582)</f>
        <v>972469.8</v>
      </c>
      <c r="O582" s="11" t="n">
        <f aca="false">MAX(0,_xlfn.MAXIFS(N$2:N582,A$2:A582,A582,B$2:B582,B582))</f>
        <v>1044749.7</v>
      </c>
      <c r="P582" s="11" t="n">
        <f aca="false">N582-O582</f>
        <v>-72279.9</v>
      </c>
    </row>
    <row r="583" customFormat="false" ht="15" hidden="false" customHeight="false" outlineLevel="0" collapsed="false">
      <c r="A583" s="8" t="s">
        <v>26</v>
      </c>
      <c r="B583" s="8" t="s">
        <v>41</v>
      </c>
      <c r="C583" s="8" t="s">
        <v>60</v>
      </c>
      <c r="D583" s="21" t="n">
        <v>45986.8090277778</v>
      </c>
      <c r="E583" s="21" t="n">
        <v>45986.84375</v>
      </c>
      <c r="F583" s="22" t="n">
        <f aca="false">DATE(YEAR(E583),MONTH(E583),1)</f>
        <v>45962</v>
      </c>
      <c r="G583" s="23" t="n">
        <v>188565</v>
      </c>
      <c r="H583" s="8" t="s">
        <v>61</v>
      </c>
      <c r="I583" s="24" t="n">
        <v>-1331.31</v>
      </c>
      <c r="J583" s="25" t="n">
        <f aca="false">Summary!$B$4</f>
        <v>1</v>
      </c>
      <c r="K583" s="11" t="n">
        <f aca="false">I583*J583*IF(A583="SILVER",Summary!$B$5,Summary!$B$6)</f>
        <v>-39939.3</v>
      </c>
      <c r="L583" s="26" t="n">
        <v>-1.202</v>
      </c>
      <c r="M583" s="27" t="n">
        <f aca="false">IF(K583&gt;0,1,0)</f>
        <v>0</v>
      </c>
      <c r="N583" s="11" t="n">
        <f aca="false">SUMIFS(K$2:K583,A$2:A583,A583,B$2:B583,B583)</f>
        <v>932530.5</v>
      </c>
      <c r="O583" s="11" t="n">
        <f aca="false">MAX(0,_xlfn.MAXIFS(N$2:N583,A$2:A583,A583,B$2:B583,B583))</f>
        <v>1044749.7</v>
      </c>
      <c r="P583" s="11" t="n">
        <f aca="false">N583-O583</f>
        <v>-112219.2</v>
      </c>
    </row>
    <row r="584" customFormat="false" ht="15" hidden="false" customHeight="false" outlineLevel="0" collapsed="false">
      <c r="A584" s="8" t="s">
        <v>26</v>
      </c>
      <c r="B584" s="8" t="s">
        <v>41</v>
      </c>
      <c r="C584" s="8" t="s">
        <v>60</v>
      </c>
      <c r="D584" s="21" t="n">
        <v>45987.3784722222</v>
      </c>
      <c r="E584" s="21" t="n">
        <v>45987.8541666667</v>
      </c>
      <c r="F584" s="22" t="n">
        <f aca="false">DATE(YEAR(E584),MONTH(E584),1)</f>
        <v>45962</v>
      </c>
      <c r="G584" s="23" t="n">
        <v>189102</v>
      </c>
      <c r="H584" s="8" t="s">
        <v>61</v>
      </c>
      <c r="I584" s="24" t="n">
        <v>619.38</v>
      </c>
      <c r="J584" s="25" t="n">
        <f aca="false">Summary!$B$4</f>
        <v>1</v>
      </c>
      <c r="K584" s="11" t="n">
        <f aca="false">I584*J584*IF(A584="SILVER",Summary!$B$5,Summary!$B$6)</f>
        <v>18581.4</v>
      </c>
      <c r="L584" s="26" t="n">
        <v>0.377</v>
      </c>
      <c r="M584" s="27" t="n">
        <f aca="false">IF(K584&gt;0,1,0)</f>
        <v>1</v>
      </c>
      <c r="N584" s="11" t="n">
        <f aca="false">SUMIFS(K$2:K584,A$2:A584,A584,B$2:B584,B584)</f>
        <v>951111.9</v>
      </c>
      <c r="O584" s="11" t="n">
        <f aca="false">MAX(0,_xlfn.MAXIFS(N$2:N584,A$2:A584,A584,B$2:B584,B584))</f>
        <v>1044749.7</v>
      </c>
      <c r="P584" s="11" t="n">
        <f aca="false">N584-O584</f>
        <v>-93637.8000000001</v>
      </c>
    </row>
    <row r="585" customFormat="false" ht="15" hidden="false" customHeight="false" outlineLevel="0" collapsed="false">
      <c r="A585" s="8" t="s">
        <v>26</v>
      </c>
      <c r="B585" s="8" t="s">
        <v>41</v>
      </c>
      <c r="C585" s="8" t="s">
        <v>60</v>
      </c>
      <c r="D585" s="21" t="n">
        <v>45987.8958333333</v>
      </c>
      <c r="E585" s="21" t="n">
        <v>45988.6631944445</v>
      </c>
      <c r="F585" s="22" t="n">
        <f aca="false">DATE(YEAR(E585),MONTH(E585),1)</f>
        <v>45962</v>
      </c>
      <c r="G585" s="23" t="n">
        <v>191278</v>
      </c>
      <c r="H585" s="8" t="s">
        <v>61</v>
      </c>
      <c r="I585" s="24" t="n">
        <v>2382.78</v>
      </c>
      <c r="J585" s="25" t="n">
        <f aca="false">Summary!$B$4</f>
        <v>1</v>
      </c>
      <c r="K585" s="11" t="n">
        <f aca="false">I585*J585*IF(A585="SILVER",Summary!$B$5,Summary!$B$6)</f>
        <v>71483.4</v>
      </c>
      <c r="L585" s="26" t="n">
        <v>1.471</v>
      </c>
      <c r="M585" s="27" t="n">
        <f aca="false">IF(K585&gt;0,1,0)</f>
        <v>1</v>
      </c>
      <c r="N585" s="11" t="n">
        <f aca="false">SUMIFS(K$2:K585,A$2:A585,A585,B$2:B585,B585)</f>
        <v>1022595.3</v>
      </c>
      <c r="O585" s="11" t="n">
        <f aca="false">MAX(0,_xlfn.MAXIFS(N$2:N585,A$2:A585,A585,B$2:B585,B585))</f>
        <v>1044749.7</v>
      </c>
      <c r="P585" s="11" t="n">
        <f aca="false">N585-O585</f>
        <v>-22154.4</v>
      </c>
    </row>
    <row r="586" customFormat="false" ht="15" hidden="false" customHeight="false" outlineLevel="0" collapsed="false">
      <c r="A586" s="8" t="s">
        <v>26</v>
      </c>
      <c r="B586" s="8" t="s">
        <v>41</v>
      </c>
      <c r="C586" s="8" t="s">
        <v>60</v>
      </c>
      <c r="D586" s="21" t="n">
        <v>45989.3784722222</v>
      </c>
      <c r="E586" s="21" t="n">
        <v>45989.5388888889</v>
      </c>
      <c r="F586" s="22" t="n">
        <f aca="false">DATE(YEAR(E586),MONTH(E586),1)</f>
        <v>45962</v>
      </c>
      <c r="G586" s="23" t="n">
        <v>195154</v>
      </c>
      <c r="H586" s="8" t="s">
        <v>64</v>
      </c>
      <c r="I586" s="24" t="n">
        <v>64.7</v>
      </c>
      <c r="J586" s="25" t="n">
        <f aca="false">Summary!$B$4</f>
        <v>1</v>
      </c>
      <c r="K586" s="11" t="n">
        <f aca="false">I586*J586*IF(A586="SILVER",Summary!$B$5,Summary!$B$6)</f>
        <v>1941</v>
      </c>
      <c r="L586" s="26" t="n">
        <v>0.06</v>
      </c>
      <c r="M586" s="27" t="n">
        <f aca="false">IF(K586&gt;0,1,0)</f>
        <v>1</v>
      </c>
      <c r="N586" s="11" t="n">
        <f aca="false">SUMIFS(K$2:K586,A$2:A586,A586,B$2:B586,B586)</f>
        <v>1024536.3</v>
      </c>
      <c r="O586" s="11" t="n">
        <f aca="false">MAX(0,_xlfn.MAXIFS(N$2:N586,A$2:A586,A586,B$2:B586,B586))</f>
        <v>1044749.7</v>
      </c>
      <c r="P586" s="11" t="n">
        <f aca="false">N586-O586</f>
        <v>-20213.4</v>
      </c>
    </row>
    <row r="587" customFormat="false" ht="15" hidden="false" customHeight="false" outlineLevel="0" collapsed="false">
      <c r="A587" s="8" t="s">
        <v>26</v>
      </c>
      <c r="B587" s="8" t="s">
        <v>41</v>
      </c>
      <c r="C587" s="8" t="s">
        <v>60</v>
      </c>
      <c r="D587" s="21" t="n">
        <v>45989.8055555556</v>
      </c>
      <c r="E587" s="21" t="n">
        <v>45992.7708333333</v>
      </c>
      <c r="F587" s="22" t="n">
        <f aca="false">DATE(YEAR(E587),MONTH(E587),1)</f>
        <v>45992</v>
      </c>
      <c r="G587" s="23" t="n">
        <v>195763</v>
      </c>
      <c r="H587" s="8" t="s">
        <v>61</v>
      </c>
      <c r="I587" s="24" t="n">
        <v>8871.23</v>
      </c>
      <c r="J587" s="25" t="n">
        <f aca="false">Summary!$B$4</f>
        <v>1</v>
      </c>
      <c r="K587" s="11" t="n">
        <f aca="false">I587*J587*IF(A587="SILVER",Summary!$B$5,Summary!$B$6)</f>
        <v>266136.9</v>
      </c>
      <c r="L587" s="26" t="n">
        <v>9.344</v>
      </c>
      <c r="M587" s="27" t="n">
        <f aca="false">IF(K587&gt;0,1,0)</f>
        <v>1</v>
      </c>
      <c r="N587" s="11" t="n">
        <f aca="false">SUMIFS(K$2:K587,A$2:A587,A587,B$2:B587,B587)</f>
        <v>1290673.2</v>
      </c>
      <c r="O587" s="11" t="n">
        <f aca="false">MAX(0,_xlfn.MAXIFS(N$2:N587,A$2:A587,A587,B$2:B587,B587))</f>
        <v>1290673.2</v>
      </c>
      <c r="P587" s="11" t="n">
        <f aca="false">N587-O587</f>
        <v>0</v>
      </c>
    </row>
    <row r="588" customFormat="false" ht="15" hidden="false" customHeight="false" outlineLevel="0" collapsed="false">
      <c r="A588" s="8" t="s">
        <v>26</v>
      </c>
      <c r="B588" s="8" t="s">
        <v>41</v>
      </c>
      <c r="C588" s="8" t="s">
        <v>60</v>
      </c>
      <c r="D588" s="21" t="n">
        <v>45992.9027777778</v>
      </c>
      <c r="E588" s="21" t="n">
        <v>45993.375</v>
      </c>
      <c r="F588" s="22" t="n">
        <f aca="false">DATE(YEAR(E588),MONTH(E588),1)</f>
        <v>45992</v>
      </c>
      <c r="G588" s="23" t="n">
        <v>206947</v>
      </c>
      <c r="H588" s="8" t="s">
        <v>64</v>
      </c>
      <c r="I588" s="24" t="n">
        <v>205.98</v>
      </c>
      <c r="J588" s="25" t="n">
        <f aca="false">Summary!$B$4</f>
        <v>1</v>
      </c>
      <c r="K588" s="11" t="n">
        <f aca="false">I588*J588*IF(A588="SILVER",Summary!$B$5,Summary!$B$6)</f>
        <v>6179.4</v>
      </c>
      <c r="L588" s="26" t="n">
        <v>0.082</v>
      </c>
      <c r="M588" s="27" t="n">
        <f aca="false">IF(K588&gt;0,1,0)</f>
        <v>1</v>
      </c>
      <c r="N588" s="11" t="n">
        <f aca="false">SUMIFS(K$2:K588,A$2:A588,A588,B$2:B588,B588)</f>
        <v>1296852.6</v>
      </c>
      <c r="O588" s="11" t="n">
        <f aca="false">MAX(0,_xlfn.MAXIFS(N$2:N588,A$2:A588,A588,B$2:B588,B588))</f>
        <v>1296852.6</v>
      </c>
      <c r="P588" s="11" t="n">
        <f aca="false">N588-O588</f>
        <v>0</v>
      </c>
    </row>
    <row r="589" customFormat="false" ht="15" hidden="false" customHeight="false" outlineLevel="0" collapsed="false">
      <c r="A589" s="8" t="s">
        <v>26</v>
      </c>
      <c r="B589" s="8" t="s">
        <v>41</v>
      </c>
      <c r="C589" s="8" t="s">
        <v>60</v>
      </c>
      <c r="D589" s="21" t="n">
        <v>45993.7256944445</v>
      </c>
      <c r="E589" s="21" t="n">
        <v>45993.8673611111</v>
      </c>
      <c r="F589" s="22" t="n">
        <f aca="false">DATE(YEAR(E589),MONTH(E589),1)</f>
        <v>45992</v>
      </c>
      <c r="G589" s="23" t="n">
        <v>206448</v>
      </c>
      <c r="H589" s="8" t="s">
        <v>64</v>
      </c>
      <c r="I589" s="24" t="n">
        <v>-90.01</v>
      </c>
      <c r="J589" s="25" t="n">
        <f aca="false">Summary!$B$4</f>
        <v>1</v>
      </c>
      <c r="K589" s="11" t="n">
        <f aca="false">I589*J589*IF(A589="SILVER",Summary!$B$5,Summary!$B$6)</f>
        <v>-2700.3</v>
      </c>
      <c r="L589" s="26" t="n">
        <v>-0.054</v>
      </c>
      <c r="M589" s="27" t="n">
        <f aca="false">IF(K589&gt;0,1,0)</f>
        <v>0</v>
      </c>
      <c r="N589" s="11" t="n">
        <f aca="false">SUMIFS(K$2:K589,A$2:A589,A589,B$2:B589,B589)</f>
        <v>1294152.3</v>
      </c>
      <c r="O589" s="11" t="n">
        <f aca="false">MAX(0,_xlfn.MAXIFS(N$2:N589,A$2:A589,A589,B$2:B589,B589))</f>
        <v>1296852.6</v>
      </c>
      <c r="P589" s="11" t="n">
        <f aca="false">N589-O589</f>
        <v>-2700.30000000005</v>
      </c>
    </row>
    <row r="590" customFormat="false" ht="15" hidden="false" customHeight="false" outlineLevel="0" collapsed="false">
      <c r="A590" s="8" t="s">
        <v>26</v>
      </c>
      <c r="B590" s="8" t="s">
        <v>41</v>
      </c>
      <c r="C590" s="8" t="s">
        <v>60</v>
      </c>
      <c r="D590" s="21" t="n">
        <v>45994.3958333333</v>
      </c>
      <c r="E590" s="21" t="n">
        <v>45995.4729166667</v>
      </c>
      <c r="F590" s="22" t="n">
        <f aca="false">DATE(YEAR(E590),MONTH(E590),1)</f>
        <v>45992</v>
      </c>
      <c r="G590" s="23" t="n">
        <v>211135</v>
      </c>
      <c r="H590" s="8" t="s">
        <v>61</v>
      </c>
      <c r="I590" s="24" t="n">
        <v>-3727.67</v>
      </c>
      <c r="J590" s="25" t="n">
        <f aca="false">Summary!$B$4</f>
        <v>1</v>
      </c>
      <c r="K590" s="11" t="n">
        <f aca="false">I590*J590*IF(A590="SILVER",Summary!$B$5,Summary!$B$6)</f>
        <v>-111830.1</v>
      </c>
      <c r="L590" s="26" t="n">
        <v>-1.211</v>
      </c>
      <c r="M590" s="27" t="n">
        <f aca="false">IF(K590&gt;0,1,0)</f>
        <v>0</v>
      </c>
      <c r="N590" s="11" t="n">
        <f aca="false">SUMIFS(K$2:K590,A$2:A590,A590,B$2:B590,B590)</f>
        <v>1182322.2</v>
      </c>
      <c r="O590" s="11" t="n">
        <f aca="false">MAX(0,_xlfn.MAXIFS(N$2:N590,A$2:A590,A590,B$2:B590,B590))</f>
        <v>1296852.6</v>
      </c>
      <c r="P590" s="11" t="n">
        <f aca="false">N590-O590</f>
        <v>-114530.4</v>
      </c>
    </row>
    <row r="591" customFormat="false" ht="15" hidden="false" customHeight="false" outlineLevel="0" collapsed="false">
      <c r="A591" s="8" t="s">
        <v>26</v>
      </c>
      <c r="B591" s="8" t="s">
        <v>41</v>
      </c>
      <c r="C591" s="8" t="s">
        <v>60</v>
      </c>
      <c r="D591" s="21" t="n">
        <v>45996.5777777778</v>
      </c>
      <c r="E591" s="21" t="n">
        <v>45999.7777777778</v>
      </c>
      <c r="F591" s="22" t="n">
        <f aca="false">DATE(YEAR(E591),MONTH(E591),1)</f>
        <v>45992</v>
      </c>
      <c r="G591" s="23" t="n">
        <v>210253</v>
      </c>
      <c r="H591" s="8" t="s">
        <v>61</v>
      </c>
      <c r="I591" s="24" t="n">
        <v>64.52</v>
      </c>
      <c r="J591" s="25" t="n">
        <f aca="false">Summary!$B$4</f>
        <v>1</v>
      </c>
      <c r="K591" s="11" t="n">
        <f aca="false">I591*J591*IF(A591="SILVER",Summary!$B$5,Summary!$B$6)</f>
        <v>1935.6</v>
      </c>
      <c r="L591" s="26" t="n">
        <v>0.014</v>
      </c>
      <c r="M591" s="27" t="n">
        <f aca="false">IF(K591&gt;0,1,0)</f>
        <v>1</v>
      </c>
      <c r="N591" s="11" t="n">
        <f aca="false">SUMIFS(K$2:K591,A$2:A591,A591,B$2:B591,B591)</f>
        <v>1184257.8</v>
      </c>
      <c r="O591" s="11" t="n">
        <f aca="false">MAX(0,_xlfn.MAXIFS(N$2:N591,A$2:A591,A591,B$2:B591,B591))</f>
        <v>1296852.6</v>
      </c>
      <c r="P591" s="11" t="n">
        <f aca="false">N591-O591</f>
        <v>-112594.8</v>
      </c>
    </row>
    <row r="592" customFormat="false" ht="15" hidden="false" customHeight="false" outlineLevel="0" collapsed="false">
      <c r="A592" s="8" t="s">
        <v>26</v>
      </c>
      <c r="B592" s="8" t="s">
        <v>41</v>
      </c>
      <c r="C592" s="8" t="s">
        <v>60</v>
      </c>
      <c r="D592" s="21" t="n">
        <v>46000.6041666667</v>
      </c>
      <c r="E592" s="21" t="n">
        <v>46001.6180555556</v>
      </c>
      <c r="F592" s="22" t="n">
        <f aca="false">DATE(YEAR(E592),MONTH(E592),1)</f>
        <v>45992</v>
      </c>
      <c r="G592" s="23" t="n">
        <v>210635</v>
      </c>
      <c r="H592" s="8" t="s">
        <v>61</v>
      </c>
      <c r="I592" s="24" t="n">
        <v>7385.8</v>
      </c>
      <c r="J592" s="25" t="n">
        <f aca="false">Summary!$B$4</f>
        <v>1</v>
      </c>
      <c r="K592" s="11" t="n">
        <f aca="false">I592*J592*IF(A592="SILVER",Summary!$B$5,Summary!$B$6)</f>
        <v>221574</v>
      </c>
      <c r="L592" s="26" t="n">
        <v>5.129</v>
      </c>
      <c r="M592" s="27" t="n">
        <f aca="false">IF(K592&gt;0,1,0)</f>
        <v>1</v>
      </c>
      <c r="N592" s="11" t="n">
        <f aca="false">SUMIFS(K$2:K592,A$2:A592,A592,B$2:B592,B592)</f>
        <v>1405831.8</v>
      </c>
      <c r="O592" s="11" t="n">
        <f aca="false">MAX(0,_xlfn.MAXIFS(N$2:N592,A$2:A592,A592,B$2:B592,B592))</f>
        <v>1405831.8</v>
      </c>
      <c r="P592" s="11" t="n">
        <f aca="false">N592-O592</f>
        <v>0</v>
      </c>
    </row>
    <row r="593" customFormat="false" ht="15" hidden="false" customHeight="false" outlineLevel="0" collapsed="false">
      <c r="A593" s="8" t="s">
        <v>26</v>
      </c>
      <c r="B593" s="8" t="s">
        <v>41</v>
      </c>
      <c r="C593" s="8" t="s">
        <v>60</v>
      </c>
      <c r="D593" s="21" t="n">
        <v>46002.3784722222</v>
      </c>
      <c r="E593" s="21" t="n">
        <v>46003.8680555556</v>
      </c>
      <c r="F593" s="22" t="n">
        <f aca="false">DATE(YEAR(E593),MONTH(E593),1)</f>
        <v>45992</v>
      </c>
      <c r="G593" s="23" t="n">
        <v>220819</v>
      </c>
      <c r="H593" s="8" t="s">
        <v>61</v>
      </c>
      <c r="I593" s="24" t="n">
        <v>4966</v>
      </c>
      <c r="J593" s="25" t="n">
        <f aca="false">Summary!$B$4</f>
        <v>1</v>
      </c>
      <c r="K593" s="11" t="n">
        <f aca="false">I593*J593*IF(A593="SILVER",Summary!$B$5,Summary!$B$6)</f>
        <v>148980</v>
      </c>
      <c r="L593" s="26" t="n">
        <v>1.156</v>
      </c>
      <c r="M593" s="27" t="n">
        <f aca="false">IF(K593&gt;0,1,0)</f>
        <v>1</v>
      </c>
      <c r="N593" s="11" t="n">
        <f aca="false">SUMIFS(K$2:K593,A$2:A593,A593,B$2:B593,B593)</f>
        <v>1554811.8</v>
      </c>
      <c r="O593" s="11" t="n">
        <f aca="false">MAX(0,_xlfn.MAXIFS(N$2:N593,A$2:A593,A593,B$2:B593,B593))</f>
        <v>1554811.8</v>
      </c>
      <c r="P593" s="11" t="n">
        <f aca="false">N593-O593</f>
        <v>0</v>
      </c>
    </row>
    <row r="594" customFormat="false" ht="15" hidden="false" customHeight="false" outlineLevel="0" collapsed="false">
      <c r="A594" s="8" t="s">
        <v>26</v>
      </c>
      <c r="B594" s="8" t="s">
        <v>41</v>
      </c>
      <c r="C594" s="8" t="s">
        <v>60</v>
      </c>
      <c r="D594" s="21" t="n">
        <v>46006.46875</v>
      </c>
      <c r="E594" s="21" t="n">
        <v>46006.8472222222</v>
      </c>
      <c r="F594" s="22" t="n">
        <f aca="false">DATE(YEAR(E594),MONTH(E594),1)</f>
        <v>45992</v>
      </c>
      <c r="G594" s="23" t="n">
        <v>224434</v>
      </c>
      <c r="H594" s="8" t="s">
        <v>61</v>
      </c>
      <c r="I594" s="24" t="n">
        <v>1260.65</v>
      </c>
      <c r="J594" s="25" t="n">
        <f aca="false">Summary!$B$4</f>
        <v>1</v>
      </c>
      <c r="K594" s="11" t="n">
        <f aca="false">I594*J594*IF(A594="SILVER",Summary!$B$5,Summary!$B$6)</f>
        <v>37819.5</v>
      </c>
      <c r="L594" s="26" t="n">
        <v>0.503</v>
      </c>
      <c r="M594" s="27" t="n">
        <f aca="false">IF(K594&gt;0,1,0)</f>
        <v>1</v>
      </c>
      <c r="N594" s="11" t="n">
        <f aca="false">SUMIFS(K$2:K594,A$2:A594,A594,B$2:B594,B594)</f>
        <v>1592631.3</v>
      </c>
      <c r="O594" s="11" t="n">
        <f aca="false">MAX(0,_xlfn.MAXIFS(N$2:N594,A$2:A594,A594,B$2:B594,B594))</f>
        <v>1592631.3</v>
      </c>
      <c r="P594" s="11" t="n">
        <f aca="false">N594-O594</f>
        <v>0</v>
      </c>
    </row>
    <row r="595" customFormat="false" ht="15" hidden="false" customHeight="false" outlineLevel="0" collapsed="false">
      <c r="A595" s="8" t="s">
        <v>26</v>
      </c>
      <c r="B595" s="8" t="s">
        <v>41</v>
      </c>
      <c r="C595" s="8" t="s">
        <v>60</v>
      </c>
      <c r="D595" s="21" t="n">
        <v>46007.7638888889</v>
      </c>
      <c r="E595" s="21" t="n">
        <v>46007.8013888889</v>
      </c>
      <c r="F595" s="22" t="n">
        <f aca="false">DATE(YEAR(E595),MONTH(E595),1)</f>
        <v>45992</v>
      </c>
      <c r="G595" s="23" t="n">
        <v>225932</v>
      </c>
      <c r="H595" s="8" t="s">
        <v>64</v>
      </c>
      <c r="I595" s="24" t="n">
        <v>104.04</v>
      </c>
      <c r="J595" s="25" t="n">
        <f aca="false">Summary!$B$4</f>
        <v>1</v>
      </c>
      <c r="K595" s="11" t="n">
        <f aca="false">I595*J595*IF(A595="SILVER",Summary!$B$5,Summary!$B$6)</f>
        <v>3121.2</v>
      </c>
      <c r="L595" s="26" t="n">
        <v>0.068</v>
      </c>
      <c r="M595" s="27" t="n">
        <f aca="false">IF(K595&gt;0,1,0)</f>
        <v>1</v>
      </c>
      <c r="N595" s="11" t="n">
        <f aca="false">SUMIFS(K$2:K595,A$2:A595,A595,B$2:B595,B595)</f>
        <v>1595752.5</v>
      </c>
      <c r="O595" s="11" t="n">
        <f aca="false">MAX(0,_xlfn.MAXIFS(N$2:N595,A$2:A595,A595,B$2:B595,B595))</f>
        <v>1595752.5</v>
      </c>
      <c r="P595" s="11" t="n">
        <f aca="false">N595-O595</f>
        <v>0</v>
      </c>
    </row>
    <row r="596" customFormat="false" ht="15" hidden="false" customHeight="false" outlineLevel="0" collapsed="false">
      <c r="A596" s="8" t="s">
        <v>26</v>
      </c>
      <c r="B596" s="8" t="s">
        <v>41</v>
      </c>
      <c r="C596" s="8" t="s">
        <v>60</v>
      </c>
      <c r="D596" s="21" t="n">
        <v>46008.9270833333</v>
      </c>
      <c r="E596" s="21" t="n">
        <v>46009.375</v>
      </c>
      <c r="F596" s="22" t="n">
        <f aca="false">DATE(YEAR(E596),MONTH(E596),1)</f>
        <v>45992</v>
      </c>
      <c r="G596" s="23" t="n">
        <v>233683</v>
      </c>
      <c r="H596" s="8" t="s">
        <v>64</v>
      </c>
      <c r="I596" s="24" t="n">
        <v>287.78</v>
      </c>
      <c r="J596" s="25" t="n">
        <f aca="false">Summary!$B$4</f>
        <v>1</v>
      </c>
      <c r="K596" s="11" t="n">
        <f aca="false">I596*J596*IF(A596="SILVER",Summary!$B$5,Summary!$B$6)</f>
        <v>8633.4</v>
      </c>
      <c r="L596" s="26" t="n">
        <v>0.085</v>
      </c>
      <c r="M596" s="27" t="n">
        <f aca="false">IF(K596&gt;0,1,0)</f>
        <v>1</v>
      </c>
      <c r="N596" s="11" t="n">
        <f aca="false">SUMIFS(K$2:K596,A$2:A596,A596,B$2:B596,B596)</f>
        <v>1604385.9</v>
      </c>
      <c r="O596" s="11" t="n">
        <f aca="false">MAX(0,_xlfn.MAXIFS(N$2:N596,A$2:A596,A596,B$2:B596,B596))</f>
        <v>1604385.9</v>
      </c>
      <c r="P596" s="11" t="n">
        <f aca="false">N596-O596</f>
        <v>0</v>
      </c>
    </row>
    <row r="597" customFormat="false" ht="15" hidden="false" customHeight="false" outlineLevel="0" collapsed="false">
      <c r="A597" s="8" t="s">
        <v>26</v>
      </c>
      <c r="B597" s="8" t="s">
        <v>41</v>
      </c>
      <c r="C597" s="8" t="s">
        <v>60</v>
      </c>
      <c r="D597" s="21" t="n">
        <v>46009.8090277778</v>
      </c>
      <c r="E597" s="21" t="n">
        <v>46009.8402777778</v>
      </c>
      <c r="F597" s="22" t="n">
        <f aca="false">DATE(YEAR(E597),MONTH(E597),1)</f>
        <v>45992</v>
      </c>
      <c r="G597" s="23" t="n">
        <v>235160</v>
      </c>
      <c r="H597" s="8" t="s">
        <v>61</v>
      </c>
      <c r="I597" s="24" t="n">
        <v>-2850.09</v>
      </c>
      <c r="J597" s="25" t="n">
        <f aca="false">Summary!$B$4</f>
        <v>1</v>
      </c>
      <c r="K597" s="11" t="n">
        <f aca="false">I597*J597*IF(A597="SILVER",Summary!$B$5,Summary!$B$6)</f>
        <v>-85502.7</v>
      </c>
      <c r="L597" s="26" t="n">
        <v>-1.243</v>
      </c>
      <c r="M597" s="27" t="n">
        <f aca="false">IF(K597&gt;0,1,0)</f>
        <v>0</v>
      </c>
      <c r="N597" s="11" t="n">
        <f aca="false">SUMIFS(K$2:K597,A$2:A597,A597,B$2:B597,B597)</f>
        <v>1518883.2</v>
      </c>
      <c r="O597" s="11" t="n">
        <f aca="false">MAX(0,_xlfn.MAXIFS(N$2:N597,A$2:A597,A597,B$2:B597,B597))</f>
        <v>1604385.9</v>
      </c>
      <c r="P597" s="11" t="n">
        <f aca="false">N597-O597</f>
        <v>-85502.7</v>
      </c>
    </row>
    <row r="598" customFormat="false" ht="15" hidden="false" customHeight="false" outlineLevel="0" collapsed="false">
      <c r="A598" s="8" t="s">
        <v>26</v>
      </c>
      <c r="B598" s="8" t="s">
        <v>41</v>
      </c>
      <c r="C598" s="8" t="s">
        <v>60</v>
      </c>
      <c r="D598" s="21" t="n">
        <v>46010.4930555556</v>
      </c>
      <c r="E598" s="21" t="n">
        <v>46010.7326388889</v>
      </c>
      <c r="F598" s="22" t="n">
        <f aca="false">DATE(YEAR(E598),MONTH(E598),1)</f>
        <v>45992</v>
      </c>
      <c r="G598" s="23" t="n">
        <v>234234</v>
      </c>
      <c r="H598" s="8" t="s">
        <v>61</v>
      </c>
      <c r="I598" s="24" t="n">
        <v>-1459.03</v>
      </c>
      <c r="J598" s="25" t="n">
        <f aca="false">Summary!$B$4</f>
        <v>1</v>
      </c>
      <c r="K598" s="11" t="n">
        <f aca="false">I598*J598*IF(A598="SILVER",Summary!$B$5,Summary!$B$6)</f>
        <v>-43770.9</v>
      </c>
      <c r="L598" s="26" t="n">
        <v>-0.636</v>
      </c>
      <c r="M598" s="27" t="n">
        <f aca="false">IF(K598&gt;0,1,0)</f>
        <v>0</v>
      </c>
      <c r="N598" s="11" t="n">
        <f aca="false">SUMIFS(K$2:K598,A$2:A598,A598,B$2:B598,B598)</f>
        <v>1475112.3</v>
      </c>
      <c r="O598" s="11" t="n">
        <f aca="false">MAX(0,_xlfn.MAXIFS(N$2:N598,A$2:A598,A598,B$2:B598,B598))</f>
        <v>1604385.9</v>
      </c>
      <c r="P598" s="11" t="n">
        <f aca="false">N598-O598</f>
        <v>-129273.6</v>
      </c>
    </row>
    <row r="599" customFormat="false" ht="15" hidden="false" customHeight="false" outlineLevel="0" collapsed="false">
      <c r="A599" s="8" t="s">
        <v>26</v>
      </c>
      <c r="B599" s="8" t="s">
        <v>41</v>
      </c>
      <c r="C599" s="8" t="s">
        <v>60</v>
      </c>
      <c r="D599" s="21" t="n">
        <v>46010.8402777778</v>
      </c>
      <c r="E599" s="21" t="n">
        <v>46013.8645833333</v>
      </c>
      <c r="F599" s="22" t="n">
        <f aca="false">DATE(YEAR(E599),MONTH(E599),1)</f>
        <v>45992</v>
      </c>
      <c r="G599" s="23" t="n">
        <v>234784</v>
      </c>
      <c r="H599" s="8" t="s">
        <v>61</v>
      </c>
      <c r="I599" s="24" t="n">
        <v>5997.09</v>
      </c>
      <c r="J599" s="25" t="n">
        <f aca="false">Summary!$B$4</f>
        <v>1</v>
      </c>
      <c r="K599" s="11" t="n">
        <f aca="false">I599*J599*IF(A599="SILVER",Summary!$B$5,Summary!$B$6)</f>
        <v>179912.7</v>
      </c>
      <c r="L599" s="26" t="n">
        <v>2.067</v>
      </c>
      <c r="M599" s="27" t="n">
        <f aca="false">IF(K599&gt;0,1,0)</f>
        <v>1</v>
      </c>
      <c r="N599" s="11" t="n">
        <f aca="false">SUMIFS(K$2:K599,A$2:A599,A599,B$2:B599,B599)</f>
        <v>1655025</v>
      </c>
      <c r="O599" s="11" t="n">
        <f aca="false">MAX(0,_xlfn.MAXIFS(N$2:N599,A$2:A599,A599,B$2:B599,B599))</f>
        <v>1655025</v>
      </c>
      <c r="P599" s="11" t="n">
        <f aca="false">N599-O599</f>
        <v>0</v>
      </c>
    </row>
    <row r="600" customFormat="false" ht="15" hidden="false" customHeight="false" outlineLevel="0" collapsed="false">
      <c r="A600" s="8" t="s">
        <v>26</v>
      </c>
      <c r="B600" s="8" t="s">
        <v>41</v>
      </c>
      <c r="C600" s="8" t="s">
        <v>60</v>
      </c>
      <c r="D600" s="21" t="n">
        <v>46014.3784722222</v>
      </c>
      <c r="E600" s="21" t="n">
        <v>46014.8354166667</v>
      </c>
      <c r="F600" s="22" t="n">
        <f aca="false">DATE(YEAR(E600),MONTH(E600),1)</f>
        <v>45992</v>
      </c>
      <c r="G600" s="23" t="n">
        <v>244151</v>
      </c>
      <c r="H600" s="8" t="s">
        <v>64</v>
      </c>
      <c r="I600" s="24" t="n">
        <v>267.36</v>
      </c>
      <c r="J600" s="25" t="n">
        <f aca="false">Summary!$B$4</f>
        <v>1</v>
      </c>
      <c r="K600" s="11" t="n">
        <f aca="false">I600*J600*IF(A600="SILVER",Summary!$B$5,Summary!$B$6)</f>
        <v>8020.8</v>
      </c>
      <c r="L600" s="26" t="n">
        <v>0.083</v>
      </c>
      <c r="M600" s="27" t="n">
        <f aca="false">IF(K600&gt;0,1,0)</f>
        <v>1</v>
      </c>
      <c r="N600" s="11" t="n">
        <f aca="false">SUMIFS(K$2:K600,A$2:A600,A600,B$2:B600,B600)</f>
        <v>1663045.8</v>
      </c>
      <c r="O600" s="11" t="n">
        <f aca="false">MAX(0,_xlfn.MAXIFS(N$2:N600,A$2:A600,A600,B$2:B600,B600))</f>
        <v>1663045.8</v>
      </c>
      <c r="P600" s="11" t="n">
        <f aca="false">N600-O600</f>
        <v>0</v>
      </c>
    </row>
    <row r="601" customFormat="false" ht="15" hidden="false" customHeight="false" outlineLevel="0" collapsed="false">
      <c r="A601" s="8" t="s">
        <v>26</v>
      </c>
      <c r="B601" s="8" t="s">
        <v>41</v>
      </c>
      <c r="C601" s="8" t="s">
        <v>60</v>
      </c>
      <c r="D601" s="21" t="n">
        <v>46014.9409722222</v>
      </c>
      <c r="E601" s="21" t="n">
        <v>46015.6041666667</v>
      </c>
      <c r="F601" s="22" t="n">
        <f aca="false">DATE(YEAR(E601),MONTH(E601),1)</f>
        <v>45992</v>
      </c>
      <c r="G601" s="23" t="n">
        <v>247957</v>
      </c>
      <c r="H601" s="8" t="s">
        <v>61</v>
      </c>
      <c r="I601" s="24" t="n">
        <v>2264.84</v>
      </c>
      <c r="J601" s="25" t="n">
        <f aca="false">Summary!$B$4</f>
        <v>1</v>
      </c>
      <c r="K601" s="11" t="n">
        <f aca="false">I601*J601*IF(A601="SILVER",Summary!$B$5,Summary!$B$6)</f>
        <v>67945.2</v>
      </c>
      <c r="L601" s="26" t="n">
        <v>0.514</v>
      </c>
      <c r="M601" s="27" t="n">
        <f aca="false">IF(K601&gt;0,1,0)</f>
        <v>1</v>
      </c>
      <c r="N601" s="11" t="n">
        <f aca="false">SUMIFS(K$2:K601,A$2:A601,A601,B$2:B601,B601)</f>
        <v>1730991</v>
      </c>
      <c r="O601" s="11" t="n">
        <f aca="false">MAX(0,_xlfn.MAXIFS(N$2:N601,A$2:A601,A601,B$2:B601,B601))</f>
        <v>1730991</v>
      </c>
      <c r="P601" s="11" t="n">
        <f aca="false">N601-O601</f>
        <v>0</v>
      </c>
    </row>
    <row r="602" customFormat="false" ht="15" hidden="false" customHeight="false" outlineLevel="0" collapsed="false">
      <c r="A602" s="8" t="s">
        <v>26</v>
      </c>
      <c r="B602" s="8" t="s">
        <v>41</v>
      </c>
      <c r="C602" s="8" t="s">
        <v>60</v>
      </c>
      <c r="D602" s="21" t="n">
        <v>46015.7395833333</v>
      </c>
      <c r="E602" s="21" t="n">
        <v>46015.78125</v>
      </c>
      <c r="F602" s="22" t="n">
        <f aca="false">DATE(YEAR(E602),MONTH(E602),1)</f>
        <v>45992</v>
      </c>
      <c r="G602" s="23" t="n">
        <v>252406</v>
      </c>
      <c r="H602" s="8" t="s">
        <v>61</v>
      </c>
      <c r="I602" s="24" t="n">
        <v>-1380.68</v>
      </c>
      <c r="J602" s="25" t="n">
        <f aca="false">Summary!$B$4</f>
        <v>1</v>
      </c>
      <c r="K602" s="11" t="n">
        <f aca="false">I602*J602*IF(A602="SILVER",Summary!$B$5,Summary!$B$6)</f>
        <v>-41420.4</v>
      </c>
      <c r="L602" s="26" t="n">
        <v>-0.908</v>
      </c>
      <c r="M602" s="27" t="n">
        <f aca="false">IF(K602&gt;0,1,0)</f>
        <v>0</v>
      </c>
      <c r="N602" s="11" t="n">
        <f aca="false">SUMIFS(K$2:K602,A$2:A602,A602,B$2:B602,B602)</f>
        <v>1689570.6</v>
      </c>
      <c r="O602" s="11" t="n">
        <f aca="false">MAX(0,_xlfn.MAXIFS(N$2:N602,A$2:A602,A602,B$2:B602,B602))</f>
        <v>1730991</v>
      </c>
      <c r="P602" s="11" t="n">
        <f aca="false">N602-O602</f>
        <v>-41420.3999999999</v>
      </c>
    </row>
    <row r="603" customFormat="false" ht="15" hidden="false" customHeight="false" outlineLevel="0" collapsed="false">
      <c r="A603" s="8" t="s">
        <v>26</v>
      </c>
      <c r="B603" s="8" t="s">
        <v>41</v>
      </c>
      <c r="C603" s="8" t="s">
        <v>60</v>
      </c>
      <c r="D603" s="21" t="n">
        <v>46015.9444444445</v>
      </c>
      <c r="E603" s="21" t="n">
        <v>46017.6909722222</v>
      </c>
      <c r="F603" s="22" t="n">
        <f aca="false">DATE(YEAR(E603),MONTH(E603),1)</f>
        <v>45992</v>
      </c>
      <c r="G603" s="23" t="n">
        <v>251928</v>
      </c>
      <c r="H603" s="8" t="s">
        <v>61</v>
      </c>
      <c r="I603" s="24" t="n">
        <v>9398.35</v>
      </c>
      <c r="J603" s="25" t="n">
        <f aca="false">Summary!$B$4</f>
        <v>1</v>
      </c>
      <c r="K603" s="11" t="n">
        <f aca="false">I603*J603*IF(A603="SILVER",Summary!$B$5,Summary!$B$6)</f>
        <v>281950.5</v>
      </c>
      <c r="L603" s="26" t="n">
        <v>2.419</v>
      </c>
      <c r="M603" s="27" t="n">
        <f aca="false">IF(K603&gt;0,1,0)</f>
        <v>1</v>
      </c>
      <c r="N603" s="11" t="n">
        <f aca="false">SUMIFS(K$2:K603,A$2:A603,A603,B$2:B603,B603)</f>
        <v>1971521.1</v>
      </c>
      <c r="O603" s="11" t="n">
        <f aca="false">MAX(0,_xlfn.MAXIFS(N$2:N603,A$2:A603,A603,B$2:B603,B603))</f>
        <v>1971521.1</v>
      </c>
      <c r="P603" s="11" t="n">
        <f aca="false">N603-O603</f>
        <v>0</v>
      </c>
    </row>
    <row r="604" customFormat="false" ht="15" hidden="false" customHeight="false" outlineLevel="0" collapsed="false">
      <c r="A604" s="8" t="s">
        <v>26</v>
      </c>
      <c r="B604" s="8" t="s">
        <v>41</v>
      </c>
      <c r="C604" s="8" t="s">
        <v>60</v>
      </c>
      <c r="D604" s="21" t="n">
        <v>46017.8611111111</v>
      </c>
      <c r="E604" s="21" t="n">
        <v>46020.5</v>
      </c>
      <c r="F604" s="22" t="n">
        <f aca="false">DATE(YEAR(E604),MONTH(E604),1)</f>
        <v>45992</v>
      </c>
      <c r="G604" s="23" t="n">
        <v>263084</v>
      </c>
      <c r="H604" s="8" t="s">
        <v>61</v>
      </c>
      <c r="I604" s="24" t="n">
        <v>8692.16</v>
      </c>
      <c r="J604" s="25" t="n">
        <f aca="false">Summary!$B$4</f>
        <v>1</v>
      </c>
      <c r="K604" s="11" t="n">
        <f aca="false">I604*J604*IF(A604="SILVER",Summary!$B$5,Summary!$B$6)</f>
        <v>260764.8</v>
      </c>
      <c r="L604" s="26" t="n">
        <v>2.033</v>
      </c>
      <c r="M604" s="27" t="n">
        <f aca="false">IF(K604&gt;0,1,0)</f>
        <v>1</v>
      </c>
      <c r="N604" s="11" t="n">
        <f aca="false">SUMIFS(K$2:K604,A$2:A604,A604,B$2:B604,B604)</f>
        <v>2232285.9</v>
      </c>
      <c r="O604" s="11" t="n">
        <f aca="false">MAX(0,_xlfn.MAXIFS(N$2:N604,A$2:A604,A604,B$2:B604,B604))</f>
        <v>2232285.9</v>
      </c>
      <c r="P604" s="11" t="n">
        <f aca="false">N604-O604</f>
        <v>0</v>
      </c>
    </row>
    <row r="605" customFormat="false" ht="15" hidden="false" customHeight="false" outlineLevel="0" collapsed="false">
      <c r="A605" s="8" t="s">
        <v>26</v>
      </c>
      <c r="B605" s="8" t="s">
        <v>41</v>
      </c>
      <c r="C605" s="8" t="s">
        <v>60</v>
      </c>
      <c r="D605" s="21" t="n">
        <v>46021.3784722222</v>
      </c>
      <c r="E605" s="21" t="n">
        <v>46022.3784722222</v>
      </c>
      <c r="F605" s="22" t="n">
        <f aca="false">DATE(YEAR(E605),MONTH(E605),1)</f>
        <v>45992</v>
      </c>
      <c r="G605" s="23" t="n">
        <v>261990</v>
      </c>
      <c r="H605" s="8" t="s">
        <v>61</v>
      </c>
      <c r="I605" s="24" t="n">
        <v>2239.03</v>
      </c>
      <c r="J605" s="25" t="n">
        <f aca="false">Summary!$B$4</f>
        <v>1</v>
      </c>
      <c r="K605" s="11" t="n">
        <f aca="false">I605*J605*IF(A605="SILVER",Summary!$B$5,Summary!$B$6)</f>
        <v>67170.9</v>
      </c>
      <c r="L605" s="26" t="n">
        <v>0.25</v>
      </c>
      <c r="M605" s="27" t="n">
        <f aca="false">IF(K605&gt;0,1,0)</f>
        <v>1</v>
      </c>
      <c r="N605" s="11" t="n">
        <f aca="false">SUMIFS(K$2:K605,A$2:A605,A605,B$2:B605,B605)</f>
        <v>2299456.8</v>
      </c>
      <c r="O605" s="11" t="n">
        <f aca="false">MAX(0,_xlfn.MAXIFS(N$2:N605,A$2:A605,A605,B$2:B605,B605))</f>
        <v>2299456.8</v>
      </c>
      <c r="P605" s="11" t="n">
        <f aca="false">N605-O605</f>
        <v>0</v>
      </c>
    </row>
    <row r="606" customFormat="false" ht="15" hidden="false" customHeight="false" outlineLevel="0" collapsed="false">
      <c r="A606" s="8" t="s">
        <v>26</v>
      </c>
      <c r="B606" s="8" t="s">
        <v>41</v>
      </c>
      <c r="C606" s="8" t="s">
        <v>60</v>
      </c>
      <c r="D606" s="21" t="n">
        <v>46022.8055555556</v>
      </c>
      <c r="E606" s="21" t="n">
        <v>46022.8659722222</v>
      </c>
      <c r="F606" s="22" t="n">
        <f aca="false">DATE(YEAR(E606),MONTH(E606),1)</f>
        <v>45992</v>
      </c>
      <c r="G606" s="23" t="n">
        <v>265734</v>
      </c>
      <c r="H606" s="8" t="s">
        <v>64</v>
      </c>
      <c r="I606" s="24" t="n">
        <v>466.17</v>
      </c>
      <c r="J606" s="25" t="n">
        <f aca="false">Summary!$B$4</f>
        <v>1</v>
      </c>
      <c r="K606" s="11" t="n">
        <f aca="false">I606*J606*IF(A606="SILVER",Summary!$B$5,Summary!$B$6)</f>
        <v>13985.1</v>
      </c>
      <c r="L606" s="26" t="n">
        <v>0.089</v>
      </c>
      <c r="M606" s="27" t="n">
        <f aca="false">IF(K606&gt;0,1,0)</f>
        <v>1</v>
      </c>
      <c r="N606" s="11" t="n">
        <f aca="false">SUMIFS(K$2:K606,A$2:A606,A606,B$2:B606,B606)</f>
        <v>2313441.9</v>
      </c>
      <c r="O606" s="11" t="n">
        <f aca="false">MAX(0,_xlfn.MAXIFS(N$2:N606,A$2:A606,A606,B$2:B606,B606))</f>
        <v>2313441.9</v>
      </c>
      <c r="P606" s="11" t="n">
        <f aca="false">N606-O606</f>
        <v>0</v>
      </c>
    </row>
    <row r="607" customFormat="false" ht="15" hidden="false" customHeight="false" outlineLevel="0" collapsed="false">
      <c r="A607" s="8" t="s">
        <v>26</v>
      </c>
      <c r="B607" s="8" t="s">
        <v>41</v>
      </c>
      <c r="C607" s="8" t="s">
        <v>60</v>
      </c>
      <c r="D607" s="21" t="n">
        <v>46023.6145833333</v>
      </c>
      <c r="E607" s="21" t="n">
        <v>46024.7326388889</v>
      </c>
      <c r="F607" s="22" t="n">
        <f aca="false">DATE(YEAR(E607),MONTH(E607),1)</f>
        <v>46023</v>
      </c>
      <c r="G607" s="23" t="n">
        <v>264634</v>
      </c>
      <c r="H607" s="8" t="s">
        <v>61</v>
      </c>
      <c r="I607" s="24" t="n">
        <v>6648.08</v>
      </c>
      <c r="J607" s="25" t="n">
        <f aca="false">Summary!$B$4</f>
        <v>1</v>
      </c>
      <c r="K607" s="11" t="n">
        <f aca="false">I607*J607*IF(A607="SILVER",Summary!$B$5,Summary!$B$6)</f>
        <v>199442.4</v>
      </c>
      <c r="L607" s="26" t="n">
        <v>3.585</v>
      </c>
      <c r="M607" s="27" t="n">
        <f aca="false">IF(K607&gt;0,1,0)</f>
        <v>1</v>
      </c>
      <c r="N607" s="11" t="n">
        <f aca="false">SUMIFS(K$2:K607,A$2:A607,A607,B$2:B607,B607)</f>
        <v>2512884.3</v>
      </c>
      <c r="O607" s="11" t="n">
        <f aca="false">MAX(0,_xlfn.MAXIFS(N$2:N607,A$2:A607,A607,B$2:B607,B607))</f>
        <v>2512884.3</v>
      </c>
      <c r="P607" s="11" t="n">
        <f aca="false">N607-O607</f>
        <v>0</v>
      </c>
    </row>
    <row r="608" customFormat="false" ht="15" hidden="false" customHeight="false" outlineLevel="0" collapsed="false">
      <c r="A608" s="8" t="s">
        <v>26</v>
      </c>
      <c r="B608" s="8" t="s">
        <v>41</v>
      </c>
      <c r="C608" s="8" t="s">
        <v>60</v>
      </c>
      <c r="D608" s="21" t="n">
        <v>46027.3784722222</v>
      </c>
      <c r="E608" s="21" t="n">
        <v>46027.7013888889</v>
      </c>
      <c r="F608" s="22" t="n">
        <f aca="false">DATE(YEAR(E608),MONTH(E608),1)</f>
        <v>46023</v>
      </c>
      <c r="G608" s="23" t="n">
        <v>272244</v>
      </c>
      <c r="H608" s="8" t="s">
        <v>61</v>
      </c>
      <c r="I608" s="24" t="n">
        <v>-868.72</v>
      </c>
      <c r="J608" s="25" t="n">
        <f aca="false">Summary!$B$4</f>
        <v>1</v>
      </c>
      <c r="K608" s="11" t="n">
        <f aca="false">I608*J608*IF(A608="SILVER",Summary!$B$5,Summary!$B$6)</f>
        <v>-26061.6</v>
      </c>
      <c r="L608" s="26" t="n">
        <v>-0.167</v>
      </c>
      <c r="M608" s="27" t="n">
        <f aca="false">IF(K608&gt;0,1,0)</f>
        <v>0</v>
      </c>
      <c r="N608" s="11" t="n">
        <f aca="false">SUMIFS(K$2:K608,A$2:A608,A608,B$2:B608,B608)</f>
        <v>2486822.7</v>
      </c>
      <c r="O608" s="11" t="n">
        <f aca="false">MAX(0,_xlfn.MAXIFS(N$2:N608,A$2:A608,A608,B$2:B608,B608))</f>
        <v>2512884.3</v>
      </c>
      <c r="P608" s="11" t="n">
        <f aca="false">N608-O608</f>
        <v>-26061.5999999996</v>
      </c>
    </row>
    <row r="609" customFormat="false" ht="15" hidden="false" customHeight="false" outlineLevel="0" collapsed="false">
      <c r="A609" s="8" t="s">
        <v>26</v>
      </c>
      <c r="B609" s="8" t="s">
        <v>41</v>
      </c>
      <c r="C609" s="8" t="s">
        <v>60</v>
      </c>
      <c r="D609" s="21" t="n">
        <v>46027.8159722222</v>
      </c>
      <c r="E609" s="21" t="n">
        <v>46028.6458333333</v>
      </c>
      <c r="F609" s="22" t="n">
        <f aca="false">DATE(YEAR(E609),MONTH(E609),1)</f>
        <v>46023</v>
      </c>
      <c r="G609" s="23" t="n">
        <v>272950</v>
      </c>
      <c r="H609" s="8" t="s">
        <v>61</v>
      </c>
      <c r="I609" s="24" t="n">
        <v>3746.7</v>
      </c>
      <c r="J609" s="25" t="n">
        <f aca="false">Summary!$B$4</f>
        <v>1</v>
      </c>
      <c r="K609" s="11" t="n">
        <f aca="false">I609*J609*IF(A609="SILVER",Summary!$B$5,Summary!$B$6)</f>
        <v>112401</v>
      </c>
      <c r="L609" s="26" t="n">
        <v>0.948</v>
      </c>
      <c r="M609" s="27" t="n">
        <f aca="false">IF(K609&gt;0,1,0)</f>
        <v>1</v>
      </c>
      <c r="N609" s="11" t="n">
        <f aca="false">SUMIFS(K$2:K609,A$2:A609,A609,B$2:B609,B609)</f>
        <v>2599223.7</v>
      </c>
      <c r="O609" s="11" t="n">
        <f aca="false">MAX(0,_xlfn.MAXIFS(N$2:N609,A$2:A609,A609,B$2:B609,B609))</f>
        <v>2599223.7</v>
      </c>
      <c r="P609" s="11" t="n">
        <f aca="false">N609-O609</f>
        <v>0</v>
      </c>
    </row>
    <row r="610" customFormat="false" ht="15" hidden="false" customHeight="false" outlineLevel="0" collapsed="false">
      <c r="A610" s="8" t="s">
        <v>26</v>
      </c>
      <c r="B610" s="8" t="s">
        <v>41</v>
      </c>
      <c r="C610" s="8" t="s">
        <v>60</v>
      </c>
      <c r="D610" s="21" t="n">
        <v>46028.7118055556</v>
      </c>
      <c r="E610" s="21" t="n">
        <v>46029.3993055556</v>
      </c>
      <c r="F610" s="22" t="n">
        <f aca="false">DATE(YEAR(E610),MONTH(E610),1)</f>
        <v>46023</v>
      </c>
      <c r="G610" s="23" t="n">
        <v>278285</v>
      </c>
      <c r="H610" s="8" t="s">
        <v>61</v>
      </c>
      <c r="I610" s="24" t="n">
        <v>4799.48</v>
      </c>
      <c r="J610" s="25" t="n">
        <f aca="false">Summary!$B$4</f>
        <v>1</v>
      </c>
      <c r="K610" s="11" t="n">
        <f aca="false">I610*J610*IF(A610="SILVER",Summary!$B$5,Summary!$B$6)</f>
        <v>143984.4</v>
      </c>
      <c r="L610" s="26" t="n">
        <v>1.827</v>
      </c>
      <c r="M610" s="27" t="n">
        <f aca="false">IF(K610&gt;0,1,0)</f>
        <v>1</v>
      </c>
      <c r="N610" s="11" t="n">
        <f aca="false">SUMIFS(K$2:K610,A$2:A610,A610,B$2:B610,B610)</f>
        <v>2743208.1</v>
      </c>
      <c r="O610" s="11" t="n">
        <f aca="false">MAX(0,_xlfn.MAXIFS(N$2:N610,A$2:A610,A610,B$2:B610,B610))</f>
        <v>2743208.1</v>
      </c>
      <c r="P610" s="11" t="n">
        <f aca="false">N610-O610</f>
        <v>0</v>
      </c>
    </row>
    <row r="611" customFormat="false" ht="15" hidden="false" customHeight="false" outlineLevel="0" collapsed="false">
      <c r="A611" s="8" t="s">
        <v>26</v>
      </c>
      <c r="B611" s="8" t="s">
        <v>41</v>
      </c>
      <c r="C611" s="8" t="s">
        <v>60</v>
      </c>
      <c r="D611" s="21" t="n">
        <v>46029.9375</v>
      </c>
      <c r="E611" s="21" t="n">
        <v>46030.4409722222</v>
      </c>
      <c r="F611" s="22" t="n">
        <f aca="false">DATE(YEAR(E611),MONTH(E611),1)</f>
        <v>46023</v>
      </c>
      <c r="G611" s="23" t="n">
        <v>281027</v>
      </c>
      <c r="H611" s="8" t="s">
        <v>61</v>
      </c>
      <c r="I611" s="24" t="n">
        <v>-5188.02</v>
      </c>
      <c r="J611" s="25" t="n">
        <f aca="false">Summary!$B$4</f>
        <v>1</v>
      </c>
      <c r="K611" s="11" t="n">
        <f aca="false">I611*J611*IF(A611="SILVER",Summary!$B$5,Summary!$B$6)</f>
        <v>-155640.6</v>
      </c>
      <c r="L611" s="26" t="n">
        <v>-0.884</v>
      </c>
      <c r="M611" s="27" t="n">
        <f aca="false">IF(K611&gt;0,1,0)</f>
        <v>0</v>
      </c>
      <c r="N611" s="11" t="n">
        <f aca="false">SUMIFS(K$2:K611,A$2:A611,A611,B$2:B611,B611)</f>
        <v>2587567.5</v>
      </c>
      <c r="O611" s="11" t="n">
        <f aca="false">MAX(0,_xlfn.MAXIFS(N$2:N611,A$2:A611,A611,B$2:B611,B611))</f>
        <v>2743208.1</v>
      </c>
      <c r="P611" s="11" t="n">
        <f aca="false">N611-O611</f>
        <v>-155640.6</v>
      </c>
    </row>
    <row r="612" customFormat="false" ht="15" hidden="false" customHeight="false" outlineLevel="0" collapsed="false">
      <c r="A612" s="8" t="s">
        <v>26</v>
      </c>
      <c r="B612" s="8" t="s">
        <v>41</v>
      </c>
      <c r="C612" s="8" t="s">
        <v>60</v>
      </c>
      <c r="D612" s="21" t="n">
        <v>46030.8680555556</v>
      </c>
      <c r="E612" s="21" t="n">
        <v>46031.71875</v>
      </c>
      <c r="F612" s="22" t="n">
        <f aca="false">DATE(YEAR(E612),MONTH(E612),1)</f>
        <v>46023</v>
      </c>
      <c r="G612" s="23" t="n">
        <v>269634</v>
      </c>
      <c r="H612" s="8" t="s">
        <v>61</v>
      </c>
      <c r="I612" s="24" t="n">
        <v>5596.19</v>
      </c>
      <c r="J612" s="25" t="n">
        <f aca="false">Summary!$B$4</f>
        <v>1</v>
      </c>
      <c r="K612" s="11" t="n">
        <f aca="false">I612*J612*IF(A612="SILVER",Summary!$B$5,Summary!$B$6)</f>
        <v>167885.7</v>
      </c>
      <c r="L612" s="26" t="n">
        <v>1.061</v>
      </c>
      <c r="M612" s="27" t="n">
        <f aca="false">IF(K612&gt;0,1,0)</f>
        <v>1</v>
      </c>
      <c r="N612" s="11" t="n">
        <f aca="false">SUMIFS(K$2:K612,A$2:A612,A612,B$2:B612,B612)</f>
        <v>2755453.2</v>
      </c>
      <c r="O612" s="11" t="n">
        <f aca="false">MAX(0,_xlfn.MAXIFS(N$2:N612,A$2:A612,A612,B$2:B612,B612))</f>
        <v>2755453.2</v>
      </c>
      <c r="P612" s="11" t="n">
        <f aca="false">N612-O612</f>
        <v>0</v>
      </c>
    </row>
    <row r="613" customFormat="false" ht="15" hidden="false" customHeight="false" outlineLevel="0" collapsed="false">
      <c r="A613" s="8" t="s">
        <v>26</v>
      </c>
      <c r="B613" s="8" t="s">
        <v>41</v>
      </c>
      <c r="C613" s="8" t="s">
        <v>60</v>
      </c>
      <c r="D613" s="21" t="n">
        <v>46031.7361111111</v>
      </c>
      <c r="E613" s="21" t="n">
        <v>46034.8333333333</v>
      </c>
      <c r="F613" s="22" t="n">
        <f aca="false">DATE(YEAR(E613),MONTH(E613),1)</f>
        <v>46023</v>
      </c>
      <c r="G613" s="23" t="n">
        <v>277834</v>
      </c>
      <c r="H613" s="8" t="s">
        <v>61</v>
      </c>
      <c r="I613" s="24" t="n">
        <v>15533.52</v>
      </c>
      <c r="J613" s="25" t="n">
        <f aca="false">Summary!$B$4</f>
        <v>1</v>
      </c>
      <c r="K613" s="11" t="n">
        <f aca="false">I613*J613*IF(A613="SILVER",Summary!$B$5,Summary!$B$6)</f>
        <v>466005.6</v>
      </c>
      <c r="L613" s="26" t="n">
        <v>4.482</v>
      </c>
      <c r="M613" s="27" t="n">
        <f aca="false">IF(K613&gt;0,1,0)</f>
        <v>1</v>
      </c>
      <c r="N613" s="11" t="n">
        <f aca="false">SUMIFS(K$2:K613,A$2:A613,A613,B$2:B613,B613)</f>
        <v>3221458.8</v>
      </c>
      <c r="O613" s="11" t="n">
        <f aca="false">MAX(0,_xlfn.MAXIFS(N$2:N613,A$2:A613,A613,B$2:B613,B613))</f>
        <v>3221458.8</v>
      </c>
      <c r="P613" s="11" t="n">
        <f aca="false">N613-O613</f>
        <v>0</v>
      </c>
    </row>
    <row r="614" customFormat="false" ht="15" hidden="false" customHeight="false" outlineLevel="0" collapsed="false">
      <c r="A614" s="8" t="s">
        <v>26</v>
      </c>
      <c r="B614" s="8" t="s">
        <v>41</v>
      </c>
      <c r="C614" s="8" t="s">
        <v>60</v>
      </c>
      <c r="D614" s="21" t="n">
        <v>46034.9097222222</v>
      </c>
      <c r="E614" s="21" t="n">
        <v>46035.5069444445</v>
      </c>
      <c r="F614" s="22" t="n">
        <f aca="false">DATE(YEAR(E614),MONTH(E614),1)</f>
        <v>46023</v>
      </c>
      <c r="G614" s="23" t="n">
        <v>298503</v>
      </c>
      <c r="H614" s="8" t="s">
        <v>61</v>
      </c>
      <c r="I614" s="24" t="n">
        <v>-2632.79</v>
      </c>
      <c r="J614" s="25" t="n">
        <f aca="false">Summary!$B$4</f>
        <v>1</v>
      </c>
      <c r="K614" s="11" t="n">
        <f aca="false">I614*J614*IF(A614="SILVER",Summary!$B$5,Summary!$B$6)</f>
        <v>-78983.7</v>
      </c>
      <c r="L614" s="26" t="n">
        <v>-0.523</v>
      </c>
      <c r="M614" s="27" t="n">
        <f aca="false">IF(K614&gt;0,1,0)</f>
        <v>0</v>
      </c>
      <c r="N614" s="11" t="n">
        <f aca="false">SUMIFS(K$2:K614,A$2:A614,A614,B$2:B614,B614)</f>
        <v>3142475.1</v>
      </c>
      <c r="O614" s="11" t="n">
        <f aca="false">MAX(0,_xlfn.MAXIFS(N$2:N614,A$2:A614,A614,B$2:B614,B614))</f>
        <v>3221458.8</v>
      </c>
      <c r="P614" s="11" t="n">
        <f aca="false">N614-O614</f>
        <v>-78983.6999999997</v>
      </c>
    </row>
    <row r="615" customFormat="false" ht="15" hidden="false" customHeight="false" outlineLevel="0" collapsed="false">
      <c r="A615" s="8" t="s">
        <v>26</v>
      </c>
      <c r="B615" s="8" t="s">
        <v>41</v>
      </c>
      <c r="C615" s="8" t="s">
        <v>60</v>
      </c>
      <c r="D615" s="21" t="n">
        <v>46035.7743055556</v>
      </c>
      <c r="E615" s="21" t="n">
        <v>46035.9826388889</v>
      </c>
      <c r="F615" s="22" t="n">
        <f aca="false">DATE(YEAR(E615),MONTH(E615),1)</f>
        <v>46023</v>
      </c>
      <c r="G615" s="23" t="n">
        <v>300161</v>
      </c>
      <c r="H615" s="8" t="s">
        <v>61</v>
      </c>
      <c r="I615" s="24" t="n">
        <v>2608.36</v>
      </c>
      <c r="J615" s="25" t="n">
        <f aca="false">Summary!$B$4</f>
        <v>1</v>
      </c>
      <c r="K615" s="11" t="n">
        <f aca="false">I615*J615*IF(A615="SILVER",Summary!$B$5,Summary!$B$6)</f>
        <v>78250.8</v>
      </c>
      <c r="L615" s="26" t="n">
        <v>0.934</v>
      </c>
      <c r="M615" s="27" t="n">
        <f aca="false">IF(K615&gt;0,1,0)</f>
        <v>1</v>
      </c>
      <c r="N615" s="11" t="n">
        <f aca="false">SUMIFS(K$2:K615,A$2:A615,A615,B$2:B615,B615)</f>
        <v>3220725.9</v>
      </c>
      <c r="O615" s="11" t="n">
        <f aca="false">MAX(0,_xlfn.MAXIFS(N$2:N615,A$2:A615,A615,B$2:B615,B615))</f>
        <v>3221458.8</v>
      </c>
      <c r="P615" s="11" t="n">
        <f aca="false">N615-O615</f>
        <v>-732.899999999907</v>
      </c>
    </row>
    <row r="616" customFormat="false" ht="15" hidden="false" customHeight="false" outlineLevel="0" collapsed="false">
      <c r="A616" s="8" t="s">
        <v>26</v>
      </c>
      <c r="B616" s="8" t="s">
        <v>41</v>
      </c>
      <c r="C616" s="8" t="s">
        <v>60</v>
      </c>
      <c r="D616" s="21" t="n">
        <v>46036.3784722222</v>
      </c>
      <c r="E616" s="21" t="n">
        <v>46036.8402777778</v>
      </c>
      <c r="F616" s="22" t="n">
        <f aca="false">DATE(YEAR(E616),MONTH(E616),1)</f>
        <v>46023</v>
      </c>
      <c r="G616" s="23" t="n">
        <v>310338</v>
      </c>
      <c r="H616" s="8" t="s">
        <v>61</v>
      </c>
      <c r="I616" s="24" t="n">
        <v>4579.13</v>
      </c>
      <c r="J616" s="25" t="n">
        <f aca="false">Summary!$B$4</f>
        <v>1</v>
      </c>
      <c r="K616" s="11" t="n">
        <f aca="false">I616*J616*IF(A616="SILVER",Summary!$B$5,Summary!$B$6)</f>
        <v>137373.9</v>
      </c>
      <c r="L616" s="26" t="n">
        <v>0.535</v>
      </c>
      <c r="M616" s="27" t="n">
        <f aca="false">IF(K616&gt;0,1,0)</f>
        <v>1</v>
      </c>
      <c r="N616" s="11" t="n">
        <f aca="false">SUMIFS(K$2:K616,A$2:A616,A616,B$2:B616,B616)</f>
        <v>3358099.8</v>
      </c>
      <c r="O616" s="11" t="n">
        <f aca="false">MAX(0,_xlfn.MAXIFS(N$2:N616,A$2:A616,A616,B$2:B616,B616))</f>
        <v>3358099.8</v>
      </c>
      <c r="P616" s="11" t="n">
        <f aca="false">N616-O616</f>
        <v>0</v>
      </c>
    </row>
    <row r="617" customFormat="false" ht="15" hidden="false" customHeight="false" outlineLevel="0" collapsed="false">
      <c r="A617" s="8" t="s">
        <v>26</v>
      </c>
      <c r="B617" s="8" t="s">
        <v>41</v>
      </c>
      <c r="C617" s="8" t="s">
        <v>60</v>
      </c>
      <c r="D617" s="21" t="n">
        <v>46037.8506944445</v>
      </c>
      <c r="E617" s="21" t="n">
        <v>46038.375</v>
      </c>
      <c r="F617" s="22" t="n">
        <f aca="false">DATE(YEAR(E617),MONTH(E617),1)</f>
        <v>46023</v>
      </c>
      <c r="G617" s="23" t="n">
        <v>315353</v>
      </c>
      <c r="H617" s="8" t="s">
        <v>64</v>
      </c>
      <c r="I617" s="24" t="n">
        <v>40.74</v>
      </c>
      <c r="J617" s="25" t="n">
        <f aca="false">Summary!$B$4</f>
        <v>1</v>
      </c>
      <c r="K617" s="11" t="n">
        <f aca="false">I617*J617*IF(A617="SILVER",Summary!$B$5,Summary!$B$6)</f>
        <v>1222.2</v>
      </c>
      <c r="L617" s="26" t="n">
        <v>0.004</v>
      </c>
      <c r="M617" s="27" t="n">
        <f aca="false">IF(K617&gt;0,1,0)</f>
        <v>1</v>
      </c>
      <c r="N617" s="11" t="n">
        <f aca="false">SUMIFS(K$2:K617,A$2:A617,A617,B$2:B617,B617)</f>
        <v>3359322</v>
      </c>
      <c r="O617" s="11" t="n">
        <f aca="false">MAX(0,_xlfn.MAXIFS(N$2:N617,A$2:A617,A617,B$2:B617,B617))</f>
        <v>3359322</v>
      </c>
      <c r="P617" s="11" t="n">
        <f aca="false">N617-O617</f>
        <v>0</v>
      </c>
    </row>
    <row r="618" customFormat="false" ht="15" hidden="false" customHeight="false" outlineLevel="0" collapsed="false">
      <c r="A618" s="8" t="s">
        <v>26</v>
      </c>
      <c r="B618" s="8" t="s">
        <v>41</v>
      </c>
      <c r="C618" s="8" t="s">
        <v>60</v>
      </c>
      <c r="D618" s="21" t="n">
        <v>46041.3784722222</v>
      </c>
      <c r="E618" s="21" t="n">
        <v>46042.6180555556</v>
      </c>
      <c r="F618" s="22" t="n">
        <f aca="false">DATE(YEAR(E618),MONTH(E618),1)</f>
        <v>46023</v>
      </c>
      <c r="G618" s="23" t="n">
        <v>326614</v>
      </c>
      <c r="H618" s="8" t="s">
        <v>61</v>
      </c>
      <c r="I618" s="24" t="n">
        <v>17648.53</v>
      </c>
      <c r="J618" s="25" t="n">
        <f aca="false">Summary!$B$4</f>
        <v>1</v>
      </c>
      <c r="K618" s="11" t="n">
        <f aca="false">I618*J618*IF(A618="SILVER",Summary!$B$5,Summary!$B$6)</f>
        <v>529455.9</v>
      </c>
      <c r="L618" s="26" t="n">
        <v>1.862</v>
      </c>
      <c r="M618" s="27" t="n">
        <f aca="false">IF(K618&gt;0,1,0)</f>
        <v>1</v>
      </c>
      <c r="N618" s="11" t="n">
        <f aca="false">SUMIFS(K$2:K618,A$2:A618,A618,B$2:B618,B618)</f>
        <v>3888777.9</v>
      </c>
      <c r="O618" s="11" t="n">
        <f aca="false">MAX(0,_xlfn.MAXIFS(N$2:N618,A$2:A618,A618,B$2:B618,B618))</f>
        <v>3888777.9</v>
      </c>
      <c r="P618" s="11" t="n">
        <f aca="false">N618-O618</f>
        <v>0</v>
      </c>
    </row>
    <row r="619" customFormat="false" ht="15" hidden="false" customHeight="false" outlineLevel="0" collapsed="false">
      <c r="A619" s="8" t="s">
        <v>26</v>
      </c>
      <c r="B619" s="8" t="s">
        <v>41</v>
      </c>
      <c r="C619" s="8" t="s">
        <v>60</v>
      </c>
      <c r="D619" s="21" t="n">
        <v>46043.40625</v>
      </c>
      <c r="E619" s="21" t="n">
        <v>46043.7430555556</v>
      </c>
      <c r="F619" s="22" t="n">
        <f aca="false">DATE(YEAR(E619),MONTH(E619),1)</f>
        <v>46023</v>
      </c>
      <c r="G619" s="23" t="n">
        <v>355084</v>
      </c>
      <c r="H619" s="8" t="s">
        <v>61</v>
      </c>
      <c r="I619" s="24" t="n">
        <v>3407.27</v>
      </c>
      <c r="J619" s="25" t="n">
        <f aca="false">Summary!$B$4</f>
        <v>1</v>
      </c>
      <c r="K619" s="11" t="n">
        <f aca="false">I619*J619*IF(A619="SILVER",Summary!$B$5,Summary!$B$6)</f>
        <v>102218.1</v>
      </c>
      <c r="L619" s="26" t="n">
        <v>0.493</v>
      </c>
      <c r="M619" s="27" t="n">
        <f aca="false">IF(K619&gt;0,1,0)</f>
        <v>1</v>
      </c>
      <c r="N619" s="11" t="n">
        <f aca="false">SUMIFS(K$2:K619,A$2:A619,A619,B$2:B619,B619)</f>
        <v>3990996</v>
      </c>
      <c r="O619" s="11" t="n">
        <f aca="false">MAX(0,_xlfn.MAXIFS(N$2:N619,A$2:A619,A619,B$2:B619,B619))</f>
        <v>3990996</v>
      </c>
      <c r="P619" s="11" t="n">
        <f aca="false">N619-O619</f>
        <v>0</v>
      </c>
    </row>
    <row r="620" customFormat="false" ht="15" hidden="false" customHeight="false" outlineLevel="0" collapsed="false">
      <c r="A620" s="8" t="s">
        <v>26</v>
      </c>
      <c r="B620" s="8" t="s">
        <v>41</v>
      </c>
      <c r="C620" s="8" t="s">
        <v>60</v>
      </c>
      <c r="D620" s="21" t="n">
        <v>46044.875</v>
      </c>
      <c r="E620" s="21" t="n">
        <v>46045.6284722222</v>
      </c>
      <c r="F620" s="22" t="n">
        <f aca="false">DATE(YEAR(E620),MONTH(E620),1)</f>
        <v>46023</v>
      </c>
      <c r="G620" s="23" t="n">
        <v>341413</v>
      </c>
      <c r="H620" s="8" t="s">
        <v>61</v>
      </c>
      <c r="I620" s="24" t="n">
        <v>16213.73</v>
      </c>
      <c r="J620" s="25" t="n">
        <f aca="false">Summary!$B$4</f>
        <v>1</v>
      </c>
      <c r="K620" s="11" t="n">
        <f aca="false">I620*J620*IF(A620="SILVER",Summary!$B$5,Summary!$B$6)</f>
        <v>486411.9</v>
      </c>
      <c r="L620" s="26" t="n">
        <v>1.874</v>
      </c>
      <c r="M620" s="27" t="n">
        <f aca="false">IF(K620&gt;0,1,0)</f>
        <v>1</v>
      </c>
      <c r="N620" s="11" t="n">
        <f aca="false">SUMIFS(K$2:K620,A$2:A620,A620,B$2:B620,B620)</f>
        <v>4477407.9</v>
      </c>
      <c r="O620" s="11" t="n">
        <f aca="false">MAX(0,_xlfn.MAXIFS(N$2:N620,A$2:A620,A620,B$2:B620,B620))</f>
        <v>4477407.9</v>
      </c>
      <c r="P620" s="11" t="n">
        <f aca="false">N620-O620</f>
        <v>0</v>
      </c>
    </row>
    <row r="621" customFormat="false" ht="15" hidden="false" customHeight="false" outlineLevel="0" collapsed="false">
      <c r="A621" s="8" t="s">
        <v>26</v>
      </c>
      <c r="B621" s="8" t="s">
        <v>41</v>
      </c>
      <c r="C621" s="8" t="s">
        <v>60</v>
      </c>
      <c r="D621" s="21" t="n">
        <v>46045.7638888889</v>
      </c>
      <c r="E621" s="21" t="n">
        <v>46049.8263888889</v>
      </c>
      <c r="F621" s="22" t="n">
        <f aca="false">DATE(YEAR(E621),MONTH(E621),1)</f>
        <v>46023</v>
      </c>
      <c r="G621" s="23" t="n">
        <v>363913</v>
      </c>
      <c r="H621" s="8" t="s">
        <v>61</v>
      </c>
      <c r="I621" s="24" t="n">
        <v>21494.73</v>
      </c>
      <c r="J621" s="25" t="n">
        <f aca="false">Summary!$B$4</f>
        <v>1</v>
      </c>
      <c r="K621" s="11" t="n">
        <f aca="false">I621*J621*IF(A621="SILVER",Summary!$B$5,Summary!$B$6)</f>
        <v>644841.9</v>
      </c>
      <c r="L621" s="26" t="n">
        <v>4.678</v>
      </c>
      <c r="M621" s="27" t="n">
        <f aca="false">IF(K621&gt;0,1,0)</f>
        <v>1</v>
      </c>
      <c r="N621" s="11" t="n">
        <f aca="false">SUMIFS(K$2:K621,A$2:A621,A621,B$2:B621,B621)</f>
        <v>5122249.8</v>
      </c>
      <c r="O621" s="11" t="n">
        <f aca="false">MAX(0,_xlfn.MAXIFS(N$2:N621,A$2:A621,A621,B$2:B621,B621))</f>
        <v>5122249.8</v>
      </c>
      <c r="P621" s="11" t="n">
        <f aca="false">N621-O621</f>
        <v>0</v>
      </c>
    </row>
    <row r="622" customFormat="false" ht="15" hidden="false" customHeight="false" outlineLevel="0" collapsed="false">
      <c r="A622" s="8" t="s">
        <v>26</v>
      </c>
      <c r="B622" s="8" t="s">
        <v>41</v>
      </c>
      <c r="C622" s="8" t="s">
        <v>60</v>
      </c>
      <c r="D622" s="21" t="n">
        <v>46050.3784722222</v>
      </c>
      <c r="E622" s="21" t="n">
        <v>46051.8611111111</v>
      </c>
      <c r="F622" s="22" t="n">
        <f aca="false">DATE(YEAR(E622),MONTH(E622),1)</f>
        <v>46023</v>
      </c>
      <c r="G622" s="23" t="n">
        <v>403441</v>
      </c>
      <c r="H622" s="8" t="s">
        <v>61</v>
      </c>
      <c r="I622" s="24" t="n">
        <v>38832.09</v>
      </c>
      <c r="J622" s="25" t="n">
        <f aca="false">Summary!$B$4</f>
        <v>1</v>
      </c>
      <c r="K622" s="11" t="n">
        <f aca="false">I622*J622*IF(A622="SILVER",Summary!$B$5,Summary!$B$6)</f>
        <v>1164962.7</v>
      </c>
      <c r="L622" s="26" t="n">
        <v>2.107</v>
      </c>
      <c r="M622" s="27" t="n">
        <f aca="false">IF(K622&gt;0,1,0)</f>
        <v>1</v>
      </c>
      <c r="N622" s="11" t="n">
        <f aca="false">SUMIFS(K$2:K622,A$2:A622,A622,B$2:B622,B622)</f>
        <v>6287212.5</v>
      </c>
      <c r="O622" s="11" t="n">
        <f aca="false">MAX(0,_xlfn.MAXIFS(N$2:N622,A$2:A622,A622,B$2:B622,B622))</f>
        <v>6287212.5</v>
      </c>
      <c r="P622" s="11" t="n">
        <f aca="false">N622-O622</f>
        <v>0</v>
      </c>
    </row>
    <row r="623" customFormat="false" ht="15" hidden="false" customHeight="false" outlineLevel="0" collapsed="false">
      <c r="A623" s="8" t="s">
        <v>26</v>
      </c>
      <c r="B623" s="8" t="s">
        <v>41</v>
      </c>
      <c r="C623" s="8" t="s">
        <v>60</v>
      </c>
      <c r="D623" s="21" t="n">
        <v>46052.6840277778</v>
      </c>
      <c r="E623" s="21" t="n">
        <v>46052.7708333333</v>
      </c>
      <c r="F623" s="22" t="n">
        <f aca="false">DATE(YEAR(E623),MONTH(E623),1)</f>
        <v>46023</v>
      </c>
      <c r="G623" s="23" t="n">
        <v>380897</v>
      </c>
      <c r="H623" s="8" t="s">
        <v>61</v>
      </c>
      <c r="I623" s="24" t="n">
        <v>-14615.11</v>
      </c>
      <c r="J623" s="25" t="n">
        <f aca="false">Summary!$B$4</f>
        <v>1</v>
      </c>
      <c r="K623" s="11" t="n">
        <f aca="false">I623*J623*IF(A623="SILVER",Summary!$B$5,Summary!$B$6)</f>
        <v>-438453.3</v>
      </c>
      <c r="L623" s="26" t="n">
        <v>-0.634</v>
      </c>
      <c r="M623" s="27" t="n">
        <f aca="false">IF(K623&gt;0,1,0)</f>
        <v>0</v>
      </c>
      <c r="N623" s="11" t="n">
        <f aca="false">SUMIFS(K$2:K623,A$2:A623,A623,B$2:B623,B623)</f>
        <v>5848759.2</v>
      </c>
      <c r="O623" s="11" t="n">
        <f aca="false">MAX(0,_xlfn.MAXIFS(N$2:N623,A$2:A623,A623,B$2:B623,B623))</f>
        <v>6287212.5</v>
      </c>
      <c r="P623" s="11" t="n">
        <f aca="false">N623-O623</f>
        <v>-438453.3</v>
      </c>
    </row>
    <row r="624" customFormat="false" ht="15" hidden="false" customHeight="false" outlineLevel="0" collapsed="false">
      <c r="A624" s="8" t="s">
        <v>26</v>
      </c>
      <c r="B624" s="8" t="s">
        <v>41</v>
      </c>
      <c r="C624" s="8" t="s">
        <v>62</v>
      </c>
      <c r="D624" s="21" t="n">
        <v>46055.8715277778</v>
      </c>
      <c r="E624" s="21" t="n">
        <v>46055.9034722222</v>
      </c>
      <c r="F624" s="22" t="n">
        <f aca="false">DATE(YEAR(E624),MONTH(E624),1)</f>
        <v>46054</v>
      </c>
      <c r="G624" s="23" t="n">
        <v>271201</v>
      </c>
      <c r="H624" s="8" t="s">
        <v>64</v>
      </c>
      <c r="I624" s="24" t="n">
        <v>2194.02</v>
      </c>
      <c r="J624" s="25" t="n">
        <f aca="false">Summary!$B$4</f>
        <v>1</v>
      </c>
      <c r="K624" s="11" t="n">
        <f aca="false">I624*J624*IF(A624="SILVER",Summary!$B$5,Summary!$B$6)</f>
        <v>65820.6</v>
      </c>
      <c r="L624" s="26" t="n">
        <v>0.097</v>
      </c>
      <c r="M624" s="27" t="n">
        <f aca="false">IF(K624&gt;0,1,0)</f>
        <v>1</v>
      </c>
      <c r="N624" s="11" t="n">
        <f aca="false">SUMIFS(K$2:K624,A$2:A624,A624,B$2:B624,B624)</f>
        <v>5914579.8</v>
      </c>
      <c r="O624" s="11" t="n">
        <f aca="false">MAX(0,_xlfn.MAXIFS(N$2:N624,A$2:A624,A624,B$2:B624,B624))</f>
        <v>6287212.5</v>
      </c>
      <c r="P624" s="11" t="n">
        <f aca="false">N624-O624</f>
        <v>-372632.7</v>
      </c>
    </row>
    <row r="625" customFormat="false" ht="15" hidden="false" customHeight="false" outlineLevel="0" collapsed="false">
      <c r="A625" s="8" t="s">
        <v>26</v>
      </c>
      <c r="B625" s="8" t="s">
        <v>41</v>
      </c>
      <c r="C625" s="8" t="s">
        <v>62</v>
      </c>
      <c r="D625" s="21" t="n">
        <v>46056.96875</v>
      </c>
      <c r="E625" s="21" t="n">
        <v>46057.3784722222</v>
      </c>
      <c r="F625" s="22" t="n">
        <f aca="false">DATE(YEAR(E625),MONTH(E625),1)</f>
        <v>46054</v>
      </c>
      <c r="G625" s="23" t="n">
        <v>295335</v>
      </c>
      <c r="H625" s="8" t="s">
        <v>61</v>
      </c>
      <c r="I625" s="24" t="n">
        <v>-15863.98</v>
      </c>
      <c r="J625" s="25" t="n">
        <f aca="false">Summary!$B$4</f>
        <v>1</v>
      </c>
      <c r="K625" s="11" t="n">
        <f aca="false">I625*J625*IF(A625="SILVER",Summary!$B$5,Summary!$B$6)</f>
        <v>-475919.4</v>
      </c>
      <c r="L625" s="26" t="n">
        <v>-1.214</v>
      </c>
      <c r="M625" s="27" t="n">
        <f aca="false">IF(K625&gt;0,1,0)</f>
        <v>0</v>
      </c>
      <c r="N625" s="11" t="n">
        <f aca="false">SUMIFS(K$2:K625,A$2:A625,A625,B$2:B625,B625)</f>
        <v>5438660.4</v>
      </c>
      <c r="O625" s="11" t="n">
        <f aca="false">MAX(0,_xlfn.MAXIFS(N$2:N625,A$2:A625,A625,B$2:B625,B625))</f>
        <v>6287212.5</v>
      </c>
      <c r="P625" s="11" t="n">
        <f aca="false">N625-O625</f>
        <v>-848552.100000001</v>
      </c>
    </row>
    <row r="626" customFormat="false" ht="15" hidden="false" customHeight="false" outlineLevel="0" collapsed="false">
      <c r="A626" s="8" t="s">
        <v>26</v>
      </c>
      <c r="B626" s="8" t="s">
        <v>41</v>
      </c>
      <c r="C626" s="8" t="s">
        <v>62</v>
      </c>
      <c r="D626" s="21" t="n">
        <v>46057.8715277778</v>
      </c>
      <c r="E626" s="21" t="n">
        <v>46059.7743055556</v>
      </c>
      <c r="F626" s="22" t="n">
        <f aca="false">DATE(YEAR(E626),MONTH(E626),1)</f>
        <v>46054</v>
      </c>
      <c r="G626" s="23" t="n">
        <v>310479</v>
      </c>
      <c r="H626" s="8" t="s">
        <v>61</v>
      </c>
      <c r="I626" s="24" t="n">
        <v>36581.22</v>
      </c>
      <c r="J626" s="25" t="n">
        <f aca="false">Summary!$B$4</f>
        <v>1</v>
      </c>
      <c r="K626" s="11" t="n">
        <f aca="false">I626*J626*IF(A626="SILVER",Summary!$B$5,Summary!$B$6)</f>
        <v>1097436.6</v>
      </c>
      <c r="L626" s="26" t="n">
        <v>3.405</v>
      </c>
      <c r="M626" s="27" t="n">
        <f aca="false">IF(K626&gt;0,1,0)</f>
        <v>1</v>
      </c>
      <c r="N626" s="11" t="n">
        <f aca="false">SUMIFS(K$2:K626,A$2:A626,A626,B$2:B626,B626)</f>
        <v>6536097</v>
      </c>
      <c r="O626" s="11" t="n">
        <f aca="false">MAX(0,_xlfn.MAXIFS(N$2:N626,A$2:A626,A626,B$2:B626,B626))</f>
        <v>6536097</v>
      </c>
      <c r="P626" s="11" t="n">
        <f aca="false">N626-O626</f>
        <v>0</v>
      </c>
    </row>
    <row r="627" customFormat="false" ht="15" hidden="false" customHeight="false" outlineLevel="0" collapsed="false">
      <c r="A627" s="8" t="s">
        <v>26</v>
      </c>
      <c r="B627" s="8" t="s">
        <v>41</v>
      </c>
      <c r="C627" s="8" t="s">
        <v>62</v>
      </c>
      <c r="D627" s="21" t="n">
        <v>46062.6666666667</v>
      </c>
      <c r="E627" s="21" t="n">
        <v>46062.7159722222</v>
      </c>
      <c r="F627" s="22" t="n">
        <f aca="false">DATE(YEAR(E627),MONTH(E627),1)</f>
        <v>46054</v>
      </c>
      <c r="G627" s="23" t="n">
        <v>284485</v>
      </c>
      <c r="H627" s="8" t="s">
        <v>64</v>
      </c>
      <c r="I627" s="24" t="n">
        <v>544.15</v>
      </c>
      <c r="J627" s="25" t="n">
        <f aca="false">Summary!$B$4</f>
        <v>1</v>
      </c>
      <c r="K627" s="11" t="n">
        <f aca="false">I627*J627*IF(A627="SILVER",Summary!$B$5,Summary!$B$6)</f>
        <v>16324.5</v>
      </c>
      <c r="L627" s="26" t="n">
        <v>0.09</v>
      </c>
      <c r="M627" s="27" t="n">
        <f aca="false">IF(K627&gt;0,1,0)</f>
        <v>1</v>
      </c>
      <c r="N627" s="11" t="n">
        <f aca="false">SUMIFS(K$2:K627,A$2:A627,A627,B$2:B627,B627)</f>
        <v>6552421.5</v>
      </c>
      <c r="O627" s="11" t="n">
        <f aca="false">MAX(0,_xlfn.MAXIFS(N$2:N627,A$2:A627,A627,B$2:B627,B627))</f>
        <v>6552421.5</v>
      </c>
      <c r="P627" s="11" t="n">
        <f aca="false">N627-O627</f>
        <v>0</v>
      </c>
    </row>
    <row r="628" customFormat="false" ht="15" hidden="false" customHeight="false" outlineLevel="0" collapsed="false">
      <c r="A628" s="8" t="s">
        <v>26</v>
      </c>
      <c r="B628" s="8" t="s">
        <v>41</v>
      </c>
      <c r="C628" s="8" t="s">
        <v>62</v>
      </c>
      <c r="D628" s="21" t="n">
        <v>46063.3819444445</v>
      </c>
      <c r="E628" s="21" t="n">
        <v>46063.6215277778</v>
      </c>
      <c r="F628" s="22" t="n">
        <f aca="false">DATE(YEAR(E628),MONTH(E628),1)</f>
        <v>46054</v>
      </c>
      <c r="G628" s="23" t="n">
        <v>287104</v>
      </c>
      <c r="H628" s="8" t="s">
        <v>61</v>
      </c>
      <c r="I628" s="24" t="n">
        <v>-2102.99</v>
      </c>
      <c r="J628" s="25" t="n">
        <f aca="false">Summary!$B$4</f>
        <v>1</v>
      </c>
      <c r="K628" s="11" t="n">
        <f aca="false">I628*J628*IF(A628="SILVER",Summary!$B$5,Summary!$B$6)</f>
        <v>-63089.7</v>
      </c>
      <c r="L628" s="26" t="n">
        <v>-0.31</v>
      </c>
      <c r="M628" s="27" t="n">
        <f aca="false">IF(K628&gt;0,1,0)</f>
        <v>0</v>
      </c>
      <c r="N628" s="11" t="n">
        <f aca="false">SUMIFS(K$2:K628,A$2:A628,A628,B$2:B628,B628)</f>
        <v>6489331.8</v>
      </c>
      <c r="O628" s="11" t="n">
        <f aca="false">MAX(0,_xlfn.MAXIFS(N$2:N628,A$2:A628,A628,B$2:B628,B628))</f>
        <v>6552421.5</v>
      </c>
      <c r="P628" s="11" t="n">
        <f aca="false">N628-O628</f>
        <v>-63089.7000000002</v>
      </c>
    </row>
    <row r="629" customFormat="false" ht="15" hidden="false" customHeight="false" outlineLevel="0" collapsed="false">
      <c r="A629" s="8" t="s">
        <v>26</v>
      </c>
      <c r="B629" s="8" t="s">
        <v>41</v>
      </c>
      <c r="C629" s="8" t="s">
        <v>62</v>
      </c>
      <c r="D629" s="21" t="n">
        <v>46063.8819444445</v>
      </c>
      <c r="E629" s="21" t="n">
        <v>46064.375</v>
      </c>
      <c r="F629" s="22" t="n">
        <f aca="false">DATE(YEAR(E629),MONTH(E629),1)</f>
        <v>46054</v>
      </c>
      <c r="G629" s="23" t="n">
        <v>286074</v>
      </c>
      <c r="H629" s="8" t="s">
        <v>64</v>
      </c>
      <c r="I629" s="24" t="n">
        <v>-259.57</v>
      </c>
      <c r="J629" s="25" t="n">
        <f aca="false">Summary!$B$4</f>
        <v>1</v>
      </c>
      <c r="K629" s="11" t="n">
        <f aca="false">I629*J629*IF(A629="SILVER",Summary!$B$5,Summary!$B$6)</f>
        <v>-7787.1</v>
      </c>
      <c r="L629" s="26" t="n">
        <v>-0.04</v>
      </c>
      <c r="M629" s="27" t="n">
        <f aca="false">IF(K629&gt;0,1,0)</f>
        <v>0</v>
      </c>
      <c r="N629" s="11" t="n">
        <f aca="false">SUMIFS(K$2:K629,A$2:A629,A629,B$2:B629,B629)</f>
        <v>6481544.7</v>
      </c>
      <c r="O629" s="11" t="n">
        <f aca="false">MAX(0,_xlfn.MAXIFS(N$2:N629,A$2:A629,A629,B$2:B629,B629))</f>
        <v>6552421.5</v>
      </c>
      <c r="P629" s="11" t="n">
        <f aca="false">N629-O629</f>
        <v>-70876.7999999998</v>
      </c>
    </row>
    <row r="630" customFormat="false" ht="15" hidden="false" customHeight="false" outlineLevel="0" collapsed="false">
      <c r="A630" s="8" t="s">
        <v>26</v>
      </c>
      <c r="B630" s="8" t="s">
        <v>41</v>
      </c>
      <c r="C630" s="8" t="s">
        <v>62</v>
      </c>
      <c r="D630" s="21" t="n">
        <v>46064.7951388889</v>
      </c>
      <c r="E630" s="21" t="n">
        <v>46064.9472222222</v>
      </c>
      <c r="F630" s="22" t="n">
        <f aca="false">DATE(YEAR(E630),MONTH(E630),1)</f>
        <v>46054</v>
      </c>
      <c r="G630" s="23" t="n">
        <v>291651</v>
      </c>
      <c r="H630" s="8" t="s">
        <v>64</v>
      </c>
      <c r="I630" s="24" t="n">
        <v>654.39</v>
      </c>
      <c r="J630" s="25" t="n">
        <f aca="false">Summary!$B$4</f>
        <v>1</v>
      </c>
      <c r="K630" s="11" t="n">
        <f aca="false">I630*J630*IF(A630="SILVER",Summary!$B$5,Summary!$B$6)</f>
        <v>19631.7</v>
      </c>
      <c r="L630" s="26" t="n">
        <v>0.091</v>
      </c>
      <c r="M630" s="27" t="n">
        <f aca="false">IF(K630&gt;0,1,0)</f>
        <v>1</v>
      </c>
      <c r="N630" s="11" t="n">
        <f aca="false">SUMIFS(K$2:K630,A$2:A630,A630,B$2:B630,B630)</f>
        <v>6501176.4</v>
      </c>
      <c r="O630" s="11" t="n">
        <f aca="false">MAX(0,_xlfn.MAXIFS(N$2:N630,A$2:A630,A630,B$2:B630,B630))</f>
        <v>6552421.5</v>
      </c>
      <c r="P630" s="11" t="n">
        <f aca="false">N630-O630</f>
        <v>-51245.0999999996</v>
      </c>
    </row>
    <row r="631" customFormat="false" ht="15" hidden="false" customHeight="false" outlineLevel="0" collapsed="false">
      <c r="A631" s="8" t="s">
        <v>26</v>
      </c>
      <c r="B631" s="8" t="s">
        <v>41</v>
      </c>
      <c r="C631" s="8" t="s">
        <v>62</v>
      </c>
      <c r="D631" s="21" t="n">
        <v>46065.90625</v>
      </c>
      <c r="E631" s="21" t="n">
        <v>46066.5590277778</v>
      </c>
      <c r="F631" s="22" t="n">
        <f aca="false">DATE(YEAR(E631),MONTH(E631),1)</f>
        <v>46054</v>
      </c>
      <c r="G631" s="23" t="n">
        <v>280832</v>
      </c>
      <c r="H631" s="8" t="s">
        <v>61</v>
      </c>
      <c r="I631" s="24" t="n">
        <v>6924.22</v>
      </c>
      <c r="J631" s="25" t="n">
        <f aca="false">Summary!$B$4</f>
        <v>1</v>
      </c>
      <c r="K631" s="11" t="n">
        <f aca="false">I631*J631*IF(A631="SILVER",Summary!$B$5,Summary!$B$6)</f>
        <v>207726.6</v>
      </c>
      <c r="L631" s="26" t="n">
        <v>1.129</v>
      </c>
      <c r="M631" s="27" t="n">
        <f aca="false">IF(K631&gt;0,1,0)</f>
        <v>1</v>
      </c>
      <c r="N631" s="11" t="n">
        <f aca="false">SUMIFS(K$2:K631,A$2:A631,A631,B$2:B631,B631)</f>
        <v>6708903</v>
      </c>
      <c r="O631" s="11" t="n">
        <f aca="false">MAX(0,_xlfn.MAXIFS(N$2:N631,A$2:A631,A631,B$2:B631,B631))</f>
        <v>6708903</v>
      </c>
      <c r="P631" s="11" t="n">
        <f aca="false">N631-O631</f>
        <v>0</v>
      </c>
    </row>
    <row r="632" customFormat="false" ht="15" hidden="false" customHeight="false" outlineLevel="0" collapsed="false">
      <c r="A632" s="8" t="s">
        <v>26</v>
      </c>
      <c r="B632" s="8" t="s">
        <v>41</v>
      </c>
      <c r="C632" s="8" t="s">
        <v>62</v>
      </c>
      <c r="D632" s="21" t="n">
        <v>46066.6909722222</v>
      </c>
      <c r="E632" s="21" t="n">
        <v>46066.7951388889</v>
      </c>
      <c r="F632" s="22" t="n">
        <f aca="false">DATE(YEAR(E632),MONTH(E632),1)</f>
        <v>46054</v>
      </c>
      <c r="G632" s="23" t="n">
        <v>270851</v>
      </c>
      <c r="H632" s="8" t="s">
        <v>61</v>
      </c>
      <c r="I632" s="24" t="n">
        <v>-5743.98</v>
      </c>
      <c r="J632" s="25" t="n">
        <f aca="false">Summary!$B$4</f>
        <v>1</v>
      </c>
      <c r="K632" s="11" t="n">
        <f aca="false">I632*J632*IF(A632="SILVER",Summary!$B$5,Summary!$B$6)</f>
        <v>-172319.4</v>
      </c>
      <c r="L632" s="26" t="n">
        <v>-0.935</v>
      </c>
      <c r="M632" s="27" t="n">
        <f aca="false">IF(K632&gt;0,1,0)</f>
        <v>0</v>
      </c>
      <c r="N632" s="11" t="n">
        <f aca="false">SUMIFS(K$2:K632,A$2:A632,A632,B$2:B632,B632)</f>
        <v>6536583.6</v>
      </c>
      <c r="O632" s="11" t="n">
        <f aca="false">MAX(0,_xlfn.MAXIFS(N$2:N632,A$2:A632,A632,B$2:B632,B632))</f>
        <v>6708903</v>
      </c>
      <c r="P632" s="11" t="n">
        <f aca="false">N632-O632</f>
        <v>-172319.4</v>
      </c>
    </row>
    <row r="633" customFormat="false" ht="15" hidden="false" customHeight="false" outlineLevel="0" collapsed="false">
      <c r="A633" s="8" t="s">
        <v>26</v>
      </c>
      <c r="B633" s="8" t="s">
        <v>41</v>
      </c>
      <c r="C633" s="8" t="s">
        <v>62</v>
      </c>
      <c r="D633" s="21" t="n">
        <v>46069.3784722222</v>
      </c>
      <c r="E633" s="21" t="n">
        <v>46071.3784722222</v>
      </c>
      <c r="F633" s="22" t="n">
        <f aca="false">DATE(YEAR(E633),MONTH(E633),1)</f>
        <v>46054</v>
      </c>
      <c r="G633" s="23" t="n">
        <v>265545</v>
      </c>
      <c r="H633" s="8" t="s">
        <v>61</v>
      </c>
      <c r="I633" s="24" t="n">
        <v>4098.97</v>
      </c>
      <c r="J633" s="25" t="n">
        <f aca="false">Summary!$B$4</f>
        <v>1</v>
      </c>
      <c r="K633" s="11" t="n">
        <f aca="false">I633*J633*IF(A633="SILVER",Summary!$B$5,Summary!$B$6)</f>
        <v>122969.1</v>
      </c>
      <c r="L633" s="26" t="n">
        <v>0.488</v>
      </c>
      <c r="M633" s="27" t="n">
        <f aca="false">IF(K633&gt;0,1,0)</f>
        <v>1</v>
      </c>
      <c r="N633" s="11" t="n">
        <f aca="false">SUMIFS(K$2:K633,A$2:A633,A633,B$2:B633,B633)</f>
        <v>6659552.7</v>
      </c>
      <c r="O633" s="11" t="n">
        <f aca="false">MAX(0,_xlfn.MAXIFS(N$2:N633,A$2:A633,A633,B$2:B633,B633))</f>
        <v>6708903</v>
      </c>
      <c r="P633" s="11" t="n">
        <f aca="false">N633-O633</f>
        <v>-49350.2999999998</v>
      </c>
    </row>
    <row r="634" customFormat="false" ht="15" hidden="false" customHeight="false" outlineLevel="0" collapsed="false">
      <c r="A634" s="8" t="s">
        <v>26</v>
      </c>
      <c r="B634" s="8" t="s">
        <v>41</v>
      </c>
      <c r="C634" s="8" t="s">
        <v>62</v>
      </c>
      <c r="D634" s="21" t="n">
        <v>46072.65625</v>
      </c>
      <c r="E634" s="21" t="n">
        <v>46072.8</v>
      </c>
      <c r="F634" s="22" t="n">
        <f aca="false">DATE(YEAR(E634),MONTH(E634),1)</f>
        <v>46054</v>
      </c>
      <c r="G634" s="23" t="n">
        <v>272961</v>
      </c>
      <c r="H634" s="8" t="s">
        <v>64</v>
      </c>
      <c r="I634" s="24" t="n">
        <v>288.13</v>
      </c>
      <c r="J634" s="25" t="n">
        <f aca="false">Summary!$B$4</f>
        <v>1</v>
      </c>
      <c r="K634" s="11" t="n">
        <f aca="false">I634*J634*IF(A634="SILVER",Summary!$B$5,Summary!$B$6)</f>
        <v>8643.9</v>
      </c>
      <c r="L634" s="26" t="n">
        <v>0.076</v>
      </c>
      <c r="M634" s="27" t="n">
        <f aca="false">IF(K634&gt;0,1,0)</f>
        <v>1</v>
      </c>
      <c r="N634" s="11" t="n">
        <f aca="false">SUMIFS(K$2:K634,A$2:A634,A634,B$2:B634,B634)</f>
        <v>6668196.6</v>
      </c>
      <c r="O634" s="11" t="n">
        <f aca="false">MAX(0,_xlfn.MAXIFS(N$2:N634,A$2:A634,A634,B$2:B634,B634))</f>
        <v>6708903</v>
      </c>
      <c r="P634" s="11" t="n">
        <f aca="false">N634-O634</f>
        <v>-40706.4000000004</v>
      </c>
    </row>
    <row r="635" customFormat="false" ht="15" hidden="false" customHeight="false" outlineLevel="0" collapsed="false">
      <c r="A635" s="8" t="s">
        <v>26</v>
      </c>
      <c r="B635" s="8" t="s">
        <v>41</v>
      </c>
      <c r="C635" s="8" t="s">
        <v>62</v>
      </c>
      <c r="D635" s="21" t="n">
        <v>46073.8645833333</v>
      </c>
      <c r="E635" s="21" t="n">
        <v>46076.3784722222</v>
      </c>
      <c r="F635" s="22" t="n">
        <f aca="false">DATE(YEAR(E635),MONTH(E635),1)</f>
        <v>46054</v>
      </c>
      <c r="G635" s="23" t="n">
        <v>278313</v>
      </c>
      <c r="H635" s="8" t="s">
        <v>61</v>
      </c>
      <c r="I635" s="24" t="n">
        <v>-17978.74</v>
      </c>
      <c r="J635" s="25" t="n">
        <f aca="false">Summary!$B$4</f>
        <v>1</v>
      </c>
      <c r="K635" s="11" t="n">
        <f aca="false">I635*J635*IF(A635="SILVER",Summary!$B$5,Summary!$B$6)</f>
        <v>-539362.2</v>
      </c>
      <c r="L635" s="26" t="n">
        <v>-2.913</v>
      </c>
      <c r="M635" s="27" t="n">
        <f aca="false">IF(K635&gt;0,1,0)</f>
        <v>0</v>
      </c>
      <c r="N635" s="11" t="n">
        <f aca="false">SUMIFS(K$2:K635,A$2:A635,A635,B$2:B635,B635)</f>
        <v>6128834.4</v>
      </c>
      <c r="O635" s="11" t="n">
        <f aca="false">MAX(0,_xlfn.MAXIFS(N$2:N635,A$2:A635,A635,B$2:B635,B635))</f>
        <v>6708903</v>
      </c>
      <c r="P635" s="11" t="n">
        <f aca="false">N635-O635</f>
        <v>-580068.6</v>
      </c>
    </row>
    <row r="636" customFormat="false" ht="15" hidden="false" customHeight="false" outlineLevel="0" collapsed="false">
      <c r="A636" s="8" t="s">
        <v>26</v>
      </c>
      <c r="B636" s="8" t="s">
        <v>41</v>
      </c>
      <c r="C636" s="8" t="s">
        <v>62</v>
      </c>
      <c r="D636" s="21" t="n">
        <v>46076.5486111111</v>
      </c>
      <c r="E636" s="21" t="n">
        <v>46076.6840277778</v>
      </c>
      <c r="F636" s="22" t="n">
        <f aca="false">DATE(YEAR(E636),MONTH(E636),1)</f>
        <v>46054</v>
      </c>
      <c r="G636" s="23" t="n">
        <v>289385</v>
      </c>
      <c r="H636" s="8" t="s">
        <v>61</v>
      </c>
      <c r="I636" s="24" t="n">
        <v>-5126.69</v>
      </c>
      <c r="J636" s="25" t="n">
        <f aca="false">Summary!$B$4</f>
        <v>1</v>
      </c>
      <c r="K636" s="11" t="n">
        <f aca="false">I636*J636*IF(A636="SILVER",Summary!$B$5,Summary!$B$6)</f>
        <v>-153800.7</v>
      </c>
      <c r="L636" s="26" t="n">
        <v>-1.049</v>
      </c>
      <c r="M636" s="27" t="n">
        <f aca="false">IF(K636&gt;0,1,0)</f>
        <v>0</v>
      </c>
      <c r="N636" s="11" t="n">
        <f aca="false">SUMIFS(K$2:K636,A$2:A636,A636,B$2:B636,B636)</f>
        <v>5975033.7</v>
      </c>
      <c r="O636" s="11" t="n">
        <f aca="false">MAX(0,_xlfn.MAXIFS(N$2:N636,A$2:A636,A636,B$2:B636,B636))</f>
        <v>6708903</v>
      </c>
      <c r="P636" s="11" t="n">
        <f aca="false">N636-O636</f>
        <v>-733869.3</v>
      </c>
    </row>
    <row r="637" customFormat="false" ht="15" hidden="false" customHeight="false" outlineLevel="0" collapsed="false">
      <c r="A637" s="8" t="s">
        <v>26</v>
      </c>
      <c r="B637" s="8" t="s">
        <v>41</v>
      </c>
      <c r="C637" s="8" t="s">
        <v>62</v>
      </c>
      <c r="D637" s="21" t="n">
        <v>46077.6770833333</v>
      </c>
      <c r="E637" s="21" t="n">
        <v>46077.6972222222</v>
      </c>
      <c r="F637" s="22" t="n">
        <f aca="false">DATE(YEAR(E637),MONTH(E637),1)</f>
        <v>46054</v>
      </c>
      <c r="G637" s="23" t="n">
        <v>292102</v>
      </c>
      <c r="H637" s="8" t="s">
        <v>64</v>
      </c>
      <c r="I637" s="24" t="n">
        <v>274.07</v>
      </c>
      <c r="J637" s="25" t="n">
        <f aca="false">Summary!$B$4</f>
        <v>1</v>
      </c>
      <c r="K637" s="11" t="n">
        <f aca="false">I637*J637*IF(A637="SILVER",Summary!$B$5,Summary!$B$6)</f>
        <v>8222.1</v>
      </c>
      <c r="L637" s="26" t="n">
        <v>0.081</v>
      </c>
      <c r="M637" s="27" t="n">
        <f aca="false">IF(K637&gt;0,1,0)</f>
        <v>1</v>
      </c>
      <c r="N637" s="11" t="n">
        <f aca="false">SUMIFS(K$2:K637,A$2:A637,A637,B$2:B637,B637)</f>
        <v>5983255.8</v>
      </c>
      <c r="O637" s="11" t="n">
        <f aca="false">MAX(0,_xlfn.MAXIFS(N$2:N637,A$2:A637,A637,B$2:B637,B637))</f>
        <v>6708903</v>
      </c>
      <c r="P637" s="11" t="n">
        <f aca="false">N637-O637</f>
        <v>-725647.2</v>
      </c>
    </row>
    <row r="638" customFormat="false" ht="15" hidden="false" customHeight="false" outlineLevel="0" collapsed="false">
      <c r="A638" s="8" t="s">
        <v>26</v>
      </c>
      <c r="B638" s="8" t="s">
        <v>41</v>
      </c>
      <c r="C638" s="8" t="s">
        <v>62</v>
      </c>
      <c r="D638" s="21" t="n">
        <v>46078.7013888889</v>
      </c>
      <c r="E638" s="21" t="n">
        <v>46078.9479166667</v>
      </c>
      <c r="F638" s="22" t="n">
        <f aca="false">DATE(YEAR(E638),MONTH(E638),1)</f>
        <v>46054</v>
      </c>
      <c r="G638" s="23" t="n">
        <v>292634</v>
      </c>
      <c r="H638" s="8" t="s">
        <v>61</v>
      </c>
      <c r="I638" s="24" t="n">
        <v>-3663.2</v>
      </c>
      <c r="J638" s="25" t="n">
        <f aca="false">Summary!$B$4</f>
        <v>1</v>
      </c>
      <c r="K638" s="11" t="n">
        <f aca="false">I638*J638*IF(A638="SILVER",Summary!$B$5,Summary!$B$6)</f>
        <v>-109896</v>
      </c>
      <c r="L638" s="26" t="n">
        <v>-0.955</v>
      </c>
      <c r="M638" s="27" t="n">
        <f aca="false">IF(K638&gt;0,1,0)</f>
        <v>0</v>
      </c>
      <c r="N638" s="11" t="n">
        <f aca="false">SUMIFS(K$2:K638,A$2:A638,A638,B$2:B638,B638)</f>
        <v>5873359.8</v>
      </c>
      <c r="O638" s="11" t="n">
        <f aca="false">MAX(0,_xlfn.MAXIFS(N$2:N638,A$2:A638,A638,B$2:B638,B638))</f>
        <v>6708903</v>
      </c>
      <c r="P638" s="11" t="n">
        <f aca="false">N638-O638</f>
        <v>-835543.2</v>
      </c>
    </row>
    <row r="639" customFormat="false" ht="15" hidden="false" customHeight="false" outlineLevel="0" collapsed="false">
      <c r="A639" s="8" t="s">
        <v>26</v>
      </c>
      <c r="B639" s="8" t="s">
        <v>41</v>
      </c>
      <c r="C639" s="8" t="s">
        <v>62</v>
      </c>
      <c r="D639" s="21" t="n">
        <v>46079.3819444445</v>
      </c>
      <c r="E639" s="21" t="n">
        <v>46080.375</v>
      </c>
      <c r="F639" s="22" t="n">
        <f aca="false">DATE(YEAR(E639),MONTH(E639),1)</f>
        <v>46054</v>
      </c>
      <c r="G639" s="23" t="n">
        <v>293119</v>
      </c>
      <c r="H639" s="8" t="s">
        <v>64</v>
      </c>
      <c r="I639" s="24" t="n">
        <v>-2778.08</v>
      </c>
      <c r="J639" s="25" t="n">
        <f aca="false">Summary!$B$4</f>
        <v>1</v>
      </c>
      <c r="K639" s="11" t="n">
        <f aca="false">I639*J639*IF(A639="SILVER",Summary!$B$5,Summary!$B$6)</f>
        <v>-83342.4</v>
      </c>
      <c r="L639" s="26" t="n">
        <v>-0.713</v>
      </c>
      <c r="M639" s="27" t="n">
        <f aca="false">IF(K639&gt;0,1,0)</f>
        <v>0</v>
      </c>
      <c r="N639" s="11" t="n">
        <f aca="false">SUMIFS(K$2:K639,A$2:A639,A639,B$2:B639,B639)</f>
        <v>5790017.4</v>
      </c>
      <c r="O639" s="11" t="n">
        <f aca="false">MAX(0,_xlfn.MAXIFS(N$2:N639,A$2:A639,A639,B$2:B639,B639))</f>
        <v>6708903</v>
      </c>
      <c r="P639" s="11" t="n">
        <f aca="false">N639-O639</f>
        <v>-918885.6</v>
      </c>
    </row>
    <row r="640" customFormat="false" ht="15" hidden="false" customHeight="false" outlineLevel="0" collapsed="false">
      <c r="A640" s="8" t="s">
        <v>26</v>
      </c>
      <c r="B640" s="8" t="s">
        <v>41</v>
      </c>
      <c r="C640" s="8" t="s">
        <v>62</v>
      </c>
      <c r="D640" s="21" t="n">
        <v>46083.8368055556</v>
      </c>
      <c r="E640" s="21" t="n">
        <v>46085.3965277778</v>
      </c>
      <c r="F640" s="22" t="n">
        <f aca="false">DATE(YEAR(E640),MONTH(E640),1)</f>
        <v>46082</v>
      </c>
      <c r="G640" s="23" t="n">
        <v>302047</v>
      </c>
      <c r="H640" s="8" t="s">
        <v>61</v>
      </c>
      <c r="I640" s="24" t="n">
        <v>7148.9</v>
      </c>
      <c r="J640" s="25" t="n">
        <f aca="false">Summary!$B$4</f>
        <v>1</v>
      </c>
      <c r="K640" s="11" t="n">
        <f aca="false">I640*J640*IF(A640="SILVER",Summary!$B$5,Summary!$B$6)</f>
        <v>214467</v>
      </c>
      <c r="L640" s="26" t="n">
        <v>0.868</v>
      </c>
      <c r="M640" s="27" t="n">
        <f aca="false">IF(K640&gt;0,1,0)</f>
        <v>1</v>
      </c>
      <c r="N640" s="11" t="n">
        <f aca="false">SUMIFS(K$2:K640,A$2:A640,A640,B$2:B640,B640)</f>
        <v>6004484.4</v>
      </c>
      <c r="O640" s="11" t="n">
        <f aca="false">MAX(0,_xlfn.MAXIFS(N$2:N640,A$2:A640,A640,B$2:B640,B640))</f>
        <v>6708903</v>
      </c>
      <c r="P640" s="11" t="n">
        <f aca="false">N640-O640</f>
        <v>-704418.6</v>
      </c>
    </row>
    <row r="641" customFormat="false" ht="15" hidden="false" customHeight="false" outlineLevel="0" collapsed="false">
      <c r="A641" s="8" t="s">
        <v>26</v>
      </c>
      <c r="B641" s="8" t="s">
        <v>41</v>
      </c>
      <c r="C641" s="8" t="s">
        <v>62</v>
      </c>
      <c r="D641" s="21" t="n">
        <v>46085.8388888889</v>
      </c>
      <c r="E641" s="21" t="n">
        <v>46086.3868055556</v>
      </c>
      <c r="F641" s="22" t="n">
        <f aca="false">DATE(YEAR(E641),MONTH(E641),1)</f>
        <v>46082</v>
      </c>
      <c r="G641" s="23" t="n">
        <v>293887</v>
      </c>
      <c r="H641" s="8" t="s">
        <v>64</v>
      </c>
      <c r="I641" s="24" t="n">
        <v>-248.12</v>
      </c>
      <c r="J641" s="25" t="n">
        <f aca="false">Summary!$B$4</f>
        <v>1</v>
      </c>
      <c r="K641" s="11" t="n">
        <f aca="false">I641*J641*IF(A641="SILVER",Summary!$B$5,Summary!$B$6)</f>
        <v>-7443.6</v>
      </c>
      <c r="L641" s="26" t="n">
        <v>-0.051</v>
      </c>
      <c r="M641" s="27" t="n">
        <f aca="false">IF(K641&gt;0,1,0)</f>
        <v>0</v>
      </c>
      <c r="N641" s="11" t="n">
        <f aca="false">SUMIFS(K$2:K641,A$2:A641,A641,B$2:B641,B641)</f>
        <v>5997040.8</v>
      </c>
      <c r="O641" s="11" t="n">
        <f aca="false">MAX(0,_xlfn.MAXIFS(N$2:N641,A$2:A641,A641,B$2:B641,B641))</f>
        <v>6708903</v>
      </c>
      <c r="P641" s="11" t="n">
        <f aca="false">N641-O641</f>
        <v>-711862.2</v>
      </c>
    </row>
    <row r="642" customFormat="false" ht="15" hidden="false" customHeight="false" outlineLevel="0" collapsed="false">
      <c r="A642" s="8" t="s">
        <v>26</v>
      </c>
      <c r="B642" s="8" t="s">
        <v>41</v>
      </c>
      <c r="C642" s="8" t="s">
        <v>62</v>
      </c>
      <c r="D642" s="21" t="n">
        <v>46090.4131944445</v>
      </c>
      <c r="E642" s="21" t="n">
        <v>46090.4618055556</v>
      </c>
      <c r="F642" s="22" t="n">
        <f aca="false">DATE(YEAR(E642),MONTH(E642),1)</f>
        <v>46082</v>
      </c>
      <c r="G642" s="23" t="n">
        <v>281325</v>
      </c>
      <c r="H642" s="8" t="s">
        <v>64</v>
      </c>
      <c r="I642" s="24" t="n">
        <v>396.32</v>
      </c>
      <c r="J642" s="25" t="n">
        <f aca="false">Summary!$B$4</f>
        <v>1</v>
      </c>
      <c r="K642" s="11" t="n">
        <f aca="false">I642*J642*IF(A642="SILVER",Summary!$B$5,Summary!$B$6)</f>
        <v>11889.6</v>
      </c>
      <c r="L642" s="26" t="n">
        <v>0.078</v>
      </c>
      <c r="M642" s="27" t="n">
        <f aca="false">IF(K642&gt;0,1,0)</f>
        <v>1</v>
      </c>
      <c r="N642" s="11" t="n">
        <f aca="false">SUMIFS(K$2:K642,A$2:A642,A642,B$2:B642,B642)</f>
        <v>6008930.4</v>
      </c>
      <c r="O642" s="11" t="n">
        <f aca="false">MAX(0,_xlfn.MAXIFS(N$2:N642,A$2:A642,A642,B$2:B642,B642))</f>
        <v>6708903</v>
      </c>
      <c r="P642" s="11" t="n">
        <f aca="false">N642-O642</f>
        <v>-699972.6</v>
      </c>
    </row>
    <row r="643" customFormat="false" ht="15" hidden="false" customHeight="false" outlineLevel="0" collapsed="false">
      <c r="A643" s="8" t="s">
        <v>26</v>
      </c>
      <c r="B643" s="8" t="s">
        <v>41</v>
      </c>
      <c r="C643" s="8" t="s">
        <v>62</v>
      </c>
      <c r="D643" s="21" t="n">
        <v>46091.6736111111</v>
      </c>
      <c r="E643" s="21" t="n">
        <v>46091.78125</v>
      </c>
      <c r="F643" s="22" t="n">
        <f aca="false">DATE(YEAR(E643),MONTH(E643),1)</f>
        <v>46082</v>
      </c>
      <c r="G643" s="23" t="n">
        <v>291985</v>
      </c>
      <c r="H643" s="8" t="s">
        <v>61</v>
      </c>
      <c r="I643" s="24" t="n">
        <v>-3238.24</v>
      </c>
      <c r="J643" s="25" t="n">
        <f aca="false">Summary!$B$4</f>
        <v>1</v>
      </c>
      <c r="K643" s="11" t="n">
        <f aca="false">I643*J643*IF(A643="SILVER",Summary!$B$5,Summary!$B$6)</f>
        <v>-97147.2</v>
      </c>
      <c r="L643" s="26" t="n">
        <v>-1.106</v>
      </c>
      <c r="M643" s="27" t="n">
        <f aca="false">IF(K643&gt;0,1,0)</f>
        <v>0</v>
      </c>
      <c r="N643" s="11" t="n">
        <f aca="false">SUMIFS(K$2:K643,A$2:A643,A643,B$2:B643,B643)</f>
        <v>5911783.2</v>
      </c>
      <c r="O643" s="11" t="n">
        <f aca="false">MAX(0,_xlfn.MAXIFS(N$2:N643,A$2:A643,A643,B$2:B643,B643))</f>
        <v>6708903</v>
      </c>
      <c r="P643" s="11" t="n">
        <f aca="false">N643-O643</f>
        <v>-797119.8</v>
      </c>
    </row>
    <row r="644" customFormat="false" ht="15" hidden="false" customHeight="false" outlineLevel="0" collapsed="false">
      <c r="A644" s="8" t="s">
        <v>26</v>
      </c>
      <c r="B644" s="8" t="s">
        <v>41</v>
      </c>
      <c r="C644" s="8" t="s">
        <v>62</v>
      </c>
      <c r="D644" s="21" t="n">
        <v>46092.3784722222</v>
      </c>
      <c r="E644" s="21" t="n">
        <v>46092.4111111111</v>
      </c>
      <c r="F644" s="22" t="n">
        <f aca="false">DATE(YEAR(E644),MONTH(E644),1)</f>
        <v>46082</v>
      </c>
      <c r="G644" s="23" t="n">
        <v>293880</v>
      </c>
      <c r="H644" s="8" t="s">
        <v>64</v>
      </c>
      <c r="I644" s="24" t="n">
        <v>201.92</v>
      </c>
      <c r="J644" s="25" t="n">
        <f aca="false">Summary!$B$4</f>
        <v>1</v>
      </c>
      <c r="K644" s="11" t="n">
        <f aca="false">I644*J644*IF(A644="SILVER",Summary!$B$5,Summary!$B$6)</f>
        <v>6057.6</v>
      </c>
      <c r="L644" s="26" t="n">
        <v>0.076</v>
      </c>
      <c r="M644" s="27" t="n">
        <f aca="false">IF(K644&gt;0,1,0)</f>
        <v>1</v>
      </c>
      <c r="N644" s="11" t="n">
        <f aca="false">SUMIFS(K$2:K644,A$2:A644,A644,B$2:B644,B644)</f>
        <v>5917840.8</v>
      </c>
      <c r="O644" s="11" t="n">
        <f aca="false">MAX(0,_xlfn.MAXIFS(N$2:N644,A$2:A644,A644,B$2:B644,B644))</f>
        <v>6708903</v>
      </c>
      <c r="P644" s="11" t="n">
        <f aca="false">N644-O644</f>
        <v>-791062.2</v>
      </c>
    </row>
    <row r="645" customFormat="false" ht="15" hidden="false" customHeight="false" outlineLevel="0" collapsed="false">
      <c r="A645" s="8" t="s">
        <v>26</v>
      </c>
      <c r="B645" s="8" t="s">
        <v>41</v>
      </c>
      <c r="C645" s="8" t="s">
        <v>62</v>
      </c>
      <c r="D645" s="21" t="n">
        <v>46093.8055555556</v>
      </c>
      <c r="E645" s="21" t="n">
        <v>46094.7291666667</v>
      </c>
      <c r="F645" s="22" t="n">
        <f aca="false">DATE(YEAR(E645),MONTH(E645),1)</f>
        <v>46082</v>
      </c>
      <c r="G645" s="23" t="n">
        <v>288837</v>
      </c>
      <c r="H645" s="8" t="s">
        <v>61</v>
      </c>
      <c r="I645" s="24" t="n">
        <v>5527.27</v>
      </c>
      <c r="J645" s="25" t="n">
        <f aca="false">Summary!$B$4</f>
        <v>1</v>
      </c>
      <c r="K645" s="11" t="n">
        <f aca="false">I645*J645*IF(A645="SILVER",Summary!$B$5,Summary!$B$6)</f>
        <v>165818.1</v>
      </c>
      <c r="L645" s="26" t="n">
        <v>1.473</v>
      </c>
      <c r="M645" s="27" t="n">
        <f aca="false">IF(K645&gt;0,1,0)</f>
        <v>1</v>
      </c>
      <c r="N645" s="11" t="n">
        <f aca="false">SUMIFS(K$2:K645,A$2:A645,A645,B$2:B645,B645)</f>
        <v>6083658.9</v>
      </c>
      <c r="O645" s="11" t="n">
        <f aca="false">MAX(0,_xlfn.MAXIFS(N$2:N645,A$2:A645,A645,B$2:B645,B645))</f>
        <v>6708903</v>
      </c>
      <c r="P645" s="11" t="n">
        <f aca="false">N645-O645</f>
        <v>-625244.1</v>
      </c>
    </row>
    <row r="646" customFormat="false" ht="15" hidden="false" customHeight="false" outlineLevel="0" collapsed="false">
      <c r="A646" s="8" t="s">
        <v>26</v>
      </c>
      <c r="B646" s="8" t="s">
        <v>41</v>
      </c>
      <c r="C646" s="8" t="s">
        <v>62</v>
      </c>
      <c r="D646" s="21" t="n">
        <v>46094.8229166667</v>
      </c>
      <c r="E646" s="21" t="n">
        <v>46097.7118055556</v>
      </c>
      <c r="F646" s="22" t="n">
        <f aca="false">DATE(YEAR(E646),MONTH(E646),1)</f>
        <v>46082</v>
      </c>
      <c r="G646" s="23" t="n">
        <v>280201</v>
      </c>
      <c r="H646" s="8" t="s">
        <v>61</v>
      </c>
      <c r="I646" s="24" t="n">
        <v>10403.44</v>
      </c>
      <c r="J646" s="25" t="n">
        <f aca="false">Summary!$B$4</f>
        <v>1</v>
      </c>
      <c r="K646" s="11" t="n">
        <f aca="false">I646*J646*IF(A646="SILVER",Summary!$B$5,Summary!$B$6)</f>
        <v>312103.2</v>
      </c>
      <c r="L646" s="26" t="n">
        <v>1.775</v>
      </c>
      <c r="M646" s="27" t="n">
        <f aca="false">IF(K646&gt;0,1,0)</f>
        <v>1</v>
      </c>
      <c r="N646" s="11" t="n">
        <f aca="false">SUMIFS(K$2:K646,A$2:A646,A646,B$2:B646,B646)</f>
        <v>6395762.1</v>
      </c>
      <c r="O646" s="11" t="n">
        <f aca="false">MAX(0,_xlfn.MAXIFS(N$2:N646,A$2:A646,A646,B$2:B646,B646))</f>
        <v>6708903</v>
      </c>
      <c r="P646" s="11" t="n">
        <f aca="false">N646-O646</f>
        <v>-313140.9</v>
      </c>
    </row>
    <row r="647" customFormat="false" ht="15" hidden="false" customHeight="false" outlineLevel="0" collapsed="false">
      <c r="A647" s="8" t="s">
        <v>26</v>
      </c>
      <c r="B647" s="8" t="s">
        <v>41</v>
      </c>
      <c r="C647" s="8" t="s">
        <v>62</v>
      </c>
      <c r="D647" s="21" t="n">
        <v>46098.4861111111</v>
      </c>
      <c r="E647" s="21" t="n">
        <v>46098.7034722222</v>
      </c>
      <c r="F647" s="22" t="n">
        <f aca="false">DATE(YEAR(E647),MONTH(E647),1)</f>
        <v>46082</v>
      </c>
      <c r="G647" s="23" t="n">
        <v>275101</v>
      </c>
      <c r="H647" s="8" t="s">
        <v>64</v>
      </c>
      <c r="I647" s="24" t="n">
        <v>454.54</v>
      </c>
      <c r="J647" s="25" t="n">
        <f aca="false">Summary!$B$4</f>
        <v>1</v>
      </c>
      <c r="K647" s="11" t="n">
        <f aca="false">I647*J647*IF(A647="SILVER",Summary!$B$5,Summary!$B$6)</f>
        <v>13636.2</v>
      </c>
      <c r="L647" s="26" t="n">
        <v>0.082</v>
      </c>
      <c r="M647" s="27" t="n">
        <f aca="false">IF(K647&gt;0,1,0)</f>
        <v>1</v>
      </c>
      <c r="N647" s="11" t="n">
        <f aca="false">SUMIFS(K$2:K647,A$2:A647,A647,B$2:B647,B647)</f>
        <v>6409398.3</v>
      </c>
      <c r="O647" s="11" t="n">
        <f aca="false">MAX(0,_xlfn.MAXIFS(N$2:N647,A$2:A647,A647,B$2:B647,B647))</f>
        <v>6708903</v>
      </c>
      <c r="P647" s="11" t="n">
        <f aca="false">N647-O647</f>
        <v>-299504.7</v>
      </c>
    </row>
    <row r="648" customFormat="false" ht="15" hidden="false" customHeight="false" outlineLevel="0" collapsed="false">
      <c r="A648" s="8" t="s">
        <v>26</v>
      </c>
      <c r="B648" s="8" t="s">
        <v>41</v>
      </c>
      <c r="C648" s="8" t="s">
        <v>62</v>
      </c>
      <c r="D648" s="21" t="n">
        <v>46098.875</v>
      </c>
      <c r="E648" s="21" t="n">
        <v>46098.91875</v>
      </c>
      <c r="F648" s="22" t="n">
        <f aca="false">DATE(YEAR(E648),MONTH(E648),1)</f>
        <v>46082</v>
      </c>
      <c r="G648" s="23" t="n">
        <v>271024</v>
      </c>
      <c r="H648" s="8" t="s">
        <v>64</v>
      </c>
      <c r="I648" s="24" t="n">
        <v>480.38</v>
      </c>
      <c r="J648" s="25" t="n">
        <f aca="false">Summary!$B$4</f>
        <v>1</v>
      </c>
      <c r="K648" s="11" t="n">
        <f aca="false">I648*J648*IF(A648="SILVER",Summary!$B$5,Summary!$B$6)</f>
        <v>14411.4</v>
      </c>
      <c r="L648" s="26" t="n">
        <v>0.089</v>
      </c>
      <c r="M648" s="27" t="n">
        <f aca="false">IF(K648&gt;0,1,0)</f>
        <v>1</v>
      </c>
      <c r="N648" s="11" t="n">
        <f aca="false">SUMIFS(K$2:K648,A$2:A648,A648,B$2:B648,B648)</f>
        <v>6423809.7</v>
      </c>
      <c r="O648" s="11" t="n">
        <f aca="false">MAX(0,_xlfn.MAXIFS(N$2:N648,A$2:A648,A648,B$2:B648,B648))</f>
        <v>6708903</v>
      </c>
      <c r="P648" s="11" t="n">
        <f aca="false">N648-O648</f>
        <v>-285093.3</v>
      </c>
    </row>
    <row r="649" customFormat="false" ht="15" hidden="false" customHeight="false" outlineLevel="0" collapsed="false">
      <c r="A649" s="8" t="s">
        <v>26</v>
      </c>
      <c r="B649" s="8" t="s">
        <v>41</v>
      </c>
      <c r="C649" s="8" t="s">
        <v>62</v>
      </c>
      <c r="D649" s="21" t="n">
        <v>46099.7256944445</v>
      </c>
      <c r="E649" s="21" t="n">
        <v>46100.8125</v>
      </c>
      <c r="F649" s="22" t="n">
        <f aca="false">DATE(YEAR(E649),MONTH(E649),1)</f>
        <v>46082</v>
      </c>
      <c r="G649" s="23" t="n">
        <v>268617</v>
      </c>
      <c r="H649" s="8" t="s">
        <v>61</v>
      </c>
      <c r="I649" s="24" t="n">
        <v>23975.22</v>
      </c>
      <c r="J649" s="25" t="n">
        <f aca="false">Summary!$B$4</f>
        <v>1</v>
      </c>
      <c r="K649" s="11" t="n">
        <f aca="false">I649*J649*IF(A649="SILVER",Summary!$B$5,Summary!$B$6)</f>
        <v>719256.6</v>
      </c>
      <c r="L649" s="26" t="n">
        <v>6.151</v>
      </c>
      <c r="M649" s="27" t="n">
        <f aca="false">IF(K649&gt;0,1,0)</f>
        <v>1</v>
      </c>
      <c r="N649" s="11" t="n">
        <f aca="false">SUMIFS(K$2:K649,A$2:A649,A649,B$2:B649,B649)</f>
        <v>7143066.3</v>
      </c>
      <c r="O649" s="11" t="n">
        <f aca="false">MAX(0,_xlfn.MAXIFS(N$2:N649,A$2:A649,A649,B$2:B649,B649))</f>
        <v>7143066.3</v>
      </c>
      <c r="P649" s="11" t="n">
        <f aca="false">N649-O649</f>
        <v>0</v>
      </c>
    </row>
    <row r="650" customFormat="false" ht="15" hidden="false" customHeight="false" outlineLevel="0" collapsed="false">
      <c r="A650" s="8" t="s">
        <v>26</v>
      </c>
      <c r="B650" s="8" t="s">
        <v>41</v>
      </c>
      <c r="C650" s="8" t="s">
        <v>62</v>
      </c>
      <c r="D650" s="21" t="n">
        <v>46101.5069444445</v>
      </c>
      <c r="E650" s="21" t="n">
        <v>46104.6944444445</v>
      </c>
      <c r="F650" s="22" t="n">
        <f aca="false">DATE(YEAR(E650),MONTH(E650),1)</f>
        <v>46082</v>
      </c>
      <c r="G650" s="23" t="n">
        <v>248962</v>
      </c>
      <c r="H650" s="8" t="s">
        <v>61</v>
      </c>
      <c r="I650" s="24" t="n">
        <v>11562.8</v>
      </c>
      <c r="J650" s="25" t="n">
        <f aca="false">Summary!$B$4</f>
        <v>1</v>
      </c>
      <c r="K650" s="11" t="n">
        <f aca="false">I650*J650*IF(A650="SILVER",Summary!$B$5,Summary!$B$6)</f>
        <v>346884</v>
      </c>
      <c r="L650" s="26" t="n">
        <v>1.476</v>
      </c>
      <c r="M650" s="27" t="n">
        <f aca="false">IF(K650&gt;0,1,0)</f>
        <v>1</v>
      </c>
      <c r="N650" s="11" t="n">
        <f aca="false">SUMIFS(K$2:K650,A$2:A650,A650,B$2:B650,B650)</f>
        <v>7489950.3</v>
      </c>
      <c r="O650" s="11" t="n">
        <f aca="false">MAX(0,_xlfn.MAXIFS(N$2:N650,A$2:A650,A650,B$2:B650,B650))</f>
        <v>7489950.3</v>
      </c>
      <c r="P650" s="11" t="n">
        <f aca="false">N650-O650</f>
        <v>0</v>
      </c>
    </row>
    <row r="651" customFormat="false" ht="15" hidden="false" customHeight="false" outlineLevel="0" collapsed="false">
      <c r="A651" s="8" t="s">
        <v>26</v>
      </c>
      <c r="B651" s="8" t="s">
        <v>41</v>
      </c>
      <c r="C651" s="8" t="s">
        <v>62</v>
      </c>
      <c r="D651" s="21" t="n">
        <v>46105.3854166667</v>
      </c>
      <c r="E651" s="21" t="n">
        <v>46105.4965277778</v>
      </c>
      <c r="F651" s="22" t="n">
        <f aca="false">DATE(YEAR(E651),MONTH(E651),1)</f>
        <v>46082</v>
      </c>
      <c r="G651" s="23" t="n">
        <v>234411</v>
      </c>
      <c r="H651" s="8" t="s">
        <v>61</v>
      </c>
      <c r="I651" s="24" t="n">
        <v>-5120.94</v>
      </c>
      <c r="J651" s="25" t="n">
        <f aca="false">Summary!$B$4</f>
        <v>1</v>
      </c>
      <c r="K651" s="11" t="n">
        <f aca="false">I651*J651*IF(A651="SILVER",Summary!$B$5,Summary!$B$6)</f>
        <v>-153628.2</v>
      </c>
      <c r="L651" s="26" t="n">
        <v>-0.519</v>
      </c>
      <c r="M651" s="27" t="n">
        <f aca="false">IF(K651&gt;0,1,0)</f>
        <v>0</v>
      </c>
      <c r="N651" s="11" t="n">
        <f aca="false">SUMIFS(K$2:K651,A$2:A651,A651,B$2:B651,B651)</f>
        <v>7336322.1</v>
      </c>
      <c r="O651" s="11" t="n">
        <f aca="false">MAX(0,_xlfn.MAXIFS(N$2:N651,A$2:A651,A651,B$2:B651,B651))</f>
        <v>7489950.3</v>
      </c>
      <c r="P651" s="11" t="n">
        <f aca="false">N651-O651</f>
        <v>-153628.2</v>
      </c>
    </row>
    <row r="652" customFormat="false" ht="15" hidden="false" customHeight="false" outlineLevel="0" collapsed="false">
      <c r="A652" s="8" t="s">
        <v>26</v>
      </c>
      <c r="B652" s="8" t="s">
        <v>41</v>
      </c>
      <c r="C652" s="8" t="s">
        <v>62</v>
      </c>
      <c r="D652" s="21" t="n">
        <v>46105.7569444445</v>
      </c>
      <c r="E652" s="21" t="n">
        <v>46105.8819444445</v>
      </c>
      <c r="F652" s="22" t="n">
        <f aca="false">DATE(YEAR(E652),MONTH(E652),1)</f>
        <v>46082</v>
      </c>
      <c r="G652" s="23" t="n">
        <v>238720</v>
      </c>
      <c r="H652" s="8" t="s">
        <v>61</v>
      </c>
      <c r="I652" s="24" t="n">
        <v>-5168.78</v>
      </c>
      <c r="J652" s="25" t="n">
        <f aca="false">Summary!$B$4</f>
        <v>1</v>
      </c>
      <c r="K652" s="11" t="n">
        <f aca="false">I652*J652*IF(A652="SILVER",Summary!$B$5,Summary!$B$6)</f>
        <v>-155063.4</v>
      </c>
      <c r="L652" s="26" t="n">
        <v>-0.712</v>
      </c>
      <c r="M652" s="27" t="n">
        <f aca="false">IF(K652&gt;0,1,0)</f>
        <v>0</v>
      </c>
      <c r="N652" s="11" t="n">
        <f aca="false">SUMIFS(K$2:K652,A$2:A652,A652,B$2:B652,B652)</f>
        <v>7181258.7</v>
      </c>
      <c r="O652" s="11" t="n">
        <f aca="false">MAX(0,_xlfn.MAXIFS(N$2:N652,A$2:A652,A652,B$2:B652,B652))</f>
        <v>7489950.3</v>
      </c>
      <c r="P652" s="11" t="n">
        <f aca="false">N652-O652</f>
        <v>-308691.6</v>
      </c>
    </row>
    <row r="653" customFormat="false" ht="15" hidden="false" customHeight="false" outlineLevel="0" collapsed="false">
      <c r="A653" s="8" t="s">
        <v>26</v>
      </c>
      <c r="B653" s="8" t="s">
        <v>41</v>
      </c>
      <c r="C653" s="8" t="s">
        <v>62</v>
      </c>
      <c r="D653" s="21" t="n">
        <v>46107.7118055556</v>
      </c>
      <c r="E653" s="21" t="n">
        <v>46107.8368055556</v>
      </c>
      <c r="F653" s="22" t="n">
        <f aca="false">DATE(YEAR(E653),MONTH(E653),1)</f>
        <v>46082</v>
      </c>
      <c r="G653" s="23" t="n">
        <v>240069</v>
      </c>
      <c r="H653" s="8" t="s">
        <v>61</v>
      </c>
      <c r="I653" s="24" t="n">
        <v>-2665.78</v>
      </c>
      <c r="J653" s="25" t="n">
        <f aca="false">Summary!$B$4</f>
        <v>1</v>
      </c>
      <c r="K653" s="11" t="n">
        <f aca="false">I653*J653*IF(A653="SILVER",Summary!$B$5,Summary!$B$6)</f>
        <v>-79973.4</v>
      </c>
      <c r="L653" s="26" t="n">
        <v>-0.343</v>
      </c>
      <c r="M653" s="27" t="n">
        <f aca="false">IF(K653&gt;0,1,0)</f>
        <v>0</v>
      </c>
      <c r="N653" s="11" t="n">
        <f aca="false">SUMIFS(K$2:K653,A$2:A653,A653,B$2:B653,B653)</f>
        <v>7101285.3</v>
      </c>
      <c r="O653" s="11" t="n">
        <f aca="false">MAX(0,_xlfn.MAXIFS(N$2:N653,A$2:A653,A653,B$2:B653,B653))</f>
        <v>7489950.3</v>
      </c>
      <c r="P653" s="11" t="n">
        <f aca="false">N653-O653</f>
        <v>-388665</v>
      </c>
    </row>
    <row r="654" customFormat="false" ht="15" hidden="false" customHeight="false" outlineLevel="0" collapsed="false">
      <c r="A654" s="8" t="s">
        <v>26</v>
      </c>
      <c r="B654" s="8" t="s">
        <v>41</v>
      </c>
      <c r="C654" s="8" t="s">
        <v>62</v>
      </c>
      <c r="D654" s="21" t="n">
        <v>46107.9236111111</v>
      </c>
      <c r="E654" s="21" t="n">
        <v>46108.3784722222</v>
      </c>
      <c r="F654" s="22" t="n">
        <f aca="false">DATE(YEAR(E654),MONTH(E654),1)</f>
        <v>46082</v>
      </c>
      <c r="G654" s="23" t="n">
        <v>237296</v>
      </c>
      <c r="H654" s="8" t="s">
        <v>61</v>
      </c>
      <c r="I654" s="24" t="n">
        <v>-4443.42</v>
      </c>
      <c r="J654" s="25" t="n">
        <f aca="false">Summary!$B$4</f>
        <v>1</v>
      </c>
      <c r="K654" s="11" t="n">
        <f aca="false">I654*J654*IF(A654="SILVER",Summary!$B$5,Summary!$B$6)</f>
        <v>-133302.6</v>
      </c>
      <c r="L654" s="26" t="n">
        <v>-0.957</v>
      </c>
      <c r="M654" s="27" t="n">
        <f aca="false">IF(K654&gt;0,1,0)</f>
        <v>0</v>
      </c>
      <c r="N654" s="11" t="n">
        <f aca="false">SUMIFS(K$2:K654,A$2:A654,A654,B$2:B654,B654)</f>
        <v>6967982.7</v>
      </c>
      <c r="O654" s="11" t="n">
        <f aca="false">MAX(0,_xlfn.MAXIFS(N$2:N654,A$2:A654,A654,B$2:B654,B654))</f>
        <v>7489950.3</v>
      </c>
      <c r="P654" s="11" t="n">
        <f aca="false">N654-O654</f>
        <v>-521967.6</v>
      </c>
    </row>
    <row r="655" customFormat="false" ht="15" hidden="false" customHeight="false" outlineLevel="0" collapsed="false">
      <c r="A655" s="8" t="s">
        <v>26</v>
      </c>
      <c r="B655" s="8" t="s">
        <v>41</v>
      </c>
      <c r="C655" s="8" t="s">
        <v>62</v>
      </c>
      <c r="D655" s="21" t="n">
        <v>46108.6111111111</v>
      </c>
      <c r="E655" s="21" t="n">
        <v>46108.7659722222</v>
      </c>
      <c r="F655" s="22" t="n">
        <f aca="false">DATE(YEAR(E655),MONTH(E655),1)</f>
        <v>46082</v>
      </c>
      <c r="G655" s="23" t="n">
        <v>240968</v>
      </c>
      <c r="H655" s="8" t="s">
        <v>64</v>
      </c>
      <c r="I655" s="24" t="n">
        <v>280</v>
      </c>
      <c r="J655" s="25" t="n">
        <f aca="false">Summary!$B$4</f>
        <v>1</v>
      </c>
      <c r="K655" s="11" t="n">
        <f aca="false">I655*J655*IF(A655="SILVER",Summary!$B$5,Summary!$B$6)</f>
        <v>8400</v>
      </c>
      <c r="L655" s="26" t="n">
        <v>0.084</v>
      </c>
      <c r="M655" s="27" t="n">
        <f aca="false">IF(K655&gt;0,1,0)</f>
        <v>1</v>
      </c>
      <c r="N655" s="11" t="n">
        <f aca="false">SUMIFS(K$2:K655,A$2:A655,A655,B$2:B655,B655)</f>
        <v>6976382.7</v>
      </c>
      <c r="O655" s="11" t="n">
        <f aca="false">MAX(0,_xlfn.MAXIFS(N$2:N655,A$2:A655,A655,B$2:B655,B655))</f>
        <v>7489950.3</v>
      </c>
      <c r="P655" s="11" t="n">
        <f aca="false">N655-O655</f>
        <v>-513567.6</v>
      </c>
    </row>
    <row r="656" customFormat="false" ht="15" hidden="false" customHeight="false" outlineLevel="0" collapsed="false">
      <c r="A656" s="8" t="s">
        <v>26</v>
      </c>
      <c r="B656" s="8" t="s">
        <v>41</v>
      </c>
      <c r="C656" s="8" t="s">
        <v>62</v>
      </c>
      <c r="D656" s="21" t="n">
        <v>46111.3923611111</v>
      </c>
      <c r="E656" s="21" t="n">
        <v>46111.5902777778</v>
      </c>
      <c r="F656" s="22" t="n">
        <f aca="false">DATE(YEAR(E656),MONTH(E656),1)</f>
        <v>46082</v>
      </c>
      <c r="G656" s="23" t="n">
        <v>244008</v>
      </c>
      <c r="H656" s="8" t="s">
        <v>61</v>
      </c>
      <c r="I656" s="24" t="n">
        <v>-3783.72</v>
      </c>
      <c r="J656" s="25" t="n">
        <f aca="false">Summary!$B$4</f>
        <v>1</v>
      </c>
      <c r="K656" s="11" t="n">
        <f aca="false">I656*J656*IF(A656="SILVER",Summary!$B$5,Summary!$B$6)</f>
        <v>-113511.6</v>
      </c>
      <c r="L656" s="26" t="n">
        <v>-0.741</v>
      </c>
      <c r="M656" s="27" t="n">
        <f aca="false">IF(K656&gt;0,1,0)</f>
        <v>0</v>
      </c>
      <c r="N656" s="11" t="n">
        <f aca="false">SUMIFS(K$2:K656,A$2:A656,A656,B$2:B656,B656)</f>
        <v>6862871.1</v>
      </c>
      <c r="O656" s="11" t="n">
        <f aca="false">MAX(0,_xlfn.MAXIFS(N$2:N656,A$2:A656,A656,B$2:B656,B656))</f>
        <v>7489950.3</v>
      </c>
      <c r="P656" s="11" t="n">
        <f aca="false">N656-O656</f>
        <v>-627079.2</v>
      </c>
    </row>
    <row r="657" customFormat="false" ht="15" hidden="false" customHeight="false" outlineLevel="0" collapsed="false">
      <c r="A657" s="8" t="s">
        <v>26</v>
      </c>
      <c r="B657" s="8" t="s">
        <v>41</v>
      </c>
      <c r="C657" s="8" t="s">
        <v>62</v>
      </c>
      <c r="D657" s="21" t="n">
        <v>46111.8055555556</v>
      </c>
      <c r="E657" s="21" t="n">
        <v>46112.7118055556</v>
      </c>
      <c r="F657" s="22" t="n">
        <f aca="false">DATE(YEAR(E657),MONTH(E657),1)</f>
        <v>46082</v>
      </c>
      <c r="G657" s="23" t="n">
        <v>246698</v>
      </c>
      <c r="H657" s="8" t="s">
        <v>61</v>
      </c>
      <c r="I657" s="24" t="n">
        <v>-6646.49</v>
      </c>
      <c r="J657" s="25" t="n">
        <f aca="false">Summary!$B$4</f>
        <v>1</v>
      </c>
      <c r="K657" s="11" t="n">
        <f aca="false">I657*J657*IF(A657="SILVER",Summary!$B$5,Summary!$B$6)</f>
        <v>-199394.7</v>
      </c>
      <c r="L657" s="26" t="n">
        <v>-1.458</v>
      </c>
      <c r="M657" s="27" t="n">
        <f aca="false">IF(K657&gt;0,1,0)</f>
        <v>0</v>
      </c>
      <c r="N657" s="11" t="n">
        <f aca="false">SUMIFS(K$2:K657,A$2:A657,A657,B$2:B657,B657)</f>
        <v>6663476.4</v>
      </c>
      <c r="O657" s="11" t="n">
        <f aca="false">MAX(0,_xlfn.MAXIFS(N$2:N657,A$2:A657,A657,B$2:B657,B657))</f>
        <v>7489950.3</v>
      </c>
      <c r="P657" s="11" t="n">
        <f aca="false">N657-O657</f>
        <v>-826473.899999999</v>
      </c>
    </row>
    <row r="658" customFormat="false" ht="15" hidden="false" customHeight="false" outlineLevel="0" collapsed="false">
      <c r="A658" s="8" t="s">
        <v>26</v>
      </c>
      <c r="B658" s="8" t="s">
        <v>41</v>
      </c>
      <c r="C658" s="8" t="s">
        <v>62</v>
      </c>
      <c r="D658" s="21" t="n">
        <v>46114.3784722222</v>
      </c>
      <c r="E658" s="21" t="n">
        <v>46114.8055555556</v>
      </c>
      <c r="F658" s="22" t="n">
        <f aca="false">DATE(YEAR(E658),MONTH(E658),1)</f>
        <v>46113</v>
      </c>
      <c r="G658" s="23" t="n">
        <v>250585</v>
      </c>
      <c r="H658" s="8" t="s">
        <v>61</v>
      </c>
      <c r="I658" s="24" t="n">
        <v>3973.76</v>
      </c>
      <c r="J658" s="25" t="n">
        <f aca="false">Summary!$B$4</f>
        <v>1</v>
      </c>
      <c r="K658" s="11" t="n">
        <f aca="false">I658*J658*IF(A658="SILVER",Summary!$B$5,Summary!$B$6)</f>
        <v>119212.8</v>
      </c>
      <c r="L658" s="26" t="n">
        <v>0.423</v>
      </c>
      <c r="M658" s="27" t="n">
        <f aca="false">IF(K658&gt;0,1,0)</f>
        <v>1</v>
      </c>
      <c r="N658" s="11" t="n">
        <f aca="false">SUMIFS(K$2:K658,A$2:A658,A658,B$2:B658,B658)</f>
        <v>6782689.2</v>
      </c>
      <c r="O658" s="11" t="n">
        <f aca="false">MAX(0,_xlfn.MAXIFS(N$2:N658,A$2:A658,A658,B$2:B658,B658))</f>
        <v>7489950.3</v>
      </c>
      <c r="P658" s="11" t="n">
        <f aca="false">N658-O658</f>
        <v>-707261.1</v>
      </c>
    </row>
    <row r="659" customFormat="false" ht="15" hidden="false" customHeight="false" outlineLevel="0" collapsed="false">
      <c r="A659" s="8" t="s">
        <v>26</v>
      </c>
      <c r="B659" s="8" t="s">
        <v>41</v>
      </c>
      <c r="C659" s="8" t="s">
        <v>62</v>
      </c>
      <c r="D659" s="21" t="n">
        <v>46118.80625</v>
      </c>
      <c r="E659" s="21" t="n">
        <v>46118.9534722222</v>
      </c>
      <c r="F659" s="22" t="n">
        <f aca="false">DATE(YEAR(E659),MONTH(E659),1)</f>
        <v>46113</v>
      </c>
      <c r="G659" s="23" t="n">
        <v>250785</v>
      </c>
      <c r="H659" s="8" t="s">
        <v>64</v>
      </c>
      <c r="I659" s="24" t="n">
        <v>250.8</v>
      </c>
      <c r="J659" s="25" t="n">
        <f aca="false">Summary!$B$4</f>
        <v>1</v>
      </c>
      <c r="K659" s="11" t="n">
        <f aca="false">I659*J659*IF(A659="SILVER",Summary!$B$5,Summary!$B$6)</f>
        <v>7524</v>
      </c>
      <c r="L659" s="26" t="n">
        <v>0.082</v>
      </c>
      <c r="M659" s="27" t="n">
        <f aca="false">IF(K659&gt;0,1,0)</f>
        <v>1</v>
      </c>
      <c r="N659" s="11" t="n">
        <f aca="false">SUMIFS(K$2:K659,A$2:A659,A659,B$2:B659,B659)</f>
        <v>6790213.2</v>
      </c>
      <c r="O659" s="11" t="n">
        <f aca="false">MAX(0,_xlfn.MAXIFS(N$2:N659,A$2:A659,A659,B$2:B659,B659))</f>
        <v>7489950.3</v>
      </c>
      <c r="P659" s="11" t="n">
        <f aca="false">N659-O659</f>
        <v>-699737.1</v>
      </c>
    </row>
    <row r="660" customFormat="false" ht="15" hidden="false" customHeight="false" outlineLevel="0" collapsed="false">
      <c r="A660" s="8" t="s">
        <v>26</v>
      </c>
      <c r="B660" s="8" t="s">
        <v>41</v>
      </c>
      <c r="C660" s="8" t="s">
        <v>62</v>
      </c>
      <c r="D660" s="21" t="n">
        <v>46119.46875</v>
      </c>
      <c r="E660" s="21" t="n">
        <v>46119.9618055556</v>
      </c>
      <c r="F660" s="22" t="n">
        <f aca="false">DATE(YEAR(E660),MONTH(E660),1)</f>
        <v>46113</v>
      </c>
      <c r="G660" s="23" t="n">
        <v>249235</v>
      </c>
      <c r="H660" s="8" t="s">
        <v>61</v>
      </c>
      <c r="I660" s="24" t="n">
        <v>470.68</v>
      </c>
      <c r="J660" s="25" t="n">
        <f aca="false">Summary!$B$4</f>
        <v>1</v>
      </c>
      <c r="K660" s="11" t="n">
        <f aca="false">I660*J660*IF(A660="SILVER",Summary!$B$5,Summary!$B$6)</f>
        <v>14120.4</v>
      </c>
      <c r="L660" s="26" t="n">
        <v>0.128</v>
      </c>
      <c r="M660" s="27" t="n">
        <f aca="false">IF(K660&gt;0,1,0)</f>
        <v>1</v>
      </c>
      <c r="N660" s="11" t="n">
        <f aca="false">SUMIFS(K$2:K660,A$2:A660,A660,B$2:B660,B660)</f>
        <v>6804333.6</v>
      </c>
      <c r="O660" s="11" t="n">
        <f aca="false">MAX(0,_xlfn.MAXIFS(N$2:N660,A$2:A660,A660,B$2:B660,B660))</f>
        <v>7489950.3</v>
      </c>
      <c r="P660" s="11" t="n">
        <f aca="false">N660-O660</f>
        <v>-685616.7</v>
      </c>
    </row>
    <row r="661" customFormat="false" ht="15" hidden="false" customHeight="false" outlineLevel="0" collapsed="false">
      <c r="A661" s="8" t="s">
        <v>26</v>
      </c>
      <c r="B661" s="8" t="s">
        <v>41</v>
      </c>
      <c r="C661" s="8" t="s">
        <v>62</v>
      </c>
      <c r="D661" s="21" t="n">
        <v>46120.8020833333</v>
      </c>
      <c r="E661" s="21" t="n">
        <v>46121.7916666667</v>
      </c>
      <c r="F661" s="22" t="n">
        <f aca="false">DATE(YEAR(E661),MONTH(E661),1)</f>
        <v>46113</v>
      </c>
      <c r="G661" s="23" t="n">
        <v>260512</v>
      </c>
      <c r="H661" s="8" t="s">
        <v>61</v>
      </c>
      <c r="I661" s="24" t="n">
        <v>4218.8</v>
      </c>
      <c r="J661" s="25" t="n">
        <f aca="false">Summary!$B$4</f>
        <v>1</v>
      </c>
      <c r="K661" s="11" t="n">
        <f aca="false">I661*J661*IF(A661="SILVER",Summary!$B$5,Summary!$B$6)</f>
        <v>126564</v>
      </c>
      <c r="L661" s="26" t="n">
        <v>1.245</v>
      </c>
      <c r="M661" s="27" t="n">
        <f aca="false">IF(K661&gt;0,1,0)</f>
        <v>1</v>
      </c>
      <c r="N661" s="11" t="n">
        <f aca="false">SUMIFS(K$2:K661,A$2:A661,A661,B$2:B661,B661)</f>
        <v>6930897.6</v>
      </c>
      <c r="O661" s="11" t="n">
        <f aca="false">MAX(0,_xlfn.MAXIFS(N$2:N661,A$2:A661,A661,B$2:B661,B661))</f>
        <v>7489950.3</v>
      </c>
      <c r="P661" s="11" t="n">
        <f aca="false">N661-O661</f>
        <v>-559052.7</v>
      </c>
    </row>
    <row r="662" customFormat="false" ht="15" hidden="false" customHeight="false" outlineLevel="0" collapsed="false">
      <c r="A662" s="8" t="s">
        <v>26</v>
      </c>
      <c r="B662" s="8" t="s">
        <v>41</v>
      </c>
      <c r="C662" s="8" t="s">
        <v>62</v>
      </c>
      <c r="D662" s="21" t="n">
        <v>46122.5173611111</v>
      </c>
      <c r="E662" s="21" t="n">
        <v>46122.6631944445</v>
      </c>
      <c r="F662" s="22" t="n">
        <f aca="false">DATE(YEAR(E662),MONTH(E662),1)</f>
        <v>46113</v>
      </c>
      <c r="G662" s="23" t="n">
        <v>258857</v>
      </c>
      <c r="H662" s="8" t="s">
        <v>64</v>
      </c>
      <c r="I662" s="24" t="n">
        <v>152.33</v>
      </c>
      <c r="J662" s="25" t="n">
        <f aca="false">Summary!$B$4</f>
        <v>1</v>
      </c>
      <c r="K662" s="11" t="n">
        <f aca="false">I662*J662*IF(A662="SILVER",Summary!$B$5,Summary!$B$6)</f>
        <v>4569.9</v>
      </c>
      <c r="L662" s="26" t="n">
        <v>0.072</v>
      </c>
      <c r="M662" s="27" t="n">
        <f aca="false">IF(K662&gt;0,1,0)</f>
        <v>1</v>
      </c>
      <c r="N662" s="11" t="n">
        <f aca="false">SUMIFS(K$2:K662,A$2:A662,A662,B$2:B662,B662)</f>
        <v>6935467.5</v>
      </c>
      <c r="O662" s="11" t="n">
        <f aca="false">MAX(0,_xlfn.MAXIFS(N$2:N662,A$2:A662,A662,B$2:B662,B662))</f>
        <v>7489950.3</v>
      </c>
      <c r="P662" s="11" t="n">
        <f aca="false">N662-O662</f>
        <v>-554482.8</v>
      </c>
    </row>
    <row r="663" customFormat="false" ht="15" hidden="false" customHeight="false" outlineLevel="0" collapsed="false">
      <c r="A663" s="8" t="s">
        <v>26</v>
      </c>
      <c r="B663" s="8" t="s">
        <v>41</v>
      </c>
      <c r="C663" s="8" t="s">
        <v>62</v>
      </c>
      <c r="D663" s="21" t="n">
        <v>46125.3784722222</v>
      </c>
      <c r="E663" s="21" t="n">
        <v>46125.9131944445</v>
      </c>
      <c r="F663" s="22" t="n">
        <f aca="false">DATE(YEAR(E663),MONTH(E663),1)</f>
        <v>46113</v>
      </c>
      <c r="G663" s="23" t="n">
        <v>255479</v>
      </c>
      <c r="H663" s="8" t="s">
        <v>61</v>
      </c>
      <c r="I663" s="24" t="n">
        <v>-1073.71</v>
      </c>
      <c r="J663" s="25" t="n">
        <f aca="false">Summary!$B$4</f>
        <v>1</v>
      </c>
      <c r="K663" s="11" t="n">
        <f aca="false">I663*J663*IF(A663="SILVER",Summary!$B$5,Summary!$B$6)</f>
        <v>-32211.3</v>
      </c>
      <c r="L663" s="26" t="n">
        <v>-0.3</v>
      </c>
      <c r="M663" s="27" t="n">
        <f aca="false">IF(K663&gt;0,1,0)</f>
        <v>0</v>
      </c>
      <c r="N663" s="11" t="n">
        <f aca="false">SUMIFS(K$2:K663,A$2:A663,A663,B$2:B663,B663)</f>
        <v>6903256.2</v>
      </c>
      <c r="O663" s="11" t="n">
        <f aca="false">MAX(0,_xlfn.MAXIFS(N$2:N663,A$2:A663,A663,B$2:B663,B663))</f>
        <v>7489950.3</v>
      </c>
      <c r="P663" s="11" t="n">
        <f aca="false">N663-O663</f>
        <v>-586694.1</v>
      </c>
    </row>
    <row r="664" customFormat="false" ht="15" hidden="false" customHeight="false" outlineLevel="0" collapsed="false">
      <c r="A664" s="8" t="s">
        <v>26</v>
      </c>
      <c r="B664" s="8" t="s">
        <v>41</v>
      </c>
      <c r="C664" s="8" t="s">
        <v>62</v>
      </c>
      <c r="D664" s="21" t="n">
        <v>46127.6111111111</v>
      </c>
      <c r="E664" s="21" t="n">
        <v>46127.71875</v>
      </c>
      <c r="F664" s="22" t="n">
        <f aca="false">DATE(YEAR(E664),MONTH(E664),1)</f>
        <v>46113</v>
      </c>
      <c r="G664" s="23" t="n">
        <v>268780</v>
      </c>
      <c r="H664" s="8" t="s">
        <v>64</v>
      </c>
      <c r="I664" s="24" t="n">
        <v>169.92</v>
      </c>
      <c r="J664" s="25" t="n">
        <f aca="false">Summary!$B$4</f>
        <v>1</v>
      </c>
      <c r="K664" s="11" t="n">
        <f aca="false">I664*J664*IF(A664="SILVER",Summary!$B$5,Summary!$B$6)</f>
        <v>5097.6</v>
      </c>
      <c r="L664" s="26" t="n">
        <v>0.074</v>
      </c>
      <c r="M664" s="27" t="n">
        <f aca="false">IF(K664&gt;0,1,0)</f>
        <v>1</v>
      </c>
      <c r="N664" s="11" t="n">
        <f aca="false">SUMIFS(K$2:K664,A$2:A664,A664,B$2:B664,B664)</f>
        <v>6908353.8</v>
      </c>
      <c r="O664" s="11" t="n">
        <f aca="false">MAX(0,_xlfn.MAXIFS(N$2:N664,A$2:A664,A664,B$2:B664,B664))</f>
        <v>7489950.3</v>
      </c>
      <c r="P664" s="11" t="n">
        <f aca="false">N664-O664</f>
        <v>-581596.5</v>
      </c>
    </row>
    <row r="665" customFormat="false" ht="15" hidden="false" customHeight="false" outlineLevel="0" collapsed="false">
      <c r="A665" s="8" t="s">
        <v>26</v>
      </c>
      <c r="B665" s="8" t="s">
        <v>41</v>
      </c>
      <c r="C665" s="8" t="s">
        <v>62</v>
      </c>
      <c r="D665" s="21" t="n">
        <v>46127.8784722222</v>
      </c>
      <c r="E665" s="21" t="n">
        <v>46128.3784722222</v>
      </c>
      <c r="F665" s="22" t="n">
        <f aca="false">DATE(YEAR(E665),MONTH(E665),1)</f>
        <v>46113</v>
      </c>
      <c r="G665" s="23" t="n">
        <v>268897</v>
      </c>
      <c r="H665" s="8" t="s">
        <v>61</v>
      </c>
      <c r="I665" s="24" t="n">
        <v>-3688.63</v>
      </c>
      <c r="J665" s="25" t="n">
        <f aca="false">Summary!$B$4</f>
        <v>1</v>
      </c>
      <c r="K665" s="11" t="n">
        <f aca="false">I665*J665*IF(A665="SILVER",Summary!$B$5,Summary!$B$6)</f>
        <v>-110658.9</v>
      </c>
      <c r="L665" s="26" t="n">
        <v>-1.098</v>
      </c>
      <c r="M665" s="27" t="n">
        <f aca="false">IF(K665&gt;0,1,0)</f>
        <v>0</v>
      </c>
      <c r="N665" s="11" t="n">
        <f aca="false">SUMIFS(K$2:K665,A$2:A665,A665,B$2:B665,B665)</f>
        <v>6797694.9</v>
      </c>
      <c r="O665" s="11" t="n">
        <f aca="false">MAX(0,_xlfn.MAXIFS(N$2:N665,A$2:A665,A665,B$2:B665,B665))</f>
        <v>7489950.3</v>
      </c>
      <c r="P665" s="11" t="n">
        <f aca="false">N665-O665</f>
        <v>-692255.399999999</v>
      </c>
    </row>
    <row r="666" customFormat="false" ht="15" hidden="false" customHeight="false" outlineLevel="0" collapsed="false">
      <c r="A666" s="8" t="s">
        <v>26</v>
      </c>
      <c r="B666" s="8" t="s">
        <v>41</v>
      </c>
      <c r="C666" s="8" t="s">
        <v>62</v>
      </c>
      <c r="D666" s="21" t="n">
        <v>46128.5798611111</v>
      </c>
      <c r="E666" s="21" t="n">
        <v>46128.7680555556</v>
      </c>
      <c r="F666" s="22" t="n">
        <f aca="false">DATE(YEAR(E666),MONTH(E666),1)</f>
        <v>46113</v>
      </c>
      <c r="G666" s="23" t="n">
        <v>269772</v>
      </c>
      <c r="H666" s="8" t="s">
        <v>64</v>
      </c>
      <c r="I666" s="24" t="n">
        <v>97.56</v>
      </c>
      <c r="J666" s="25" t="n">
        <f aca="false">Summary!$B$4</f>
        <v>1</v>
      </c>
      <c r="K666" s="11" t="n">
        <f aca="false">I666*J666*IF(A666="SILVER",Summary!$B$5,Summary!$B$6)</f>
        <v>2926.8</v>
      </c>
      <c r="L666" s="26" t="n">
        <v>0.044</v>
      </c>
      <c r="M666" s="27" t="n">
        <f aca="false">IF(K666&gt;0,1,0)</f>
        <v>1</v>
      </c>
      <c r="N666" s="11" t="n">
        <f aca="false">SUMIFS(K$2:K666,A$2:A666,A666,B$2:B666,B666)</f>
        <v>6800621.7</v>
      </c>
      <c r="O666" s="11" t="n">
        <f aca="false">MAX(0,_xlfn.MAXIFS(N$2:N666,A$2:A666,A666,B$2:B666,B666))</f>
        <v>7489950.3</v>
      </c>
      <c r="P666" s="11" t="n">
        <f aca="false">N666-O666</f>
        <v>-689328.6</v>
      </c>
    </row>
    <row r="667" customFormat="false" ht="15" hidden="false" customHeight="false" outlineLevel="0" collapsed="false">
      <c r="A667" s="8" t="s">
        <v>26</v>
      </c>
      <c r="B667" s="8" t="s">
        <v>41</v>
      </c>
      <c r="C667" s="8" t="s">
        <v>62</v>
      </c>
      <c r="D667" s="21" t="n">
        <v>46132.3784722222</v>
      </c>
      <c r="E667" s="21" t="n">
        <v>46132.7763888889</v>
      </c>
      <c r="F667" s="22" t="n">
        <f aca="false">DATE(YEAR(E667),MONTH(E667),1)</f>
        <v>46113</v>
      </c>
      <c r="G667" s="23" t="n">
        <v>270884</v>
      </c>
      <c r="H667" s="8" t="s">
        <v>64</v>
      </c>
      <c r="I667" s="24" t="n">
        <v>434.88</v>
      </c>
      <c r="J667" s="25" t="n">
        <f aca="false">Summary!$B$4</f>
        <v>1</v>
      </c>
      <c r="K667" s="11" t="n">
        <f aca="false">I667*J667*IF(A667="SILVER",Summary!$B$5,Summary!$B$6)</f>
        <v>13046.4</v>
      </c>
      <c r="L667" s="26" t="n">
        <v>0.088</v>
      </c>
      <c r="M667" s="27" t="n">
        <f aca="false">IF(K667&gt;0,1,0)</f>
        <v>1</v>
      </c>
      <c r="N667" s="11" t="n">
        <f aca="false">SUMIFS(K$2:K667,A$2:A667,A667,B$2:B667,B667)</f>
        <v>6813668.1</v>
      </c>
      <c r="O667" s="11" t="n">
        <f aca="false">MAX(0,_xlfn.MAXIFS(N$2:N667,A$2:A667,A667,B$2:B667,B667))</f>
        <v>7489950.3</v>
      </c>
      <c r="P667" s="11" t="n">
        <f aca="false">N667-O667</f>
        <v>-676282.2</v>
      </c>
    </row>
    <row r="668" customFormat="false" ht="15" hidden="false" customHeight="false" outlineLevel="0" collapsed="false">
      <c r="A668" s="8" t="s">
        <v>26</v>
      </c>
      <c r="B668" s="8" t="s">
        <v>41</v>
      </c>
      <c r="C668" s="8" t="s">
        <v>62</v>
      </c>
      <c r="D668" s="21" t="n">
        <v>46133.3784722222</v>
      </c>
      <c r="E668" s="21" t="n">
        <v>46133.8173611111</v>
      </c>
      <c r="F668" s="22" t="n">
        <f aca="false">DATE(YEAR(E668),MONTH(E668),1)</f>
        <v>46113</v>
      </c>
      <c r="G668" s="23" t="n">
        <v>268451</v>
      </c>
      <c r="H668" s="8" t="s">
        <v>64</v>
      </c>
      <c r="I668" s="24" t="n">
        <v>168.19</v>
      </c>
      <c r="J668" s="25" t="n">
        <f aca="false">Summary!$B$4</f>
        <v>1</v>
      </c>
      <c r="K668" s="11" t="n">
        <f aca="false">I668*J668*IF(A668="SILVER",Summary!$B$5,Summary!$B$6)</f>
        <v>5045.7</v>
      </c>
      <c r="L668" s="26" t="n">
        <v>0.074</v>
      </c>
      <c r="M668" s="27" t="n">
        <f aca="false">IF(K668&gt;0,1,0)</f>
        <v>1</v>
      </c>
      <c r="N668" s="11" t="n">
        <f aca="false">SUMIFS(K$2:K668,A$2:A668,A668,B$2:B668,B668)</f>
        <v>6818713.8</v>
      </c>
      <c r="O668" s="11" t="n">
        <f aca="false">MAX(0,_xlfn.MAXIFS(N$2:N668,A$2:A668,A668,B$2:B668,B668))</f>
        <v>7489950.3</v>
      </c>
      <c r="P668" s="11" t="n">
        <f aca="false">N668-O668</f>
        <v>-671236.5</v>
      </c>
    </row>
    <row r="669" customFormat="false" ht="15" hidden="false" customHeight="false" outlineLevel="0" collapsed="false">
      <c r="A669" s="8" t="s">
        <v>26</v>
      </c>
      <c r="B669" s="8" t="s">
        <v>41</v>
      </c>
      <c r="C669" s="8" t="s">
        <v>62</v>
      </c>
      <c r="D669" s="21" t="n">
        <v>46134.6527777778</v>
      </c>
      <c r="E669" s="21" t="n">
        <v>46134.7902777778</v>
      </c>
      <c r="F669" s="22" t="n">
        <f aca="false">DATE(YEAR(E669),MONTH(E669),1)</f>
        <v>46113</v>
      </c>
      <c r="G669" s="23" t="n">
        <v>265885</v>
      </c>
      <c r="H669" s="8" t="s">
        <v>64</v>
      </c>
      <c r="I669" s="24" t="n">
        <v>113.81</v>
      </c>
      <c r="J669" s="25" t="n">
        <f aca="false">Summary!$B$4</f>
        <v>1</v>
      </c>
      <c r="K669" s="11" t="n">
        <f aca="false">I669*J669*IF(A669="SILVER",Summary!$B$5,Summary!$B$6)</f>
        <v>3414.3</v>
      </c>
      <c r="L669" s="26" t="n">
        <v>0.066</v>
      </c>
      <c r="M669" s="27" t="n">
        <f aca="false">IF(K669&gt;0,1,0)</f>
        <v>1</v>
      </c>
      <c r="N669" s="11" t="n">
        <f aca="false">SUMIFS(K$2:K669,A$2:A669,A669,B$2:B669,B669)</f>
        <v>6822128.1</v>
      </c>
      <c r="O669" s="11" t="n">
        <f aca="false">MAX(0,_xlfn.MAXIFS(N$2:N669,A$2:A669,A669,B$2:B669,B669))</f>
        <v>7489950.3</v>
      </c>
      <c r="P669" s="11" t="n">
        <f aca="false">N669-O669</f>
        <v>-667822.2</v>
      </c>
    </row>
    <row r="670" customFormat="false" ht="15" hidden="false" customHeight="false" outlineLevel="0" collapsed="false">
      <c r="A670" s="8" t="s">
        <v>26</v>
      </c>
      <c r="B670" s="8" t="s">
        <v>41</v>
      </c>
      <c r="C670" s="8" t="s">
        <v>62</v>
      </c>
      <c r="D670" s="21" t="n">
        <v>46135.9513888889</v>
      </c>
      <c r="E670" s="21" t="n">
        <v>46135.9777777778</v>
      </c>
      <c r="F670" s="22" t="n">
        <f aca="false">DATE(YEAR(E670),MONTH(E670),1)</f>
        <v>46113</v>
      </c>
      <c r="G670" s="23" t="n">
        <v>260023</v>
      </c>
      <c r="H670" s="8" t="s">
        <v>64</v>
      </c>
      <c r="I670" s="24" t="n">
        <v>246.92</v>
      </c>
      <c r="J670" s="25" t="n">
        <f aca="false">Summary!$B$4</f>
        <v>1</v>
      </c>
      <c r="K670" s="11" t="n">
        <f aca="false">I670*J670*IF(A670="SILVER",Summary!$B$5,Summary!$B$6)</f>
        <v>7407.6</v>
      </c>
      <c r="L670" s="26" t="n">
        <v>0.081</v>
      </c>
      <c r="M670" s="27" t="n">
        <f aca="false">IF(K670&gt;0,1,0)</f>
        <v>1</v>
      </c>
      <c r="N670" s="11" t="n">
        <f aca="false">SUMIFS(K$2:K670,A$2:A670,A670,B$2:B670,B670)</f>
        <v>6829535.7</v>
      </c>
      <c r="O670" s="11" t="n">
        <f aca="false">MAX(0,_xlfn.MAXIFS(N$2:N670,A$2:A670,A670,B$2:B670,B670))</f>
        <v>7489950.3</v>
      </c>
      <c r="P670" s="11" t="n">
        <f aca="false">N670-O670</f>
        <v>-660414.6</v>
      </c>
    </row>
    <row r="671" customFormat="false" ht="15" hidden="false" customHeight="false" outlineLevel="0" collapsed="false">
      <c r="A671" s="8" t="s">
        <v>26</v>
      </c>
      <c r="B671" s="8" t="s">
        <v>41</v>
      </c>
      <c r="C671" s="8" t="s">
        <v>62</v>
      </c>
      <c r="D671" s="21" t="n">
        <v>46139.7604166667</v>
      </c>
      <c r="E671" s="21" t="n">
        <v>46139.875</v>
      </c>
      <c r="F671" s="22" t="n">
        <f aca="false">DATE(YEAR(E671),MONTH(E671),1)</f>
        <v>46113</v>
      </c>
      <c r="G671" s="23" t="n">
        <v>259186</v>
      </c>
      <c r="H671" s="8" t="s">
        <v>64</v>
      </c>
      <c r="I671" s="24" t="n">
        <v>156.19</v>
      </c>
      <c r="J671" s="25" t="n">
        <f aca="false">Summary!$B$4</f>
        <v>1</v>
      </c>
      <c r="K671" s="11" t="n">
        <f aca="false">I671*J671*IF(A671="SILVER",Summary!$B$5,Summary!$B$6)</f>
        <v>4685.7</v>
      </c>
      <c r="L671" s="26" t="n">
        <v>0.073</v>
      </c>
      <c r="M671" s="27" t="n">
        <f aca="false">IF(K671&gt;0,1,0)</f>
        <v>1</v>
      </c>
      <c r="N671" s="11" t="n">
        <f aca="false">SUMIFS(K$2:K671,A$2:A671,A671,B$2:B671,B671)</f>
        <v>6834221.4</v>
      </c>
      <c r="O671" s="11" t="n">
        <f aca="false">MAX(0,_xlfn.MAXIFS(N$2:N671,A$2:A671,A671,B$2:B671,B671))</f>
        <v>7489950.3</v>
      </c>
      <c r="P671" s="11" t="n">
        <f aca="false">N671-O671</f>
        <v>-655728.899999999</v>
      </c>
    </row>
    <row r="672" customFormat="false" ht="15" hidden="false" customHeight="false" outlineLevel="0" collapsed="false">
      <c r="A672" s="8" t="s">
        <v>26</v>
      </c>
      <c r="B672" s="8" t="s">
        <v>41</v>
      </c>
      <c r="C672" s="8" t="s">
        <v>62</v>
      </c>
      <c r="D672" s="21" t="n">
        <v>46141.54375</v>
      </c>
      <c r="E672" s="21" t="n">
        <v>46141.6666666667</v>
      </c>
      <c r="F672" s="22" t="n">
        <f aca="false">DATE(YEAR(E672),MONTH(E672),1)</f>
        <v>46113</v>
      </c>
      <c r="G672" s="23" t="n">
        <v>254135</v>
      </c>
      <c r="H672" s="8" t="s">
        <v>64</v>
      </c>
      <c r="I672" s="24" t="n">
        <v>121.88</v>
      </c>
      <c r="J672" s="25" t="n">
        <f aca="false">Summary!$B$4</f>
        <v>1</v>
      </c>
      <c r="K672" s="11" t="n">
        <f aca="false">I672*J672*IF(A672="SILVER",Summary!$B$5,Summary!$B$6)</f>
        <v>3656.4</v>
      </c>
      <c r="L672" s="26" t="n">
        <v>0.068</v>
      </c>
      <c r="M672" s="27" t="n">
        <f aca="false">IF(K672&gt;0,1,0)</f>
        <v>1</v>
      </c>
      <c r="N672" s="11" t="n">
        <f aca="false">SUMIFS(K$2:K672,A$2:A672,A672,B$2:B672,B672)</f>
        <v>6837877.8</v>
      </c>
      <c r="O672" s="11" t="n">
        <f aca="false">MAX(0,_xlfn.MAXIFS(N$2:N672,A$2:A672,A672,B$2:B672,B672))</f>
        <v>7489950.3</v>
      </c>
      <c r="P672" s="11" t="n">
        <f aca="false">N672-O672</f>
        <v>-652072.5</v>
      </c>
    </row>
    <row r="673" customFormat="false" ht="15" hidden="false" customHeight="false" outlineLevel="0" collapsed="false">
      <c r="A673" s="8" t="s">
        <v>26</v>
      </c>
      <c r="B673" s="8" t="s">
        <v>41</v>
      </c>
      <c r="C673" s="8" t="s">
        <v>62</v>
      </c>
      <c r="D673" s="21" t="n">
        <v>46142.8756944445</v>
      </c>
      <c r="E673" s="21" t="n">
        <v>46142.9423611111</v>
      </c>
      <c r="F673" s="22" t="n">
        <f aca="false">DATE(YEAR(E673),MONTH(E673),1)</f>
        <v>46113</v>
      </c>
      <c r="G673" s="23" t="n">
        <v>256085</v>
      </c>
      <c r="H673" s="8" t="s">
        <v>64</v>
      </c>
      <c r="I673" s="24" t="n">
        <v>-357.67</v>
      </c>
      <c r="J673" s="25" t="n">
        <f aca="false">Summary!$B$4</f>
        <v>1</v>
      </c>
      <c r="K673" s="11" t="n">
        <f aca="false">I673*J673*IF(A673="SILVER",Summary!$B$5,Summary!$B$6)</f>
        <v>-10730.1</v>
      </c>
      <c r="L673" s="26" t="n">
        <v>-0.247</v>
      </c>
      <c r="M673" s="27" t="n">
        <f aca="false">IF(K673&gt;0,1,0)</f>
        <v>0</v>
      </c>
      <c r="N673" s="11" t="n">
        <f aca="false">SUMIFS(K$2:K673,A$2:A673,A673,B$2:B673,B673)</f>
        <v>6827147.7</v>
      </c>
      <c r="O673" s="11" t="n">
        <f aca="false">MAX(0,_xlfn.MAXIFS(N$2:N673,A$2:A673,A673,B$2:B673,B673))</f>
        <v>7489950.3</v>
      </c>
      <c r="P673" s="11" t="n">
        <f aca="false">N673-O673</f>
        <v>-662802.6</v>
      </c>
    </row>
    <row r="674" customFormat="false" ht="15" hidden="false" customHeight="false" outlineLevel="0" collapsed="false">
      <c r="A674" s="8" t="s">
        <v>26</v>
      </c>
      <c r="B674" s="8" t="s">
        <v>41</v>
      </c>
      <c r="C674" s="8" t="s">
        <v>62</v>
      </c>
      <c r="D674" s="21" t="n">
        <v>46146.5826388889</v>
      </c>
      <c r="E674" s="21" t="n">
        <v>46146.75625</v>
      </c>
      <c r="F674" s="22" t="n">
        <f aca="false">DATE(YEAR(E674),MONTH(E674),1)</f>
        <v>46143</v>
      </c>
      <c r="G674" s="23" t="n">
        <v>258885</v>
      </c>
      <c r="H674" s="8" t="s">
        <v>64</v>
      </c>
      <c r="I674" s="24" t="n">
        <v>-635.35</v>
      </c>
      <c r="J674" s="25" t="n">
        <f aca="false">Summary!$B$4</f>
        <v>1</v>
      </c>
      <c r="K674" s="11" t="n">
        <f aca="false">I674*J674*IF(A674="SILVER",Summary!$B$5,Summary!$B$6)</f>
        <v>-19060.5</v>
      </c>
      <c r="L674" s="26" t="n">
        <v>-0.122</v>
      </c>
      <c r="M674" s="27" t="n">
        <f aca="false">IF(K674&gt;0,1,0)</f>
        <v>0</v>
      </c>
      <c r="N674" s="11" t="n">
        <f aca="false">SUMIFS(K$2:K674,A$2:A674,A674,B$2:B674,B674)</f>
        <v>6808087.2</v>
      </c>
      <c r="O674" s="11" t="n">
        <f aca="false">MAX(0,_xlfn.MAXIFS(N$2:N674,A$2:A674,A674,B$2:B674,B674))</f>
        <v>7489950.3</v>
      </c>
      <c r="P674" s="11" t="n">
        <f aca="false">N674-O674</f>
        <v>-681863.1</v>
      </c>
    </row>
    <row r="675" customFormat="false" ht="15" hidden="false" customHeight="false" outlineLevel="0" collapsed="false">
      <c r="A675" s="8" t="s">
        <v>26</v>
      </c>
      <c r="B675" s="8" t="s">
        <v>41</v>
      </c>
      <c r="C675" s="8" t="s">
        <v>62</v>
      </c>
      <c r="D675" s="21" t="n">
        <v>46148.7326388889</v>
      </c>
      <c r="E675" s="21" t="n">
        <v>46148.74375</v>
      </c>
      <c r="F675" s="22" t="n">
        <f aca="false">DATE(YEAR(E675),MONTH(E675),1)</f>
        <v>46143</v>
      </c>
      <c r="G675" s="23" t="n">
        <v>259040</v>
      </c>
      <c r="H675" s="8" t="s">
        <v>64</v>
      </c>
      <c r="I675" s="24" t="n">
        <v>285.76</v>
      </c>
      <c r="J675" s="25" t="n">
        <f aca="false">Summary!$B$4</f>
        <v>1</v>
      </c>
      <c r="K675" s="11" t="n">
        <f aca="false">I675*J675*IF(A675="SILVER",Summary!$B$5,Summary!$B$6)</f>
        <v>8572.8</v>
      </c>
      <c r="L675" s="26" t="n">
        <v>0.083</v>
      </c>
      <c r="M675" s="27" t="n">
        <f aca="false">IF(K675&gt;0,1,0)</f>
        <v>1</v>
      </c>
      <c r="N675" s="11" t="n">
        <f aca="false">SUMIFS(K$2:K675,A$2:A675,A675,B$2:B675,B675)</f>
        <v>6816660</v>
      </c>
      <c r="O675" s="11" t="n">
        <f aca="false">MAX(0,_xlfn.MAXIFS(N$2:N675,A$2:A675,A675,B$2:B675,B675))</f>
        <v>7489950.3</v>
      </c>
      <c r="P675" s="11" t="n">
        <f aca="false">N675-O675</f>
        <v>-673290.3</v>
      </c>
    </row>
    <row r="676" customFormat="false" ht="15" hidden="false" customHeight="false" outlineLevel="0" collapsed="false">
      <c r="A676" s="8" t="s">
        <v>26</v>
      </c>
      <c r="B676" s="8" t="s">
        <v>41</v>
      </c>
      <c r="C676" s="8" t="s">
        <v>62</v>
      </c>
      <c r="D676" s="21" t="n">
        <v>46149.8958333333</v>
      </c>
      <c r="E676" s="21" t="n">
        <v>46149.9138888889</v>
      </c>
      <c r="F676" s="22" t="n">
        <f aca="false">DATE(YEAR(E676),MONTH(E676),1)</f>
        <v>46143</v>
      </c>
      <c r="G676" s="23" t="n">
        <v>268156</v>
      </c>
      <c r="H676" s="8" t="s">
        <v>64</v>
      </c>
      <c r="I676" s="24" t="n">
        <v>356.18</v>
      </c>
      <c r="J676" s="25" t="n">
        <f aca="false">Summary!$B$4</f>
        <v>1</v>
      </c>
      <c r="K676" s="11" t="n">
        <f aca="false">I676*J676*IF(A676="SILVER",Summary!$B$5,Summary!$B$6)</f>
        <v>10685.4</v>
      </c>
      <c r="L676" s="26" t="n">
        <v>0.085</v>
      </c>
      <c r="M676" s="27" t="n">
        <f aca="false">IF(K676&gt;0,1,0)</f>
        <v>1</v>
      </c>
      <c r="N676" s="11" t="n">
        <f aca="false">SUMIFS(K$2:K676,A$2:A676,A676,B$2:B676,B676)</f>
        <v>6827345.4</v>
      </c>
      <c r="O676" s="11" t="n">
        <f aca="false">MAX(0,_xlfn.MAXIFS(N$2:N676,A$2:A676,A676,B$2:B676,B676))</f>
        <v>7489950.3</v>
      </c>
      <c r="P676" s="11" t="n">
        <f aca="false">N676-O676</f>
        <v>-662604.899999999</v>
      </c>
    </row>
    <row r="677" customFormat="false" ht="15" hidden="false" customHeight="false" outlineLevel="0" collapsed="false">
      <c r="A677" s="8" t="s">
        <v>26</v>
      </c>
      <c r="B677" s="8" t="s">
        <v>41</v>
      </c>
      <c r="C677" s="8" t="s">
        <v>62</v>
      </c>
      <c r="D677" s="21" t="n">
        <v>46150.8854166667</v>
      </c>
      <c r="E677" s="21" t="n">
        <v>46153.7118055556</v>
      </c>
      <c r="F677" s="22" t="n">
        <f aca="false">DATE(YEAR(E677),MONTH(E677),1)</f>
        <v>46143</v>
      </c>
      <c r="G677" s="23" t="n">
        <v>267740</v>
      </c>
      <c r="H677" s="8" t="s">
        <v>61</v>
      </c>
      <c r="I677" s="24" t="n">
        <v>-3378.51</v>
      </c>
      <c r="J677" s="25" t="n">
        <f aca="false">Summary!$B$4</f>
        <v>1</v>
      </c>
      <c r="K677" s="11" t="n">
        <f aca="false">I677*J677*IF(A677="SILVER",Summary!$B$5,Summary!$B$6)</f>
        <v>-101355.3</v>
      </c>
      <c r="L677" s="26" t="n">
        <v>-0.747</v>
      </c>
      <c r="M677" s="27" t="n">
        <f aca="false">IF(K677&gt;0,1,0)</f>
        <v>0</v>
      </c>
      <c r="N677" s="11" t="n">
        <f aca="false">SUMIFS(K$2:K677,A$2:A677,A677,B$2:B677,B677)</f>
        <v>6725990.1</v>
      </c>
      <c r="O677" s="11" t="n">
        <f aca="false">MAX(0,_xlfn.MAXIFS(N$2:N677,A$2:A677,A677,B$2:B677,B677))</f>
        <v>7489950.3</v>
      </c>
      <c r="P677" s="11" t="n">
        <f aca="false">N677-O677</f>
        <v>-763960.2</v>
      </c>
    </row>
    <row r="678" customFormat="false" ht="15" hidden="false" customHeight="false" outlineLevel="0" collapsed="false">
      <c r="A678" s="8" t="s">
        <v>26</v>
      </c>
      <c r="B678" s="8" t="s">
        <v>41</v>
      </c>
      <c r="C678" s="8" t="s">
        <v>62</v>
      </c>
      <c r="D678" s="21" t="n">
        <v>46154.4895833333</v>
      </c>
      <c r="E678" s="21" t="n">
        <v>46154.5340277778</v>
      </c>
      <c r="F678" s="22" t="n">
        <f aca="false">DATE(YEAR(E678),MONTH(E678),1)</f>
        <v>46143</v>
      </c>
      <c r="G678" s="23" t="n">
        <v>284406</v>
      </c>
      <c r="H678" s="8" t="s">
        <v>64</v>
      </c>
      <c r="I678" s="24" t="n">
        <v>393.4</v>
      </c>
      <c r="J678" s="25" t="n">
        <f aca="false">Summary!$B$4</f>
        <v>1</v>
      </c>
      <c r="K678" s="11" t="n">
        <f aca="false">I678*J678*IF(A678="SILVER",Summary!$B$5,Summary!$B$6)</f>
        <v>11802</v>
      </c>
      <c r="L678" s="26" t="n">
        <v>0.086</v>
      </c>
      <c r="M678" s="27" t="n">
        <f aca="false">IF(K678&gt;0,1,0)</f>
        <v>1</v>
      </c>
      <c r="N678" s="11" t="n">
        <f aca="false">SUMIFS(K$2:K678,A$2:A678,A678,B$2:B678,B678)</f>
        <v>6737792.1</v>
      </c>
      <c r="O678" s="11" t="n">
        <f aca="false">MAX(0,_xlfn.MAXIFS(N$2:N678,A$2:A678,A678,B$2:B678,B678))</f>
        <v>7489950.3</v>
      </c>
      <c r="P678" s="11" t="n">
        <f aca="false">N678-O678</f>
        <v>-752158.2</v>
      </c>
    </row>
    <row r="679" customFormat="false" ht="15" hidden="false" customHeight="false" outlineLevel="0" collapsed="false">
      <c r="A679" s="8" t="s">
        <v>26</v>
      </c>
      <c r="B679" s="8" t="s">
        <v>41</v>
      </c>
      <c r="C679" s="8" t="s">
        <v>62</v>
      </c>
      <c r="D679" s="21" t="n">
        <v>46155.96875</v>
      </c>
      <c r="E679" s="21" t="n">
        <v>46160.3993055556</v>
      </c>
      <c r="F679" s="22" t="n">
        <f aca="false">DATE(YEAR(E679),MONTH(E679),1)</f>
        <v>46143</v>
      </c>
      <c r="G679" s="23" t="n">
        <v>306719</v>
      </c>
      <c r="H679" s="8" t="s">
        <v>61</v>
      </c>
      <c r="I679" s="24" t="n">
        <v>26182.71</v>
      </c>
      <c r="J679" s="25" t="n">
        <f aca="false">Summary!$B$4</f>
        <v>1</v>
      </c>
      <c r="K679" s="11" t="n">
        <f aca="false">I679*J679*IF(A679="SILVER",Summary!$B$5,Summary!$B$6)</f>
        <v>785481.3</v>
      </c>
      <c r="L679" s="26" t="n">
        <v>5.018</v>
      </c>
      <c r="M679" s="27" t="n">
        <f aca="false">IF(K679&gt;0,1,0)</f>
        <v>1</v>
      </c>
      <c r="N679" s="11" t="n">
        <f aca="false">SUMIFS(K$2:K679,A$2:A679,A679,B$2:B679,B679)</f>
        <v>7523273.4</v>
      </c>
      <c r="O679" s="11" t="n">
        <f aca="false">MAX(0,_xlfn.MAXIFS(N$2:N679,A$2:A679,A679,B$2:B679,B679))</f>
        <v>7523273.4</v>
      </c>
      <c r="P679" s="11" t="n">
        <f aca="false">N679-O679</f>
        <v>0</v>
      </c>
    </row>
    <row r="680" customFormat="false" ht="15" hidden="false" customHeight="false" outlineLevel="0" collapsed="false">
      <c r="A680" s="8" t="s">
        <v>26</v>
      </c>
      <c r="B680" s="8" t="s">
        <v>41</v>
      </c>
      <c r="C680" s="8" t="s">
        <v>62</v>
      </c>
      <c r="D680" s="21" t="n">
        <v>46161.4097222222</v>
      </c>
      <c r="E680" s="21" t="n">
        <v>46162.4930555556</v>
      </c>
      <c r="F680" s="22" t="n">
        <f aca="false">DATE(YEAR(E680),MONTH(E680),1)</f>
        <v>46143</v>
      </c>
      <c r="G680" s="23" t="n">
        <v>281749</v>
      </c>
      <c r="H680" s="8" t="s">
        <v>61</v>
      </c>
      <c r="I680" s="24" t="n">
        <v>3755.46</v>
      </c>
      <c r="J680" s="25" t="n">
        <f aca="false">Summary!$B$4</f>
        <v>1</v>
      </c>
      <c r="K680" s="11" t="n">
        <f aca="false">I680*J680*IF(A680="SILVER",Summary!$B$5,Summary!$B$6)</f>
        <v>112663.8</v>
      </c>
      <c r="L680" s="26" t="n">
        <v>0.989</v>
      </c>
      <c r="M680" s="27" t="n">
        <f aca="false">IF(K680&gt;0,1,0)</f>
        <v>1</v>
      </c>
      <c r="N680" s="11" t="n">
        <f aca="false">SUMIFS(K$2:K680,A$2:A680,A680,B$2:B680,B680)</f>
        <v>7635937.2</v>
      </c>
      <c r="O680" s="11" t="n">
        <f aca="false">MAX(0,_xlfn.MAXIFS(N$2:N680,A$2:A680,A680,B$2:B680,B680))</f>
        <v>7635937.2</v>
      </c>
      <c r="P680" s="11" t="n">
        <f aca="false">N680-O680</f>
        <v>0</v>
      </c>
    </row>
    <row r="681" customFormat="false" ht="15" hidden="false" customHeight="false" outlineLevel="0" collapsed="false">
      <c r="A681" s="8" t="s">
        <v>26</v>
      </c>
      <c r="B681" s="8" t="s">
        <v>41</v>
      </c>
      <c r="C681" s="8" t="s">
        <v>62</v>
      </c>
      <c r="D681" s="21" t="n">
        <v>46162.7916666667</v>
      </c>
      <c r="E681" s="21" t="n">
        <v>46162.8368055556</v>
      </c>
      <c r="F681" s="22" t="n">
        <f aca="false">DATE(YEAR(E681),MONTH(E681),1)</f>
        <v>46143</v>
      </c>
      <c r="G681" s="23" t="n">
        <v>278146</v>
      </c>
      <c r="H681" s="8" t="s">
        <v>61</v>
      </c>
      <c r="I681" s="24" t="n">
        <v>-4676.71</v>
      </c>
      <c r="J681" s="25" t="n">
        <f aca="false">Summary!$B$4</f>
        <v>1</v>
      </c>
      <c r="K681" s="11" t="n">
        <f aca="false">I681*J681*IF(A681="SILVER",Summary!$B$5,Summary!$B$6)</f>
        <v>-140301.3</v>
      </c>
      <c r="L681" s="26" t="n">
        <v>-1.148</v>
      </c>
      <c r="M681" s="27" t="n">
        <f aca="false">IF(K681&gt;0,1,0)</f>
        <v>0</v>
      </c>
      <c r="N681" s="11" t="n">
        <f aca="false">SUMIFS(K$2:K681,A$2:A681,A681,B$2:B681,B681)</f>
        <v>7495635.9</v>
      </c>
      <c r="O681" s="11" t="n">
        <f aca="false">MAX(0,_xlfn.MAXIFS(N$2:N681,A$2:A681,A681,B$2:B681,B681))</f>
        <v>7635937.2</v>
      </c>
      <c r="P681" s="11" t="n">
        <f aca="false">N681-O681</f>
        <v>-140301.3</v>
      </c>
    </row>
    <row r="682" customFormat="false" ht="15" hidden="false" customHeight="false" outlineLevel="0" collapsed="false">
      <c r="A682" s="8" t="s">
        <v>26</v>
      </c>
      <c r="B682" s="8" t="s">
        <v>41</v>
      </c>
      <c r="C682" s="8" t="s">
        <v>62</v>
      </c>
      <c r="D682" s="21" t="n">
        <v>46163.4722222222</v>
      </c>
      <c r="E682" s="21" t="n">
        <v>46163.5673611111</v>
      </c>
      <c r="F682" s="22" t="n">
        <f aca="false">DATE(YEAR(E682),MONTH(E682),1)</f>
        <v>46143</v>
      </c>
      <c r="G682" s="23" t="n">
        <v>278226</v>
      </c>
      <c r="H682" s="8" t="s">
        <v>64</v>
      </c>
      <c r="I682" s="24" t="n">
        <v>192.77</v>
      </c>
      <c r="J682" s="25" t="n">
        <f aca="false">Summary!$B$4</f>
        <v>1</v>
      </c>
      <c r="K682" s="11" t="n">
        <f aca="false">I682*J682*IF(A682="SILVER",Summary!$B$5,Summary!$B$6)</f>
        <v>5783.1</v>
      </c>
      <c r="L682" s="26" t="n">
        <v>0.074</v>
      </c>
      <c r="M682" s="27" t="n">
        <f aca="false">IF(K682&gt;0,1,0)</f>
        <v>1</v>
      </c>
      <c r="N682" s="11" t="n">
        <f aca="false">SUMIFS(K$2:K682,A$2:A682,A682,B$2:B682,B682)</f>
        <v>7501419</v>
      </c>
      <c r="O682" s="11" t="n">
        <f aca="false">MAX(0,_xlfn.MAXIFS(N$2:N682,A$2:A682,A682,B$2:B682,B682))</f>
        <v>7635937.2</v>
      </c>
      <c r="P682" s="11" t="n">
        <f aca="false">N682-O682</f>
        <v>-134518.2</v>
      </c>
    </row>
    <row r="683" customFormat="false" ht="15" hidden="false" customHeight="false" outlineLevel="0" collapsed="false">
      <c r="A683" s="8" t="s">
        <v>26</v>
      </c>
      <c r="B683" s="8" t="s">
        <v>41</v>
      </c>
      <c r="C683" s="8" t="s">
        <v>62</v>
      </c>
      <c r="D683" s="21" t="n">
        <v>46164.4791666667</v>
      </c>
      <c r="E683" s="21" t="n">
        <v>46164.8944444444</v>
      </c>
      <c r="F683" s="22" t="n">
        <f aca="false">DATE(YEAR(E683),MONTH(E683),1)</f>
        <v>46143</v>
      </c>
      <c r="G683" s="23" t="n">
        <v>279418</v>
      </c>
      <c r="H683" s="8" t="s">
        <v>64</v>
      </c>
      <c r="I683" s="24" t="n">
        <v>299.94</v>
      </c>
      <c r="J683" s="25" t="n">
        <f aca="false">Summary!$B$4</f>
        <v>1</v>
      </c>
      <c r="K683" s="11" t="n">
        <f aca="false">I683*J683*IF(A683="SILVER",Summary!$B$5,Summary!$B$6)</f>
        <v>8998.2</v>
      </c>
      <c r="L683" s="26" t="n">
        <v>0.082</v>
      </c>
      <c r="M683" s="27" t="n">
        <f aca="false">IF(K683&gt;0,1,0)</f>
        <v>1</v>
      </c>
      <c r="N683" s="11" t="n">
        <f aca="false">SUMIFS(K$2:K683,A$2:A683,A683,B$2:B683,B683)</f>
        <v>7510417.2</v>
      </c>
      <c r="O683" s="11" t="n">
        <f aca="false">MAX(0,_xlfn.MAXIFS(N$2:N683,A$2:A683,A683,B$2:B683,B683))</f>
        <v>7635937.2</v>
      </c>
      <c r="P683" s="11" t="n">
        <f aca="false">N683-O683</f>
        <v>-125520</v>
      </c>
    </row>
    <row r="684" customFormat="false" ht="15" hidden="false" customHeight="false" outlineLevel="0" collapsed="false">
      <c r="A684" s="8" t="s">
        <v>26</v>
      </c>
      <c r="B684" s="8" t="s">
        <v>41</v>
      </c>
      <c r="C684" s="8" t="s">
        <v>62</v>
      </c>
      <c r="D684" s="21" t="n">
        <v>46167.7916666667</v>
      </c>
      <c r="E684" s="21" t="n">
        <v>46167.9479166667</v>
      </c>
      <c r="F684" s="22" t="n">
        <f aca="false">DATE(YEAR(E684),MONTH(E684),1)</f>
        <v>46143</v>
      </c>
      <c r="G684" s="23" t="n">
        <v>282584</v>
      </c>
      <c r="H684" s="8" t="s">
        <v>61</v>
      </c>
      <c r="I684" s="24" t="n">
        <v>-1835.28</v>
      </c>
      <c r="J684" s="25" t="n">
        <f aca="false">Summary!$B$4</f>
        <v>1</v>
      </c>
      <c r="K684" s="11" t="n">
        <f aca="false">I684*J684*IF(A684="SILVER",Summary!$B$5,Summary!$B$6)</f>
        <v>-55058.4</v>
      </c>
      <c r="L684" s="26" t="n">
        <v>-1.218</v>
      </c>
      <c r="M684" s="27" t="n">
        <f aca="false">IF(K684&gt;0,1,0)</f>
        <v>0</v>
      </c>
      <c r="N684" s="11" t="n">
        <f aca="false">SUMIFS(K$2:K684,A$2:A684,A684,B$2:B684,B684)</f>
        <v>7455358.8</v>
      </c>
      <c r="O684" s="11" t="n">
        <f aca="false">MAX(0,_xlfn.MAXIFS(N$2:N684,A$2:A684,A684,B$2:B684,B684))</f>
        <v>7635937.2</v>
      </c>
      <c r="P684" s="11" t="n">
        <f aca="false">N684-O684</f>
        <v>-180578.4</v>
      </c>
    </row>
    <row r="685" customFormat="false" ht="15" hidden="false" customHeight="false" outlineLevel="0" collapsed="false">
      <c r="A685" s="8" t="s">
        <v>26</v>
      </c>
      <c r="B685" s="8" t="s">
        <v>41</v>
      </c>
      <c r="C685" s="8" t="s">
        <v>62</v>
      </c>
      <c r="D685" s="21" t="n">
        <v>46168.3784722222</v>
      </c>
      <c r="E685" s="21" t="n">
        <v>46169.3784722222</v>
      </c>
      <c r="F685" s="22" t="n">
        <f aca="false">DATE(YEAR(E685),MONTH(E685),1)</f>
        <v>46143</v>
      </c>
      <c r="G685" s="23" t="n">
        <v>280565</v>
      </c>
      <c r="H685" s="8" t="s">
        <v>61</v>
      </c>
      <c r="I685" s="24" t="n">
        <v>1487.43</v>
      </c>
      <c r="J685" s="25" t="n">
        <f aca="false">Summary!$B$4</f>
        <v>1</v>
      </c>
      <c r="K685" s="11" t="n">
        <f aca="false">I685*J685*IF(A685="SILVER",Summary!$B$5,Summary!$B$6)</f>
        <v>44622.9</v>
      </c>
      <c r="L685" s="26" t="n">
        <v>0.586</v>
      </c>
      <c r="M685" s="27" t="n">
        <f aca="false">IF(K685&gt;0,1,0)</f>
        <v>1</v>
      </c>
      <c r="N685" s="11" t="n">
        <f aca="false">SUMIFS(K$2:K685,A$2:A685,A685,B$2:B685,B685)</f>
        <v>7499981.7</v>
      </c>
      <c r="O685" s="11" t="n">
        <f aca="false">MAX(0,_xlfn.MAXIFS(N$2:N685,A$2:A685,A685,B$2:B685,B685))</f>
        <v>7635937.2</v>
      </c>
      <c r="P685" s="11" t="n">
        <f aca="false">N685-O685</f>
        <v>-135955.5</v>
      </c>
    </row>
    <row r="686" customFormat="false" ht="15" hidden="false" customHeight="false" outlineLevel="0" collapsed="false">
      <c r="A686" s="8" t="s">
        <v>26</v>
      </c>
      <c r="B686" s="8" t="s">
        <v>41</v>
      </c>
      <c r="C686" s="8" t="s">
        <v>62</v>
      </c>
      <c r="D686" s="21" t="n">
        <v>46169.46875</v>
      </c>
      <c r="E686" s="21" t="n">
        <v>46170.7708333333</v>
      </c>
      <c r="F686" s="22" t="n">
        <f aca="false">DATE(YEAR(E686),MONTH(E686),1)</f>
        <v>46143</v>
      </c>
      <c r="G686" s="23" t="n">
        <v>276269</v>
      </c>
      <c r="H686" s="8" t="s">
        <v>61</v>
      </c>
      <c r="I686" s="24" t="n">
        <v>4236.56</v>
      </c>
      <c r="J686" s="25" t="n">
        <f aca="false">Summary!$B$4</f>
        <v>1</v>
      </c>
      <c r="K686" s="11" t="n">
        <f aca="false">I686*J686*IF(A686="SILVER",Summary!$B$5,Summary!$B$6)</f>
        <v>127096.8</v>
      </c>
      <c r="L686" s="26" t="n">
        <v>1.169</v>
      </c>
      <c r="M686" s="27" t="n">
        <f aca="false">IF(K686&gt;0,1,0)</f>
        <v>1</v>
      </c>
      <c r="N686" s="11" t="n">
        <f aca="false">SUMIFS(K$2:K686,A$2:A686,A686,B$2:B686,B686)</f>
        <v>7627078.5</v>
      </c>
      <c r="O686" s="11" t="n">
        <f aca="false">MAX(0,_xlfn.MAXIFS(N$2:N686,A$2:A686,A686,B$2:B686,B686))</f>
        <v>7635937.2</v>
      </c>
      <c r="P686" s="11" t="n">
        <f aca="false">N686-O686</f>
        <v>-8858.70000000019</v>
      </c>
    </row>
    <row r="687" customFormat="false" ht="15" hidden="false" customHeight="false" outlineLevel="0" collapsed="false">
      <c r="A687" s="8" t="s">
        <v>26</v>
      </c>
      <c r="B687" s="8" t="s">
        <v>41</v>
      </c>
      <c r="C687" s="8" t="s">
        <v>62</v>
      </c>
      <c r="D687" s="21" t="n">
        <v>46171.5694444445</v>
      </c>
      <c r="E687" s="21" t="n">
        <v>46171.6090277778</v>
      </c>
      <c r="F687" s="22" t="n">
        <f aca="false">DATE(YEAR(E687),MONTH(E687),1)</f>
        <v>46143</v>
      </c>
      <c r="G687" s="23" t="n">
        <v>273630</v>
      </c>
      <c r="H687" s="8" t="s">
        <v>64</v>
      </c>
      <c r="I687" s="24" t="n">
        <v>198.7</v>
      </c>
      <c r="J687" s="25" t="n">
        <f aca="false">Summary!$B$4</f>
        <v>1</v>
      </c>
      <c r="K687" s="11" t="n">
        <f aca="false">I687*J687*IF(A687="SILVER",Summary!$B$5,Summary!$B$6)</f>
        <v>5961</v>
      </c>
      <c r="L687" s="26" t="n">
        <v>0.076</v>
      </c>
      <c r="M687" s="27" t="n">
        <f aca="false">IF(K687&gt;0,1,0)</f>
        <v>1</v>
      </c>
      <c r="N687" s="11" t="n">
        <f aca="false">SUMIFS(K$2:K687,A$2:A687,A687,B$2:B687,B687)</f>
        <v>7633039.5</v>
      </c>
      <c r="O687" s="11" t="n">
        <f aca="false">MAX(0,_xlfn.MAXIFS(N$2:N687,A$2:A687,A687,B$2:B687,B687))</f>
        <v>7635937.2</v>
      </c>
      <c r="P687" s="11" t="n">
        <f aca="false">N687-O687</f>
        <v>-2897.70000000019</v>
      </c>
    </row>
    <row r="688" customFormat="false" ht="15" hidden="false" customHeight="false" outlineLevel="0" collapsed="false">
      <c r="A688" s="8" t="s">
        <v>26</v>
      </c>
      <c r="B688" s="8" t="s">
        <v>41</v>
      </c>
      <c r="C688" s="8" t="s">
        <v>62</v>
      </c>
      <c r="D688" s="21" t="n">
        <v>46174.7881944445</v>
      </c>
      <c r="E688" s="21" t="n">
        <v>46174.8659722222</v>
      </c>
      <c r="F688" s="22" t="n">
        <f aca="false">DATE(YEAR(E688),MONTH(E688),1)</f>
        <v>46174</v>
      </c>
      <c r="G688" s="23" t="n">
        <v>271774</v>
      </c>
      <c r="H688" s="8" t="s">
        <v>64</v>
      </c>
      <c r="I688" s="24" t="n">
        <v>304.35</v>
      </c>
      <c r="J688" s="25" t="n">
        <f aca="false">Summary!$B$4</f>
        <v>1</v>
      </c>
      <c r="K688" s="11" t="n">
        <f aca="false">I688*J688*IF(A688="SILVER",Summary!$B$5,Summary!$B$6)</f>
        <v>9130.5</v>
      </c>
      <c r="L688" s="26" t="n">
        <v>0.083</v>
      </c>
      <c r="M688" s="27" t="n">
        <f aca="false">IF(K688&gt;0,1,0)</f>
        <v>1</v>
      </c>
      <c r="N688" s="11" t="n">
        <f aca="false">SUMIFS(K$2:K688,A$2:A688,A688,B$2:B688,B688)</f>
        <v>7642170</v>
      </c>
      <c r="O688" s="11" t="n">
        <f aca="false">MAX(0,_xlfn.MAXIFS(N$2:N688,A$2:A688,A688,B$2:B688,B688))</f>
        <v>7642170</v>
      </c>
      <c r="P688" s="11" t="n">
        <f aca="false">N688-O688</f>
        <v>0</v>
      </c>
    </row>
    <row r="689" customFormat="false" ht="15" hidden="false" customHeight="false" outlineLevel="0" collapsed="false">
      <c r="A689" s="8" t="s">
        <v>26</v>
      </c>
      <c r="B689" s="8" t="s">
        <v>41</v>
      </c>
      <c r="C689" s="8" t="s">
        <v>62</v>
      </c>
      <c r="D689" s="21" t="n">
        <v>46175.7916666667</v>
      </c>
      <c r="E689" s="21" t="n">
        <v>46175.8597222222</v>
      </c>
      <c r="F689" s="22" t="n">
        <f aca="false">DATE(YEAR(E689),MONTH(E689),1)</f>
        <v>46174</v>
      </c>
      <c r="G689" s="23" t="n">
        <v>276080</v>
      </c>
      <c r="H689" s="8" t="s">
        <v>64</v>
      </c>
      <c r="I689" s="24" t="n">
        <v>97.19</v>
      </c>
      <c r="J689" s="25" t="n">
        <f aca="false">Summary!$B$4</f>
        <v>1</v>
      </c>
      <c r="K689" s="11" t="n">
        <f aca="false">I689*J689*IF(A689="SILVER",Summary!$B$5,Summary!$B$6)</f>
        <v>2915.7</v>
      </c>
      <c r="L689" s="26" t="n">
        <v>0.049</v>
      </c>
      <c r="M689" s="27" t="n">
        <f aca="false">IF(K689&gt;0,1,0)</f>
        <v>1</v>
      </c>
      <c r="N689" s="11" t="n">
        <f aca="false">SUMIFS(K$2:K689,A$2:A689,A689,B$2:B689,B689)</f>
        <v>7645085.7</v>
      </c>
      <c r="O689" s="11" t="n">
        <f aca="false">MAX(0,_xlfn.MAXIFS(N$2:N689,A$2:A689,A689,B$2:B689,B689))</f>
        <v>7645085.7</v>
      </c>
      <c r="P689" s="11" t="n">
        <f aca="false">N689-O689</f>
        <v>0</v>
      </c>
    </row>
    <row r="690" customFormat="false" ht="15" hidden="false" customHeight="false" outlineLevel="0" collapsed="false">
      <c r="A690" s="8" t="s">
        <v>26</v>
      </c>
      <c r="B690" s="8" t="s">
        <v>41</v>
      </c>
      <c r="C690" s="8" t="s">
        <v>62</v>
      </c>
      <c r="D690" s="21" t="n">
        <v>46177.8472222222</v>
      </c>
      <c r="E690" s="21" t="n">
        <v>46178.7361111111</v>
      </c>
      <c r="F690" s="22" t="n">
        <f aca="false">DATE(YEAR(E690),MONTH(E690),1)</f>
        <v>46174</v>
      </c>
      <c r="G690" s="23" t="n">
        <v>270885</v>
      </c>
      <c r="H690" s="8" t="s">
        <v>61</v>
      </c>
      <c r="I690" s="24" t="n">
        <v>2872.51</v>
      </c>
      <c r="J690" s="25" t="n">
        <f aca="false">Summary!$B$4</f>
        <v>1</v>
      </c>
      <c r="K690" s="11" t="n">
        <f aca="false">I690*J690*IF(A690="SILVER",Summary!$B$5,Summary!$B$6)</f>
        <v>86175.3</v>
      </c>
      <c r="L690" s="26" t="n">
        <v>0.788</v>
      </c>
      <c r="M690" s="27" t="n">
        <f aca="false">IF(K690&gt;0,1,0)</f>
        <v>1</v>
      </c>
      <c r="N690" s="11" t="n">
        <f aca="false">SUMIFS(K$2:K690,A$2:A690,A690,B$2:B690,B690)</f>
        <v>7731261</v>
      </c>
      <c r="O690" s="11" t="n">
        <f aca="false">MAX(0,_xlfn.MAXIFS(N$2:N690,A$2:A690,A690,B$2:B690,B690))</f>
        <v>7731261</v>
      </c>
      <c r="P690" s="11" t="n">
        <f aca="false">N690-O690</f>
        <v>0</v>
      </c>
    </row>
    <row r="691" customFormat="false" ht="15" hidden="false" customHeight="false" outlineLevel="0" collapsed="false">
      <c r="A691" s="8" t="s">
        <v>26</v>
      </c>
      <c r="B691" s="8" t="s">
        <v>41</v>
      </c>
      <c r="C691" s="8" t="s">
        <v>62</v>
      </c>
      <c r="D691" s="21" t="n">
        <v>46178.7569444445</v>
      </c>
      <c r="E691" s="21" t="n">
        <v>46181.7013888889</v>
      </c>
      <c r="F691" s="22" t="n">
        <f aca="false">DATE(YEAR(E691),MONTH(E691),1)</f>
        <v>46174</v>
      </c>
      <c r="G691" s="23" t="n">
        <v>266472</v>
      </c>
      <c r="H691" s="8" t="s">
        <v>61</v>
      </c>
      <c r="I691" s="24" t="n">
        <v>14108.53</v>
      </c>
      <c r="J691" s="25" t="n">
        <f aca="false">Summary!$B$4</f>
        <v>1</v>
      </c>
      <c r="K691" s="11" t="n">
        <f aca="false">I691*J691*IF(A691="SILVER",Summary!$B$5,Summary!$B$6)</f>
        <v>423255.9</v>
      </c>
      <c r="L691" s="26" t="n">
        <v>4.904</v>
      </c>
      <c r="M691" s="27" t="n">
        <f aca="false">IF(K691&gt;0,1,0)</f>
        <v>1</v>
      </c>
      <c r="N691" s="11" t="n">
        <f aca="false">SUMIFS(K$2:K691,A$2:A691,A691,B$2:B691,B691)</f>
        <v>8154516.9</v>
      </c>
      <c r="O691" s="11" t="n">
        <f aca="false">MAX(0,_xlfn.MAXIFS(N$2:N691,A$2:A691,A691,B$2:B691,B691))</f>
        <v>8154516.9</v>
      </c>
      <c r="P691" s="11" t="n">
        <f aca="false">N691-O691</f>
        <v>0</v>
      </c>
    </row>
    <row r="692" customFormat="false" ht="15" hidden="false" customHeight="false" outlineLevel="0" collapsed="false">
      <c r="A692" s="8" t="s">
        <v>26</v>
      </c>
      <c r="B692" s="8" t="s">
        <v>41</v>
      </c>
      <c r="C692" s="8" t="s">
        <v>62</v>
      </c>
      <c r="D692" s="21" t="n">
        <v>46182.8194444445</v>
      </c>
      <c r="E692" s="21" t="n">
        <v>46183.7569444445</v>
      </c>
      <c r="F692" s="22" t="n">
        <f aca="false">DATE(YEAR(E692),MONTH(E692),1)</f>
        <v>46174</v>
      </c>
      <c r="G692" s="23" t="n">
        <v>253349</v>
      </c>
      <c r="H692" s="8" t="s">
        <v>61</v>
      </c>
      <c r="I692" s="24" t="n">
        <v>10467.77</v>
      </c>
      <c r="J692" s="25" t="n">
        <f aca="false">Summary!$B$4</f>
        <v>1</v>
      </c>
      <c r="K692" s="11" t="n">
        <f aca="false">I692*J692*IF(A692="SILVER",Summary!$B$5,Summary!$B$6)</f>
        <v>314033.1</v>
      </c>
      <c r="L692" s="26" t="n">
        <v>3.621</v>
      </c>
      <c r="M692" s="27" t="n">
        <f aca="false">IF(K692&gt;0,1,0)</f>
        <v>1</v>
      </c>
      <c r="N692" s="11" t="n">
        <f aca="false">SUMIFS(K$2:K692,A$2:A692,A692,B$2:B692,B692)</f>
        <v>8468550</v>
      </c>
      <c r="O692" s="11" t="n">
        <f aca="false">MAX(0,_xlfn.MAXIFS(N$2:N692,A$2:A692,A692,B$2:B692,B692))</f>
        <v>8468550</v>
      </c>
      <c r="P692" s="11" t="n">
        <f aca="false">N692-O692</f>
        <v>0</v>
      </c>
    </row>
    <row r="693" customFormat="false" ht="15" hidden="false" customHeight="false" outlineLevel="0" collapsed="false">
      <c r="A693" s="8" t="s">
        <v>26</v>
      </c>
      <c r="B693" s="8" t="s">
        <v>41</v>
      </c>
      <c r="C693" s="8" t="s">
        <v>62</v>
      </c>
      <c r="D693" s="21" t="n">
        <v>46184.3784722222</v>
      </c>
      <c r="E693" s="21" t="n">
        <v>46184.5520833333</v>
      </c>
      <c r="F693" s="22" t="n">
        <f aca="false">DATE(YEAR(E693),MONTH(E693),1)</f>
        <v>46174</v>
      </c>
      <c r="G693" s="23" t="n">
        <v>239669</v>
      </c>
      <c r="H693" s="8" t="s">
        <v>61</v>
      </c>
      <c r="I693" s="24" t="n">
        <v>-3607.91</v>
      </c>
      <c r="J693" s="25" t="n">
        <f aca="false">Summary!$B$4</f>
        <v>1</v>
      </c>
      <c r="K693" s="11" t="n">
        <f aca="false">I693*J693*IF(A693="SILVER",Summary!$B$5,Summary!$B$6)</f>
        <v>-108237.3</v>
      </c>
      <c r="L693" s="26" t="n">
        <v>-0.988</v>
      </c>
      <c r="M693" s="27" t="n">
        <f aca="false">IF(K693&gt;0,1,0)</f>
        <v>0</v>
      </c>
      <c r="N693" s="11" t="n">
        <f aca="false">SUMIFS(K$2:K693,A$2:A693,A693,B$2:B693,B693)</f>
        <v>8360312.7</v>
      </c>
      <c r="O693" s="11" t="n">
        <f aca="false">MAX(0,_xlfn.MAXIFS(N$2:N693,A$2:A693,A693,B$2:B693,B693))</f>
        <v>8468550</v>
      </c>
      <c r="P693" s="11" t="n">
        <f aca="false">N693-O693</f>
        <v>-108237.3</v>
      </c>
    </row>
    <row r="694" customFormat="false" ht="15" hidden="false" customHeight="false" outlineLevel="0" collapsed="false">
      <c r="A694" s="8" t="s">
        <v>26</v>
      </c>
      <c r="B694" s="8" t="s">
        <v>41</v>
      </c>
      <c r="C694" s="8" t="s">
        <v>62</v>
      </c>
      <c r="D694" s="21" t="n">
        <v>46184.7152777778</v>
      </c>
      <c r="E694" s="21" t="n">
        <v>46184.7673611111</v>
      </c>
      <c r="F694" s="22" t="n">
        <f aca="false">DATE(YEAR(E694),MONTH(E694),1)</f>
        <v>46174</v>
      </c>
      <c r="G694" s="23" t="n">
        <v>240669</v>
      </c>
      <c r="H694" s="8" t="s">
        <v>64</v>
      </c>
      <c r="I694" s="24" t="n">
        <v>171.87</v>
      </c>
      <c r="J694" s="25" t="n">
        <f aca="false">Summary!$B$4</f>
        <v>1</v>
      </c>
      <c r="K694" s="11" t="n">
        <f aca="false">I694*J694*IF(A694="SILVER",Summary!$B$5,Summary!$B$6)</f>
        <v>5156.1</v>
      </c>
      <c r="L694" s="26" t="n">
        <v>0.075</v>
      </c>
      <c r="M694" s="27" t="n">
        <f aca="false">IF(K694&gt;0,1,0)</f>
        <v>1</v>
      </c>
      <c r="N694" s="11" t="n">
        <f aca="false">SUMIFS(K$2:K694,A$2:A694,A694,B$2:B694,B694)</f>
        <v>8365468.8</v>
      </c>
      <c r="O694" s="11" t="n">
        <f aca="false">MAX(0,_xlfn.MAXIFS(N$2:N694,A$2:A694,A694,B$2:B694,B694))</f>
        <v>8468550</v>
      </c>
      <c r="P694" s="11" t="n">
        <f aca="false">N694-O694</f>
        <v>-103081.2</v>
      </c>
    </row>
    <row r="695" customFormat="false" ht="15" hidden="false" customHeight="false" outlineLevel="0" collapsed="false">
      <c r="A695" s="8" t="s">
        <v>26</v>
      </c>
      <c r="B695" s="8" t="s">
        <v>41</v>
      </c>
      <c r="C695" s="8" t="s">
        <v>62</v>
      </c>
      <c r="D695" s="21" t="n">
        <v>46185.8090277778</v>
      </c>
      <c r="E695" s="21" t="n">
        <v>46185.8715277778</v>
      </c>
      <c r="F695" s="22" t="n">
        <f aca="false">DATE(YEAR(E695),MONTH(E695),1)</f>
        <v>46174</v>
      </c>
      <c r="G695" s="23" t="n">
        <v>248152</v>
      </c>
      <c r="H695" s="8" t="s">
        <v>61</v>
      </c>
      <c r="I695" s="24" t="n">
        <v>-3589.56</v>
      </c>
      <c r="J695" s="25" t="n">
        <f aca="false">Summary!$B$4</f>
        <v>1</v>
      </c>
      <c r="K695" s="11" t="n">
        <f aca="false">I695*J695*IF(A695="SILVER",Summary!$B$5,Summary!$B$6)</f>
        <v>-107686.8</v>
      </c>
      <c r="L695" s="26" t="n">
        <v>-1.06</v>
      </c>
      <c r="M695" s="27" t="n">
        <f aca="false">IF(K695&gt;0,1,0)</f>
        <v>0</v>
      </c>
      <c r="N695" s="11" t="n">
        <f aca="false">SUMIFS(K$2:K695,A$2:A695,A695,B$2:B695,B695)</f>
        <v>8257782</v>
      </c>
      <c r="O695" s="11" t="n">
        <f aca="false">MAX(0,_xlfn.MAXIFS(N$2:N695,A$2:A695,A695,B$2:B695,B695))</f>
        <v>8468550</v>
      </c>
      <c r="P695" s="11" t="n">
        <f aca="false">N695-O695</f>
        <v>-210768</v>
      </c>
    </row>
    <row r="696" customFormat="false" ht="15" hidden="false" customHeight="false" outlineLevel="0" collapsed="false">
      <c r="A696" s="8" t="s">
        <v>26</v>
      </c>
      <c r="B696" s="8" t="s">
        <v>41</v>
      </c>
      <c r="C696" s="8" t="s">
        <v>62</v>
      </c>
      <c r="D696" s="21" t="n">
        <v>46188.9166666667</v>
      </c>
      <c r="E696" s="21" t="n">
        <v>46189.6006944445</v>
      </c>
      <c r="F696" s="22" t="n">
        <f aca="false">DATE(YEAR(E696),MONTH(E696),1)</f>
        <v>46174</v>
      </c>
      <c r="G696" s="23" t="n">
        <v>259029</v>
      </c>
      <c r="H696" s="8" t="s">
        <v>61</v>
      </c>
      <c r="I696" s="24" t="n">
        <v>1349.74</v>
      </c>
      <c r="J696" s="25" t="n">
        <f aca="false">Summary!$B$4</f>
        <v>1</v>
      </c>
      <c r="K696" s="11" t="n">
        <f aca="false">I696*J696*IF(A696="SILVER",Summary!$B$5,Summary!$B$6)</f>
        <v>40492.2</v>
      </c>
      <c r="L696" s="26" t="n">
        <v>0.615</v>
      </c>
      <c r="M696" s="27" t="n">
        <f aca="false">IF(K696&gt;0,1,0)</f>
        <v>1</v>
      </c>
      <c r="N696" s="11" t="n">
        <f aca="false">SUMIFS(K$2:K696,A$2:A696,A696,B$2:B696,B696)</f>
        <v>8298274.2</v>
      </c>
      <c r="O696" s="11" t="n">
        <f aca="false">MAX(0,_xlfn.MAXIFS(N$2:N696,A$2:A696,A696,B$2:B696,B696))</f>
        <v>8468550</v>
      </c>
      <c r="P696" s="11" t="n">
        <f aca="false">N696-O696</f>
        <v>-170275.8</v>
      </c>
    </row>
    <row r="697" customFormat="false" ht="15" hidden="false" customHeight="false" outlineLevel="0" collapsed="false">
      <c r="A697" s="8" t="s">
        <v>26</v>
      </c>
      <c r="B697" s="8" t="s">
        <v>41</v>
      </c>
      <c r="C697" s="8" t="s">
        <v>62</v>
      </c>
      <c r="D697" s="21" t="n">
        <v>46189.8263888889</v>
      </c>
      <c r="E697" s="21" t="n">
        <v>46190.8298611111</v>
      </c>
      <c r="F697" s="22" t="n">
        <f aca="false">DATE(YEAR(E697),MONTH(E697),1)</f>
        <v>46174</v>
      </c>
      <c r="G697" s="23" t="n">
        <v>256391</v>
      </c>
      <c r="H697" s="8" t="s">
        <v>61</v>
      </c>
      <c r="I697" s="24" t="n">
        <v>-1091.98</v>
      </c>
      <c r="J697" s="25" t="n">
        <f aca="false">Summary!$B$4</f>
        <v>1</v>
      </c>
      <c r="K697" s="11" t="n">
        <f aca="false">I697*J697*IF(A697="SILVER",Summary!$B$5,Summary!$B$6)</f>
        <v>-32759.4</v>
      </c>
      <c r="L697" s="26" t="n">
        <v>-0.342</v>
      </c>
      <c r="M697" s="27" t="n">
        <f aca="false">IF(K697&gt;0,1,0)</f>
        <v>0</v>
      </c>
      <c r="N697" s="11" t="n">
        <f aca="false">SUMIFS(K$2:K697,A$2:A697,A697,B$2:B697,B697)</f>
        <v>8265514.8</v>
      </c>
      <c r="O697" s="11" t="n">
        <f aca="false">MAX(0,_xlfn.MAXIFS(N$2:N697,A$2:A697,A697,B$2:B697,B697))</f>
        <v>8468550</v>
      </c>
      <c r="P697" s="11" t="n">
        <f aca="false">N697-O697</f>
        <v>-203035.2</v>
      </c>
    </row>
    <row r="698" customFormat="false" ht="15" hidden="false" customHeight="false" outlineLevel="0" collapsed="false">
      <c r="A698" s="8" t="s">
        <v>26</v>
      </c>
      <c r="B698" s="8" t="s">
        <v>41</v>
      </c>
      <c r="C698" s="8" t="s">
        <v>62</v>
      </c>
      <c r="D698" s="21" t="n">
        <v>46191.3784722222</v>
      </c>
      <c r="E698" s="21" t="n">
        <v>46192.5173611111</v>
      </c>
      <c r="F698" s="22" t="n">
        <f aca="false">DATE(YEAR(E698),MONTH(E698),1)</f>
        <v>46174</v>
      </c>
      <c r="G698" s="23" t="n">
        <v>254134</v>
      </c>
      <c r="H698" s="8" t="s">
        <v>61</v>
      </c>
      <c r="I698" s="24" t="n">
        <v>14829.06</v>
      </c>
      <c r="J698" s="25" t="n">
        <f aca="false">Summary!$B$4</f>
        <v>1</v>
      </c>
      <c r="K698" s="11" t="n">
        <f aca="false">I698*J698*IF(A698="SILVER",Summary!$B$5,Summary!$B$6)</f>
        <v>444871.8</v>
      </c>
      <c r="L698" s="26" t="n">
        <v>3.828</v>
      </c>
      <c r="M698" s="27" t="n">
        <f aca="false">IF(K698&gt;0,1,0)</f>
        <v>1</v>
      </c>
      <c r="N698" s="11" t="n">
        <f aca="false">SUMIFS(K$2:K698,A$2:A698,A698,B$2:B698,B698)</f>
        <v>8710386.6</v>
      </c>
      <c r="O698" s="11" t="n">
        <f aca="false">MAX(0,_xlfn.MAXIFS(N$2:N698,A$2:A698,A698,B$2:B698,B698))</f>
        <v>8710386.6</v>
      </c>
      <c r="P698" s="11" t="n">
        <f aca="false">N698-O698</f>
        <v>0</v>
      </c>
    </row>
    <row r="699" customFormat="false" ht="15" hidden="false" customHeight="false" outlineLevel="0" collapsed="false">
      <c r="A699" s="8" t="s">
        <v>26</v>
      </c>
      <c r="B699" s="8" t="s">
        <v>41</v>
      </c>
      <c r="C699" s="8" t="s">
        <v>62</v>
      </c>
      <c r="D699" s="21" t="n">
        <v>46192.7083333333</v>
      </c>
      <c r="E699" s="21" t="n">
        <v>46192.7708333333</v>
      </c>
      <c r="F699" s="22" t="n">
        <f aca="false">DATE(YEAR(E699),MONTH(E699),1)</f>
        <v>46174</v>
      </c>
      <c r="G699" s="23" t="n">
        <v>238587</v>
      </c>
      <c r="H699" s="8" t="s">
        <v>61</v>
      </c>
      <c r="I699" s="24" t="n">
        <v>-3178.62</v>
      </c>
      <c r="J699" s="25" t="n">
        <f aca="false">Summary!$B$4</f>
        <v>1</v>
      </c>
      <c r="K699" s="11" t="n">
        <f aca="false">I699*J699*IF(A699="SILVER",Summary!$B$5,Summary!$B$6)</f>
        <v>-95358.6</v>
      </c>
      <c r="L699" s="26" t="n">
        <v>-1.006</v>
      </c>
      <c r="M699" s="27" t="n">
        <f aca="false">IF(K699&gt;0,1,0)</f>
        <v>0</v>
      </c>
      <c r="N699" s="11" t="n">
        <f aca="false">SUMIFS(K$2:K699,A$2:A699,A699,B$2:B699,B699)</f>
        <v>8615028</v>
      </c>
      <c r="O699" s="11" t="n">
        <f aca="false">MAX(0,_xlfn.MAXIFS(N$2:N699,A$2:A699,A699,B$2:B699,B699))</f>
        <v>8710386.6</v>
      </c>
      <c r="P699" s="11" t="n">
        <f aca="false">N699-O699</f>
        <v>-95358.5999999996</v>
      </c>
    </row>
    <row r="700" customFormat="false" ht="15" hidden="false" customHeight="false" outlineLevel="0" collapsed="false">
      <c r="A700" s="8" t="s">
        <v>26</v>
      </c>
      <c r="B700" s="8" t="s">
        <v>41</v>
      </c>
      <c r="C700" s="8" t="s">
        <v>62</v>
      </c>
      <c r="D700" s="21" t="n">
        <v>46195.8368055556</v>
      </c>
      <c r="E700" s="21" t="n">
        <v>46197.4791666667</v>
      </c>
      <c r="F700" s="22" t="n">
        <f aca="false">DATE(YEAR(E700),MONTH(E700),1)</f>
        <v>46174</v>
      </c>
      <c r="G700" s="23" t="n">
        <v>243570</v>
      </c>
      <c r="H700" s="8" t="s">
        <v>61</v>
      </c>
      <c r="I700" s="24" t="n">
        <v>11596.85</v>
      </c>
      <c r="J700" s="25" t="n">
        <f aca="false">Summary!$B$4</f>
        <v>1</v>
      </c>
      <c r="K700" s="11" t="n">
        <f aca="false">I700*J700*IF(A700="SILVER",Summary!$B$5,Summary!$B$6)</f>
        <v>347905.5</v>
      </c>
      <c r="L700" s="26" t="n">
        <v>5.177</v>
      </c>
      <c r="M700" s="27" t="n">
        <f aca="false">IF(K700&gt;0,1,0)</f>
        <v>1</v>
      </c>
      <c r="N700" s="11" t="n">
        <f aca="false">SUMIFS(K$2:K700,A$2:A700,A700,B$2:B700,B700)</f>
        <v>8962933.5</v>
      </c>
      <c r="O700" s="11" t="n">
        <f aca="false">MAX(0,_xlfn.MAXIFS(N$2:N700,A$2:A700,A700,B$2:B700,B700))</f>
        <v>8962933.5</v>
      </c>
      <c r="P700" s="11" t="n">
        <f aca="false">N700-O700</f>
        <v>0</v>
      </c>
    </row>
    <row r="701" customFormat="false" ht="15" hidden="false" customHeight="false" outlineLevel="0" collapsed="false">
      <c r="A701" s="8" t="s">
        <v>26</v>
      </c>
      <c r="B701" s="8" t="s">
        <v>41</v>
      </c>
      <c r="C701" s="8" t="s">
        <v>62</v>
      </c>
      <c r="D701" s="21" t="n">
        <v>46197.6493055556</v>
      </c>
      <c r="E701" s="21" t="n">
        <v>46198.5659722222</v>
      </c>
      <c r="F701" s="22" t="n">
        <f aca="false">DATE(YEAR(E701),MONTH(E701),1)</f>
        <v>46174</v>
      </c>
      <c r="G701" s="23" t="n">
        <v>230539</v>
      </c>
      <c r="H701" s="8" t="s">
        <v>61</v>
      </c>
      <c r="I701" s="24" t="n">
        <v>7516.04</v>
      </c>
      <c r="J701" s="25" t="n">
        <f aca="false">Summary!$B$4</f>
        <v>1</v>
      </c>
      <c r="K701" s="11" t="n">
        <f aca="false">I701*J701*IF(A701="SILVER",Summary!$B$5,Summary!$B$6)</f>
        <v>225481.2</v>
      </c>
      <c r="L701" s="26" t="n">
        <v>2.759</v>
      </c>
      <c r="M701" s="27" t="n">
        <f aca="false">IF(K701&gt;0,1,0)</f>
        <v>1</v>
      </c>
      <c r="N701" s="11" t="n">
        <f aca="false">SUMIFS(K$2:K701,A$2:A701,A701,B$2:B701,B701)</f>
        <v>9188414.7</v>
      </c>
      <c r="O701" s="11" t="n">
        <f aca="false">MAX(0,_xlfn.MAXIFS(N$2:N701,A$2:A701,A701,B$2:B701,B701))</f>
        <v>9188414.7</v>
      </c>
      <c r="P701" s="11" t="n">
        <f aca="false">N701-O701</f>
        <v>0</v>
      </c>
    </row>
    <row r="702" customFormat="false" ht="15" hidden="false" customHeight="false" outlineLevel="0" collapsed="false">
      <c r="A702" s="8" t="s">
        <v>26</v>
      </c>
      <c r="B702" s="8" t="s">
        <v>41</v>
      </c>
      <c r="C702" s="8" t="s">
        <v>62</v>
      </c>
      <c r="D702" s="21" t="n">
        <v>46198.7048611111</v>
      </c>
      <c r="E702" s="21" t="n">
        <v>46198.7534722222</v>
      </c>
      <c r="F702" s="22" t="n">
        <f aca="false">DATE(YEAR(E702),MONTH(E702),1)</f>
        <v>46174</v>
      </c>
      <c r="G702" s="23" t="n">
        <v>221709</v>
      </c>
      <c r="H702" s="8" t="s">
        <v>61</v>
      </c>
      <c r="I702" s="24" t="n">
        <v>-3363.31</v>
      </c>
      <c r="J702" s="25" t="n">
        <f aca="false">Summary!$B$4</f>
        <v>1</v>
      </c>
      <c r="K702" s="11" t="n">
        <f aca="false">I702*J702*IF(A702="SILVER",Summary!$B$5,Summary!$B$6)</f>
        <v>-100899.3</v>
      </c>
      <c r="L702" s="26" t="n">
        <v>-0.843</v>
      </c>
      <c r="M702" s="27" t="n">
        <f aca="false">IF(K702&gt;0,1,0)</f>
        <v>0</v>
      </c>
      <c r="N702" s="11" t="n">
        <f aca="false">SUMIFS(K$2:K702,A$2:A702,A702,B$2:B702,B702)</f>
        <v>9087515.4</v>
      </c>
      <c r="O702" s="11" t="n">
        <f aca="false">MAX(0,_xlfn.MAXIFS(N$2:N702,A$2:A702,A702,B$2:B702,B702))</f>
        <v>9188414.7</v>
      </c>
      <c r="P702" s="11" t="n">
        <f aca="false">N702-O702</f>
        <v>-100899.299999999</v>
      </c>
    </row>
    <row r="703" customFormat="false" ht="15" hidden="false" customHeight="false" outlineLevel="0" collapsed="false">
      <c r="A703" s="8" t="s">
        <v>26</v>
      </c>
      <c r="B703" s="8" t="s">
        <v>41</v>
      </c>
      <c r="C703" s="8" t="s">
        <v>62</v>
      </c>
      <c r="D703" s="21" t="n">
        <v>46202.4236111111</v>
      </c>
      <c r="E703" s="21" t="n">
        <v>46202.4847222222</v>
      </c>
      <c r="F703" s="22" t="n">
        <f aca="false">DATE(YEAR(E703),MONTH(E703),1)</f>
        <v>46174</v>
      </c>
      <c r="G703" s="23" t="n">
        <v>227544</v>
      </c>
      <c r="H703" s="8" t="s">
        <v>64</v>
      </c>
      <c r="I703" s="24" t="n">
        <v>135.7</v>
      </c>
      <c r="J703" s="25" t="n">
        <f aca="false">Summary!$B$4</f>
        <v>1</v>
      </c>
      <c r="K703" s="11" t="n">
        <f aca="false">I703*J703*IF(A703="SILVER",Summary!$B$5,Summary!$B$6)</f>
        <v>4071</v>
      </c>
      <c r="L703" s="26" t="n">
        <v>0.072</v>
      </c>
      <c r="M703" s="27" t="n">
        <f aca="false">IF(K703&gt;0,1,0)</f>
        <v>1</v>
      </c>
      <c r="N703" s="11" t="n">
        <f aca="false">SUMIFS(K$2:K703,A$2:A703,A703,B$2:B703,B703)</f>
        <v>9091586.4</v>
      </c>
      <c r="O703" s="11" t="n">
        <f aca="false">MAX(0,_xlfn.MAXIFS(N$2:N703,A$2:A703,A703,B$2:B703,B703))</f>
        <v>9188414.7</v>
      </c>
      <c r="P703" s="11" t="n">
        <f aca="false">N703-O703</f>
        <v>-96828.2999999989</v>
      </c>
    </row>
    <row r="704" customFormat="false" ht="15" hidden="false" customHeight="false" outlineLevel="0" collapsed="false">
      <c r="A704" s="8" t="s">
        <v>26</v>
      </c>
      <c r="B704" s="8" t="s">
        <v>41</v>
      </c>
      <c r="C704" s="8" t="s">
        <v>62</v>
      </c>
      <c r="D704" s="21" t="n">
        <v>46202.8229166667</v>
      </c>
      <c r="E704" s="21" t="n">
        <v>46203.4986111111</v>
      </c>
      <c r="F704" s="22" t="n">
        <f aca="false">DATE(YEAR(E704),MONTH(E704),1)</f>
        <v>46174</v>
      </c>
      <c r="G704" s="23" t="n">
        <v>225000</v>
      </c>
      <c r="H704" s="8" t="s">
        <v>61</v>
      </c>
      <c r="I704" s="24" t="n">
        <v>-5321.04</v>
      </c>
      <c r="J704" s="25" t="n">
        <f aca="false">Summary!$B$4</f>
        <v>1</v>
      </c>
      <c r="K704" s="11" t="n">
        <f aca="false">I704*J704*IF(A704="SILVER",Summary!$B$5,Summary!$B$6)</f>
        <v>-159631.2</v>
      </c>
      <c r="L704" s="26" t="n">
        <v>-1.885</v>
      </c>
      <c r="M704" s="27" t="n">
        <f aca="false">IF(K704&gt;0,1,0)</f>
        <v>0</v>
      </c>
      <c r="N704" s="11" t="n">
        <f aca="false">SUMIFS(K$2:K704,A$2:A704,A704,B$2:B704,B704)</f>
        <v>8931955.2</v>
      </c>
      <c r="O704" s="11" t="n">
        <f aca="false">MAX(0,_xlfn.MAXIFS(N$2:N704,A$2:A704,A704,B$2:B704,B704))</f>
        <v>9188414.7</v>
      </c>
      <c r="P704" s="11" t="n">
        <f aca="false">N704-O704</f>
        <v>-256459.5</v>
      </c>
    </row>
    <row r="705" customFormat="false" ht="15" hidden="false" customHeight="false" outlineLevel="0" collapsed="false">
      <c r="A705" s="8" t="s">
        <v>26</v>
      </c>
      <c r="B705" s="8" t="s">
        <v>41</v>
      </c>
      <c r="C705" s="8" t="s">
        <v>62</v>
      </c>
      <c r="D705" s="21" t="n">
        <v>46204.3958333333</v>
      </c>
      <c r="E705" s="21" t="n">
        <v>46204.71875</v>
      </c>
      <c r="F705" s="22" t="n">
        <f aca="false">DATE(YEAR(E705),MONTH(E705),1)</f>
        <v>46204</v>
      </c>
      <c r="G705" s="23" t="n">
        <v>228938</v>
      </c>
      <c r="H705" s="8" t="s">
        <v>61</v>
      </c>
      <c r="I705" s="24" t="n">
        <v>-3667.76</v>
      </c>
      <c r="J705" s="25" t="n">
        <f aca="false">Summary!$B$4</f>
        <v>1</v>
      </c>
      <c r="K705" s="11" t="n">
        <f aca="false">I705*J705*IF(A705="SILVER",Summary!$B$5,Summary!$B$6)</f>
        <v>-110032.8</v>
      </c>
      <c r="L705" s="26" t="n">
        <v>-0.668</v>
      </c>
      <c r="M705" s="27" t="n">
        <f aca="false">IF(K705&gt;0,1,0)</f>
        <v>0</v>
      </c>
      <c r="N705" s="11" t="n">
        <f aca="false">SUMIFS(K$2:K705,A$2:A705,A705,B$2:B705,B705)</f>
        <v>8821922.4</v>
      </c>
      <c r="O705" s="11" t="n">
        <f aca="false">MAX(0,_xlfn.MAXIFS(N$2:N705,A$2:A705,A705,B$2:B705,B705))</f>
        <v>9188414.7</v>
      </c>
      <c r="P705" s="11" t="n">
        <f aca="false">N705-O705</f>
        <v>-366492.299999999</v>
      </c>
    </row>
    <row r="706" customFormat="false" ht="15" hidden="false" customHeight="false" outlineLevel="0" collapsed="false">
      <c r="A706" s="8" t="s">
        <v>26</v>
      </c>
      <c r="B706" s="8" t="s">
        <v>41</v>
      </c>
      <c r="C706" s="8" t="s">
        <v>62</v>
      </c>
      <c r="D706" s="21" t="n">
        <v>46209.7604166667</v>
      </c>
      <c r="E706" s="21" t="n">
        <v>46210.7222222222</v>
      </c>
      <c r="F706" s="22" t="n">
        <f aca="false">DATE(YEAR(E706),MONTH(E706),1)</f>
        <v>46204</v>
      </c>
      <c r="G706" s="23" t="n">
        <v>240202</v>
      </c>
      <c r="H706" s="8" t="s">
        <v>61</v>
      </c>
      <c r="I706" s="24" t="n">
        <v>3684.26</v>
      </c>
      <c r="J706" s="25" t="n">
        <f aca="false">Summary!$B$4</f>
        <v>1</v>
      </c>
      <c r="K706" s="11" t="n">
        <f aca="false">I706*J706*IF(A706="SILVER",Summary!$B$5,Summary!$B$6)</f>
        <v>110527.8</v>
      </c>
      <c r="L706" s="26" t="n">
        <v>1.937</v>
      </c>
      <c r="M706" s="27" t="n">
        <f aca="false">IF(K706&gt;0,1,0)</f>
        <v>1</v>
      </c>
      <c r="N706" s="11" t="n">
        <f aca="false">SUMIFS(K$2:K706,A$2:A706,A706,B$2:B706,B706)</f>
        <v>8932450.2</v>
      </c>
      <c r="O706" s="11" t="n">
        <f aca="false">MAX(0,_xlfn.MAXIFS(N$2:N706,A$2:A706,A706,B$2:B706,B706))</f>
        <v>9188414.7</v>
      </c>
      <c r="P706" s="11" t="n">
        <f aca="false">N706-O706</f>
        <v>-255964.5</v>
      </c>
    </row>
    <row r="707" customFormat="false" ht="15" hidden="false" customHeight="false" outlineLevel="0" collapsed="false">
      <c r="A707" s="8" t="s">
        <v>26</v>
      </c>
      <c r="B707" s="8" t="s">
        <v>41</v>
      </c>
      <c r="C707" s="8" t="s">
        <v>62</v>
      </c>
      <c r="D707" s="21" t="n">
        <v>46210.8680555556</v>
      </c>
      <c r="E707" s="21" t="n">
        <v>46211.4597222222</v>
      </c>
      <c r="F707" s="22" t="n">
        <f aca="false">DATE(YEAR(E707),MONTH(E707),1)</f>
        <v>46204</v>
      </c>
      <c r="G707" s="23" t="n">
        <v>235294</v>
      </c>
      <c r="H707" s="8" t="s">
        <v>64</v>
      </c>
      <c r="I707" s="24" t="n">
        <v>205.74</v>
      </c>
      <c r="J707" s="25" t="n">
        <f aca="false">Summary!$B$4</f>
        <v>1</v>
      </c>
      <c r="K707" s="11" t="n">
        <f aca="false">I707*J707*IF(A707="SILVER",Summary!$B$5,Summary!$B$6)</f>
        <v>6172.2</v>
      </c>
      <c r="L707" s="26" t="n">
        <v>0.079</v>
      </c>
      <c r="M707" s="27" t="n">
        <f aca="false">IF(K707&gt;0,1,0)</f>
        <v>1</v>
      </c>
      <c r="N707" s="11" t="n">
        <f aca="false">SUMIFS(K$2:K707,A$2:A707,A707,B$2:B707,B707)</f>
        <v>8938622.4</v>
      </c>
      <c r="O707" s="11" t="n">
        <f aca="false">MAX(0,_xlfn.MAXIFS(N$2:N707,A$2:A707,A707,B$2:B707,B707))</f>
        <v>9188414.7</v>
      </c>
      <c r="P707" s="11" t="n">
        <f aca="false">N707-O707</f>
        <v>-249792.299999999</v>
      </c>
    </row>
    <row r="708" customFormat="false" ht="15" hidden="false" customHeight="false" outlineLevel="0" collapsed="false">
      <c r="A708" s="8" t="s">
        <v>26</v>
      </c>
      <c r="B708" s="8" t="s">
        <v>41</v>
      </c>
      <c r="C708" s="8" t="s">
        <v>62</v>
      </c>
      <c r="D708" s="21" t="n">
        <v>46212.8409722222</v>
      </c>
      <c r="E708" s="21" t="n">
        <v>46216.5659722222</v>
      </c>
      <c r="F708" s="22" t="n">
        <f aca="false">DATE(YEAR(E708),MONTH(E708),1)</f>
        <v>46204</v>
      </c>
      <c r="G708" s="23" t="n">
        <v>229947</v>
      </c>
      <c r="H708" s="8" t="s">
        <v>61</v>
      </c>
      <c r="I708" s="24" t="n">
        <v>4896.45</v>
      </c>
      <c r="J708" s="25" t="n">
        <f aca="false">Summary!$B$4</f>
        <v>1</v>
      </c>
      <c r="K708" s="11" t="n">
        <f aca="false">I708*J708*IF(A708="SILVER",Summary!$B$5,Summary!$B$6)</f>
        <v>146893.5</v>
      </c>
      <c r="L708" s="26" t="n">
        <v>1.582</v>
      </c>
      <c r="M708" s="27" t="n">
        <f aca="false">IF(K708&gt;0,1,0)</f>
        <v>1</v>
      </c>
      <c r="N708" s="11" t="n">
        <f aca="false">SUMIFS(K$2:K708,A$2:A708,A708,B$2:B708,B708)</f>
        <v>9085515.9</v>
      </c>
      <c r="O708" s="11" t="n">
        <f aca="false">MAX(0,_xlfn.MAXIFS(N$2:N708,A$2:A708,A708,B$2:B708,B708))</f>
        <v>9188414.7</v>
      </c>
      <c r="P708" s="11" t="n">
        <f aca="false">N708-O708</f>
        <v>-102898.799999999</v>
      </c>
    </row>
    <row r="709" customFormat="false" ht="15" hidden="false" customHeight="false" outlineLevel="0" collapsed="false">
      <c r="A709" s="8" t="s">
        <v>26</v>
      </c>
      <c r="B709" s="8" t="s">
        <v>41</v>
      </c>
      <c r="C709" s="8" t="s">
        <v>62</v>
      </c>
      <c r="D709" s="21" t="n">
        <v>46216.8263888889</v>
      </c>
      <c r="E709" s="21" t="n">
        <v>46217.3763888889</v>
      </c>
      <c r="F709" s="22" t="n">
        <f aca="false">DATE(YEAR(E709),MONTH(E709),1)</f>
        <v>46204</v>
      </c>
      <c r="G709" s="23" t="n">
        <v>223315</v>
      </c>
      <c r="H709" s="8" t="s">
        <v>64</v>
      </c>
      <c r="I709" s="24" t="n">
        <v>199.86</v>
      </c>
      <c r="J709" s="25" t="n">
        <f aca="false">Summary!$B$4</f>
        <v>1</v>
      </c>
      <c r="K709" s="11" t="n">
        <f aca="false">I709*J709*IF(A709="SILVER",Summary!$B$5,Summary!$B$6)</f>
        <v>5995.8</v>
      </c>
      <c r="L709" s="26" t="n">
        <v>0.079</v>
      </c>
      <c r="M709" s="27" t="n">
        <f aca="false">IF(K709&gt;0,1,0)</f>
        <v>1</v>
      </c>
      <c r="N709" s="11" t="n">
        <f aca="false">SUMIFS(K$2:K709,A$2:A709,A709,B$2:B709,B709)</f>
        <v>9091511.7</v>
      </c>
      <c r="O709" s="11" t="n">
        <f aca="false">MAX(0,_xlfn.MAXIFS(N$2:N709,A$2:A709,A709,B$2:B709,B709))</f>
        <v>9188414.7</v>
      </c>
      <c r="P709" s="11" t="n">
        <f aca="false">N709-O709</f>
        <v>-96903</v>
      </c>
    </row>
    <row r="710" customFormat="false" ht="15" hidden="false" customHeight="false" outlineLevel="0" collapsed="false">
      <c r="A710" s="8" t="s">
        <v>26</v>
      </c>
      <c r="B710" s="8" t="s">
        <v>41</v>
      </c>
      <c r="C710" s="8" t="s">
        <v>62</v>
      </c>
      <c r="D710" s="21" t="n">
        <v>46218.4618055556</v>
      </c>
      <c r="E710" s="21" t="n">
        <v>46218.75</v>
      </c>
      <c r="F710" s="22" t="n">
        <f aca="false">DATE(YEAR(E710),MONTH(E710),1)</f>
        <v>46204</v>
      </c>
      <c r="G710" s="23" t="n">
        <v>226855</v>
      </c>
      <c r="H710" s="8" t="s">
        <v>64</v>
      </c>
      <c r="I710" s="24" t="n">
        <v>110.64</v>
      </c>
      <c r="J710" s="25" t="n">
        <f aca="false">Summary!$B$4</f>
        <v>1</v>
      </c>
      <c r="K710" s="11" t="n">
        <f aca="false">I710*J710*IF(A710="SILVER",Summary!$B$5,Summary!$B$6)</f>
        <v>3319.2</v>
      </c>
      <c r="L710" s="26" t="n">
        <v>0.067</v>
      </c>
      <c r="M710" s="27" t="n">
        <f aca="false">IF(K710&gt;0,1,0)</f>
        <v>1</v>
      </c>
      <c r="N710" s="11" t="n">
        <f aca="false">SUMIFS(K$2:K710,A$2:A710,A710,B$2:B710,B710)</f>
        <v>9094830.9</v>
      </c>
      <c r="O710" s="11" t="n">
        <f aca="false">MAX(0,_xlfn.MAXIFS(N$2:N710,A$2:A710,A710,B$2:B710,B710))</f>
        <v>9188414.7</v>
      </c>
      <c r="P710" s="11" t="n">
        <f aca="false">N710-O710</f>
        <v>-93583.7999999989</v>
      </c>
    </row>
    <row r="711" customFormat="false" ht="15" hidden="false" customHeight="false" outlineLevel="0" collapsed="false">
      <c r="A711" s="8" t="s">
        <v>26</v>
      </c>
      <c r="B711" s="8" t="s">
        <v>41</v>
      </c>
      <c r="C711" s="8" t="s">
        <v>62</v>
      </c>
      <c r="D711" s="21" t="n">
        <v>46218.8645833333</v>
      </c>
      <c r="E711" s="21" t="n">
        <v>46218.9611111111</v>
      </c>
      <c r="F711" s="22" t="n">
        <f aca="false">DATE(YEAR(E711),MONTH(E711),1)</f>
        <v>46204</v>
      </c>
      <c r="G711" s="23" t="n">
        <v>225210</v>
      </c>
      <c r="H711" s="8" t="s">
        <v>64</v>
      </c>
      <c r="I711" s="24" t="n">
        <v>236.62</v>
      </c>
      <c r="J711" s="25" t="n">
        <f aca="false">Summary!$B$4</f>
        <v>1</v>
      </c>
      <c r="K711" s="11" t="n">
        <f aca="false">I711*J711*IF(A711="SILVER",Summary!$B$5,Summary!$B$6)</f>
        <v>7098.6</v>
      </c>
      <c r="L711" s="26" t="n">
        <v>0.081</v>
      </c>
      <c r="M711" s="27" t="n">
        <f aca="false">IF(K711&gt;0,1,0)</f>
        <v>1</v>
      </c>
      <c r="N711" s="11" t="n">
        <f aca="false">SUMIFS(K$2:K711,A$2:A711,A711,B$2:B711,B711)</f>
        <v>9101929.5</v>
      </c>
      <c r="O711" s="11" t="n">
        <f aca="false">MAX(0,_xlfn.MAXIFS(N$2:N711,A$2:A711,A711,B$2:B711,B711))</f>
        <v>9188414.7</v>
      </c>
      <c r="P711" s="11" t="n">
        <f aca="false">N711-O711</f>
        <v>-86485.1999999993</v>
      </c>
    </row>
    <row r="712" customFormat="false" ht="15" hidden="false" customHeight="false" outlineLevel="0" collapsed="false">
      <c r="A712" s="8" t="s">
        <v>26</v>
      </c>
      <c r="B712" s="8" t="s">
        <v>41</v>
      </c>
      <c r="C712" s="8" t="s">
        <v>62</v>
      </c>
      <c r="D712" s="21" t="n">
        <v>46220.7604166667</v>
      </c>
      <c r="E712" s="21" t="n">
        <v>46220.8125</v>
      </c>
      <c r="F712" s="22" t="n">
        <f aca="false">DATE(YEAR(E712),MONTH(E712),1)</f>
        <v>46204</v>
      </c>
      <c r="G712" s="23" t="n">
        <v>218760</v>
      </c>
      <c r="H712" s="8" t="s">
        <v>61</v>
      </c>
      <c r="I712" s="24" t="n">
        <v>-1931.99</v>
      </c>
      <c r="J712" s="25" t="n">
        <f aca="false">Summary!$B$4</f>
        <v>1</v>
      </c>
      <c r="K712" s="11" t="n">
        <f aca="false">I712*J712*IF(A712="SILVER",Summary!$B$5,Summary!$B$6)</f>
        <v>-57959.7</v>
      </c>
      <c r="L712" s="26" t="n">
        <v>-1.211</v>
      </c>
      <c r="M712" s="27" t="n">
        <f aca="false">IF(K712&gt;0,1,0)</f>
        <v>0</v>
      </c>
      <c r="N712" s="11" t="n">
        <f aca="false">SUMIFS(K$2:K712,A$2:A712,A712,B$2:B712,B712)</f>
        <v>9043969.8</v>
      </c>
      <c r="O712" s="11" t="n">
        <f aca="false">MAX(0,_xlfn.MAXIFS(N$2:N712,A$2:A712,A712,B$2:B712,B712))</f>
        <v>9188414.7</v>
      </c>
      <c r="P712" s="11" t="n">
        <f aca="false">N712-O712</f>
        <v>-144444.899999999</v>
      </c>
    </row>
    <row r="713" customFormat="false" ht="15" hidden="false" customHeight="false" outlineLevel="0" collapsed="false">
      <c r="A713" s="8" t="s">
        <v>26</v>
      </c>
      <c r="B713" s="8" t="s">
        <v>41</v>
      </c>
      <c r="C713" s="8" t="s">
        <v>62</v>
      </c>
      <c r="D713" s="21" t="n">
        <v>46223.8229166667</v>
      </c>
      <c r="E713" s="21" t="n">
        <v>46224.3784722222</v>
      </c>
      <c r="F713" s="22" t="n">
        <f aca="false">DATE(YEAR(E713),MONTH(E713),1)</f>
        <v>46204</v>
      </c>
      <c r="G713" s="23" t="n">
        <v>222984</v>
      </c>
      <c r="H713" s="8" t="s">
        <v>61</v>
      </c>
      <c r="I713" s="24" t="n">
        <v>-2576.92</v>
      </c>
      <c r="J713" s="25" t="n">
        <f aca="false">Summary!$B$4</f>
        <v>1</v>
      </c>
      <c r="K713" s="11" t="n">
        <f aca="false">I713*J713*IF(A713="SILVER",Summary!$B$5,Summary!$B$6)</f>
        <v>-77307.6</v>
      </c>
      <c r="L713" s="26" t="n">
        <v>-1.356</v>
      </c>
      <c r="M713" s="27" t="n">
        <f aca="false">IF(K713&gt;0,1,0)</f>
        <v>0</v>
      </c>
      <c r="N713" s="11" t="n">
        <f aca="false">SUMIFS(K$2:K713,A$2:A713,A713,B$2:B713,B713)</f>
        <v>8966662.2</v>
      </c>
      <c r="O713" s="11" t="n">
        <f aca="false">MAX(0,_xlfn.MAXIFS(N$2:N713,A$2:A713,A713,B$2:B713,B713))</f>
        <v>9188414.7</v>
      </c>
      <c r="P713" s="11" t="n">
        <f aca="false">N713-O713</f>
        <v>-221752.5</v>
      </c>
    </row>
    <row r="714" customFormat="false" ht="15" hidden="false" customHeight="false" outlineLevel="0" collapsed="false">
      <c r="A714" s="8" t="s">
        <v>26</v>
      </c>
      <c r="B714" s="8" t="s">
        <v>41</v>
      </c>
      <c r="C714" s="8" t="s">
        <v>62</v>
      </c>
      <c r="D714" s="21" t="n">
        <v>46225.5277777778</v>
      </c>
      <c r="E714" s="21" t="n">
        <v>46225.7951388889</v>
      </c>
      <c r="F714" s="22" t="n">
        <f aca="false">DATE(YEAR(E714),MONTH(E714),1)</f>
        <v>46204</v>
      </c>
      <c r="G714" s="23" t="n">
        <v>229449</v>
      </c>
      <c r="H714" s="8" t="s">
        <v>61</v>
      </c>
      <c r="I714" s="24" t="n">
        <v>-1612.11</v>
      </c>
      <c r="J714" s="25" t="n">
        <f aca="false">Summary!$B$4</f>
        <v>1</v>
      </c>
      <c r="K714" s="11" t="n">
        <f aca="false">I714*J714*IF(A714="SILVER",Summary!$B$5,Summary!$B$6)</f>
        <v>-48363.3</v>
      </c>
      <c r="L714" s="26" t="n">
        <v>-0.942</v>
      </c>
      <c r="M714" s="27" t="n">
        <f aca="false">IF(K714&gt;0,1,0)</f>
        <v>0</v>
      </c>
      <c r="N714" s="11" t="n">
        <f aca="false">SUMIFS(K$2:K714,A$2:A714,A714,B$2:B714,B714)</f>
        <v>8918298.9</v>
      </c>
      <c r="O714" s="11" t="n">
        <f aca="false">MAX(0,_xlfn.MAXIFS(N$2:N714,A$2:A714,A714,B$2:B714,B714))</f>
        <v>9188414.7</v>
      </c>
      <c r="P714" s="11" t="n">
        <f aca="false">N714-O714</f>
        <v>-270115.799999999</v>
      </c>
    </row>
    <row r="715" customFormat="false" ht="15" hidden="false" customHeight="false" outlineLevel="0" collapsed="false">
      <c r="A715" s="8" t="s">
        <v>26</v>
      </c>
      <c r="B715" s="8" t="s">
        <v>41</v>
      </c>
      <c r="C715" s="8" t="s">
        <v>62</v>
      </c>
      <c r="D715" s="21" t="n">
        <v>46226.3888888889</v>
      </c>
      <c r="E715" s="21" t="n">
        <v>46227.4965277778</v>
      </c>
      <c r="F715" s="22" t="n">
        <f aca="false">DATE(YEAR(E715),MONTH(E715),1)</f>
        <v>46204</v>
      </c>
      <c r="G715" s="23" t="n">
        <v>230422</v>
      </c>
      <c r="H715" s="8" t="s">
        <v>61</v>
      </c>
      <c r="I715" s="24" t="n">
        <v>6130.46</v>
      </c>
      <c r="J715" s="25" t="n">
        <f aca="false">Summary!$B$4</f>
        <v>1</v>
      </c>
      <c r="K715" s="11" t="n">
        <f aca="false">I715*J715*IF(A715="SILVER",Summary!$B$5,Summary!$B$6)</f>
        <v>183913.8</v>
      </c>
      <c r="L715" s="26" t="n">
        <v>2.886</v>
      </c>
      <c r="M715" s="27" t="n">
        <f aca="false">IF(K715&gt;0,1,0)</f>
        <v>1</v>
      </c>
      <c r="N715" s="11" t="n">
        <f aca="false">SUMIFS(K$2:K715,A$2:A715,A715,B$2:B715,B715)</f>
        <v>9102212.7</v>
      </c>
      <c r="O715" s="11" t="n">
        <f aca="false">MAX(0,_xlfn.MAXIFS(N$2:N715,A$2:A715,A715,B$2:B715,B715))</f>
        <v>9188414.7</v>
      </c>
      <c r="P715" s="11" t="n">
        <f aca="false">N715-O715</f>
        <v>-86202</v>
      </c>
    </row>
    <row r="716" customFormat="false" ht="15" hidden="false" customHeight="false" outlineLevel="0" collapsed="false">
      <c r="A716" s="8" t="s">
        <v>26</v>
      </c>
      <c r="B716" s="8" t="s">
        <v>41</v>
      </c>
      <c r="C716" s="8" t="s">
        <v>62</v>
      </c>
      <c r="D716" s="21" t="n">
        <v>46227.7777777778</v>
      </c>
      <c r="E716" s="21" t="n">
        <v>46227.8819444445</v>
      </c>
      <c r="F716" s="22" t="n">
        <f aca="false">DATE(YEAR(E716),MONTH(E716),1)</f>
        <v>46204</v>
      </c>
      <c r="G716" s="23" t="n">
        <v>225547</v>
      </c>
      <c r="H716" s="8" t="s">
        <v>61</v>
      </c>
      <c r="I716" s="24" t="n">
        <v>-1878.35</v>
      </c>
      <c r="J716" s="25" t="n">
        <f aca="false">Summary!$B$4</f>
        <v>1</v>
      </c>
      <c r="K716" s="11" t="n">
        <f aca="false">I716*J716*IF(A716="SILVER",Summary!$B$5,Summary!$B$6)</f>
        <v>-56350.5</v>
      </c>
      <c r="L716" s="26" t="n">
        <v>-0.901</v>
      </c>
      <c r="M716" s="27" t="n">
        <f aca="false">IF(K716&gt;0,1,0)</f>
        <v>0</v>
      </c>
      <c r="N716" s="11" t="n">
        <f aca="false">SUMIFS(K$2:K716,A$2:A716,A716,B$2:B716,B716)</f>
        <v>9045862.2</v>
      </c>
      <c r="O716" s="11" t="n">
        <f aca="false">MAX(0,_xlfn.MAXIFS(N$2:N716,A$2:A716,A716,B$2:B716,B716))</f>
        <v>9188414.7</v>
      </c>
      <c r="P716" s="11" t="n">
        <f aca="false">N716-O716</f>
        <v>-142552.5</v>
      </c>
    </row>
    <row r="717" customFormat="false" ht="15" hidden="false" customHeight="false" outlineLevel="0" collapsed="false">
      <c r="A717" s="8" t="s">
        <v>26</v>
      </c>
      <c r="B717" s="8" t="s">
        <v>41</v>
      </c>
      <c r="C717" s="8" t="s">
        <v>62</v>
      </c>
      <c r="D717" s="21" t="n">
        <v>46230.5659722222</v>
      </c>
      <c r="E717" s="21" t="n">
        <v>46232.3888888889</v>
      </c>
      <c r="F717" s="22" t="n">
        <f aca="false">DATE(YEAR(E717),MONTH(E717),1)</f>
        <v>46204</v>
      </c>
      <c r="G717" s="23" t="n">
        <v>228137</v>
      </c>
      <c r="H717" s="8" t="s">
        <v>61</v>
      </c>
      <c r="I717" s="24" t="n">
        <v>6625.98</v>
      </c>
      <c r="J717" s="25" t="n">
        <f aca="false">Summary!$B$4</f>
        <v>1</v>
      </c>
      <c r="K717" s="11" t="n">
        <f aca="false">I717*J717*IF(A717="SILVER",Summary!$B$5,Summary!$B$6)</f>
        <v>198779.4</v>
      </c>
      <c r="L717" s="26" t="n">
        <v>3.411</v>
      </c>
      <c r="M717" s="27" t="n">
        <f aca="false">IF(K717&gt;0,1,0)</f>
        <v>1</v>
      </c>
      <c r="N717" s="11" t="n">
        <f aca="false">SUMIFS(K$2:K717,A$2:A717,A717,B$2:B717,B717)</f>
        <v>9244641.6</v>
      </c>
      <c r="O717" s="11" t="n">
        <f aca="false">MAX(0,_xlfn.MAXIFS(N$2:N717,A$2:A717,A717,B$2:B717,B717))</f>
        <v>9244641.6</v>
      </c>
      <c r="P717" s="11" t="n">
        <f aca="false">N717-O717</f>
        <v>0</v>
      </c>
    </row>
    <row r="718" customFormat="false" ht="15" hidden="false" customHeight="false" outlineLevel="0" collapsed="false">
      <c r="A718" s="8" t="s">
        <v>26</v>
      </c>
      <c r="B718" s="8" t="s">
        <v>41</v>
      </c>
      <c r="C718" s="8" t="s">
        <v>62</v>
      </c>
      <c r="D718" s="21" t="n">
        <v>46232.6458333333</v>
      </c>
      <c r="E718" s="21" t="n">
        <v>46232.7069444444</v>
      </c>
      <c r="F718" s="22" t="n">
        <f aca="false">DATE(YEAR(E718),MONTH(E718),1)</f>
        <v>46204</v>
      </c>
      <c r="G718" s="23" t="n">
        <v>221884</v>
      </c>
      <c r="H718" s="8" t="s">
        <v>64</v>
      </c>
      <c r="I718" s="24" t="n">
        <v>95.67</v>
      </c>
      <c r="J718" s="25" t="n">
        <f aca="false">Summary!$B$4</f>
        <v>1</v>
      </c>
      <c r="K718" s="11" t="n">
        <f aca="false">I718*J718*IF(A718="SILVER",Summary!$B$5,Summary!$B$6)</f>
        <v>2870.1</v>
      </c>
      <c r="L718" s="26" t="n">
        <v>0.064</v>
      </c>
      <c r="M718" s="27" t="n">
        <f aca="false">IF(K718&gt;0,1,0)</f>
        <v>1</v>
      </c>
      <c r="N718" s="11" t="n">
        <f aca="false">SUMIFS(K$2:K718,A$2:A718,A718,B$2:B718,B718)</f>
        <v>9247511.7</v>
      </c>
      <c r="O718" s="11" t="n">
        <f aca="false">MAX(0,_xlfn.MAXIFS(N$2:N718,A$2:A718,A718,B$2:B718,B718))</f>
        <v>9247511.7</v>
      </c>
      <c r="P718" s="11" t="n">
        <f aca="false">N718-O718</f>
        <v>0</v>
      </c>
    </row>
    <row r="719" customFormat="false" ht="15" hidden="false" customHeight="false" outlineLevel="0" collapsed="false">
      <c r="A719" s="8" t="s">
        <v>26</v>
      </c>
      <c r="B719" s="8" t="s">
        <v>41</v>
      </c>
      <c r="C719" s="8" t="s">
        <v>62</v>
      </c>
      <c r="D719" s="21" t="n">
        <v>46234.5833333333</v>
      </c>
      <c r="E719" s="21" t="n">
        <v>46234.6951388889</v>
      </c>
      <c r="F719" s="22" t="n">
        <f aca="false">DATE(YEAR(E719),MONTH(E719),1)</f>
        <v>46204</v>
      </c>
      <c r="G719" s="23" t="n">
        <v>222818</v>
      </c>
      <c r="H719" s="8" t="s">
        <v>64</v>
      </c>
      <c r="I719" s="24" t="n">
        <v>99.98</v>
      </c>
      <c r="J719" s="25" t="n">
        <f aca="false">Summary!$B$4</f>
        <v>1</v>
      </c>
      <c r="K719" s="11" t="n">
        <f aca="false">I719*J719*IF(A719="SILVER",Summary!$B$5,Summary!$B$6)</f>
        <v>2999.4</v>
      </c>
      <c r="L719" s="26" t="n">
        <v>0.065</v>
      </c>
      <c r="M719" s="27" t="n">
        <f aca="false">IF(K719&gt;0,1,0)</f>
        <v>1</v>
      </c>
      <c r="N719" s="11" t="n">
        <f aca="false">SUMIFS(K$2:K719,A$2:A719,A719,B$2:B719,B719)</f>
        <v>9250511.1</v>
      </c>
      <c r="O719" s="11" t="n">
        <f aca="false">MAX(0,_xlfn.MAXIFS(N$2:N719,A$2:A719,A719,B$2:B719,B719))</f>
        <v>9250511.1</v>
      </c>
      <c r="P719" s="11" t="n">
        <f aca="false">N719-O719</f>
        <v>0</v>
      </c>
    </row>
    <row r="720" customFormat="false" ht="15" hidden="false" customHeight="false" outlineLevel="0" collapsed="false">
      <c r="A720" s="8" t="s">
        <v>26</v>
      </c>
      <c r="B720" s="8" t="s">
        <v>41</v>
      </c>
      <c r="C720" s="8" t="s">
        <v>62</v>
      </c>
      <c r="D720" s="21" t="n">
        <v>46237.7013888889</v>
      </c>
      <c r="E720" s="21" t="n">
        <v>46237.9305555556</v>
      </c>
      <c r="F720" s="22" t="n">
        <f aca="false">DATE(YEAR(E720),MONTH(E720),1)</f>
        <v>46235</v>
      </c>
      <c r="G720" s="23" t="n">
        <v>222327</v>
      </c>
      <c r="H720" s="8" t="s">
        <v>61</v>
      </c>
      <c r="I720" s="24" t="n">
        <v>966.58</v>
      </c>
      <c r="J720" s="25" t="n">
        <f aca="false">Summary!$B$4</f>
        <v>1</v>
      </c>
      <c r="K720" s="11" t="n">
        <f aca="false">I720*J720*IF(A720="SILVER",Summary!$B$5,Summary!$B$6)</f>
        <v>28997.4</v>
      </c>
      <c r="L720" s="26" t="n">
        <v>0.73</v>
      </c>
      <c r="M720" s="27" t="n">
        <f aca="false">IF(K720&gt;0,1,0)</f>
        <v>1</v>
      </c>
      <c r="N720" s="11" t="n">
        <f aca="false">SUMIFS(K$2:K720,A$2:A720,A720,B$2:B720,B720)</f>
        <v>9279508.5</v>
      </c>
      <c r="O720" s="11" t="n">
        <f aca="false">MAX(0,_xlfn.MAXIFS(N$2:N720,A$2:A720,A720,B$2:B720,B720))</f>
        <v>9279508.5</v>
      </c>
      <c r="P720" s="11" t="n">
        <f aca="false">N720-O720</f>
        <v>0</v>
      </c>
    </row>
    <row r="721" customFormat="false" ht="15" hidden="false" customHeight="false" outlineLevel="0" collapsed="false">
      <c r="A721" s="8" t="s">
        <v>26</v>
      </c>
      <c r="B721" s="8" t="s">
        <v>41</v>
      </c>
      <c r="C721" s="8" t="s">
        <v>62</v>
      </c>
      <c r="D721" s="21" t="n">
        <v>46240.5173611111</v>
      </c>
      <c r="E721" s="21" t="n">
        <v>46240.7993055556</v>
      </c>
      <c r="F721" s="22" t="n">
        <f aca="false">DATE(YEAR(E721),MONTH(E721),1)</f>
        <v>46235</v>
      </c>
      <c r="G721" s="23" t="n">
        <v>231245</v>
      </c>
      <c r="H721" s="8" t="s">
        <v>64</v>
      </c>
      <c r="I721" s="24" t="n">
        <v>100.2</v>
      </c>
      <c r="J721" s="25" t="n">
        <f aca="false">Summary!$B$4</f>
        <v>1</v>
      </c>
      <c r="K721" s="11" t="n">
        <f aca="false">I721*J721*IF(A721="SILVER",Summary!$B$5,Summary!$B$6)</f>
        <v>3006</v>
      </c>
      <c r="L721" s="26" t="n">
        <v>0.064</v>
      </c>
      <c r="M721" s="27" t="n">
        <f aca="false">IF(K721&gt;0,1,0)</f>
        <v>1</v>
      </c>
      <c r="N721" s="11" t="n">
        <f aca="false">SUMIFS(K$2:K721,A$2:A721,A721,B$2:B721,B721)</f>
        <v>9282514.5</v>
      </c>
      <c r="O721" s="11" t="n">
        <f aca="false">MAX(0,_xlfn.MAXIFS(N$2:N721,A$2:A721,A721,B$2:B721,B721))</f>
        <v>9282514.5</v>
      </c>
      <c r="P721" s="11" t="n">
        <f aca="false">N721-O721</f>
        <v>0</v>
      </c>
    </row>
    <row r="722" customFormat="false" ht="15" hidden="false" customHeight="false" outlineLevel="0" collapsed="false">
      <c r="A722" s="8" t="s">
        <v>26</v>
      </c>
      <c r="B722" s="8" t="s">
        <v>41</v>
      </c>
      <c r="C722" s="8" t="s">
        <v>62</v>
      </c>
      <c r="D722" s="21" t="n">
        <v>46241.8159722222</v>
      </c>
      <c r="E722" s="21" t="n">
        <v>46244.3819444445</v>
      </c>
      <c r="F722" s="22" t="n">
        <f aca="false">DATE(YEAR(E722),MONTH(E722),1)</f>
        <v>46235</v>
      </c>
      <c r="G722" s="23" t="n">
        <v>236893</v>
      </c>
      <c r="H722" s="8" t="s">
        <v>61</v>
      </c>
      <c r="I722" s="24" t="n">
        <v>-1172.57</v>
      </c>
      <c r="J722" s="25" t="n">
        <f aca="false">Summary!$B$4</f>
        <v>1</v>
      </c>
      <c r="K722" s="11" t="n">
        <f aca="false">I722*J722*IF(A722="SILVER",Summary!$B$5,Summary!$B$6)</f>
        <v>-35177.1</v>
      </c>
      <c r="L722" s="26" t="n">
        <v>-0.324</v>
      </c>
      <c r="M722" s="27" t="n">
        <f aca="false">IF(K722&gt;0,1,0)</f>
        <v>0</v>
      </c>
      <c r="N722" s="11" t="n">
        <f aca="false">SUMIFS(K$2:K722,A$2:A722,A722,B$2:B722,B722)</f>
        <v>9247337.4</v>
      </c>
      <c r="O722" s="11" t="n">
        <f aca="false">MAX(0,_xlfn.MAXIFS(N$2:N722,A$2:A722,A722,B$2:B722,B722))</f>
        <v>9282514.5</v>
      </c>
      <c r="P722" s="11" t="n">
        <f aca="false">N722-O722</f>
        <v>-35177.0999999996</v>
      </c>
    </row>
    <row r="723" customFormat="false" ht="15" hidden="false" customHeight="false" outlineLevel="0" collapsed="false">
      <c r="A723" s="8" t="s">
        <v>26</v>
      </c>
      <c r="B723" s="8" t="s">
        <v>41</v>
      </c>
      <c r="C723" s="8" t="s">
        <v>62</v>
      </c>
      <c r="D723" s="21" t="n">
        <v>46244.6979166667</v>
      </c>
      <c r="E723" s="21" t="n">
        <v>46244.8298611111</v>
      </c>
      <c r="F723" s="22" t="n">
        <f aca="false">DATE(YEAR(E723),MONTH(E723),1)</f>
        <v>46235</v>
      </c>
      <c r="G723" s="23" t="n">
        <v>237696</v>
      </c>
      <c r="H723" s="8" t="s">
        <v>61</v>
      </c>
      <c r="I723" s="24" t="n">
        <v>-1786.77</v>
      </c>
      <c r="J723" s="25" t="n">
        <f aca="false">Summary!$B$4</f>
        <v>1</v>
      </c>
      <c r="K723" s="11" t="n">
        <f aca="false">I723*J723*IF(A723="SILVER",Summary!$B$5,Summary!$B$6)</f>
        <v>-53603.1</v>
      </c>
      <c r="L723" s="26" t="n">
        <v>-1.327</v>
      </c>
      <c r="M723" s="27" t="n">
        <f aca="false">IF(K723&gt;0,1,0)</f>
        <v>0</v>
      </c>
      <c r="N723" s="11" t="n">
        <f aca="false">SUMIFS(K$2:K723,A$2:A723,A723,B$2:B723,B723)</f>
        <v>9193734.3</v>
      </c>
      <c r="O723" s="11" t="n">
        <f aca="false">MAX(0,_xlfn.MAXIFS(N$2:N723,A$2:A723,A723,B$2:B723,B723))</f>
        <v>9282514.5</v>
      </c>
      <c r="P723" s="11" t="n">
        <f aca="false">N723-O723</f>
        <v>-88780.1999999993</v>
      </c>
    </row>
    <row r="724" customFormat="false" ht="15" hidden="false" customHeight="false" outlineLevel="0" collapsed="false">
      <c r="A724" s="8" t="s">
        <v>26</v>
      </c>
      <c r="B724" s="8" t="s">
        <v>41</v>
      </c>
      <c r="C724" s="8" t="s">
        <v>62</v>
      </c>
      <c r="D724" s="21" t="n">
        <v>46245.4618055556</v>
      </c>
      <c r="E724" s="21" t="n">
        <v>46245.5680555556</v>
      </c>
      <c r="F724" s="22" t="n">
        <f aca="false">DATE(YEAR(E724),MONTH(E724),1)</f>
        <v>46235</v>
      </c>
      <c r="G724" s="23" t="n">
        <v>240746</v>
      </c>
      <c r="H724" s="8" t="s">
        <v>64</v>
      </c>
      <c r="I724" s="24" t="n">
        <v>222.38</v>
      </c>
      <c r="J724" s="25" t="n">
        <f aca="false">Summary!$B$4</f>
        <v>1</v>
      </c>
      <c r="K724" s="11" t="n">
        <f aca="false">I724*J724*IF(A724="SILVER",Summary!$B$5,Summary!$B$6)</f>
        <v>6671.4</v>
      </c>
      <c r="L724" s="26" t="n">
        <v>0.08</v>
      </c>
      <c r="M724" s="27" t="n">
        <f aca="false">IF(K724&gt;0,1,0)</f>
        <v>1</v>
      </c>
      <c r="N724" s="11" t="n">
        <f aca="false">SUMIFS(K$2:K724,A$2:A724,A724,B$2:B724,B724)</f>
        <v>9200405.7</v>
      </c>
      <c r="O724" s="11" t="n">
        <f aca="false">MAX(0,_xlfn.MAXIFS(N$2:N724,A$2:A724,A724,B$2:B724,B724))</f>
        <v>9282514.5</v>
      </c>
      <c r="P724" s="11" t="n">
        <f aca="false">N724-O724</f>
        <v>-82108.8000000008</v>
      </c>
    </row>
    <row r="725" customFormat="false" ht="15" hidden="false" customHeight="false" outlineLevel="0" collapsed="false">
      <c r="A725" s="8" t="s">
        <v>26</v>
      </c>
      <c r="B725" s="8" t="s">
        <v>41</v>
      </c>
      <c r="C725" s="8" t="s">
        <v>62</v>
      </c>
      <c r="D725" s="21" t="n">
        <v>46246.7986111111</v>
      </c>
      <c r="E725" s="21" t="n">
        <v>46246.9541666667</v>
      </c>
      <c r="F725" s="22" t="n">
        <f aca="false">DATE(YEAR(E725),MONTH(E725),1)</f>
        <v>46235</v>
      </c>
      <c r="G725" s="23" t="n">
        <v>242907</v>
      </c>
      <c r="H725" s="8" t="s">
        <v>64</v>
      </c>
      <c r="I725" s="24" t="n">
        <v>195.03</v>
      </c>
      <c r="J725" s="25" t="n">
        <f aca="false">Summary!$B$4</f>
        <v>1</v>
      </c>
      <c r="K725" s="11" t="n">
        <f aca="false">I725*J725*IF(A725="SILVER",Summary!$B$5,Summary!$B$6)</f>
        <v>5850.9</v>
      </c>
      <c r="L725" s="26" t="n">
        <v>0.077</v>
      </c>
      <c r="M725" s="27" t="n">
        <f aca="false">IF(K725&gt;0,1,0)</f>
        <v>1</v>
      </c>
      <c r="N725" s="11" t="n">
        <f aca="false">SUMIFS(K$2:K725,A$2:A725,A725,B$2:B725,B725)</f>
        <v>9206256.6</v>
      </c>
      <c r="O725" s="11" t="n">
        <f aca="false">MAX(0,_xlfn.MAXIFS(N$2:N725,A$2:A725,A725,B$2:B725,B725))</f>
        <v>9282514.5</v>
      </c>
      <c r="P725" s="11" t="n">
        <f aca="false">N725-O725</f>
        <v>-76257.9000000004</v>
      </c>
    </row>
    <row r="726" customFormat="false" ht="15" hidden="false" customHeight="false" outlineLevel="0" collapsed="false">
      <c r="A726" s="8" t="s">
        <v>26</v>
      </c>
      <c r="B726" s="8" t="s">
        <v>41</v>
      </c>
      <c r="C726" s="8" t="s">
        <v>62</v>
      </c>
      <c r="D726" s="21" t="n">
        <v>46247.8784722222</v>
      </c>
      <c r="E726" s="21" t="n">
        <v>46248.5486111111</v>
      </c>
      <c r="F726" s="22" t="n">
        <f aca="false">DATE(YEAR(E726),MONTH(E726),1)</f>
        <v>46235</v>
      </c>
      <c r="G726" s="23" t="n">
        <v>239354</v>
      </c>
      <c r="H726" s="8" t="s">
        <v>61</v>
      </c>
      <c r="I726" s="24" t="n">
        <v>740.14</v>
      </c>
      <c r="J726" s="25" t="n">
        <f aca="false">Summary!$B$4</f>
        <v>1</v>
      </c>
      <c r="K726" s="11" t="n">
        <f aca="false">I726*J726*IF(A726="SILVER",Summary!$B$5,Summary!$B$6)</f>
        <v>22204.2</v>
      </c>
      <c r="L726" s="26" t="n">
        <v>0.277</v>
      </c>
      <c r="M726" s="27" t="n">
        <f aca="false">IF(K726&gt;0,1,0)</f>
        <v>1</v>
      </c>
      <c r="N726" s="11" t="n">
        <f aca="false">SUMIFS(K$2:K726,A$2:A726,A726,B$2:B726,B726)</f>
        <v>9228460.8</v>
      </c>
      <c r="O726" s="11" t="n">
        <f aca="false">MAX(0,_xlfn.MAXIFS(N$2:N726,A$2:A726,A726,B$2:B726,B726))</f>
        <v>9282514.5</v>
      </c>
      <c r="P726" s="11" t="n">
        <f aca="false">N726-O726</f>
        <v>-54053.6999999993</v>
      </c>
    </row>
    <row r="727" customFormat="false" ht="15" hidden="false" customHeight="false" outlineLevel="0" collapsed="false">
      <c r="A727" s="8" t="s">
        <v>26</v>
      </c>
      <c r="B727" s="8" t="s">
        <v>41</v>
      </c>
      <c r="C727" s="8" t="s">
        <v>62</v>
      </c>
      <c r="D727" s="21" t="n">
        <v>46251.7569444445</v>
      </c>
      <c r="E727" s="21" t="n">
        <v>46251.8263888889</v>
      </c>
      <c r="F727" s="22" t="n">
        <f aca="false">DATE(YEAR(E727),MONTH(E727),1)</f>
        <v>46235</v>
      </c>
      <c r="G727" s="23" t="n">
        <v>241159</v>
      </c>
      <c r="H727" s="8" t="s">
        <v>61</v>
      </c>
      <c r="I727" s="24" t="n">
        <v>-1495.45</v>
      </c>
      <c r="J727" s="25" t="n">
        <f aca="false">Summary!$B$4</f>
        <v>1</v>
      </c>
      <c r="K727" s="11" t="n">
        <f aca="false">I727*J727*IF(A727="SILVER",Summary!$B$5,Summary!$B$6)</f>
        <v>-44863.5</v>
      </c>
      <c r="L727" s="26" t="n">
        <v>-0.843</v>
      </c>
      <c r="M727" s="27" t="n">
        <f aca="false">IF(K727&gt;0,1,0)</f>
        <v>0</v>
      </c>
      <c r="N727" s="11" t="n">
        <f aca="false">SUMIFS(K$2:K727,A$2:A727,A727,B$2:B727,B727)</f>
        <v>9183597.3</v>
      </c>
      <c r="O727" s="11" t="n">
        <f aca="false">MAX(0,_xlfn.MAXIFS(N$2:N727,A$2:A727,A727,B$2:B727,B727))</f>
        <v>9282514.5</v>
      </c>
      <c r="P727" s="11" t="n">
        <f aca="false">N727-O727</f>
        <v>-98917.1999999993</v>
      </c>
    </row>
    <row r="728" customFormat="false" ht="15" hidden="false" customHeight="false" outlineLevel="0" collapsed="false">
      <c r="A728" s="8" t="s">
        <v>26</v>
      </c>
      <c r="B728" s="8" t="s">
        <v>41</v>
      </c>
      <c r="C728" s="8" t="s">
        <v>62</v>
      </c>
      <c r="D728" s="21" t="n">
        <v>46252.3784722222</v>
      </c>
      <c r="E728" s="21" t="n">
        <v>46252.4722222222</v>
      </c>
      <c r="F728" s="22" t="n">
        <f aca="false">DATE(YEAR(E728),MONTH(E728),1)</f>
        <v>46235</v>
      </c>
      <c r="G728" s="23" t="n">
        <v>240590</v>
      </c>
      <c r="H728" s="8" t="s">
        <v>64</v>
      </c>
      <c r="I728" s="24" t="n">
        <v>161.82</v>
      </c>
      <c r="J728" s="25" t="n">
        <f aca="false">Summary!$B$4</f>
        <v>1</v>
      </c>
      <c r="K728" s="11" t="n">
        <f aca="false">I728*J728*IF(A728="SILVER",Summary!$B$5,Summary!$B$6)</f>
        <v>4854.6</v>
      </c>
      <c r="L728" s="26" t="n">
        <v>0.074</v>
      </c>
      <c r="M728" s="27" t="n">
        <f aca="false">IF(K728&gt;0,1,0)</f>
        <v>1</v>
      </c>
      <c r="N728" s="11" t="n">
        <f aca="false">SUMIFS(K$2:K728,A$2:A728,A728,B$2:B728,B728)</f>
        <v>9188451.9</v>
      </c>
      <c r="O728" s="11" t="n">
        <f aca="false">MAX(0,_xlfn.MAXIFS(N$2:N728,A$2:A728,A728,B$2:B728,B728))</f>
        <v>9282514.5</v>
      </c>
      <c r="P728" s="11" t="n">
        <f aca="false">N728-O728</f>
        <v>-94062.5999999996</v>
      </c>
    </row>
    <row r="729" customFormat="false" ht="15" hidden="false" customHeight="false" outlineLevel="0" collapsed="false">
      <c r="A729" s="8" t="s">
        <v>26</v>
      </c>
      <c r="B729" s="8" t="s">
        <v>41</v>
      </c>
      <c r="C729" s="8" t="s">
        <v>62</v>
      </c>
      <c r="D729" s="21" t="n">
        <v>46254.7222222222</v>
      </c>
      <c r="E729" s="21" t="n">
        <v>46254.7569444445</v>
      </c>
      <c r="F729" s="22" t="n">
        <f aca="false">DATE(YEAR(E729),MONTH(E729),1)</f>
        <v>46235</v>
      </c>
      <c r="G729" s="23" t="n">
        <v>242454</v>
      </c>
      <c r="H729" s="8" t="s">
        <v>64</v>
      </c>
      <c r="I729" s="24" t="n">
        <v>167.92</v>
      </c>
      <c r="J729" s="25" t="n">
        <f aca="false">Summary!$B$4</f>
        <v>1</v>
      </c>
      <c r="K729" s="11" t="n">
        <f aca="false">I729*J729*IF(A729="SILVER",Summary!$B$5,Summary!$B$6)</f>
        <v>5037.6</v>
      </c>
      <c r="L729" s="26" t="n">
        <v>0.074</v>
      </c>
      <c r="M729" s="27" t="n">
        <f aca="false">IF(K729&gt;0,1,0)</f>
        <v>1</v>
      </c>
      <c r="N729" s="11" t="n">
        <f aca="false">SUMIFS(K$2:K729,A$2:A729,A729,B$2:B729,B729)</f>
        <v>9193489.5</v>
      </c>
      <c r="O729" s="11" t="n">
        <f aca="false">MAX(0,_xlfn.MAXIFS(N$2:N729,A$2:A729,A729,B$2:B729,B729))</f>
        <v>9282514.5</v>
      </c>
      <c r="P729" s="11" t="n">
        <f aca="false">N729-O729</f>
        <v>-89025</v>
      </c>
    </row>
    <row r="730" customFormat="false" ht="15" hidden="false" customHeight="false" outlineLevel="0" collapsed="false">
      <c r="A730" s="8" t="s">
        <v>26</v>
      </c>
      <c r="B730" s="8" t="s">
        <v>41</v>
      </c>
      <c r="C730" s="8" t="s">
        <v>62</v>
      </c>
      <c r="D730" s="21" t="n">
        <v>46255.8402777778</v>
      </c>
      <c r="E730" s="21" t="n">
        <v>46258.7743055556</v>
      </c>
      <c r="F730" s="22" t="n">
        <f aca="false">DATE(YEAR(E730),MONTH(E730),1)</f>
        <v>46235</v>
      </c>
      <c r="G730" s="23" t="n">
        <v>250144</v>
      </c>
      <c r="H730" s="8" t="s">
        <v>61</v>
      </c>
      <c r="I730" s="24" t="n">
        <v>-2440.33</v>
      </c>
      <c r="J730" s="25" t="n">
        <f aca="false">Summary!$B$4</f>
        <v>1</v>
      </c>
      <c r="K730" s="11" t="n">
        <f aca="false">I730*J730*IF(A730="SILVER",Summary!$B$5,Summary!$B$6)</f>
        <v>-73209.9</v>
      </c>
      <c r="L730" s="26" t="n">
        <v>-0.82</v>
      </c>
      <c r="M730" s="27" t="n">
        <f aca="false">IF(K730&gt;0,1,0)</f>
        <v>0</v>
      </c>
      <c r="N730" s="11" t="n">
        <f aca="false">SUMIFS(K$2:K730,A$2:A730,A730,B$2:B730,B730)</f>
        <v>9120279.6</v>
      </c>
      <c r="O730" s="11" t="n">
        <f aca="false">MAX(0,_xlfn.MAXIFS(N$2:N730,A$2:A730,A730,B$2:B730,B730))</f>
        <v>9282514.5</v>
      </c>
      <c r="P730" s="11" t="n">
        <f aca="false">N730-O730</f>
        <v>-162234.9</v>
      </c>
    </row>
    <row r="731" customFormat="false" ht="15" hidden="false" customHeight="false" outlineLevel="0" collapsed="false">
      <c r="A731" s="8" t="s">
        <v>26</v>
      </c>
      <c r="B731" s="8" t="s">
        <v>41</v>
      </c>
      <c r="C731" s="8" t="s">
        <v>62</v>
      </c>
      <c r="D731" s="21" t="n">
        <v>46258.8888888889</v>
      </c>
      <c r="E731" s="21" t="n">
        <v>46259.5034722222</v>
      </c>
      <c r="F731" s="22" t="n">
        <f aca="false">DATE(YEAR(E731),MONTH(E731),1)</f>
        <v>46235</v>
      </c>
      <c r="G731" s="23" t="n">
        <v>250582</v>
      </c>
      <c r="H731" s="8" t="s">
        <v>61</v>
      </c>
      <c r="I731" s="24" t="n">
        <v>1265.95</v>
      </c>
      <c r="J731" s="25" t="n">
        <f aca="false">Summary!$B$4</f>
        <v>1</v>
      </c>
      <c r="K731" s="11" t="n">
        <f aca="false">I731*J731*IF(A731="SILVER",Summary!$B$5,Summary!$B$6)</f>
        <v>37978.5</v>
      </c>
      <c r="L731" s="26" t="n">
        <v>0.425</v>
      </c>
      <c r="M731" s="27" t="n">
        <f aca="false">IF(K731&gt;0,1,0)</f>
        <v>1</v>
      </c>
      <c r="N731" s="11" t="n">
        <f aca="false">SUMIFS(K$2:K731,A$2:A731,A731,B$2:B731,B731)</f>
        <v>9158258.1</v>
      </c>
      <c r="O731" s="11" t="n">
        <f aca="false">MAX(0,_xlfn.MAXIFS(N$2:N731,A$2:A731,A731,B$2:B731,B731))</f>
        <v>9282514.5</v>
      </c>
      <c r="P731" s="11" t="n">
        <f aca="false">N731-O731</f>
        <v>-124256.4</v>
      </c>
    </row>
    <row r="732" customFormat="false" ht="15" hidden="false" customHeight="false" outlineLevel="0" collapsed="false">
      <c r="A732" s="8" t="s">
        <v>26</v>
      </c>
      <c r="B732" s="8" t="s">
        <v>41</v>
      </c>
      <c r="C732" s="8" t="s">
        <v>62</v>
      </c>
      <c r="D732" s="21" t="n">
        <v>46259.6076388889</v>
      </c>
      <c r="E732" s="21" t="n">
        <v>46259.8784722222</v>
      </c>
      <c r="F732" s="22" t="n">
        <f aca="false">DATE(YEAR(E732),MONTH(E732),1)</f>
        <v>46235</v>
      </c>
      <c r="G732" s="23" t="n">
        <v>246513</v>
      </c>
      <c r="H732" s="8" t="s">
        <v>61</v>
      </c>
      <c r="I732" s="24" t="n">
        <v>-1952.57</v>
      </c>
      <c r="J732" s="25" t="n">
        <f aca="false">Summary!$B$4</f>
        <v>1</v>
      </c>
      <c r="K732" s="11" t="n">
        <f aca="false">I732*J732*IF(A732="SILVER",Summary!$B$5,Summary!$B$6)</f>
        <v>-58577.1</v>
      </c>
      <c r="L732" s="26" t="n">
        <v>-0.717</v>
      </c>
      <c r="M732" s="27" t="n">
        <f aca="false">IF(K732&gt;0,1,0)</f>
        <v>0</v>
      </c>
      <c r="N732" s="11" t="n">
        <f aca="false">SUMIFS(K$2:K732,A$2:A732,A732,B$2:B732,B732)</f>
        <v>9099681</v>
      </c>
      <c r="O732" s="11" t="n">
        <f aca="false">MAX(0,_xlfn.MAXIFS(N$2:N732,A$2:A732,A732,B$2:B732,B732))</f>
        <v>9282514.5</v>
      </c>
      <c r="P732" s="11" t="n">
        <f aca="false">N732-O732</f>
        <v>-182833.5</v>
      </c>
    </row>
    <row r="733" customFormat="false" ht="15" hidden="false" customHeight="false" outlineLevel="0" collapsed="false">
      <c r="A733" s="8" t="s">
        <v>26</v>
      </c>
      <c r="B733" s="8" t="s">
        <v>41</v>
      </c>
      <c r="C733" s="8" t="s">
        <v>62</v>
      </c>
      <c r="D733" s="21" t="n">
        <v>46260.5</v>
      </c>
      <c r="E733" s="21" t="n">
        <v>46260.7284722222</v>
      </c>
      <c r="F733" s="22" t="n">
        <f aca="false">DATE(YEAR(E733),MONTH(E733),1)</f>
        <v>46235</v>
      </c>
      <c r="G733" s="23" t="n">
        <v>248563</v>
      </c>
      <c r="H733" s="8" t="s">
        <v>64</v>
      </c>
      <c r="I733" s="24" t="n">
        <v>147.25</v>
      </c>
      <c r="J733" s="25" t="n">
        <f aca="false">Summary!$B$4</f>
        <v>1</v>
      </c>
      <c r="K733" s="11" t="n">
        <f aca="false">I733*J733*IF(A733="SILVER",Summary!$B$5,Summary!$B$6)</f>
        <v>4417.5</v>
      </c>
      <c r="L733" s="26" t="n">
        <v>0.068</v>
      </c>
      <c r="M733" s="27" t="n">
        <f aca="false">IF(K733&gt;0,1,0)</f>
        <v>1</v>
      </c>
      <c r="N733" s="11" t="n">
        <f aca="false">SUMIFS(K$2:K733,A$2:A733,A733,B$2:B733,B733)</f>
        <v>9104098.5</v>
      </c>
      <c r="O733" s="11" t="n">
        <f aca="false">MAX(0,_xlfn.MAXIFS(N$2:N733,A$2:A733,A733,B$2:B733,B733))</f>
        <v>9282514.5</v>
      </c>
      <c r="P733" s="11" t="n">
        <f aca="false">N733-O733</f>
        <v>-178416</v>
      </c>
    </row>
    <row r="734" customFormat="false" ht="15" hidden="false" customHeight="false" outlineLevel="0" collapsed="false">
      <c r="A734" s="8" t="s">
        <v>26</v>
      </c>
      <c r="B734" s="8" t="s">
        <v>41</v>
      </c>
      <c r="C734" s="8" t="s">
        <v>62</v>
      </c>
      <c r="D734" s="21" t="n">
        <v>46260.7777777778</v>
      </c>
      <c r="E734" s="21" t="n">
        <v>46261.375</v>
      </c>
      <c r="F734" s="22" t="n">
        <f aca="false">DATE(YEAR(E734),MONTH(E734),1)</f>
        <v>46235</v>
      </c>
      <c r="G734" s="23" t="n">
        <v>246899</v>
      </c>
      <c r="H734" s="8" t="s">
        <v>64</v>
      </c>
      <c r="I734" s="24" t="n">
        <v>-815.41</v>
      </c>
      <c r="J734" s="25" t="n">
        <f aca="false">Summary!$B$4</f>
        <v>1</v>
      </c>
      <c r="K734" s="11" t="n">
        <f aca="false">I734*J734*IF(A734="SILVER",Summary!$B$5,Summary!$B$6)</f>
        <v>-24462.3</v>
      </c>
      <c r="L734" s="26" t="n">
        <v>-0.271</v>
      </c>
      <c r="M734" s="27" t="n">
        <f aca="false">IF(K734&gt;0,1,0)</f>
        <v>0</v>
      </c>
      <c r="N734" s="11" t="n">
        <f aca="false">SUMIFS(K$2:K734,A$2:A734,A734,B$2:B734,B734)</f>
        <v>9079636.2</v>
      </c>
      <c r="O734" s="11" t="n">
        <f aca="false">MAX(0,_xlfn.MAXIFS(N$2:N734,A$2:A734,A734,B$2:B734,B734))</f>
        <v>9282514.5</v>
      </c>
      <c r="P734" s="11" t="n">
        <f aca="false">N734-O734</f>
        <v>-202878.300000001</v>
      </c>
    </row>
    <row r="735" customFormat="false" ht="15" hidden="false" customHeight="false" outlineLevel="0" collapsed="false">
      <c r="A735" s="8" t="s">
        <v>26</v>
      </c>
      <c r="B735" s="8" t="s">
        <v>41</v>
      </c>
      <c r="C735" s="8" t="s">
        <v>62</v>
      </c>
      <c r="D735" s="21" t="n">
        <v>46261.4131944445</v>
      </c>
      <c r="E735" s="21" t="n">
        <v>46261.8888888889</v>
      </c>
      <c r="F735" s="22" t="n">
        <f aca="false">DATE(YEAR(E735),MONTH(E735),1)</f>
        <v>46235</v>
      </c>
      <c r="G735" s="23" t="n">
        <v>243358</v>
      </c>
      <c r="H735" s="8" t="s">
        <v>61</v>
      </c>
      <c r="I735" s="24" t="n">
        <v>-1815.92</v>
      </c>
      <c r="J735" s="25" t="n">
        <f aca="false">Summary!$B$4</f>
        <v>1</v>
      </c>
      <c r="K735" s="11" t="n">
        <f aca="false">I735*J735*IF(A735="SILVER",Summary!$B$5,Summary!$B$6)</f>
        <v>-54477.6</v>
      </c>
      <c r="L735" s="26" t="n">
        <v>-0.467</v>
      </c>
      <c r="M735" s="27" t="n">
        <f aca="false">IF(K735&gt;0,1,0)</f>
        <v>0</v>
      </c>
      <c r="N735" s="11" t="n">
        <f aca="false">SUMIFS(K$2:K735,A$2:A735,A735,B$2:B735,B735)</f>
        <v>9025158.6</v>
      </c>
      <c r="O735" s="11" t="n">
        <f aca="false">MAX(0,_xlfn.MAXIFS(N$2:N735,A$2:A735,A735,B$2:B735,B735))</f>
        <v>9282514.5</v>
      </c>
      <c r="P735" s="11" t="n">
        <f aca="false">N735-O735</f>
        <v>-257355.9</v>
      </c>
    </row>
    <row r="736" customFormat="false" ht="15" hidden="false" customHeight="false" outlineLevel="0" collapsed="false">
      <c r="A736" s="8" t="s">
        <v>26</v>
      </c>
      <c r="B736" s="8" t="s">
        <v>41</v>
      </c>
      <c r="C736" s="8" t="s">
        <v>62</v>
      </c>
      <c r="D736" s="21" t="n">
        <v>46262.8229166667</v>
      </c>
      <c r="E736" s="21" t="n">
        <v>46266.3854166667</v>
      </c>
      <c r="F736" s="22" t="n">
        <f aca="false">DATE(YEAR(E736),MONTH(E736),1)</f>
        <v>46266</v>
      </c>
      <c r="G736" s="23" t="n">
        <v>246857</v>
      </c>
      <c r="H736" s="8" t="s">
        <v>61</v>
      </c>
      <c r="I736" s="24" t="n">
        <v>6542.21</v>
      </c>
      <c r="J736" s="25" t="n">
        <f aca="false">Summary!$B$4</f>
        <v>1</v>
      </c>
      <c r="K736" s="11" t="n">
        <f aca="false">I736*J736*IF(A736="SILVER",Summary!$B$5,Summary!$B$6)</f>
        <v>196266.3</v>
      </c>
      <c r="L736" s="26" t="n">
        <v>1.981</v>
      </c>
      <c r="M736" s="27" t="n">
        <f aca="false">IF(K736&gt;0,1,0)</f>
        <v>1</v>
      </c>
      <c r="N736" s="11" t="n">
        <f aca="false">SUMIFS(K$2:K736,A$2:A736,A736,B$2:B736,B736)</f>
        <v>9221424.9</v>
      </c>
      <c r="O736" s="11" t="n">
        <f aca="false">MAX(0,_xlfn.MAXIFS(N$2:N736,A$2:A736,A736,B$2:B736,B736))</f>
        <v>9282514.5</v>
      </c>
      <c r="P736" s="11" t="n">
        <f aca="false">N736-O736</f>
        <v>-61089.5999999996</v>
      </c>
    </row>
    <row r="737" customFormat="false" ht="15" hidden="false" customHeight="false" outlineLevel="0" collapsed="false">
      <c r="A737" s="8" t="s">
        <v>26</v>
      </c>
      <c r="B737" s="8" t="s">
        <v>41</v>
      </c>
      <c r="C737" s="8" t="s">
        <v>62</v>
      </c>
      <c r="D737" s="21" t="n">
        <v>46266.5486111111</v>
      </c>
      <c r="E737" s="21" t="n">
        <v>46267.7131944444</v>
      </c>
      <c r="F737" s="22" t="n">
        <f aca="false">DATE(YEAR(E737),MONTH(E737),1)</f>
        <v>46266</v>
      </c>
      <c r="G737" s="23" t="n">
        <v>237976</v>
      </c>
      <c r="H737" s="8" t="s">
        <v>61</v>
      </c>
      <c r="I737" s="24" t="n">
        <v>4696.82</v>
      </c>
      <c r="J737" s="25" t="n">
        <f aca="false">Summary!$B$4</f>
        <v>1</v>
      </c>
      <c r="K737" s="11" t="n">
        <f aca="false">I737*J737*IF(A737="SILVER",Summary!$B$5,Summary!$B$6)</f>
        <v>140904.6</v>
      </c>
      <c r="L737" s="26" t="n">
        <v>1.942</v>
      </c>
      <c r="M737" s="27" t="n">
        <f aca="false">IF(K737&gt;0,1,0)</f>
        <v>1</v>
      </c>
      <c r="N737" s="11" t="n">
        <f aca="false">SUMIFS(K$2:K737,A$2:A737,A737,B$2:B737,B737)</f>
        <v>9362329.5</v>
      </c>
      <c r="O737" s="11" t="n">
        <f aca="false">MAX(0,_xlfn.MAXIFS(N$2:N737,A$2:A737,A737,B$2:B737,B737))</f>
        <v>9362329.5</v>
      </c>
      <c r="P737" s="11" t="n">
        <f aca="false">N737-O737</f>
        <v>0</v>
      </c>
    </row>
    <row r="738" customFormat="false" ht="15" hidden="false" customHeight="false" outlineLevel="0" collapsed="false">
      <c r="A738" s="8" t="s">
        <v>26</v>
      </c>
      <c r="B738" s="8" t="s">
        <v>41</v>
      </c>
      <c r="C738" s="8" t="s">
        <v>62</v>
      </c>
      <c r="D738" s="21" t="n">
        <v>46269.7701388889</v>
      </c>
      <c r="E738" s="21" t="n">
        <v>46272.4583333333</v>
      </c>
      <c r="F738" s="22" t="n">
        <f aca="false">DATE(YEAR(E738),MONTH(E738),1)</f>
        <v>46266</v>
      </c>
      <c r="G738" s="23" t="n">
        <v>236132</v>
      </c>
      <c r="H738" s="8" t="s">
        <v>61</v>
      </c>
      <c r="I738" s="24" t="n">
        <v>-1751.6</v>
      </c>
      <c r="J738" s="25" t="n">
        <f aca="false">Summary!$B$4</f>
        <v>1</v>
      </c>
      <c r="K738" s="11" t="n">
        <f aca="false">I738*J738*IF(A738="SILVER",Summary!$B$5,Summary!$B$6)</f>
        <v>-52548</v>
      </c>
      <c r="L738" s="26" t="n">
        <v>-0.4</v>
      </c>
      <c r="M738" s="27" t="n">
        <f aca="false">IF(K738&gt;0,1,0)</f>
        <v>0</v>
      </c>
      <c r="N738" s="11" t="n">
        <f aca="false">SUMIFS(K$2:K738,A$2:A738,A738,B$2:B738,B738)</f>
        <v>9309781.5</v>
      </c>
      <c r="O738" s="11" t="n">
        <f aca="false">MAX(0,_xlfn.MAXIFS(N$2:N738,A$2:A738,A738,B$2:B738,B738))</f>
        <v>9362329.5</v>
      </c>
      <c r="P738" s="11" t="n">
        <f aca="false">N738-O738</f>
        <v>-52548</v>
      </c>
    </row>
    <row r="739" customFormat="false" ht="15" hidden="false" customHeight="false" outlineLevel="0" collapsed="false">
      <c r="A739" s="8" t="s">
        <v>26</v>
      </c>
      <c r="B739" s="8" t="s">
        <v>41</v>
      </c>
      <c r="C739" s="8" t="s">
        <v>62</v>
      </c>
      <c r="D739" s="21" t="n">
        <v>46273.4826388889</v>
      </c>
      <c r="E739" s="21" t="n">
        <v>46273.5111111111</v>
      </c>
      <c r="F739" s="22" t="n">
        <f aca="false">DATE(YEAR(E739),MONTH(E739),1)</f>
        <v>46266</v>
      </c>
      <c r="G739" s="23" t="n">
        <v>239750</v>
      </c>
      <c r="H739" s="8" t="s">
        <v>64</v>
      </c>
      <c r="I739" s="24" t="n">
        <v>144.86</v>
      </c>
      <c r="J739" s="25" t="n">
        <f aca="false">Summary!$B$4</f>
        <v>1</v>
      </c>
      <c r="K739" s="11" t="n">
        <f aca="false">I739*J739*IF(A739="SILVER",Summary!$B$5,Summary!$B$6)</f>
        <v>4345.8</v>
      </c>
      <c r="L739" s="26" t="n">
        <v>0.071</v>
      </c>
      <c r="M739" s="27" t="n">
        <f aca="false">IF(K739&gt;0,1,0)</f>
        <v>1</v>
      </c>
      <c r="N739" s="11" t="n">
        <f aca="false">SUMIFS(K$2:K739,A$2:A739,A739,B$2:B739,B739)</f>
        <v>9314127.3</v>
      </c>
      <c r="O739" s="11" t="n">
        <f aca="false">MAX(0,_xlfn.MAXIFS(N$2:N739,A$2:A739,A739,B$2:B739,B739))</f>
        <v>9362329.5</v>
      </c>
      <c r="P739" s="11" t="n">
        <f aca="false">N739-O739</f>
        <v>-48202.1999999993</v>
      </c>
    </row>
    <row r="740" customFormat="false" ht="15" hidden="false" customHeight="false" outlineLevel="0" collapsed="false">
      <c r="A740" s="8" t="s">
        <v>26</v>
      </c>
      <c r="B740" s="8" t="s">
        <v>41</v>
      </c>
      <c r="C740" s="8" t="s">
        <v>62</v>
      </c>
      <c r="D740" s="21" t="n">
        <v>46274.6423611111</v>
      </c>
      <c r="E740" s="21" t="n">
        <v>46274.78125</v>
      </c>
      <c r="F740" s="22" t="n">
        <f aca="false">DATE(YEAR(E740),MONTH(E740),1)</f>
        <v>46266</v>
      </c>
      <c r="G740" s="23" t="n">
        <v>239669</v>
      </c>
      <c r="H740" s="8" t="s">
        <v>61</v>
      </c>
      <c r="I740" s="24" t="n">
        <v>-1439.06</v>
      </c>
      <c r="J740" s="25" t="n">
        <f aca="false">Summary!$B$4</f>
        <v>1</v>
      </c>
      <c r="K740" s="11" t="n">
        <f aca="false">I740*J740*IF(A740="SILVER",Summary!$B$5,Summary!$B$6)</f>
        <v>-43171.8</v>
      </c>
      <c r="L740" s="26" t="n">
        <v>-0.933</v>
      </c>
      <c r="M740" s="27" t="n">
        <f aca="false">IF(K740&gt;0,1,0)</f>
        <v>0</v>
      </c>
      <c r="N740" s="11" t="n">
        <f aca="false">SUMIFS(K$2:K740,A$2:A740,A740,B$2:B740,B740)</f>
        <v>9270955.5</v>
      </c>
      <c r="O740" s="11" t="n">
        <f aca="false">MAX(0,_xlfn.MAXIFS(N$2:N740,A$2:A740,A740,B$2:B740,B740))</f>
        <v>9362329.5</v>
      </c>
      <c r="P740" s="11" t="n">
        <f aca="false">N740-O740</f>
        <v>-91374</v>
      </c>
    </row>
    <row r="741" customFormat="false" ht="15" hidden="false" customHeight="false" outlineLevel="0" collapsed="false">
      <c r="A741" s="8" t="s">
        <v>26</v>
      </c>
      <c r="B741" s="8" t="s">
        <v>41</v>
      </c>
      <c r="C741" s="8" t="s">
        <v>62</v>
      </c>
      <c r="D741" s="21" t="n">
        <v>46275.59375</v>
      </c>
      <c r="E741" s="21" t="n">
        <v>46276.4722222222</v>
      </c>
      <c r="F741" s="22" t="n">
        <f aca="false">DATE(YEAR(E741),MONTH(E741),1)</f>
        <v>46266</v>
      </c>
      <c r="G741" s="23" t="n">
        <v>241878</v>
      </c>
      <c r="H741" s="8" t="s">
        <v>61</v>
      </c>
      <c r="I741" s="24" t="n">
        <v>8254.46</v>
      </c>
      <c r="J741" s="25" t="n">
        <f aca="false">Summary!$B$4</f>
        <v>1</v>
      </c>
      <c r="K741" s="11" t="n">
        <f aca="false">I741*J741*IF(A741="SILVER",Summary!$B$5,Summary!$B$6)</f>
        <v>247633.8</v>
      </c>
      <c r="L741" s="26" t="n">
        <v>4.305</v>
      </c>
      <c r="M741" s="27" t="n">
        <f aca="false">IF(K741&gt;0,1,0)</f>
        <v>1</v>
      </c>
      <c r="N741" s="11" t="n">
        <f aca="false">SUMIFS(K$2:K741,A$2:A741,A741,B$2:B741,B741)</f>
        <v>9518589.3</v>
      </c>
      <c r="O741" s="11" t="n">
        <f aca="false">MAX(0,_xlfn.MAXIFS(N$2:N741,A$2:A741,A741,B$2:B741,B741))</f>
        <v>9518589.3</v>
      </c>
      <c r="P741" s="11" t="n">
        <f aca="false">N741-O741</f>
        <v>0</v>
      </c>
    </row>
    <row r="742" customFormat="false" ht="15" hidden="false" customHeight="false" outlineLevel="0" collapsed="false">
      <c r="A742" s="8" t="s">
        <v>26</v>
      </c>
      <c r="B742" s="8" t="s">
        <v>41</v>
      </c>
      <c r="C742" s="8" t="s">
        <v>62</v>
      </c>
      <c r="D742" s="21" t="n">
        <v>46279.7118055556</v>
      </c>
      <c r="E742" s="21" t="n">
        <v>46279.9340277778</v>
      </c>
      <c r="F742" s="22" t="n">
        <f aca="false">DATE(YEAR(E742),MONTH(E742),1)</f>
        <v>46266</v>
      </c>
      <c r="G742" s="23" t="n">
        <v>231000</v>
      </c>
      <c r="H742" s="8" t="s">
        <v>61</v>
      </c>
      <c r="I742" s="24" t="n">
        <v>-2306.43</v>
      </c>
      <c r="J742" s="25" t="n">
        <f aca="false">Summary!$B$4</f>
        <v>1</v>
      </c>
      <c r="K742" s="11" t="n">
        <f aca="false">I742*J742*IF(A742="SILVER",Summary!$B$5,Summary!$B$6)</f>
        <v>-69192.9</v>
      </c>
      <c r="L742" s="26" t="n">
        <v>-0.697</v>
      </c>
      <c r="M742" s="27" t="n">
        <f aca="false">IF(K742&gt;0,1,0)</f>
        <v>0</v>
      </c>
      <c r="N742" s="11" t="n">
        <f aca="false">SUMIFS(K$2:K742,A$2:A742,A742,B$2:B742,B742)</f>
        <v>9449396.4</v>
      </c>
      <c r="O742" s="11" t="n">
        <f aca="false">MAX(0,_xlfn.MAXIFS(N$2:N742,A$2:A742,A742,B$2:B742,B742))</f>
        <v>9518589.3</v>
      </c>
      <c r="P742" s="11" t="n">
        <f aca="false">N742-O742</f>
        <v>-69192.9000000004</v>
      </c>
    </row>
    <row r="743" customFormat="false" ht="15" hidden="false" customHeight="false" outlineLevel="0" collapsed="false">
      <c r="A743" s="8" t="s">
        <v>26</v>
      </c>
      <c r="B743" s="8" t="s">
        <v>41</v>
      </c>
      <c r="C743" s="8" t="s">
        <v>62</v>
      </c>
      <c r="D743" s="21" t="n">
        <v>46280.5486111111</v>
      </c>
      <c r="E743" s="21" t="n">
        <v>46280.6326388889</v>
      </c>
      <c r="F743" s="22" t="n">
        <f aca="false">DATE(YEAR(E743),MONTH(E743),1)</f>
        <v>46266</v>
      </c>
      <c r="G743" s="23" t="n">
        <v>230849</v>
      </c>
      <c r="H743" s="8" t="s">
        <v>64</v>
      </c>
      <c r="I743" s="24" t="n">
        <v>98.09</v>
      </c>
      <c r="J743" s="25" t="n">
        <f aca="false">Summary!$B$4</f>
        <v>1</v>
      </c>
      <c r="K743" s="11" t="n">
        <f aca="false">I743*J743*IF(A743="SILVER",Summary!$B$5,Summary!$B$6)</f>
        <v>2942.7</v>
      </c>
      <c r="L743" s="26" t="n">
        <v>0.064</v>
      </c>
      <c r="M743" s="27" t="n">
        <f aca="false">IF(K743&gt;0,1,0)</f>
        <v>1</v>
      </c>
      <c r="N743" s="11" t="n">
        <f aca="false">SUMIFS(K$2:K743,A$2:A743,A743,B$2:B743,B743)</f>
        <v>9452339.1</v>
      </c>
      <c r="O743" s="11" t="n">
        <f aca="false">MAX(0,_xlfn.MAXIFS(N$2:N743,A$2:A743,A743,B$2:B743,B743))</f>
        <v>9518589.3</v>
      </c>
      <c r="P743" s="11" t="n">
        <f aca="false">N743-O743</f>
        <v>-66250.2000000011</v>
      </c>
    </row>
    <row r="744" customFormat="false" ht="15" hidden="false" customHeight="false" outlineLevel="0" collapsed="false">
      <c r="A744" s="8" t="s">
        <v>26</v>
      </c>
      <c r="B744" s="8" t="s">
        <v>41</v>
      </c>
      <c r="C744" s="8" t="s">
        <v>62</v>
      </c>
      <c r="D744" s="21" t="n">
        <v>46281.8125</v>
      </c>
      <c r="E744" s="21" t="n">
        <v>46281.8229166667</v>
      </c>
      <c r="F744" s="22" t="n">
        <f aca="false">DATE(YEAR(E744),MONTH(E744),1)</f>
        <v>46266</v>
      </c>
      <c r="G744" s="23" t="n">
        <v>234620</v>
      </c>
      <c r="H744" s="8" t="s">
        <v>64</v>
      </c>
      <c r="I744" s="24" t="n">
        <v>109.47</v>
      </c>
      <c r="J744" s="25" t="n">
        <f aca="false">Summary!$B$4</f>
        <v>1</v>
      </c>
      <c r="K744" s="11" t="n">
        <f aca="false">I744*J744*IF(A744="SILVER",Summary!$B$5,Summary!$B$6)</f>
        <v>3284.1</v>
      </c>
      <c r="L744" s="26" t="n">
        <v>0.066</v>
      </c>
      <c r="M744" s="27" t="n">
        <f aca="false">IF(K744&gt;0,1,0)</f>
        <v>1</v>
      </c>
      <c r="N744" s="11" t="n">
        <f aca="false">SUMIFS(K$2:K744,A$2:A744,A744,B$2:B744,B744)</f>
        <v>9455623.2</v>
      </c>
      <c r="O744" s="11" t="n">
        <f aca="false">MAX(0,_xlfn.MAXIFS(N$2:N744,A$2:A744,A744,B$2:B744,B744))</f>
        <v>9518589.3</v>
      </c>
      <c r="P744" s="11" t="n">
        <f aca="false">N744-O744</f>
        <v>-62966.1000000015</v>
      </c>
    </row>
    <row r="745" customFormat="false" ht="15" hidden="false" customHeight="false" outlineLevel="0" collapsed="false">
      <c r="A745" s="8" t="s">
        <v>26</v>
      </c>
      <c r="B745" s="8" t="s">
        <v>41</v>
      </c>
      <c r="C745" s="8" t="s">
        <v>62</v>
      </c>
      <c r="D745" s="21" t="n">
        <v>46283.7395833333</v>
      </c>
      <c r="E745" s="21" t="n">
        <v>46283.9111111111</v>
      </c>
      <c r="F745" s="22" t="n">
        <f aca="false">DATE(YEAR(E745),MONTH(E745),1)</f>
        <v>46266</v>
      </c>
      <c r="G745" s="23" t="n">
        <v>240963</v>
      </c>
      <c r="H745" s="8" t="s">
        <v>64</v>
      </c>
      <c r="I745" s="24" t="n">
        <v>191.11</v>
      </c>
      <c r="J745" s="25" t="n">
        <f aca="false">Summary!$B$4</f>
        <v>1</v>
      </c>
      <c r="K745" s="11" t="n">
        <f aca="false">I745*J745*IF(A745="SILVER",Summary!$B$5,Summary!$B$6)</f>
        <v>5733.3</v>
      </c>
      <c r="L745" s="26" t="n">
        <v>0.077</v>
      </c>
      <c r="M745" s="27" t="n">
        <f aca="false">IF(K745&gt;0,1,0)</f>
        <v>1</v>
      </c>
      <c r="N745" s="11" t="n">
        <f aca="false">SUMIFS(K$2:K745,A$2:A745,A745,B$2:B745,B745)</f>
        <v>9461356.5</v>
      </c>
      <c r="O745" s="11" t="n">
        <f aca="false">MAX(0,_xlfn.MAXIFS(N$2:N745,A$2:A745,A745,B$2:B745,B745))</f>
        <v>9518589.3</v>
      </c>
      <c r="P745" s="11" t="n">
        <f aca="false">N745-O745</f>
        <v>-57232.8000000007</v>
      </c>
    </row>
    <row r="746" customFormat="false" ht="15" hidden="false" customHeight="false" outlineLevel="0" collapsed="false">
      <c r="A746" s="8" t="s">
        <v>26</v>
      </c>
      <c r="B746" s="8" t="s">
        <v>41</v>
      </c>
      <c r="C746" s="8" t="s">
        <v>62</v>
      </c>
      <c r="D746" s="21" t="n">
        <v>46286.8402777778</v>
      </c>
      <c r="E746" s="21" t="n">
        <v>46287.6423611111</v>
      </c>
      <c r="F746" s="22" t="n">
        <f aca="false">DATE(YEAR(E746),MONTH(E746),1)</f>
        <v>46266</v>
      </c>
      <c r="G746" s="23" t="n">
        <v>239772</v>
      </c>
      <c r="H746" s="8" t="s">
        <v>61</v>
      </c>
      <c r="I746" s="24" t="n">
        <v>1427.19</v>
      </c>
      <c r="J746" s="25" t="n">
        <f aca="false">Summary!$B$4</f>
        <v>1</v>
      </c>
      <c r="K746" s="11" t="n">
        <f aca="false">I746*J746*IF(A746="SILVER",Summary!$B$5,Summary!$B$6)</f>
        <v>42815.7</v>
      </c>
      <c r="L746" s="26" t="n">
        <v>0.576</v>
      </c>
      <c r="M746" s="27" t="n">
        <f aca="false">IF(K746&gt;0,1,0)</f>
        <v>1</v>
      </c>
      <c r="N746" s="11" t="n">
        <f aca="false">SUMIFS(K$2:K746,A$2:A746,A746,B$2:B746,B746)</f>
        <v>9504172.2</v>
      </c>
      <c r="O746" s="11" t="n">
        <f aca="false">MAX(0,_xlfn.MAXIFS(N$2:N746,A$2:A746,A746,B$2:B746,B746))</f>
        <v>9518589.3</v>
      </c>
      <c r="P746" s="11" t="n">
        <f aca="false">N746-O746</f>
        <v>-14417.1000000015</v>
      </c>
    </row>
    <row r="747" customFormat="false" ht="15" hidden="false" customHeight="false" outlineLevel="0" collapsed="false">
      <c r="A747" s="8" t="s">
        <v>26</v>
      </c>
      <c r="B747" s="8" t="s">
        <v>41</v>
      </c>
      <c r="C747" s="8" t="s">
        <v>62</v>
      </c>
      <c r="D747" s="21" t="n">
        <v>46288.46875</v>
      </c>
      <c r="E747" s="21" t="n">
        <v>46288.9784722222</v>
      </c>
      <c r="F747" s="22" t="n">
        <f aca="false">DATE(YEAR(E747),MONTH(E747),1)</f>
        <v>46266</v>
      </c>
      <c r="G747" s="23" t="n">
        <v>239900</v>
      </c>
      <c r="H747" s="8" t="s">
        <v>63</v>
      </c>
      <c r="I747" s="24" t="n">
        <v>3757.4</v>
      </c>
      <c r="J747" s="25" t="n">
        <f aca="false">Summary!$B$4</f>
        <v>1</v>
      </c>
      <c r="K747" s="11" t="n">
        <f aca="false">I747*J747*IF(A747="SILVER",Summary!$B$5,Summary!$B$6)</f>
        <v>112722</v>
      </c>
      <c r="L747" s="26" t="n">
        <v>2.298</v>
      </c>
      <c r="M747" s="27" t="n">
        <f aca="false">IF(K747&gt;0,1,0)</f>
        <v>1</v>
      </c>
      <c r="N747" s="11" t="n">
        <f aca="false">SUMIFS(K$2:K747,A$2:A747,A747,B$2:B747,B747)</f>
        <v>9616894.2</v>
      </c>
      <c r="O747" s="11" t="n">
        <f aca="false">MAX(0,_xlfn.MAXIFS(N$2:N747,A$2:A747,A747,B$2:B747,B747))</f>
        <v>9616894.2</v>
      </c>
      <c r="P747" s="11" t="n">
        <f aca="false">N747-O747</f>
        <v>0</v>
      </c>
    </row>
    <row r="748" customFormat="false" ht="15" hidden="false" customHeight="false" outlineLevel="0" collapsed="false">
      <c r="A748" s="8" t="s">
        <v>26</v>
      </c>
      <c r="B748" s="8" t="s">
        <v>43</v>
      </c>
      <c r="C748" s="8" t="s">
        <v>62</v>
      </c>
      <c r="D748" s="21" t="n">
        <v>45700.3784722222</v>
      </c>
      <c r="E748" s="21" t="n">
        <v>45700.5659722222</v>
      </c>
      <c r="F748" s="22" t="n">
        <f aca="false">DATE(YEAR(E748),MONTH(E748),1)</f>
        <v>45689</v>
      </c>
      <c r="G748" s="23" t="n">
        <v>133073</v>
      </c>
      <c r="H748" s="8" t="s">
        <v>61</v>
      </c>
      <c r="I748" s="24" t="n">
        <v>-571.86</v>
      </c>
      <c r="J748" s="25" t="n">
        <f aca="false">Summary!$B$4</f>
        <v>1</v>
      </c>
      <c r="K748" s="11" t="n">
        <f aca="false">I748*J748*IF(A748="SILVER",Summary!$B$5,Summary!$B$6)</f>
        <v>-17155.8</v>
      </c>
      <c r="L748" s="26" t="n">
        <v>-0.755</v>
      </c>
      <c r="M748" s="27" t="n">
        <f aca="false">IF(K748&gt;0,1,0)</f>
        <v>0</v>
      </c>
      <c r="N748" s="11" t="n">
        <f aca="false">SUMIFS(K$2:K748,A$2:A748,A748,B$2:B748,B748)</f>
        <v>-17155.8</v>
      </c>
      <c r="O748" s="11" t="n">
        <f aca="false">MAX(0,_xlfn.MAXIFS(N$2:N748,A$2:A748,A748,B$2:B748,B748))</f>
        <v>0</v>
      </c>
      <c r="P748" s="11" t="n">
        <f aca="false">N748-O748</f>
        <v>-17155.8</v>
      </c>
    </row>
    <row r="749" customFormat="false" ht="15" hidden="false" customHeight="false" outlineLevel="0" collapsed="false">
      <c r="A749" s="8" t="s">
        <v>26</v>
      </c>
      <c r="B749" s="8" t="s">
        <v>43</v>
      </c>
      <c r="C749" s="8" t="s">
        <v>62</v>
      </c>
      <c r="D749" s="21" t="n">
        <v>45700.6458333333</v>
      </c>
      <c r="E749" s="21" t="n">
        <v>45700.7875</v>
      </c>
      <c r="F749" s="22" t="n">
        <f aca="false">DATE(YEAR(E749),MONTH(E749),1)</f>
        <v>45689</v>
      </c>
      <c r="G749" s="23" t="n">
        <v>133132</v>
      </c>
      <c r="H749" s="8" t="s">
        <v>64</v>
      </c>
      <c r="I749" s="24" t="n">
        <v>42.27</v>
      </c>
      <c r="J749" s="25" t="n">
        <f aca="false">Summary!$B$4</f>
        <v>1</v>
      </c>
      <c r="K749" s="11" t="n">
        <f aca="false">I749*J749*IF(A749="SILVER",Summary!$B$5,Summary!$B$6)</f>
        <v>1268.1</v>
      </c>
      <c r="L749" s="26" t="n">
        <v>0.089</v>
      </c>
      <c r="M749" s="27" t="n">
        <f aca="false">IF(K749&gt;0,1,0)</f>
        <v>1</v>
      </c>
      <c r="N749" s="11" t="n">
        <f aca="false">SUMIFS(K$2:K749,A$2:A749,A749,B$2:B749,B749)</f>
        <v>-15887.7</v>
      </c>
      <c r="O749" s="11" t="n">
        <f aca="false">MAX(0,_xlfn.MAXIFS(N$2:N749,A$2:A749,A749,B$2:B749,B749))</f>
        <v>0</v>
      </c>
      <c r="P749" s="11" t="n">
        <f aca="false">N749-O749</f>
        <v>-15887.7</v>
      </c>
    </row>
    <row r="750" customFormat="false" ht="15" hidden="false" customHeight="false" outlineLevel="0" collapsed="false">
      <c r="A750" s="8" t="s">
        <v>26</v>
      </c>
      <c r="B750" s="8" t="s">
        <v>43</v>
      </c>
      <c r="C750" s="8" t="s">
        <v>62</v>
      </c>
      <c r="D750" s="21" t="n">
        <v>45700.7951388889</v>
      </c>
      <c r="E750" s="21" t="n">
        <v>45700.8090277778</v>
      </c>
      <c r="F750" s="22" t="n">
        <f aca="false">DATE(YEAR(E750),MONTH(E750),1)</f>
        <v>45689</v>
      </c>
      <c r="G750" s="23" t="n">
        <v>132829</v>
      </c>
      <c r="H750" s="8" t="s">
        <v>61</v>
      </c>
      <c r="I750" s="24" t="n">
        <v>-696.83</v>
      </c>
      <c r="J750" s="25" t="n">
        <f aca="false">Summary!$B$4</f>
        <v>1</v>
      </c>
      <c r="K750" s="11" t="n">
        <f aca="false">I750*J750*IF(A750="SILVER",Summary!$B$5,Summary!$B$6)</f>
        <v>-20904.9</v>
      </c>
      <c r="L750" s="26" t="n">
        <v>-1.022</v>
      </c>
      <c r="M750" s="27" t="n">
        <f aca="false">IF(K750&gt;0,1,0)</f>
        <v>0</v>
      </c>
      <c r="N750" s="11" t="n">
        <f aca="false">SUMIFS(K$2:K750,A$2:A750,A750,B$2:B750,B750)</f>
        <v>-36792.6</v>
      </c>
      <c r="O750" s="11" t="n">
        <f aca="false">MAX(0,_xlfn.MAXIFS(N$2:N750,A$2:A750,A750,B$2:B750,B750))</f>
        <v>0</v>
      </c>
      <c r="P750" s="11" t="n">
        <f aca="false">N750-O750</f>
        <v>-36792.6</v>
      </c>
    </row>
    <row r="751" customFormat="false" ht="15" hidden="false" customHeight="false" outlineLevel="0" collapsed="false">
      <c r="A751" s="8" t="s">
        <v>26</v>
      </c>
      <c r="B751" s="8" t="s">
        <v>43</v>
      </c>
      <c r="C751" s="8" t="s">
        <v>62</v>
      </c>
      <c r="D751" s="21" t="n">
        <v>45701.8055555556</v>
      </c>
      <c r="E751" s="21" t="n">
        <v>45701.8381944444</v>
      </c>
      <c r="F751" s="22" t="n">
        <f aca="false">DATE(YEAR(E751),MONTH(E751),1)</f>
        <v>45689</v>
      </c>
      <c r="G751" s="23" t="n">
        <v>134222</v>
      </c>
      <c r="H751" s="8" t="s">
        <v>64</v>
      </c>
      <c r="I751" s="24" t="n">
        <v>84.17</v>
      </c>
      <c r="J751" s="25" t="n">
        <f aca="false">Summary!$B$4</f>
        <v>1</v>
      </c>
      <c r="K751" s="11" t="n">
        <f aca="false">I751*J751*IF(A751="SILVER",Summary!$B$5,Summary!$B$6)</f>
        <v>2525.1</v>
      </c>
      <c r="L751" s="26" t="n">
        <v>0.112</v>
      </c>
      <c r="M751" s="27" t="n">
        <f aca="false">IF(K751&gt;0,1,0)</f>
        <v>1</v>
      </c>
      <c r="N751" s="11" t="n">
        <f aca="false">SUMIFS(K$2:K751,A$2:A751,A751,B$2:B751,B751)</f>
        <v>-34267.5</v>
      </c>
      <c r="O751" s="11" t="n">
        <f aca="false">MAX(0,_xlfn.MAXIFS(N$2:N751,A$2:A751,A751,B$2:B751,B751))</f>
        <v>0</v>
      </c>
      <c r="P751" s="11" t="n">
        <f aca="false">N751-O751</f>
        <v>-34267.5</v>
      </c>
    </row>
    <row r="752" customFormat="false" ht="15" hidden="false" customHeight="false" outlineLevel="0" collapsed="false">
      <c r="A752" s="8" t="s">
        <v>26</v>
      </c>
      <c r="B752" s="8" t="s">
        <v>43</v>
      </c>
      <c r="C752" s="8" t="s">
        <v>62</v>
      </c>
      <c r="D752" s="21" t="n">
        <v>45702.9305555556</v>
      </c>
      <c r="E752" s="21" t="n">
        <v>45705.5972222222</v>
      </c>
      <c r="F752" s="22" t="n">
        <f aca="false">DATE(YEAR(E752),MONTH(E752),1)</f>
        <v>45689</v>
      </c>
      <c r="G752" s="23" t="n">
        <v>134283</v>
      </c>
      <c r="H752" s="8" t="s">
        <v>61</v>
      </c>
      <c r="I752" s="24" t="n">
        <v>-433.1</v>
      </c>
      <c r="J752" s="25" t="n">
        <f aca="false">Summary!$B$4</f>
        <v>1</v>
      </c>
      <c r="K752" s="11" t="n">
        <f aca="false">I752*J752*IF(A752="SILVER",Summary!$B$5,Summary!$B$6)</f>
        <v>-12993</v>
      </c>
      <c r="L752" s="26" t="n">
        <v>-0.247</v>
      </c>
      <c r="M752" s="27" t="n">
        <f aca="false">IF(K752&gt;0,1,0)</f>
        <v>0</v>
      </c>
      <c r="N752" s="11" t="n">
        <f aca="false">SUMIFS(K$2:K752,A$2:A752,A752,B$2:B752,B752)</f>
        <v>-47260.5</v>
      </c>
      <c r="O752" s="11" t="n">
        <f aca="false">MAX(0,_xlfn.MAXIFS(N$2:N752,A$2:A752,A752,B$2:B752,B752))</f>
        <v>0</v>
      </c>
      <c r="P752" s="11" t="n">
        <f aca="false">N752-O752</f>
        <v>-47260.5</v>
      </c>
    </row>
    <row r="753" customFormat="false" ht="15" hidden="false" customHeight="false" outlineLevel="0" collapsed="false">
      <c r="A753" s="8" t="s">
        <v>26</v>
      </c>
      <c r="B753" s="8" t="s">
        <v>43</v>
      </c>
      <c r="C753" s="8" t="s">
        <v>62</v>
      </c>
      <c r="D753" s="21" t="n">
        <v>45705.8125</v>
      </c>
      <c r="E753" s="21" t="n">
        <v>45706.3784722222</v>
      </c>
      <c r="F753" s="22" t="n">
        <f aca="false">DATE(YEAR(E753),MONTH(E753),1)</f>
        <v>45689</v>
      </c>
      <c r="G753" s="23" t="n">
        <v>134472</v>
      </c>
      <c r="H753" s="8" t="s">
        <v>61</v>
      </c>
      <c r="I753" s="24" t="n">
        <v>-489.13</v>
      </c>
      <c r="J753" s="25" t="n">
        <f aca="false">Summary!$B$4</f>
        <v>1</v>
      </c>
      <c r="K753" s="11" t="n">
        <f aca="false">I753*J753*IF(A753="SILVER",Summary!$B$5,Summary!$B$6)</f>
        <v>-14673.9</v>
      </c>
      <c r="L753" s="26" t="n">
        <v>-0.905</v>
      </c>
      <c r="M753" s="27" t="n">
        <f aca="false">IF(K753&gt;0,1,0)</f>
        <v>0</v>
      </c>
      <c r="N753" s="11" t="n">
        <f aca="false">SUMIFS(K$2:K753,A$2:A753,A753,B$2:B753,B753)</f>
        <v>-61934.4</v>
      </c>
      <c r="O753" s="11" t="n">
        <f aca="false">MAX(0,_xlfn.MAXIFS(N$2:N753,A$2:A753,A753,B$2:B753,B753))</f>
        <v>0</v>
      </c>
      <c r="P753" s="11" t="n">
        <f aca="false">N753-O753</f>
        <v>-61934.4</v>
      </c>
    </row>
    <row r="754" customFormat="false" ht="15" hidden="false" customHeight="false" outlineLevel="0" collapsed="false">
      <c r="A754" s="8" t="s">
        <v>26</v>
      </c>
      <c r="B754" s="8" t="s">
        <v>43</v>
      </c>
      <c r="C754" s="8" t="s">
        <v>62</v>
      </c>
      <c r="D754" s="21" t="n">
        <v>45707.7291666667</v>
      </c>
      <c r="E754" s="21" t="n">
        <v>45707.7305555556</v>
      </c>
      <c r="F754" s="22" t="n">
        <f aca="false">DATE(YEAR(E754),MONTH(E754),1)</f>
        <v>45689</v>
      </c>
      <c r="G754" s="23" t="n">
        <v>136117</v>
      </c>
      <c r="H754" s="8" t="s">
        <v>64</v>
      </c>
      <c r="I754" s="24" t="n">
        <v>-4.42</v>
      </c>
      <c r="J754" s="25" t="n">
        <f aca="false">Summary!$B$4</f>
        <v>1</v>
      </c>
      <c r="K754" s="11" t="n">
        <f aca="false">I754*J754*IF(A754="SILVER",Summary!$B$5,Summary!$B$6)</f>
        <v>-132.6</v>
      </c>
      <c r="L754" s="26" t="n">
        <v>-0.009</v>
      </c>
      <c r="M754" s="27" t="n">
        <f aca="false">IF(K754&gt;0,1,0)</f>
        <v>0</v>
      </c>
      <c r="N754" s="11" t="n">
        <f aca="false">SUMIFS(K$2:K754,A$2:A754,A754,B$2:B754,B754)</f>
        <v>-62067</v>
      </c>
      <c r="O754" s="11" t="n">
        <f aca="false">MAX(0,_xlfn.MAXIFS(N$2:N754,A$2:A754,A754,B$2:B754,B754))</f>
        <v>0</v>
      </c>
      <c r="P754" s="11" t="n">
        <f aca="false">N754-O754</f>
        <v>-62067</v>
      </c>
    </row>
    <row r="755" customFormat="false" ht="15" hidden="false" customHeight="false" outlineLevel="0" collapsed="false">
      <c r="A755" s="8" t="s">
        <v>26</v>
      </c>
      <c r="B755" s="8" t="s">
        <v>43</v>
      </c>
      <c r="C755" s="8" t="s">
        <v>62</v>
      </c>
      <c r="D755" s="21" t="n">
        <v>45707.8368055556</v>
      </c>
      <c r="E755" s="21" t="n">
        <v>45707.9006944444</v>
      </c>
      <c r="F755" s="22" t="n">
        <f aca="false">DATE(YEAR(E755),MONTH(E755),1)</f>
        <v>45689</v>
      </c>
      <c r="G755" s="23" t="n">
        <v>135461</v>
      </c>
      <c r="H755" s="8" t="s">
        <v>64</v>
      </c>
      <c r="I755" s="24" t="n">
        <v>110.4</v>
      </c>
      <c r="J755" s="25" t="n">
        <f aca="false">Summary!$B$4</f>
        <v>1</v>
      </c>
      <c r="K755" s="11" t="n">
        <f aca="false">I755*J755*IF(A755="SILVER",Summary!$B$5,Summary!$B$6)</f>
        <v>3312</v>
      </c>
      <c r="L755" s="26" t="n">
        <v>0.119</v>
      </c>
      <c r="M755" s="27" t="n">
        <f aca="false">IF(K755&gt;0,1,0)</f>
        <v>1</v>
      </c>
      <c r="N755" s="11" t="n">
        <f aca="false">SUMIFS(K$2:K755,A$2:A755,A755,B$2:B755,B755)</f>
        <v>-58755</v>
      </c>
      <c r="O755" s="11" t="n">
        <f aca="false">MAX(0,_xlfn.MAXIFS(N$2:N755,A$2:A755,A755,B$2:B755,B755))</f>
        <v>0</v>
      </c>
      <c r="P755" s="11" t="n">
        <f aca="false">N755-O755</f>
        <v>-58755</v>
      </c>
    </row>
    <row r="756" customFormat="false" ht="15" hidden="false" customHeight="false" outlineLevel="0" collapsed="false">
      <c r="A756" s="8" t="s">
        <v>26</v>
      </c>
      <c r="B756" s="8" t="s">
        <v>43</v>
      </c>
      <c r="C756" s="8" t="s">
        <v>62</v>
      </c>
      <c r="D756" s="21" t="n">
        <v>45708.7465277778</v>
      </c>
      <c r="E756" s="21" t="n">
        <v>45708.8368055556</v>
      </c>
      <c r="F756" s="22" t="n">
        <f aca="false">DATE(YEAR(E756),MONTH(E756),1)</f>
        <v>45689</v>
      </c>
      <c r="G756" s="23" t="n">
        <v>136286</v>
      </c>
      <c r="H756" s="8" t="s">
        <v>64</v>
      </c>
      <c r="I756" s="24" t="n">
        <v>57.84</v>
      </c>
      <c r="J756" s="25" t="n">
        <f aca="false">Summary!$B$4</f>
        <v>1</v>
      </c>
      <c r="K756" s="11" t="n">
        <f aca="false">I756*J756*IF(A756="SILVER",Summary!$B$5,Summary!$B$6)</f>
        <v>1735.2</v>
      </c>
      <c r="L756" s="26" t="n">
        <v>0.099</v>
      </c>
      <c r="M756" s="27" t="n">
        <f aca="false">IF(K756&gt;0,1,0)</f>
        <v>1</v>
      </c>
      <c r="N756" s="11" t="n">
        <f aca="false">SUMIFS(K$2:K756,A$2:A756,A756,B$2:B756,B756)</f>
        <v>-57019.8</v>
      </c>
      <c r="O756" s="11" t="n">
        <f aca="false">MAX(0,_xlfn.MAXIFS(N$2:N756,A$2:A756,A756,B$2:B756,B756))</f>
        <v>0</v>
      </c>
      <c r="P756" s="11" t="n">
        <f aca="false">N756-O756</f>
        <v>-57019.8</v>
      </c>
    </row>
    <row r="757" customFormat="false" ht="15" hidden="false" customHeight="false" outlineLevel="0" collapsed="false">
      <c r="A757" s="8" t="s">
        <v>26</v>
      </c>
      <c r="B757" s="8" t="s">
        <v>43</v>
      </c>
      <c r="C757" s="8" t="s">
        <v>62</v>
      </c>
      <c r="D757" s="21" t="n">
        <v>45709.4305555556</v>
      </c>
      <c r="E757" s="21" t="n">
        <v>45709.5381944445</v>
      </c>
      <c r="F757" s="22" t="n">
        <f aca="false">DATE(YEAR(E757),MONTH(E757),1)</f>
        <v>45689</v>
      </c>
      <c r="G757" s="23" t="n">
        <v>135571</v>
      </c>
      <c r="H757" s="8" t="s">
        <v>61</v>
      </c>
      <c r="I757" s="24" t="n">
        <v>-570.36</v>
      </c>
      <c r="J757" s="25" t="n">
        <f aca="false">Summary!$B$4</f>
        <v>1</v>
      </c>
      <c r="K757" s="11" t="n">
        <f aca="false">I757*J757*IF(A757="SILVER",Summary!$B$5,Summary!$B$6)</f>
        <v>-17110.8</v>
      </c>
      <c r="L757" s="26" t="n">
        <v>-1.016</v>
      </c>
      <c r="M757" s="27" t="n">
        <f aca="false">IF(K757&gt;0,1,0)</f>
        <v>0</v>
      </c>
      <c r="N757" s="11" t="n">
        <f aca="false">SUMIFS(K$2:K757,A$2:A757,A757,B$2:B757,B757)</f>
        <v>-74130.6</v>
      </c>
      <c r="O757" s="11" t="n">
        <f aca="false">MAX(0,_xlfn.MAXIFS(N$2:N757,A$2:A757,A757,B$2:B757,B757))</f>
        <v>0</v>
      </c>
      <c r="P757" s="11" t="n">
        <f aca="false">N757-O757</f>
        <v>-74130.6</v>
      </c>
    </row>
    <row r="758" customFormat="false" ht="15" hidden="false" customHeight="false" outlineLevel="0" collapsed="false">
      <c r="A758" s="8" t="s">
        <v>26</v>
      </c>
      <c r="B758" s="8" t="s">
        <v>43</v>
      </c>
      <c r="C758" s="8" t="s">
        <v>62</v>
      </c>
      <c r="D758" s="21" t="n">
        <v>45709.5833333333</v>
      </c>
      <c r="E758" s="21" t="n">
        <v>45709.8555555556</v>
      </c>
      <c r="F758" s="22" t="n">
        <f aca="false">DATE(YEAR(E758),MONTH(E758),1)</f>
        <v>45689</v>
      </c>
      <c r="G758" s="23" t="n">
        <v>135568</v>
      </c>
      <c r="H758" s="8" t="s">
        <v>64</v>
      </c>
      <c r="I758" s="24" t="n">
        <v>55.12</v>
      </c>
      <c r="J758" s="25" t="n">
        <f aca="false">Summary!$B$4</f>
        <v>1</v>
      </c>
      <c r="K758" s="11" t="n">
        <f aca="false">I758*J758*IF(A758="SILVER",Summary!$B$5,Summary!$B$6)</f>
        <v>1653.6</v>
      </c>
      <c r="L758" s="26" t="n">
        <v>0.098</v>
      </c>
      <c r="M758" s="27" t="n">
        <f aca="false">IF(K758&gt;0,1,0)</f>
        <v>1</v>
      </c>
      <c r="N758" s="11" t="n">
        <f aca="false">SUMIFS(K$2:K758,A$2:A758,A758,B$2:B758,B758)</f>
        <v>-72477</v>
      </c>
      <c r="O758" s="11" t="n">
        <f aca="false">MAX(0,_xlfn.MAXIFS(N$2:N758,A$2:A758,A758,B$2:B758,B758))</f>
        <v>0</v>
      </c>
      <c r="P758" s="11" t="n">
        <f aca="false">N758-O758</f>
        <v>-72477</v>
      </c>
    </row>
    <row r="759" customFormat="false" ht="15" hidden="false" customHeight="false" outlineLevel="0" collapsed="false">
      <c r="A759" s="8" t="s">
        <v>26</v>
      </c>
      <c r="B759" s="8" t="s">
        <v>43</v>
      </c>
      <c r="C759" s="8" t="s">
        <v>62</v>
      </c>
      <c r="D759" s="21" t="n">
        <v>45709.8680555556</v>
      </c>
      <c r="E759" s="21" t="n">
        <v>45709.8743055556</v>
      </c>
      <c r="F759" s="22" t="n">
        <f aca="false">DATE(YEAR(E759),MONTH(E759),1)</f>
        <v>45689</v>
      </c>
      <c r="G759" s="23" t="n">
        <v>135274</v>
      </c>
      <c r="H759" s="8" t="s">
        <v>64</v>
      </c>
      <c r="I759" s="24" t="n">
        <v>99.29</v>
      </c>
      <c r="J759" s="25" t="n">
        <f aca="false">Summary!$B$4</f>
        <v>1</v>
      </c>
      <c r="K759" s="11" t="n">
        <f aca="false">I759*J759*IF(A759="SILVER",Summary!$B$5,Summary!$B$6)</f>
        <v>2978.7</v>
      </c>
      <c r="L759" s="26" t="n">
        <v>0.116</v>
      </c>
      <c r="M759" s="27" t="n">
        <f aca="false">IF(K759&gt;0,1,0)</f>
        <v>1</v>
      </c>
      <c r="N759" s="11" t="n">
        <f aca="false">SUMIFS(K$2:K759,A$2:A759,A759,B$2:B759,B759)</f>
        <v>-69498.3</v>
      </c>
      <c r="O759" s="11" t="n">
        <f aca="false">MAX(0,_xlfn.MAXIFS(N$2:N759,A$2:A759,A759,B$2:B759,B759))</f>
        <v>0</v>
      </c>
      <c r="P759" s="11" t="n">
        <f aca="false">N759-O759</f>
        <v>-69498.3</v>
      </c>
    </row>
    <row r="760" customFormat="false" ht="15" hidden="false" customHeight="false" outlineLevel="0" collapsed="false">
      <c r="A760" s="8" t="s">
        <v>26</v>
      </c>
      <c r="B760" s="8" t="s">
        <v>43</v>
      </c>
      <c r="C760" s="8" t="s">
        <v>62</v>
      </c>
      <c r="D760" s="21" t="n">
        <v>45712.5902777778</v>
      </c>
      <c r="E760" s="21" t="n">
        <v>45712.6833333333</v>
      </c>
      <c r="F760" s="22" t="n">
        <f aca="false">DATE(YEAR(E760),MONTH(E760),1)</f>
        <v>45689</v>
      </c>
      <c r="G760" s="23" t="n">
        <v>134831</v>
      </c>
      <c r="H760" s="8" t="s">
        <v>64</v>
      </c>
      <c r="I760" s="24" t="n">
        <v>41.85</v>
      </c>
      <c r="J760" s="25" t="n">
        <f aca="false">Summary!$B$4</f>
        <v>1</v>
      </c>
      <c r="K760" s="11" t="n">
        <f aca="false">I760*J760*IF(A760="SILVER",Summary!$B$5,Summary!$B$6)</f>
        <v>1255.5</v>
      </c>
      <c r="L760" s="26" t="n">
        <v>0.082</v>
      </c>
      <c r="M760" s="27" t="n">
        <f aca="false">IF(K760&gt;0,1,0)</f>
        <v>1</v>
      </c>
      <c r="N760" s="11" t="n">
        <f aca="false">SUMIFS(K$2:K760,A$2:A760,A760,B$2:B760,B760)</f>
        <v>-68242.8</v>
      </c>
      <c r="O760" s="11" t="n">
        <f aca="false">MAX(0,_xlfn.MAXIFS(N$2:N760,A$2:A760,A760,B$2:B760,B760))</f>
        <v>0</v>
      </c>
      <c r="P760" s="11" t="n">
        <f aca="false">N760-O760</f>
        <v>-68242.8</v>
      </c>
    </row>
    <row r="761" customFormat="false" ht="15" hidden="false" customHeight="false" outlineLevel="0" collapsed="false">
      <c r="A761" s="8" t="s">
        <v>26</v>
      </c>
      <c r="B761" s="8" t="s">
        <v>43</v>
      </c>
      <c r="C761" s="8" t="s">
        <v>62</v>
      </c>
      <c r="D761" s="21" t="n">
        <v>45712.8368055556</v>
      </c>
      <c r="E761" s="21" t="n">
        <v>45712.8416666667</v>
      </c>
      <c r="F761" s="22" t="n">
        <f aca="false">DATE(YEAR(E761),MONTH(E761),1)</f>
        <v>45689</v>
      </c>
      <c r="G761" s="23" t="n">
        <v>134748</v>
      </c>
      <c r="H761" s="8" t="s">
        <v>64</v>
      </c>
      <c r="I761" s="24" t="n">
        <v>70.02</v>
      </c>
      <c r="J761" s="25" t="n">
        <f aca="false">Summary!$B$4</f>
        <v>1</v>
      </c>
      <c r="K761" s="11" t="n">
        <f aca="false">I761*J761*IF(A761="SILVER",Summary!$B$5,Summary!$B$6)</f>
        <v>2100.6</v>
      </c>
      <c r="L761" s="26" t="n">
        <v>0.106</v>
      </c>
      <c r="M761" s="27" t="n">
        <f aca="false">IF(K761&gt;0,1,0)</f>
        <v>1</v>
      </c>
      <c r="N761" s="11" t="n">
        <f aca="false">SUMIFS(K$2:K761,A$2:A761,A761,B$2:B761,B761)</f>
        <v>-66142.2</v>
      </c>
      <c r="O761" s="11" t="n">
        <f aca="false">MAX(0,_xlfn.MAXIFS(N$2:N761,A$2:A761,A761,B$2:B761,B761))</f>
        <v>0</v>
      </c>
      <c r="P761" s="11" t="n">
        <f aca="false">N761-O761</f>
        <v>-66142.2</v>
      </c>
    </row>
    <row r="762" customFormat="false" ht="15" hidden="false" customHeight="false" outlineLevel="0" collapsed="false">
      <c r="A762" s="8" t="s">
        <v>26</v>
      </c>
      <c r="B762" s="8" t="s">
        <v>43</v>
      </c>
      <c r="C762" s="8" t="s">
        <v>62</v>
      </c>
      <c r="D762" s="21" t="n">
        <v>45712.8576388889</v>
      </c>
      <c r="E762" s="21" t="n">
        <v>45712.8604166667</v>
      </c>
      <c r="F762" s="22" t="n">
        <f aca="false">DATE(YEAR(E762),MONTH(E762),1)</f>
        <v>45689</v>
      </c>
      <c r="G762" s="23" t="n">
        <v>134103</v>
      </c>
      <c r="H762" s="8" t="s">
        <v>64</v>
      </c>
      <c r="I762" s="24" t="n">
        <v>129.45</v>
      </c>
      <c r="J762" s="25" t="n">
        <f aca="false">Summary!$B$4</f>
        <v>1</v>
      </c>
      <c r="K762" s="11" t="n">
        <f aca="false">I762*J762*IF(A762="SILVER",Summary!$B$5,Summary!$B$6)</f>
        <v>3883.5</v>
      </c>
      <c r="L762" s="26" t="n">
        <v>0.123</v>
      </c>
      <c r="M762" s="27" t="n">
        <f aca="false">IF(K762&gt;0,1,0)</f>
        <v>1</v>
      </c>
      <c r="N762" s="11" t="n">
        <f aca="false">SUMIFS(K$2:K762,A$2:A762,A762,B$2:B762,B762)</f>
        <v>-62258.7</v>
      </c>
      <c r="O762" s="11" t="n">
        <f aca="false">MAX(0,_xlfn.MAXIFS(N$2:N762,A$2:A762,A762,B$2:B762,B762))</f>
        <v>0</v>
      </c>
      <c r="P762" s="11" t="n">
        <f aca="false">N762-O762</f>
        <v>-62258.7</v>
      </c>
    </row>
    <row r="763" customFormat="false" ht="15" hidden="false" customHeight="false" outlineLevel="0" collapsed="false">
      <c r="A763" s="8" t="s">
        <v>26</v>
      </c>
      <c r="B763" s="8" t="s">
        <v>43</v>
      </c>
      <c r="C763" s="8" t="s">
        <v>62</v>
      </c>
      <c r="D763" s="21" t="n">
        <v>45712.8611111111</v>
      </c>
      <c r="E763" s="21" t="n">
        <v>45713.53125</v>
      </c>
      <c r="F763" s="22" t="n">
        <f aca="false">DATE(YEAR(E763),MONTH(E763),1)</f>
        <v>45689</v>
      </c>
      <c r="G763" s="23" t="n">
        <v>133873</v>
      </c>
      <c r="H763" s="8" t="s">
        <v>61</v>
      </c>
      <c r="I763" s="24" t="n">
        <v>-869.05</v>
      </c>
      <c r="J763" s="25" t="n">
        <f aca="false">Summary!$B$4</f>
        <v>1</v>
      </c>
      <c r="K763" s="11" t="n">
        <f aca="false">I763*J763*IF(A763="SILVER",Summary!$B$5,Summary!$B$6)</f>
        <v>-26071.5</v>
      </c>
      <c r="L763" s="26" t="n">
        <v>-0.842</v>
      </c>
      <c r="M763" s="27" t="n">
        <f aca="false">IF(K763&gt;0,1,0)</f>
        <v>0</v>
      </c>
      <c r="N763" s="11" t="n">
        <f aca="false">SUMIFS(K$2:K763,A$2:A763,A763,B$2:B763,B763)</f>
        <v>-88330.2</v>
      </c>
      <c r="O763" s="11" t="n">
        <f aca="false">MAX(0,_xlfn.MAXIFS(N$2:N763,A$2:A763,A763,B$2:B763,B763))</f>
        <v>0</v>
      </c>
      <c r="P763" s="11" t="n">
        <f aca="false">N763-O763</f>
        <v>-88330.2</v>
      </c>
    </row>
    <row r="764" customFormat="false" ht="15" hidden="false" customHeight="false" outlineLevel="0" collapsed="false">
      <c r="A764" s="8" t="s">
        <v>26</v>
      </c>
      <c r="B764" s="8" t="s">
        <v>43</v>
      </c>
      <c r="C764" s="8" t="s">
        <v>62</v>
      </c>
      <c r="D764" s="21" t="n">
        <v>45713.5590277778</v>
      </c>
      <c r="E764" s="21" t="n">
        <v>45713.5652777778</v>
      </c>
      <c r="F764" s="22" t="n">
        <f aca="false">DATE(YEAR(E764),MONTH(E764),1)</f>
        <v>45689</v>
      </c>
      <c r="G764" s="23" t="n">
        <v>134233</v>
      </c>
      <c r="H764" s="8" t="s">
        <v>64</v>
      </c>
      <c r="I764" s="24" t="n">
        <v>57.63</v>
      </c>
      <c r="J764" s="25" t="n">
        <f aca="false">Summary!$B$4</f>
        <v>1</v>
      </c>
      <c r="K764" s="11" t="n">
        <f aca="false">I764*J764*IF(A764="SILVER",Summary!$B$5,Summary!$B$6)</f>
        <v>1728.9</v>
      </c>
      <c r="L764" s="26" t="n">
        <v>0.1</v>
      </c>
      <c r="M764" s="27" t="n">
        <f aca="false">IF(K764&gt;0,1,0)</f>
        <v>1</v>
      </c>
      <c r="N764" s="11" t="n">
        <f aca="false">SUMIFS(K$2:K764,A$2:A764,A764,B$2:B764,B764)</f>
        <v>-86601.3</v>
      </c>
      <c r="O764" s="11" t="n">
        <f aca="false">MAX(0,_xlfn.MAXIFS(N$2:N764,A$2:A764,A764,B$2:B764,B764))</f>
        <v>0</v>
      </c>
      <c r="P764" s="11" t="n">
        <f aca="false">N764-O764</f>
        <v>-86601.3</v>
      </c>
    </row>
    <row r="765" customFormat="false" ht="15" hidden="false" customHeight="false" outlineLevel="0" collapsed="false">
      <c r="A765" s="8" t="s">
        <v>26</v>
      </c>
      <c r="B765" s="8" t="s">
        <v>43</v>
      </c>
      <c r="C765" s="8" t="s">
        <v>62</v>
      </c>
      <c r="D765" s="21" t="n">
        <v>45713.7534722222</v>
      </c>
      <c r="E765" s="21" t="n">
        <v>45713.8368055556</v>
      </c>
      <c r="F765" s="22" t="n">
        <f aca="false">DATE(YEAR(E765),MONTH(E765),1)</f>
        <v>45689</v>
      </c>
      <c r="G765" s="23" t="n">
        <v>133585</v>
      </c>
      <c r="H765" s="8" t="s">
        <v>61</v>
      </c>
      <c r="I765" s="24" t="n">
        <v>-751.98</v>
      </c>
      <c r="J765" s="25" t="n">
        <f aca="false">Summary!$B$4</f>
        <v>1</v>
      </c>
      <c r="K765" s="11" t="n">
        <f aca="false">I765*J765*IF(A765="SILVER",Summary!$B$5,Summary!$B$6)</f>
        <v>-22559.4</v>
      </c>
      <c r="L765" s="26" t="n">
        <v>-0.899</v>
      </c>
      <c r="M765" s="27" t="n">
        <f aca="false">IF(K765&gt;0,1,0)</f>
        <v>0</v>
      </c>
      <c r="N765" s="11" t="n">
        <f aca="false">SUMIFS(K$2:K765,A$2:A765,A765,B$2:B765,B765)</f>
        <v>-109160.7</v>
      </c>
      <c r="O765" s="11" t="n">
        <f aca="false">MAX(0,_xlfn.MAXIFS(N$2:N765,A$2:A765,A765,B$2:B765,B765))</f>
        <v>0</v>
      </c>
      <c r="P765" s="11" t="n">
        <f aca="false">N765-O765</f>
        <v>-109160.7</v>
      </c>
    </row>
    <row r="766" customFormat="false" ht="15" hidden="false" customHeight="false" outlineLevel="0" collapsed="false">
      <c r="A766" s="8" t="s">
        <v>26</v>
      </c>
      <c r="B766" s="8" t="s">
        <v>43</v>
      </c>
      <c r="C766" s="8" t="s">
        <v>62</v>
      </c>
      <c r="D766" s="21" t="n">
        <v>45713.8680555556</v>
      </c>
      <c r="E766" s="21" t="n">
        <v>45713.8784722222</v>
      </c>
      <c r="F766" s="22" t="n">
        <f aca="false">DATE(YEAR(E766),MONTH(E766),1)</f>
        <v>45689</v>
      </c>
      <c r="G766" s="23" t="n">
        <v>133396</v>
      </c>
      <c r="H766" s="8" t="s">
        <v>64</v>
      </c>
      <c r="I766" s="24" t="n">
        <v>138.94</v>
      </c>
      <c r="J766" s="25" t="n">
        <f aca="false">Summary!$B$4</f>
        <v>1</v>
      </c>
      <c r="K766" s="11" t="n">
        <f aca="false">I766*J766*IF(A766="SILVER",Summary!$B$5,Summary!$B$6)</f>
        <v>4168.2</v>
      </c>
      <c r="L766" s="26" t="n">
        <v>0.124</v>
      </c>
      <c r="M766" s="27" t="n">
        <f aca="false">IF(K766&gt;0,1,0)</f>
        <v>1</v>
      </c>
      <c r="N766" s="11" t="n">
        <f aca="false">SUMIFS(K$2:K766,A$2:A766,A766,B$2:B766,B766)</f>
        <v>-104992.5</v>
      </c>
      <c r="O766" s="11" t="n">
        <f aca="false">MAX(0,_xlfn.MAXIFS(N$2:N766,A$2:A766,A766,B$2:B766,B766))</f>
        <v>0</v>
      </c>
      <c r="P766" s="11" t="n">
        <f aca="false">N766-O766</f>
        <v>-104992.5</v>
      </c>
    </row>
    <row r="767" customFormat="false" ht="15" hidden="false" customHeight="false" outlineLevel="0" collapsed="false">
      <c r="A767" s="8" t="s">
        <v>26</v>
      </c>
      <c r="B767" s="8" t="s">
        <v>43</v>
      </c>
      <c r="C767" s="8" t="s">
        <v>62</v>
      </c>
      <c r="D767" s="21" t="n">
        <v>45713.9027777778</v>
      </c>
      <c r="E767" s="21" t="n">
        <v>45714.875</v>
      </c>
      <c r="F767" s="22" t="n">
        <f aca="false">DATE(YEAR(E767),MONTH(E767),1)</f>
        <v>45689</v>
      </c>
      <c r="G767" s="23" t="n">
        <v>132433</v>
      </c>
      <c r="H767" s="8" t="s">
        <v>61</v>
      </c>
      <c r="I767" s="24" t="n">
        <v>-1176.79</v>
      </c>
      <c r="J767" s="25" t="n">
        <f aca="false">Summary!$B$4</f>
        <v>1</v>
      </c>
      <c r="K767" s="11" t="n">
        <f aca="false">I767*J767*IF(A767="SILVER",Summary!$B$5,Summary!$B$6)</f>
        <v>-35303.7</v>
      </c>
      <c r="L767" s="26" t="n">
        <v>-0.815</v>
      </c>
      <c r="M767" s="27" t="n">
        <f aca="false">IF(K767&gt;0,1,0)</f>
        <v>0</v>
      </c>
      <c r="N767" s="11" t="n">
        <f aca="false">SUMIFS(K$2:K767,A$2:A767,A767,B$2:B767,B767)</f>
        <v>-140296.2</v>
      </c>
      <c r="O767" s="11" t="n">
        <f aca="false">MAX(0,_xlfn.MAXIFS(N$2:N767,A$2:A767,A767,B$2:B767,B767))</f>
        <v>0</v>
      </c>
      <c r="P767" s="11" t="n">
        <f aca="false">N767-O767</f>
        <v>-140296.2</v>
      </c>
    </row>
    <row r="768" customFormat="false" ht="15" hidden="false" customHeight="false" outlineLevel="0" collapsed="false">
      <c r="A768" s="8" t="s">
        <v>26</v>
      </c>
      <c r="B768" s="8" t="s">
        <v>43</v>
      </c>
      <c r="C768" s="8" t="s">
        <v>62</v>
      </c>
      <c r="D768" s="21" t="n">
        <v>45715.4201388889</v>
      </c>
      <c r="E768" s="21" t="n">
        <v>45715.4819444444</v>
      </c>
      <c r="F768" s="22" t="n">
        <f aca="false">DATE(YEAR(E768),MONTH(E768),1)</f>
        <v>45689</v>
      </c>
      <c r="G768" s="23" t="n">
        <v>133180</v>
      </c>
      <c r="H768" s="8" t="s">
        <v>64</v>
      </c>
      <c r="I768" s="24" t="n">
        <v>68.18</v>
      </c>
      <c r="J768" s="25" t="n">
        <f aca="false">Summary!$B$4</f>
        <v>1</v>
      </c>
      <c r="K768" s="11" t="n">
        <f aca="false">I768*J768*IF(A768="SILVER",Summary!$B$5,Summary!$B$6)</f>
        <v>2045.4</v>
      </c>
      <c r="L768" s="26" t="n">
        <v>0.097</v>
      </c>
      <c r="M768" s="27" t="n">
        <f aca="false">IF(K768&gt;0,1,0)</f>
        <v>1</v>
      </c>
      <c r="N768" s="11" t="n">
        <f aca="false">SUMIFS(K$2:K768,A$2:A768,A768,B$2:B768,B768)</f>
        <v>-138250.8</v>
      </c>
      <c r="O768" s="11" t="n">
        <f aca="false">MAX(0,_xlfn.MAXIFS(N$2:N768,A$2:A768,A768,B$2:B768,B768))</f>
        <v>0</v>
      </c>
      <c r="P768" s="11" t="n">
        <f aca="false">N768-O768</f>
        <v>-138250.8</v>
      </c>
    </row>
    <row r="769" customFormat="false" ht="15" hidden="false" customHeight="false" outlineLevel="0" collapsed="false">
      <c r="A769" s="8" t="s">
        <v>26</v>
      </c>
      <c r="B769" s="8" t="s">
        <v>43</v>
      </c>
      <c r="C769" s="8" t="s">
        <v>62</v>
      </c>
      <c r="D769" s="21" t="n">
        <v>45715.8472222222</v>
      </c>
      <c r="E769" s="21" t="n">
        <v>45715.85625</v>
      </c>
      <c r="F769" s="22" t="n">
        <f aca="false">DATE(YEAR(E769),MONTH(E769),1)</f>
        <v>45689</v>
      </c>
      <c r="G769" s="23" t="n">
        <v>132626</v>
      </c>
      <c r="H769" s="8" t="s">
        <v>64</v>
      </c>
      <c r="I769" s="24" t="n">
        <v>-5.74</v>
      </c>
      <c r="J769" s="25" t="n">
        <f aca="false">Summary!$B$4</f>
        <v>1</v>
      </c>
      <c r="K769" s="11" t="n">
        <f aca="false">I769*J769*IF(A769="SILVER",Summary!$B$5,Summary!$B$6)</f>
        <v>-172.2</v>
      </c>
      <c r="L769" s="26" t="n">
        <v>-0.006</v>
      </c>
      <c r="M769" s="27" t="n">
        <f aca="false">IF(K769&gt;0,1,0)</f>
        <v>0</v>
      </c>
      <c r="N769" s="11" t="n">
        <f aca="false">SUMIFS(K$2:K769,A$2:A769,A769,B$2:B769,B769)</f>
        <v>-138423</v>
      </c>
      <c r="O769" s="11" t="n">
        <f aca="false">MAX(0,_xlfn.MAXIFS(N$2:N769,A$2:A769,A769,B$2:B769,B769))</f>
        <v>0</v>
      </c>
      <c r="P769" s="11" t="n">
        <f aca="false">N769-O769</f>
        <v>-138423</v>
      </c>
    </row>
    <row r="770" customFormat="false" ht="15" hidden="false" customHeight="false" outlineLevel="0" collapsed="false">
      <c r="A770" s="8" t="s">
        <v>26</v>
      </c>
      <c r="B770" s="8" t="s">
        <v>43</v>
      </c>
      <c r="C770" s="8" t="s">
        <v>62</v>
      </c>
      <c r="D770" s="21" t="n">
        <v>45716.3854166667</v>
      </c>
      <c r="E770" s="21" t="n">
        <v>45716.5881944444</v>
      </c>
      <c r="F770" s="22" t="n">
        <f aca="false">DATE(YEAR(E770),MONTH(E770),1)</f>
        <v>45689</v>
      </c>
      <c r="G770" s="23" t="n">
        <v>132078</v>
      </c>
      <c r="H770" s="8" t="s">
        <v>64</v>
      </c>
      <c r="I770" s="24" t="n">
        <v>76.4</v>
      </c>
      <c r="J770" s="25" t="n">
        <f aca="false">Summary!$B$4</f>
        <v>1</v>
      </c>
      <c r="K770" s="11" t="n">
        <f aca="false">I770*J770*IF(A770="SILVER",Summary!$B$5,Summary!$B$6)</f>
        <v>2292</v>
      </c>
      <c r="L770" s="26" t="n">
        <v>0.099</v>
      </c>
      <c r="M770" s="27" t="n">
        <f aca="false">IF(K770&gt;0,1,0)</f>
        <v>1</v>
      </c>
      <c r="N770" s="11" t="n">
        <f aca="false">SUMIFS(K$2:K770,A$2:A770,A770,B$2:B770,B770)</f>
        <v>-136131</v>
      </c>
      <c r="O770" s="11" t="n">
        <f aca="false">MAX(0,_xlfn.MAXIFS(N$2:N770,A$2:A770,A770,B$2:B770,B770))</f>
        <v>0</v>
      </c>
      <c r="P770" s="11" t="n">
        <f aca="false">N770-O770</f>
        <v>-136131</v>
      </c>
    </row>
    <row r="771" customFormat="false" ht="15" hidden="false" customHeight="false" outlineLevel="0" collapsed="false">
      <c r="A771" s="8" t="s">
        <v>26</v>
      </c>
      <c r="B771" s="8" t="s">
        <v>43</v>
      </c>
      <c r="C771" s="8" t="s">
        <v>62</v>
      </c>
      <c r="D771" s="21" t="n">
        <v>45716.8166666667</v>
      </c>
      <c r="E771" s="21" t="n">
        <v>45716.8354166667</v>
      </c>
      <c r="F771" s="22" t="n">
        <f aca="false">DATE(YEAR(E771),MONTH(E771),1)</f>
        <v>45689</v>
      </c>
      <c r="G771" s="23" t="n">
        <v>131757</v>
      </c>
      <c r="H771" s="8" t="s">
        <v>64</v>
      </c>
      <c r="I771" s="24" t="n">
        <v>52.46</v>
      </c>
      <c r="J771" s="25" t="n">
        <f aca="false">Summary!$B$4</f>
        <v>1</v>
      </c>
      <c r="K771" s="11" t="n">
        <f aca="false">I771*J771*IF(A771="SILVER",Summary!$B$5,Summary!$B$6)</f>
        <v>1573.8</v>
      </c>
      <c r="L771" s="26" t="n">
        <v>0.08</v>
      </c>
      <c r="M771" s="27" t="n">
        <f aca="false">IF(K771&gt;0,1,0)</f>
        <v>1</v>
      </c>
      <c r="N771" s="11" t="n">
        <f aca="false">SUMIFS(K$2:K771,A$2:A771,A771,B$2:B771,B771)</f>
        <v>-134557.2</v>
      </c>
      <c r="O771" s="11" t="n">
        <f aca="false">MAX(0,_xlfn.MAXIFS(N$2:N771,A$2:A771,A771,B$2:B771,B771))</f>
        <v>0</v>
      </c>
      <c r="P771" s="11" t="n">
        <f aca="false">N771-O771</f>
        <v>-134557.2</v>
      </c>
    </row>
    <row r="772" customFormat="false" ht="15" hidden="false" customHeight="false" outlineLevel="0" collapsed="false">
      <c r="A772" s="8" t="s">
        <v>26</v>
      </c>
      <c r="B772" s="8" t="s">
        <v>43</v>
      </c>
      <c r="C772" s="8" t="s">
        <v>62</v>
      </c>
      <c r="D772" s="21" t="n">
        <v>45716.8368055556</v>
      </c>
      <c r="E772" s="21" t="n">
        <v>45719.3784722222</v>
      </c>
      <c r="F772" s="22" t="n">
        <f aca="false">DATE(YEAR(E772),MONTH(E772),1)</f>
        <v>45717</v>
      </c>
      <c r="G772" s="23" t="n">
        <v>131633</v>
      </c>
      <c r="H772" s="8" t="s">
        <v>61</v>
      </c>
      <c r="I772" s="24" t="n">
        <v>-909.61</v>
      </c>
      <c r="J772" s="25" t="n">
        <f aca="false">Summary!$B$4</f>
        <v>1</v>
      </c>
      <c r="K772" s="11" t="n">
        <f aca="false">I772*J772*IF(A772="SILVER",Summary!$B$5,Summary!$B$6)</f>
        <v>-27288.3</v>
      </c>
      <c r="L772" s="26" t="n">
        <v>-1.25</v>
      </c>
      <c r="M772" s="27" t="n">
        <f aca="false">IF(K772&gt;0,1,0)</f>
        <v>0</v>
      </c>
      <c r="N772" s="11" t="n">
        <f aca="false">SUMIFS(K$2:K772,A$2:A772,A772,B$2:B772,B772)</f>
        <v>-161845.5</v>
      </c>
      <c r="O772" s="11" t="n">
        <f aca="false">MAX(0,_xlfn.MAXIFS(N$2:N772,A$2:A772,A772,B$2:B772,B772))</f>
        <v>0</v>
      </c>
      <c r="P772" s="11" t="n">
        <f aca="false">N772-O772</f>
        <v>-161845.5</v>
      </c>
    </row>
    <row r="773" customFormat="false" ht="15" hidden="false" customHeight="false" outlineLevel="0" collapsed="false">
      <c r="A773" s="8" t="s">
        <v>26</v>
      </c>
      <c r="B773" s="8" t="s">
        <v>43</v>
      </c>
      <c r="C773" s="8" t="s">
        <v>62</v>
      </c>
      <c r="D773" s="21" t="n">
        <v>45720.9</v>
      </c>
      <c r="E773" s="21" t="n">
        <v>45721.3784722222</v>
      </c>
      <c r="F773" s="22" t="n">
        <f aca="false">DATE(YEAR(E773),MONTH(E773),1)</f>
        <v>45717</v>
      </c>
      <c r="G773" s="23" t="n">
        <v>133160</v>
      </c>
      <c r="H773" s="8" t="s">
        <v>61</v>
      </c>
      <c r="I773" s="24" t="n">
        <v>-903.89</v>
      </c>
      <c r="J773" s="25" t="n">
        <f aca="false">Summary!$B$4</f>
        <v>1</v>
      </c>
      <c r="K773" s="11" t="n">
        <f aca="false">I773*J773*IF(A773="SILVER",Summary!$B$5,Summary!$B$6)</f>
        <v>-27116.7</v>
      </c>
      <c r="L773" s="26" t="n">
        <v>-0.998</v>
      </c>
      <c r="M773" s="27" t="n">
        <f aca="false">IF(K773&gt;0,1,0)</f>
        <v>0</v>
      </c>
      <c r="N773" s="11" t="n">
        <f aca="false">SUMIFS(K$2:K773,A$2:A773,A773,B$2:B773,B773)</f>
        <v>-188962.2</v>
      </c>
      <c r="O773" s="11" t="n">
        <f aca="false">MAX(0,_xlfn.MAXIFS(N$2:N773,A$2:A773,A773,B$2:B773,B773))</f>
        <v>0</v>
      </c>
      <c r="P773" s="11" t="n">
        <f aca="false">N773-O773</f>
        <v>-188962.2</v>
      </c>
    </row>
    <row r="774" customFormat="false" ht="15" hidden="false" customHeight="false" outlineLevel="0" collapsed="false">
      <c r="A774" s="8" t="s">
        <v>26</v>
      </c>
      <c r="B774" s="8" t="s">
        <v>43</v>
      </c>
      <c r="C774" s="8" t="s">
        <v>62</v>
      </c>
      <c r="D774" s="21" t="n">
        <v>45736.6701388889</v>
      </c>
      <c r="E774" s="21" t="n">
        <v>45736.6791666667</v>
      </c>
      <c r="F774" s="22" t="n">
        <f aca="false">DATE(YEAR(E774),MONTH(E774),1)</f>
        <v>45717</v>
      </c>
      <c r="G774" s="23" t="n">
        <v>135867</v>
      </c>
      <c r="H774" s="8" t="s">
        <v>64</v>
      </c>
      <c r="I774" s="24" t="n">
        <v>89.75</v>
      </c>
      <c r="J774" s="25" t="n">
        <f aca="false">Summary!$B$4</f>
        <v>1</v>
      </c>
      <c r="K774" s="11" t="n">
        <f aca="false">I774*J774*IF(A774="SILVER",Summary!$B$5,Summary!$B$6)</f>
        <v>2692.5</v>
      </c>
      <c r="L774" s="26" t="n">
        <v>0.113</v>
      </c>
      <c r="M774" s="27" t="n">
        <f aca="false">IF(K774&gt;0,1,0)</f>
        <v>1</v>
      </c>
      <c r="N774" s="11" t="n">
        <f aca="false">SUMIFS(K$2:K774,A$2:A774,A774,B$2:B774,B774)</f>
        <v>-186269.7</v>
      </c>
      <c r="O774" s="11" t="n">
        <f aca="false">MAX(0,_xlfn.MAXIFS(N$2:N774,A$2:A774,A774,B$2:B774,B774))</f>
        <v>0</v>
      </c>
      <c r="P774" s="11" t="n">
        <f aca="false">N774-O774</f>
        <v>-186269.7</v>
      </c>
    </row>
    <row r="775" customFormat="false" ht="15" hidden="false" customHeight="false" outlineLevel="0" collapsed="false">
      <c r="A775" s="8" t="s">
        <v>26</v>
      </c>
      <c r="B775" s="8" t="s">
        <v>43</v>
      </c>
      <c r="C775" s="8" t="s">
        <v>62</v>
      </c>
      <c r="D775" s="21" t="n">
        <v>45737.3784722222</v>
      </c>
      <c r="E775" s="21" t="n">
        <v>45737.4826388889</v>
      </c>
      <c r="F775" s="22" t="n">
        <f aca="false">DATE(YEAR(E775),MONTH(E775),1)</f>
        <v>45717</v>
      </c>
      <c r="G775" s="23" t="n">
        <v>135783</v>
      </c>
      <c r="H775" s="8" t="s">
        <v>64</v>
      </c>
      <c r="I775" s="24" t="n">
        <v>88.43</v>
      </c>
      <c r="J775" s="25" t="n">
        <f aca="false">Summary!$B$4</f>
        <v>1</v>
      </c>
      <c r="K775" s="11" t="n">
        <f aca="false">I775*J775*IF(A775="SILVER",Summary!$B$5,Summary!$B$6)</f>
        <v>2652.9</v>
      </c>
      <c r="L775" s="26" t="n">
        <v>0.112</v>
      </c>
      <c r="M775" s="27" t="n">
        <f aca="false">IF(K775&gt;0,1,0)</f>
        <v>1</v>
      </c>
      <c r="N775" s="11" t="n">
        <f aca="false">SUMIFS(K$2:K775,A$2:A775,A775,B$2:B775,B775)</f>
        <v>-183616.8</v>
      </c>
      <c r="O775" s="11" t="n">
        <f aca="false">MAX(0,_xlfn.MAXIFS(N$2:N775,A$2:A775,A775,B$2:B775,B775))</f>
        <v>0</v>
      </c>
      <c r="P775" s="11" t="n">
        <f aca="false">N775-O775</f>
        <v>-183616.8</v>
      </c>
    </row>
    <row r="776" customFormat="false" ht="15" hidden="false" customHeight="false" outlineLevel="0" collapsed="false">
      <c r="A776" s="8" t="s">
        <v>26</v>
      </c>
      <c r="B776" s="8" t="s">
        <v>43</v>
      </c>
      <c r="C776" s="8" t="s">
        <v>62</v>
      </c>
      <c r="D776" s="21" t="n">
        <v>45737.5520833333</v>
      </c>
      <c r="E776" s="21" t="n">
        <v>45737.5847222222</v>
      </c>
      <c r="F776" s="22" t="n">
        <f aca="false">DATE(YEAR(E776),MONTH(E776),1)</f>
        <v>45717</v>
      </c>
      <c r="G776" s="23" t="n">
        <v>135211</v>
      </c>
      <c r="H776" s="8" t="s">
        <v>64</v>
      </c>
      <c r="I776" s="24" t="n">
        <v>64.85</v>
      </c>
      <c r="J776" s="25" t="n">
        <f aca="false">Summary!$B$4</f>
        <v>1</v>
      </c>
      <c r="K776" s="11" t="n">
        <f aca="false">I776*J776*IF(A776="SILVER",Summary!$B$5,Summary!$B$6)</f>
        <v>1945.5</v>
      </c>
      <c r="L776" s="26" t="n">
        <v>0.103</v>
      </c>
      <c r="M776" s="27" t="n">
        <f aca="false">IF(K776&gt;0,1,0)</f>
        <v>1</v>
      </c>
      <c r="N776" s="11" t="n">
        <f aca="false">SUMIFS(K$2:K776,A$2:A776,A776,B$2:B776,B776)</f>
        <v>-181671.3</v>
      </c>
      <c r="O776" s="11" t="n">
        <f aca="false">MAX(0,_xlfn.MAXIFS(N$2:N776,A$2:A776,A776,B$2:B776,B776))</f>
        <v>0</v>
      </c>
      <c r="P776" s="11" t="n">
        <f aca="false">N776-O776</f>
        <v>-181671.3</v>
      </c>
    </row>
    <row r="777" customFormat="false" ht="15" hidden="false" customHeight="false" outlineLevel="0" collapsed="false">
      <c r="A777" s="8" t="s">
        <v>26</v>
      </c>
      <c r="B777" s="8" t="s">
        <v>43</v>
      </c>
      <c r="C777" s="8" t="s">
        <v>62</v>
      </c>
      <c r="D777" s="21" t="n">
        <v>45737.6284722222</v>
      </c>
      <c r="E777" s="21" t="n">
        <v>45737.71875</v>
      </c>
      <c r="F777" s="22" t="n">
        <f aca="false">DATE(YEAR(E777),MONTH(E777),1)</f>
        <v>45717</v>
      </c>
      <c r="G777" s="23" t="n">
        <v>134919</v>
      </c>
      <c r="H777" s="8" t="s">
        <v>61</v>
      </c>
      <c r="I777" s="24" t="n">
        <v>-615.64</v>
      </c>
      <c r="J777" s="25" t="n">
        <f aca="false">Summary!$B$4</f>
        <v>1</v>
      </c>
      <c r="K777" s="11" t="n">
        <f aca="false">I777*J777*IF(A777="SILVER",Summary!$B$5,Summary!$B$6)</f>
        <v>-18469.2</v>
      </c>
      <c r="L777" s="26" t="n">
        <v>-0.98</v>
      </c>
      <c r="M777" s="27" t="n">
        <f aca="false">IF(K777&gt;0,1,0)</f>
        <v>0</v>
      </c>
      <c r="N777" s="11" t="n">
        <f aca="false">SUMIFS(K$2:K777,A$2:A777,A777,B$2:B777,B777)</f>
        <v>-200140.5</v>
      </c>
      <c r="O777" s="11" t="n">
        <f aca="false">MAX(0,_xlfn.MAXIFS(N$2:N777,A$2:A777,A777,B$2:B777,B777))</f>
        <v>0</v>
      </c>
      <c r="P777" s="11" t="n">
        <f aca="false">N777-O777</f>
        <v>-200140.5</v>
      </c>
    </row>
    <row r="778" customFormat="false" ht="15" hidden="false" customHeight="false" outlineLevel="0" collapsed="false">
      <c r="A778" s="8" t="s">
        <v>26</v>
      </c>
      <c r="B778" s="8" t="s">
        <v>43</v>
      </c>
      <c r="C778" s="8" t="s">
        <v>62</v>
      </c>
      <c r="D778" s="21" t="n">
        <v>45737.7986111111</v>
      </c>
      <c r="E778" s="21" t="n">
        <v>45737.9083333333</v>
      </c>
      <c r="F778" s="22" t="n">
        <f aca="false">DATE(YEAR(E778),MONTH(E778),1)</f>
        <v>45717</v>
      </c>
      <c r="G778" s="23" t="n">
        <v>135047</v>
      </c>
      <c r="H778" s="8" t="s">
        <v>64</v>
      </c>
      <c r="I778" s="24" t="n">
        <v>91.8</v>
      </c>
      <c r="J778" s="25" t="n">
        <f aca="false">Summary!$B$4</f>
        <v>1</v>
      </c>
      <c r="K778" s="11" t="n">
        <f aca="false">I778*J778*IF(A778="SILVER",Summary!$B$5,Summary!$B$6)</f>
        <v>2754</v>
      </c>
      <c r="L778" s="26" t="n">
        <v>0.113</v>
      </c>
      <c r="M778" s="27" t="n">
        <f aca="false">IF(K778&gt;0,1,0)</f>
        <v>1</v>
      </c>
      <c r="N778" s="11" t="n">
        <f aca="false">SUMIFS(K$2:K778,A$2:A778,A778,B$2:B778,B778)</f>
        <v>-197386.5</v>
      </c>
      <c r="O778" s="11" t="n">
        <f aca="false">MAX(0,_xlfn.MAXIFS(N$2:N778,A$2:A778,A778,B$2:B778,B778))</f>
        <v>0</v>
      </c>
      <c r="P778" s="11" t="n">
        <f aca="false">N778-O778</f>
        <v>-197386.5</v>
      </c>
    </row>
    <row r="779" customFormat="false" ht="15" hidden="false" customHeight="false" outlineLevel="0" collapsed="false">
      <c r="A779" s="8" t="s">
        <v>26</v>
      </c>
      <c r="B779" s="8" t="s">
        <v>43</v>
      </c>
      <c r="C779" s="8" t="s">
        <v>62</v>
      </c>
      <c r="D779" s="21" t="n">
        <v>45740.5590277778</v>
      </c>
      <c r="E779" s="21" t="n">
        <v>45740.7388888889</v>
      </c>
      <c r="F779" s="22" t="n">
        <f aca="false">DATE(YEAR(E779),MONTH(E779),1)</f>
        <v>45717</v>
      </c>
      <c r="G779" s="23" t="n">
        <v>135054</v>
      </c>
      <c r="H779" s="8" t="s">
        <v>64</v>
      </c>
      <c r="I779" s="24" t="n">
        <v>31.08</v>
      </c>
      <c r="J779" s="25" t="n">
        <f aca="false">Summary!$B$4</f>
        <v>1</v>
      </c>
      <c r="K779" s="11" t="n">
        <f aca="false">I779*J779*IF(A779="SILVER",Summary!$B$5,Summary!$B$6)</f>
        <v>932.4</v>
      </c>
      <c r="L779" s="26" t="n">
        <v>0.077</v>
      </c>
      <c r="M779" s="27" t="n">
        <f aca="false">IF(K779&gt;0,1,0)</f>
        <v>1</v>
      </c>
      <c r="N779" s="11" t="n">
        <f aca="false">SUMIFS(K$2:K779,A$2:A779,A779,B$2:B779,B779)</f>
        <v>-196454.1</v>
      </c>
      <c r="O779" s="11" t="n">
        <f aca="false">MAX(0,_xlfn.MAXIFS(N$2:N779,A$2:A779,A779,B$2:B779,B779))</f>
        <v>0</v>
      </c>
      <c r="P779" s="11" t="n">
        <f aca="false">N779-O779</f>
        <v>-196454.1</v>
      </c>
    </row>
    <row r="780" customFormat="false" ht="15" hidden="false" customHeight="false" outlineLevel="0" collapsed="false">
      <c r="A780" s="8" t="s">
        <v>26</v>
      </c>
      <c r="B780" s="8" t="s">
        <v>43</v>
      </c>
      <c r="C780" s="8" t="s">
        <v>62</v>
      </c>
      <c r="D780" s="21" t="n">
        <v>45740.8368055556</v>
      </c>
      <c r="E780" s="21" t="n">
        <v>45741.3923611111</v>
      </c>
      <c r="F780" s="22" t="n">
        <f aca="false">DATE(YEAR(E780),MONTH(E780),1)</f>
        <v>45717</v>
      </c>
      <c r="G780" s="23" t="n">
        <v>134487</v>
      </c>
      <c r="H780" s="8" t="s">
        <v>61</v>
      </c>
      <c r="I780" s="24" t="n">
        <v>-501.55</v>
      </c>
      <c r="J780" s="25" t="n">
        <f aca="false">Summary!$B$4</f>
        <v>1</v>
      </c>
      <c r="K780" s="11" t="n">
        <f aca="false">I780*J780*IF(A780="SILVER",Summary!$B$5,Summary!$B$6)</f>
        <v>-15046.5</v>
      </c>
      <c r="L780" s="26" t="n">
        <v>-0.598</v>
      </c>
      <c r="M780" s="27" t="n">
        <f aca="false">IF(K780&gt;0,1,0)</f>
        <v>0</v>
      </c>
      <c r="N780" s="11" t="n">
        <f aca="false">SUMIFS(K$2:K780,A$2:A780,A780,B$2:B780,B780)</f>
        <v>-211500.6</v>
      </c>
      <c r="O780" s="11" t="n">
        <f aca="false">MAX(0,_xlfn.MAXIFS(N$2:N780,A$2:A780,A780,B$2:B780,B780))</f>
        <v>0</v>
      </c>
      <c r="P780" s="11" t="n">
        <f aca="false">N780-O780</f>
        <v>-211500.6</v>
      </c>
    </row>
    <row r="781" customFormat="false" ht="15" hidden="false" customHeight="false" outlineLevel="0" collapsed="false">
      <c r="A781" s="8" t="s">
        <v>26</v>
      </c>
      <c r="B781" s="8" t="s">
        <v>43</v>
      </c>
      <c r="C781" s="8" t="s">
        <v>62</v>
      </c>
      <c r="D781" s="21" t="n">
        <v>45749.7326388889</v>
      </c>
      <c r="E781" s="21" t="n">
        <v>45749.7493055556</v>
      </c>
      <c r="F781" s="22" t="n">
        <f aca="false">DATE(YEAR(E781),MONTH(E781),1)</f>
        <v>45748</v>
      </c>
      <c r="G781" s="23" t="n">
        <v>136745</v>
      </c>
      <c r="H781" s="8" t="s">
        <v>64</v>
      </c>
      <c r="I781" s="24" t="n">
        <v>66.05</v>
      </c>
      <c r="J781" s="25" t="n">
        <f aca="false">Summary!$B$4</f>
        <v>1</v>
      </c>
      <c r="K781" s="11" t="n">
        <f aca="false">I781*J781*IF(A781="SILVER",Summary!$B$5,Summary!$B$6)</f>
        <v>1981.5</v>
      </c>
      <c r="L781" s="26" t="n">
        <v>0.103</v>
      </c>
      <c r="M781" s="27" t="n">
        <f aca="false">IF(K781&gt;0,1,0)</f>
        <v>1</v>
      </c>
      <c r="N781" s="11" t="n">
        <f aca="false">SUMIFS(K$2:K781,A$2:A781,A781,B$2:B781,B781)</f>
        <v>-209519.1</v>
      </c>
      <c r="O781" s="11" t="n">
        <f aca="false">MAX(0,_xlfn.MAXIFS(N$2:N781,A$2:A781,A781,B$2:B781,B781))</f>
        <v>0</v>
      </c>
      <c r="P781" s="11" t="n">
        <f aca="false">N781-O781</f>
        <v>-209519.1</v>
      </c>
    </row>
    <row r="782" customFormat="false" ht="15" hidden="false" customHeight="false" outlineLevel="0" collapsed="false">
      <c r="A782" s="8" t="s">
        <v>26</v>
      </c>
      <c r="B782" s="8" t="s">
        <v>43</v>
      </c>
      <c r="C782" s="8" t="s">
        <v>62</v>
      </c>
      <c r="D782" s="21" t="n">
        <v>45750.3784722222</v>
      </c>
      <c r="E782" s="21" t="n">
        <v>45754.3784722222</v>
      </c>
      <c r="F782" s="22" t="n">
        <f aca="false">DATE(YEAR(E782),MONTH(E782),1)</f>
        <v>45748</v>
      </c>
      <c r="G782" s="23" t="n">
        <v>135533</v>
      </c>
      <c r="H782" s="8" t="s">
        <v>61</v>
      </c>
      <c r="I782" s="24" t="n">
        <v>9727.27</v>
      </c>
      <c r="J782" s="25" t="n">
        <f aca="false">Summary!$B$4</f>
        <v>1</v>
      </c>
      <c r="K782" s="11" t="n">
        <f aca="false">I782*J782*IF(A782="SILVER",Summary!$B$5,Summary!$B$6)</f>
        <v>291818.1</v>
      </c>
      <c r="L782" s="26" t="n">
        <v>6.417</v>
      </c>
      <c r="M782" s="27" t="n">
        <f aca="false">IF(K782&gt;0,1,0)</f>
        <v>1</v>
      </c>
      <c r="N782" s="11" t="n">
        <f aca="false">SUMIFS(K$2:K782,A$2:A782,A782,B$2:B782,B782)</f>
        <v>82299</v>
      </c>
      <c r="O782" s="11" t="n">
        <f aca="false">MAX(0,_xlfn.MAXIFS(N$2:N782,A$2:A782,A782,B$2:B782,B782))</f>
        <v>82299</v>
      </c>
      <c r="P782" s="11" t="n">
        <f aca="false">N782-O782</f>
        <v>0</v>
      </c>
    </row>
    <row r="783" customFormat="false" ht="15" hidden="false" customHeight="false" outlineLevel="0" collapsed="false">
      <c r="A783" s="8" t="s">
        <v>26</v>
      </c>
      <c r="B783" s="8" t="s">
        <v>43</v>
      </c>
      <c r="C783" s="8" t="s">
        <v>62</v>
      </c>
      <c r="D783" s="21" t="n">
        <v>45754.7986111111</v>
      </c>
      <c r="E783" s="21" t="n">
        <v>45754.9666666667</v>
      </c>
      <c r="F783" s="22" t="n">
        <f aca="false">DATE(YEAR(E783),MONTH(E783),1)</f>
        <v>45748</v>
      </c>
      <c r="G783" s="23" t="n">
        <v>125585</v>
      </c>
      <c r="H783" s="8" t="s">
        <v>64</v>
      </c>
      <c r="I783" s="24" t="n">
        <v>224.26</v>
      </c>
      <c r="J783" s="25" t="n">
        <f aca="false">Summary!$B$4</f>
        <v>1</v>
      </c>
      <c r="K783" s="11" t="n">
        <f aca="false">I783*J783*IF(A783="SILVER",Summary!$B$5,Summary!$B$6)</f>
        <v>6727.8</v>
      </c>
      <c r="L783" s="26" t="n">
        <v>0.134</v>
      </c>
      <c r="M783" s="27" t="n">
        <f aca="false">IF(K783&gt;0,1,0)</f>
        <v>1</v>
      </c>
      <c r="N783" s="11" t="n">
        <f aca="false">SUMIFS(K$2:K783,A$2:A783,A783,B$2:B783,B783)</f>
        <v>89026.8</v>
      </c>
      <c r="O783" s="11" t="n">
        <f aca="false">MAX(0,_xlfn.MAXIFS(N$2:N783,A$2:A783,A783,B$2:B783,B783))</f>
        <v>89026.8</v>
      </c>
      <c r="P783" s="11" t="n">
        <f aca="false">N783-O783</f>
        <v>0</v>
      </c>
    </row>
    <row r="784" customFormat="false" ht="15" hidden="false" customHeight="false" outlineLevel="0" collapsed="false">
      <c r="A784" s="8" t="s">
        <v>26</v>
      </c>
      <c r="B784" s="8" t="s">
        <v>43</v>
      </c>
      <c r="C784" s="8" t="s">
        <v>62</v>
      </c>
      <c r="D784" s="21" t="n">
        <v>45755.8888888889</v>
      </c>
      <c r="E784" s="21" t="n">
        <v>45755.9166666667</v>
      </c>
      <c r="F784" s="22" t="n">
        <f aca="false">DATE(YEAR(E784),MONTH(E784),1)</f>
        <v>45748</v>
      </c>
      <c r="G784" s="23" t="n">
        <v>126366</v>
      </c>
      <c r="H784" s="8" t="s">
        <v>64</v>
      </c>
      <c r="I784" s="24" t="n">
        <v>146.5</v>
      </c>
      <c r="J784" s="25" t="n">
        <f aca="false">Summary!$B$4</f>
        <v>1</v>
      </c>
      <c r="K784" s="11" t="n">
        <f aca="false">I784*J784*IF(A784="SILVER",Summary!$B$5,Summary!$B$6)</f>
        <v>4395</v>
      </c>
      <c r="L784" s="26" t="n">
        <v>0.126</v>
      </c>
      <c r="M784" s="27" t="n">
        <f aca="false">IF(K784&gt;0,1,0)</f>
        <v>1</v>
      </c>
      <c r="N784" s="11" t="n">
        <f aca="false">SUMIFS(K$2:K784,A$2:A784,A784,B$2:B784,B784)</f>
        <v>93421.8</v>
      </c>
      <c r="O784" s="11" t="n">
        <f aca="false">MAX(0,_xlfn.MAXIFS(N$2:N784,A$2:A784,A784,B$2:B784,B784))</f>
        <v>93421.8</v>
      </c>
      <c r="P784" s="11" t="n">
        <f aca="false">N784-O784</f>
        <v>0</v>
      </c>
    </row>
    <row r="785" customFormat="false" ht="15" hidden="false" customHeight="false" outlineLevel="0" collapsed="false">
      <c r="A785" s="8" t="s">
        <v>26</v>
      </c>
      <c r="B785" s="8" t="s">
        <v>43</v>
      </c>
      <c r="C785" s="8" t="s">
        <v>62</v>
      </c>
      <c r="D785" s="21" t="n">
        <v>45755.9375</v>
      </c>
      <c r="E785" s="21" t="n">
        <v>45755.9618055556</v>
      </c>
      <c r="F785" s="22" t="n">
        <f aca="false">DATE(YEAR(E785),MONTH(E785),1)</f>
        <v>45748</v>
      </c>
      <c r="G785" s="23" t="n">
        <v>125819</v>
      </c>
      <c r="H785" s="8" t="s">
        <v>64</v>
      </c>
      <c r="I785" s="24" t="n">
        <v>125.65</v>
      </c>
      <c r="J785" s="25" t="n">
        <f aca="false">Summary!$B$4</f>
        <v>1</v>
      </c>
      <c r="K785" s="11" t="n">
        <f aca="false">I785*J785*IF(A785="SILVER",Summary!$B$5,Summary!$B$6)</f>
        <v>3769.5</v>
      </c>
      <c r="L785" s="26" t="n">
        <v>0.123</v>
      </c>
      <c r="M785" s="27" t="n">
        <f aca="false">IF(K785&gt;0,1,0)</f>
        <v>1</v>
      </c>
      <c r="N785" s="11" t="n">
        <f aca="false">SUMIFS(K$2:K785,A$2:A785,A785,B$2:B785,B785)</f>
        <v>97191.3</v>
      </c>
      <c r="O785" s="11" t="n">
        <f aca="false">MAX(0,_xlfn.MAXIFS(N$2:N785,A$2:A785,A785,B$2:B785,B785))</f>
        <v>97191.3</v>
      </c>
      <c r="P785" s="11" t="n">
        <f aca="false">N785-O785</f>
        <v>0</v>
      </c>
    </row>
    <row r="786" customFormat="false" ht="15" hidden="false" customHeight="false" outlineLevel="0" collapsed="false">
      <c r="A786" s="8" t="s">
        <v>26</v>
      </c>
      <c r="B786" s="8" t="s">
        <v>43</v>
      </c>
      <c r="C786" s="8" t="s">
        <v>62</v>
      </c>
      <c r="D786" s="21" t="n">
        <v>45777.5833333333</v>
      </c>
      <c r="E786" s="21" t="n">
        <v>45777.6694444444</v>
      </c>
      <c r="F786" s="22" t="n">
        <f aca="false">DATE(YEAR(E786),MONTH(E786),1)</f>
        <v>45748</v>
      </c>
      <c r="G786" s="23" t="n">
        <v>131200</v>
      </c>
      <c r="H786" s="8" t="s">
        <v>64</v>
      </c>
      <c r="I786" s="24" t="n">
        <v>82.18</v>
      </c>
      <c r="J786" s="25" t="n">
        <f aca="false">Summary!$B$4</f>
        <v>1</v>
      </c>
      <c r="K786" s="11" t="n">
        <f aca="false">I786*J786*IF(A786="SILVER",Summary!$B$5,Summary!$B$6)</f>
        <v>2465.4</v>
      </c>
      <c r="L786" s="26" t="n">
        <v>0.095</v>
      </c>
      <c r="M786" s="27" t="n">
        <f aca="false">IF(K786&gt;0,1,0)</f>
        <v>1</v>
      </c>
      <c r="N786" s="11" t="n">
        <f aca="false">SUMIFS(K$2:K786,A$2:A786,A786,B$2:B786,B786)</f>
        <v>99656.7</v>
      </c>
      <c r="O786" s="11" t="n">
        <f aca="false">MAX(0,_xlfn.MAXIFS(N$2:N786,A$2:A786,A786,B$2:B786,B786))</f>
        <v>99656.7</v>
      </c>
      <c r="P786" s="11" t="n">
        <f aca="false">N786-O786</f>
        <v>0</v>
      </c>
    </row>
    <row r="787" customFormat="false" ht="15" hidden="false" customHeight="false" outlineLevel="0" collapsed="false">
      <c r="A787" s="8" t="s">
        <v>26</v>
      </c>
      <c r="B787" s="8" t="s">
        <v>43</v>
      </c>
      <c r="C787" s="8" t="s">
        <v>62</v>
      </c>
      <c r="D787" s="21" t="n">
        <v>45777.7291666667</v>
      </c>
      <c r="E787" s="21" t="n">
        <v>45777.7715277778</v>
      </c>
      <c r="F787" s="22" t="n">
        <f aca="false">DATE(YEAR(E787),MONTH(E787),1)</f>
        <v>45748</v>
      </c>
      <c r="G787" s="23" t="n">
        <v>130612</v>
      </c>
      <c r="H787" s="8" t="s">
        <v>61</v>
      </c>
      <c r="I787" s="24" t="n">
        <v>-864.77</v>
      </c>
      <c r="J787" s="25" t="n">
        <f aca="false">Summary!$B$4</f>
        <v>1</v>
      </c>
      <c r="K787" s="11" t="n">
        <f aca="false">I787*J787*IF(A787="SILVER",Summary!$B$5,Summary!$B$6)</f>
        <v>-25943.1</v>
      </c>
      <c r="L787" s="26" t="n">
        <v>-1.293</v>
      </c>
      <c r="M787" s="27" t="n">
        <f aca="false">IF(K787&gt;0,1,0)</f>
        <v>0</v>
      </c>
      <c r="N787" s="11" t="n">
        <f aca="false">SUMIFS(K$2:K787,A$2:A787,A787,B$2:B787,B787)</f>
        <v>73713.6</v>
      </c>
      <c r="O787" s="11" t="n">
        <f aca="false">MAX(0,_xlfn.MAXIFS(N$2:N787,A$2:A787,A787,B$2:B787,B787))</f>
        <v>99656.7</v>
      </c>
      <c r="P787" s="11" t="n">
        <f aca="false">N787-O787</f>
        <v>-25943.1</v>
      </c>
    </row>
    <row r="788" customFormat="false" ht="15" hidden="false" customHeight="false" outlineLevel="0" collapsed="false">
      <c r="A788" s="8" t="s">
        <v>26</v>
      </c>
      <c r="B788" s="8" t="s">
        <v>43</v>
      </c>
      <c r="C788" s="8" t="s">
        <v>62</v>
      </c>
      <c r="D788" s="21" t="n">
        <v>45778.7159722222</v>
      </c>
      <c r="E788" s="21" t="n">
        <v>45778.7520833333</v>
      </c>
      <c r="F788" s="22" t="n">
        <f aca="false">DATE(YEAR(E788),MONTH(E788),1)</f>
        <v>45778</v>
      </c>
      <c r="G788" s="23" t="n">
        <v>130009</v>
      </c>
      <c r="H788" s="8" t="s">
        <v>64</v>
      </c>
      <c r="I788" s="24" t="n">
        <v>-458.66</v>
      </c>
      <c r="J788" s="25" t="n">
        <f aca="false">Summary!$B$4</f>
        <v>1</v>
      </c>
      <c r="K788" s="11" t="n">
        <f aca="false">I788*J788*IF(A788="SILVER",Summary!$B$5,Summary!$B$6)</f>
        <v>-13759.8</v>
      </c>
      <c r="L788" s="26" t="n">
        <v>-0.322</v>
      </c>
      <c r="M788" s="27" t="n">
        <f aca="false">IF(K788&gt;0,1,0)</f>
        <v>0</v>
      </c>
      <c r="N788" s="11" t="n">
        <f aca="false">SUMIFS(K$2:K788,A$2:A788,A788,B$2:B788,B788)</f>
        <v>59953.8</v>
      </c>
      <c r="O788" s="11" t="n">
        <f aca="false">MAX(0,_xlfn.MAXIFS(N$2:N788,A$2:A788,A788,B$2:B788,B788))</f>
        <v>99656.7</v>
      </c>
      <c r="P788" s="11" t="n">
        <f aca="false">N788-O788</f>
        <v>-39702.9</v>
      </c>
    </row>
    <row r="789" customFormat="false" ht="15" hidden="false" customHeight="false" outlineLevel="0" collapsed="false">
      <c r="A789" s="8" t="s">
        <v>26</v>
      </c>
      <c r="B789" s="8" t="s">
        <v>43</v>
      </c>
      <c r="C789" s="8" t="s">
        <v>62</v>
      </c>
      <c r="D789" s="21" t="n">
        <v>45779.8263888889</v>
      </c>
      <c r="E789" s="21" t="n">
        <v>45782.3805555556</v>
      </c>
      <c r="F789" s="22" t="n">
        <f aca="false">DATE(YEAR(E789),MONTH(E789),1)</f>
        <v>45778</v>
      </c>
      <c r="G789" s="23" t="n">
        <v>130256</v>
      </c>
      <c r="H789" s="8" t="s">
        <v>64</v>
      </c>
      <c r="I789" s="24" t="n">
        <v>69.36</v>
      </c>
      <c r="J789" s="25" t="n">
        <f aca="false">Summary!$B$4</f>
        <v>1</v>
      </c>
      <c r="K789" s="11" t="n">
        <f aca="false">I789*J789*IF(A789="SILVER",Summary!$B$5,Summary!$B$6)</f>
        <v>2080.8</v>
      </c>
      <c r="L789" s="26" t="n">
        <v>0.065</v>
      </c>
      <c r="M789" s="27" t="n">
        <f aca="false">IF(K789&gt;0,1,0)</f>
        <v>1</v>
      </c>
      <c r="N789" s="11" t="n">
        <f aca="false">SUMIFS(K$2:K789,A$2:A789,A789,B$2:B789,B789)</f>
        <v>62034.6</v>
      </c>
      <c r="O789" s="11" t="n">
        <f aca="false">MAX(0,_xlfn.MAXIFS(N$2:N789,A$2:A789,A789,B$2:B789,B789))</f>
        <v>99656.7</v>
      </c>
      <c r="P789" s="11" t="n">
        <f aca="false">N789-O789</f>
        <v>-37622.1</v>
      </c>
    </row>
    <row r="790" customFormat="false" ht="15" hidden="false" customHeight="false" outlineLevel="0" collapsed="false">
      <c r="A790" s="8" t="s">
        <v>26</v>
      </c>
      <c r="B790" s="8" t="s">
        <v>43</v>
      </c>
      <c r="C790" s="8" t="s">
        <v>62</v>
      </c>
      <c r="D790" s="21" t="n">
        <v>45782.88125</v>
      </c>
      <c r="E790" s="21" t="n">
        <v>45783.3819444445</v>
      </c>
      <c r="F790" s="22" t="n">
        <f aca="false">DATE(YEAR(E790),MONTH(E790),1)</f>
        <v>45778</v>
      </c>
      <c r="G790" s="23" t="n">
        <v>130409</v>
      </c>
      <c r="H790" s="8" t="s">
        <v>61</v>
      </c>
      <c r="I790" s="24" t="n">
        <v>-986.27</v>
      </c>
      <c r="J790" s="25" t="n">
        <f aca="false">Summary!$B$4</f>
        <v>1</v>
      </c>
      <c r="K790" s="11" t="n">
        <f aca="false">I790*J790*IF(A790="SILVER",Summary!$B$5,Summary!$B$6)</f>
        <v>-29588.1</v>
      </c>
      <c r="L790" s="26" t="n">
        <v>-0.971</v>
      </c>
      <c r="M790" s="27" t="n">
        <f aca="false">IF(K790&gt;0,1,0)</f>
        <v>0</v>
      </c>
      <c r="N790" s="11" t="n">
        <f aca="false">SUMIFS(K$2:K790,A$2:A790,A790,B$2:B790,B790)</f>
        <v>32446.5</v>
      </c>
      <c r="O790" s="11" t="n">
        <f aca="false">MAX(0,_xlfn.MAXIFS(N$2:N790,A$2:A790,A790,B$2:B790,B790))</f>
        <v>99656.7</v>
      </c>
      <c r="P790" s="11" t="n">
        <f aca="false">N790-O790</f>
        <v>-67210.2</v>
      </c>
    </row>
    <row r="791" customFormat="false" ht="15" hidden="false" customHeight="false" outlineLevel="0" collapsed="false">
      <c r="A791" s="8" t="s">
        <v>26</v>
      </c>
      <c r="B791" s="8" t="s">
        <v>43</v>
      </c>
      <c r="C791" s="8" t="s">
        <v>62</v>
      </c>
      <c r="D791" s="21" t="n">
        <v>45784.6215277778</v>
      </c>
      <c r="E791" s="21" t="n">
        <v>45784.7923611111</v>
      </c>
      <c r="F791" s="22" t="n">
        <f aca="false">DATE(YEAR(E791),MONTH(E791),1)</f>
        <v>45778</v>
      </c>
      <c r="G791" s="23" t="n">
        <v>131099</v>
      </c>
      <c r="H791" s="8" t="s">
        <v>64</v>
      </c>
      <c r="I791" s="24" t="n">
        <v>56.89</v>
      </c>
      <c r="J791" s="25" t="n">
        <f aca="false">Summary!$B$4</f>
        <v>1</v>
      </c>
      <c r="K791" s="11" t="n">
        <f aca="false">I791*J791*IF(A791="SILVER",Summary!$B$5,Summary!$B$6)</f>
        <v>1706.7</v>
      </c>
      <c r="L791" s="26" t="n">
        <v>0.099</v>
      </c>
      <c r="M791" s="27" t="n">
        <f aca="false">IF(K791&gt;0,1,0)</f>
        <v>1</v>
      </c>
      <c r="N791" s="11" t="n">
        <f aca="false">SUMIFS(K$2:K791,A$2:A791,A791,B$2:B791,B791)</f>
        <v>34153.2</v>
      </c>
      <c r="O791" s="11" t="n">
        <f aca="false">MAX(0,_xlfn.MAXIFS(N$2:N791,A$2:A791,A791,B$2:B791,B791))</f>
        <v>99656.7</v>
      </c>
      <c r="P791" s="11" t="n">
        <f aca="false">N791-O791</f>
        <v>-65503.5</v>
      </c>
    </row>
    <row r="792" customFormat="false" ht="15" hidden="false" customHeight="false" outlineLevel="0" collapsed="false">
      <c r="A792" s="8" t="s">
        <v>26</v>
      </c>
      <c r="B792" s="8" t="s">
        <v>43</v>
      </c>
      <c r="C792" s="8" t="s">
        <v>62</v>
      </c>
      <c r="D792" s="21" t="n">
        <v>45784.8229166667</v>
      </c>
      <c r="E792" s="21" t="n">
        <v>45784.8270833333</v>
      </c>
      <c r="F792" s="22" t="n">
        <f aca="false">DATE(YEAR(E792),MONTH(E792),1)</f>
        <v>45778</v>
      </c>
      <c r="G792" s="23" t="n">
        <v>130726</v>
      </c>
      <c r="H792" s="8" t="s">
        <v>64</v>
      </c>
      <c r="I792" s="24" t="n">
        <v>104.71</v>
      </c>
      <c r="J792" s="25" t="n">
        <f aca="false">Summary!$B$4</f>
        <v>1</v>
      </c>
      <c r="K792" s="11" t="n">
        <f aca="false">I792*J792*IF(A792="SILVER",Summary!$B$5,Summary!$B$6)</f>
        <v>3141.3</v>
      </c>
      <c r="L792" s="26" t="n">
        <v>0.117</v>
      </c>
      <c r="M792" s="27" t="n">
        <f aca="false">IF(K792&gt;0,1,0)</f>
        <v>1</v>
      </c>
      <c r="N792" s="11" t="n">
        <f aca="false">SUMIFS(K$2:K792,A$2:A792,A792,B$2:B792,B792)</f>
        <v>37294.5</v>
      </c>
      <c r="O792" s="11" t="n">
        <f aca="false">MAX(0,_xlfn.MAXIFS(N$2:N792,A$2:A792,A792,B$2:B792,B792))</f>
        <v>99656.7</v>
      </c>
      <c r="P792" s="11" t="n">
        <f aca="false">N792-O792</f>
        <v>-62362.2</v>
      </c>
    </row>
    <row r="793" customFormat="false" ht="15" hidden="false" customHeight="false" outlineLevel="0" collapsed="false">
      <c r="A793" s="8" t="s">
        <v>26</v>
      </c>
      <c r="B793" s="8" t="s">
        <v>43</v>
      </c>
      <c r="C793" s="8" t="s">
        <v>62</v>
      </c>
      <c r="D793" s="21" t="n">
        <v>45785.4791666667</v>
      </c>
      <c r="E793" s="21" t="n">
        <v>45785.6</v>
      </c>
      <c r="F793" s="22" t="n">
        <f aca="false">DATE(YEAR(E793),MONTH(E793),1)</f>
        <v>45778</v>
      </c>
      <c r="G793" s="23" t="n">
        <v>130497</v>
      </c>
      <c r="H793" s="8" t="s">
        <v>64</v>
      </c>
      <c r="I793" s="24" t="n">
        <v>58.84</v>
      </c>
      <c r="J793" s="25" t="n">
        <f aca="false">Summary!$B$4</f>
        <v>1</v>
      </c>
      <c r="K793" s="11" t="n">
        <f aca="false">I793*J793*IF(A793="SILVER",Summary!$B$5,Summary!$B$6)</f>
        <v>1765.2</v>
      </c>
      <c r="L793" s="26" t="n">
        <v>0.1</v>
      </c>
      <c r="M793" s="27" t="n">
        <f aca="false">IF(K793&gt;0,1,0)</f>
        <v>1</v>
      </c>
      <c r="N793" s="11" t="n">
        <f aca="false">SUMIFS(K$2:K793,A$2:A793,A793,B$2:B793,B793)</f>
        <v>39059.7</v>
      </c>
      <c r="O793" s="11" t="n">
        <f aca="false">MAX(0,_xlfn.MAXIFS(N$2:N793,A$2:A793,A793,B$2:B793,B793))</f>
        <v>99656.7</v>
      </c>
      <c r="P793" s="11" t="n">
        <f aca="false">N793-O793</f>
        <v>-60597</v>
      </c>
    </row>
    <row r="794" customFormat="false" ht="15" hidden="false" customHeight="false" outlineLevel="0" collapsed="false">
      <c r="A794" s="8" t="s">
        <v>26</v>
      </c>
      <c r="B794" s="8" t="s">
        <v>43</v>
      </c>
      <c r="C794" s="8" t="s">
        <v>62</v>
      </c>
      <c r="D794" s="21" t="n">
        <v>45786.7118055556</v>
      </c>
      <c r="E794" s="21" t="n">
        <v>45786.8090277778</v>
      </c>
      <c r="F794" s="22" t="n">
        <f aca="false">DATE(YEAR(E794),MONTH(E794),1)</f>
        <v>45778</v>
      </c>
      <c r="G794" s="23" t="n">
        <v>130778</v>
      </c>
      <c r="H794" s="8" t="s">
        <v>61</v>
      </c>
      <c r="I794" s="24" t="n">
        <v>-684.25</v>
      </c>
      <c r="J794" s="25" t="n">
        <f aca="false">Summary!$B$4</f>
        <v>1</v>
      </c>
      <c r="K794" s="11" t="n">
        <f aca="false">I794*J794*IF(A794="SILVER",Summary!$B$5,Summary!$B$6)</f>
        <v>-20527.5</v>
      </c>
      <c r="L794" s="26" t="n">
        <v>-1.044</v>
      </c>
      <c r="M794" s="27" t="n">
        <f aca="false">IF(K794&gt;0,1,0)</f>
        <v>0</v>
      </c>
      <c r="N794" s="11" t="n">
        <f aca="false">SUMIFS(K$2:K794,A$2:A794,A794,B$2:B794,B794)</f>
        <v>18532.2</v>
      </c>
      <c r="O794" s="11" t="n">
        <f aca="false">MAX(0,_xlfn.MAXIFS(N$2:N794,A$2:A794,A794,B$2:B794,B794))</f>
        <v>99656.7</v>
      </c>
      <c r="P794" s="11" t="n">
        <f aca="false">N794-O794</f>
        <v>-81124.5</v>
      </c>
    </row>
    <row r="795" customFormat="false" ht="15" hidden="false" customHeight="false" outlineLevel="0" collapsed="false">
      <c r="A795" s="8" t="s">
        <v>26</v>
      </c>
      <c r="B795" s="8" t="s">
        <v>43</v>
      </c>
      <c r="C795" s="8" t="s">
        <v>62</v>
      </c>
      <c r="D795" s="21" t="n">
        <v>45789.3784722222</v>
      </c>
      <c r="E795" s="21" t="n">
        <v>45789.7708333333</v>
      </c>
      <c r="F795" s="22" t="n">
        <f aca="false">DATE(YEAR(E795),MONTH(E795),1)</f>
        <v>45778</v>
      </c>
      <c r="G795" s="23" t="n">
        <v>131024</v>
      </c>
      <c r="H795" s="8" t="s">
        <v>61</v>
      </c>
      <c r="I795" s="24" t="n">
        <v>696.85</v>
      </c>
      <c r="J795" s="25" t="n">
        <f aca="false">Summary!$B$4</f>
        <v>1</v>
      </c>
      <c r="K795" s="11" t="n">
        <f aca="false">I795*J795*IF(A795="SILVER",Summary!$B$5,Summary!$B$6)</f>
        <v>20905.5</v>
      </c>
      <c r="L795" s="26" t="n">
        <v>1.228</v>
      </c>
      <c r="M795" s="27" t="n">
        <f aca="false">IF(K795&gt;0,1,0)</f>
        <v>1</v>
      </c>
      <c r="N795" s="11" t="n">
        <f aca="false">SUMIFS(K$2:K795,A$2:A795,A795,B$2:B795,B795)</f>
        <v>39437.7</v>
      </c>
      <c r="O795" s="11" t="n">
        <f aca="false">MAX(0,_xlfn.MAXIFS(N$2:N795,A$2:A795,A795,B$2:B795,B795))</f>
        <v>99656.7</v>
      </c>
      <c r="P795" s="11" t="n">
        <f aca="false">N795-O795</f>
        <v>-60219</v>
      </c>
    </row>
    <row r="796" customFormat="false" ht="15" hidden="false" customHeight="false" outlineLevel="0" collapsed="false">
      <c r="A796" s="8" t="s">
        <v>26</v>
      </c>
      <c r="B796" s="8" t="s">
        <v>43</v>
      </c>
      <c r="C796" s="8" t="s">
        <v>62</v>
      </c>
      <c r="D796" s="21" t="n">
        <v>45792.4618055556</v>
      </c>
      <c r="E796" s="21" t="n">
        <v>45792.5506944444</v>
      </c>
      <c r="F796" s="22" t="n">
        <f aca="false">DATE(YEAR(E796),MONTH(E796),1)</f>
        <v>45778</v>
      </c>
      <c r="G796" s="23" t="n">
        <v>128974</v>
      </c>
      <c r="H796" s="8" t="s">
        <v>64</v>
      </c>
      <c r="I796" s="24" t="n">
        <v>65.34</v>
      </c>
      <c r="J796" s="25" t="n">
        <f aca="false">Summary!$B$4</f>
        <v>1</v>
      </c>
      <c r="K796" s="11" t="n">
        <f aca="false">I796*J796*IF(A796="SILVER",Summary!$B$5,Summary!$B$6)</f>
        <v>1960.2</v>
      </c>
      <c r="L796" s="26" t="n">
        <v>0.104</v>
      </c>
      <c r="M796" s="27" t="n">
        <f aca="false">IF(K796&gt;0,1,0)</f>
        <v>1</v>
      </c>
      <c r="N796" s="11" t="n">
        <f aca="false">SUMIFS(K$2:K796,A$2:A796,A796,B$2:B796,B796)</f>
        <v>41397.9</v>
      </c>
      <c r="O796" s="11" t="n">
        <f aca="false">MAX(0,_xlfn.MAXIFS(N$2:N796,A$2:A796,A796,B$2:B796,B796))</f>
        <v>99656.7</v>
      </c>
      <c r="P796" s="11" t="n">
        <f aca="false">N796-O796</f>
        <v>-58258.8</v>
      </c>
    </row>
    <row r="797" customFormat="false" ht="15" hidden="false" customHeight="false" outlineLevel="0" collapsed="false">
      <c r="A797" s="8" t="s">
        <v>26</v>
      </c>
      <c r="B797" s="8" t="s">
        <v>43</v>
      </c>
      <c r="C797" s="8" t="s">
        <v>62</v>
      </c>
      <c r="D797" s="21" t="n">
        <v>45792.5520833333</v>
      </c>
      <c r="E797" s="21" t="n">
        <v>45792.6180555556</v>
      </c>
      <c r="F797" s="22" t="n">
        <f aca="false">DATE(YEAR(E797),MONTH(E797),1)</f>
        <v>45778</v>
      </c>
      <c r="G797" s="23" t="n">
        <v>128806</v>
      </c>
      <c r="H797" s="8" t="s">
        <v>61</v>
      </c>
      <c r="I797" s="24" t="n">
        <v>-853.87</v>
      </c>
      <c r="J797" s="25" t="n">
        <f aca="false">Summary!$B$4</f>
        <v>1</v>
      </c>
      <c r="K797" s="11" t="n">
        <f aca="false">I797*J797*IF(A797="SILVER",Summary!$B$5,Summary!$B$6)</f>
        <v>-25616.1</v>
      </c>
      <c r="L797" s="26" t="n">
        <v>-1.073</v>
      </c>
      <c r="M797" s="27" t="n">
        <f aca="false">IF(K797&gt;0,1,0)</f>
        <v>0</v>
      </c>
      <c r="N797" s="11" t="n">
        <f aca="false">SUMIFS(K$2:K797,A$2:A797,A797,B$2:B797,B797)</f>
        <v>15781.8</v>
      </c>
      <c r="O797" s="11" t="n">
        <f aca="false">MAX(0,_xlfn.MAXIFS(N$2:N797,A$2:A797,A797,B$2:B797,B797))</f>
        <v>99656.7</v>
      </c>
      <c r="P797" s="11" t="n">
        <f aca="false">N797-O797</f>
        <v>-83874.9</v>
      </c>
    </row>
    <row r="798" customFormat="false" ht="15" hidden="false" customHeight="false" outlineLevel="0" collapsed="false">
      <c r="A798" s="8" t="s">
        <v>26</v>
      </c>
      <c r="B798" s="8" t="s">
        <v>43</v>
      </c>
      <c r="C798" s="8" t="s">
        <v>62</v>
      </c>
      <c r="D798" s="21" t="n">
        <v>45793.3854166667</v>
      </c>
      <c r="E798" s="21" t="n">
        <v>45793.8</v>
      </c>
      <c r="F798" s="22" t="n">
        <f aca="false">DATE(YEAR(E798),MONTH(E798),1)</f>
        <v>45778</v>
      </c>
      <c r="G798" s="23" t="n">
        <v>130321</v>
      </c>
      <c r="H798" s="8" t="s">
        <v>64</v>
      </c>
      <c r="I798" s="24" t="n">
        <v>78.38</v>
      </c>
      <c r="J798" s="25" t="n">
        <f aca="false">Summary!$B$4</f>
        <v>1</v>
      </c>
      <c r="K798" s="11" t="n">
        <f aca="false">I798*J798*IF(A798="SILVER",Summary!$B$5,Summary!$B$6)</f>
        <v>2351.4</v>
      </c>
      <c r="L798" s="26" t="n">
        <v>0.109</v>
      </c>
      <c r="M798" s="27" t="n">
        <f aca="false">IF(K798&gt;0,1,0)</f>
        <v>1</v>
      </c>
      <c r="N798" s="11" t="n">
        <f aca="false">SUMIFS(K$2:K798,A$2:A798,A798,B$2:B798,B798)</f>
        <v>18133.2</v>
      </c>
      <c r="O798" s="11" t="n">
        <f aca="false">MAX(0,_xlfn.MAXIFS(N$2:N798,A$2:A798,A798,B$2:B798,B798))</f>
        <v>99656.7</v>
      </c>
      <c r="P798" s="11" t="n">
        <f aca="false">N798-O798</f>
        <v>-81523.5</v>
      </c>
    </row>
    <row r="799" customFormat="false" ht="15" hidden="false" customHeight="false" outlineLevel="0" collapsed="false">
      <c r="A799" s="8" t="s">
        <v>26</v>
      </c>
      <c r="B799" s="8" t="s">
        <v>43</v>
      </c>
      <c r="C799" s="8" t="s">
        <v>62</v>
      </c>
      <c r="D799" s="21" t="n">
        <v>45796.7708333333</v>
      </c>
      <c r="E799" s="21" t="n">
        <v>45796.8006944444</v>
      </c>
      <c r="F799" s="22" t="n">
        <f aca="false">DATE(YEAR(E799),MONTH(E799),1)</f>
        <v>45778</v>
      </c>
      <c r="G799" s="23" t="n">
        <v>130530</v>
      </c>
      <c r="H799" s="8" t="s">
        <v>64</v>
      </c>
      <c r="I799" s="24" t="n">
        <v>73.77</v>
      </c>
      <c r="J799" s="25" t="n">
        <f aca="false">Summary!$B$4</f>
        <v>1</v>
      </c>
      <c r="K799" s="11" t="n">
        <f aca="false">I799*J799*IF(A799="SILVER",Summary!$B$5,Summary!$B$6)</f>
        <v>2213.1</v>
      </c>
      <c r="L799" s="26" t="n">
        <v>0.108</v>
      </c>
      <c r="M799" s="27" t="n">
        <f aca="false">IF(K799&gt;0,1,0)</f>
        <v>1</v>
      </c>
      <c r="N799" s="11" t="n">
        <f aca="false">SUMIFS(K$2:K799,A$2:A799,A799,B$2:B799,B799)</f>
        <v>20346.3</v>
      </c>
      <c r="O799" s="11" t="n">
        <f aca="false">MAX(0,_xlfn.MAXIFS(N$2:N799,A$2:A799,A799,B$2:B799,B799))</f>
        <v>99656.7</v>
      </c>
      <c r="P799" s="11" t="n">
        <f aca="false">N799-O799</f>
        <v>-79310.4</v>
      </c>
    </row>
    <row r="800" customFormat="false" ht="15" hidden="false" customHeight="false" outlineLevel="0" collapsed="false">
      <c r="A800" s="8" t="s">
        <v>26</v>
      </c>
      <c r="B800" s="8" t="s">
        <v>43</v>
      </c>
      <c r="C800" s="8" t="s">
        <v>62</v>
      </c>
      <c r="D800" s="21" t="n">
        <v>45796.8194444445</v>
      </c>
      <c r="E800" s="21" t="n">
        <v>45797.4590277778</v>
      </c>
      <c r="F800" s="22" t="n">
        <f aca="false">DATE(YEAR(E800),MONTH(E800),1)</f>
        <v>45778</v>
      </c>
      <c r="G800" s="23" t="n">
        <v>130245</v>
      </c>
      <c r="H800" s="8" t="s">
        <v>64</v>
      </c>
      <c r="I800" s="24" t="n">
        <v>79.6</v>
      </c>
      <c r="J800" s="25" t="n">
        <f aca="false">Summary!$B$4</f>
        <v>1</v>
      </c>
      <c r="K800" s="11" t="n">
        <f aca="false">I800*J800*IF(A800="SILVER",Summary!$B$5,Summary!$B$6)</f>
        <v>2388</v>
      </c>
      <c r="L800" s="26" t="n">
        <v>0.11</v>
      </c>
      <c r="M800" s="27" t="n">
        <f aca="false">IF(K800&gt;0,1,0)</f>
        <v>1</v>
      </c>
      <c r="N800" s="11" t="n">
        <f aca="false">SUMIFS(K$2:K800,A$2:A800,A800,B$2:B800,B800)</f>
        <v>22734.3</v>
      </c>
      <c r="O800" s="11" t="n">
        <f aca="false">MAX(0,_xlfn.MAXIFS(N$2:N800,A$2:A800,A800,B$2:B800,B800))</f>
        <v>99656.7</v>
      </c>
      <c r="P800" s="11" t="n">
        <f aca="false">N800-O800</f>
        <v>-76922.4</v>
      </c>
    </row>
    <row r="801" customFormat="false" ht="15" hidden="false" customHeight="false" outlineLevel="0" collapsed="false">
      <c r="A801" s="8" t="s">
        <v>26</v>
      </c>
      <c r="B801" s="8" t="s">
        <v>43</v>
      </c>
      <c r="C801" s="8" t="s">
        <v>62</v>
      </c>
      <c r="D801" s="21" t="n">
        <v>45800.5625</v>
      </c>
      <c r="E801" s="21" t="n">
        <v>45800.8368055556</v>
      </c>
      <c r="F801" s="22" t="n">
        <f aca="false">DATE(YEAR(E801),MONTH(E801),1)</f>
        <v>45778</v>
      </c>
      <c r="G801" s="23" t="n">
        <v>132655</v>
      </c>
      <c r="H801" s="8" t="s">
        <v>64</v>
      </c>
      <c r="I801" s="24" t="n">
        <v>48.7</v>
      </c>
      <c r="J801" s="25" t="n">
        <f aca="false">Summary!$B$4</f>
        <v>1</v>
      </c>
      <c r="K801" s="11" t="n">
        <f aca="false">I801*J801*IF(A801="SILVER",Summary!$B$5,Summary!$B$6)</f>
        <v>1461</v>
      </c>
      <c r="L801" s="26" t="n">
        <v>0.093</v>
      </c>
      <c r="M801" s="27" t="n">
        <f aca="false">IF(K801&gt;0,1,0)</f>
        <v>1</v>
      </c>
      <c r="N801" s="11" t="n">
        <f aca="false">SUMIFS(K$2:K801,A$2:A801,A801,B$2:B801,B801)</f>
        <v>24195.3</v>
      </c>
      <c r="O801" s="11" t="n">
        <f aca="false">MAX(0,_xlfn.MAXIFS(N$2:N801,A$2:A801,A801,B$2:B801,B801))</f>
        <v>99656.7</v>
      </c>
      <c r="P801" s="11" t="n">
        <f aca="false">N801-O801</f>
        <v>-75461.4</v>
      </c>
    </row>
    <row r="802" customFormat="false" ht="15" hidden="false" customHeight="false" outlineLevel="0" collapsed="false">
      <c r="A802" s="8" t="s">
        <v>26</v>
      </c>
      <c r="B802" s="8" t="s">
        <v>43</v>
      </c>
      <c r="C802" s="8" t="s">
        <v>62</v>
      </c>
      <c r="D802" s="21" t="n">
        <v>45803.5347222222</v>
      </c>
      <c r="E802" s="21" t="n">
        <v>45803.6263888889</v>
      </c>
      <c r="F802" s="22" t="n">
        <f aca="false">DATE(YEAR(E802),MONTH(E802),1)</f>
        <v>45778</v>
      </c>
      <c r="G802" s="23" t="n">
        <v>132612</v>
      </c>
      <c r="H802" s="8" t="s">
        <v>64</v>
      </c>
      <c r="I802" s="24" t="n">
        <v>50.51</v>
      </c>
      <c r="J802" s="25" t="n">
        <f aca="false">Summary!$B$4</f>
        <v>1</v>
      </c>
      <c r="K802" s="11" t="n">
        <f aca="false">I802*J802*IF(A802="SILVER",Summary!$B$5,Summary!$B$6)</f>
        <v>1515.3</v>
      </c>
      <c r="L802" s="26" t="n">
        <v>0.095</v>
      </c>
      <c r="M802" s="27" t="n">
        <f aca="false">IF(K802&gt;0,1,0)</f>
        <v>1</v>
      </c>
      <c r="N802" s="11" t="n">
        <f aca="false">SUMIFS(K$2:K802,A$2:A802,A802,B$2:B802,B802)</f>
        <v>25710.6</v>
      </c>
      <c r="O802" s="11" t="n">
        <f aca="false">MAX(0,_xlfn.MAXIFS(N$2:N802,A$2:A802,A802,B$2:B802,B802))</f>
        <v>99656.7</v>
      </c>
      <c r="P802" s="11" t="n">
        <f aca="false">N802-O802</f>
        <v>-73946.1</v>
      </c>
    </row>
    <row r="803" customFormat="false" ht="15" hidden="false" customHeight="false" outlineLevel="0" collapsed="false">
      <c r="A803" s="8" t="s">
        <v>26</v>
      </c>
      <c r="B803" s="8" t="s">
        <v>43</v>
      </c>
      <c r="C803" s="8" t="s">
        <v>62</v>
      </c>
      <c r="D803" s="21" t="n">
        <v>45804.4305555556</v>
      </c>
      <c r="E803" s="21" t="n">
        <v>45804.4895833333</v>
      </c>
      <c r="F803" s="22" t="n">
        <f aca="false">DATE(YEAR(E803),MONTH(E803),1)</f>
        <v>45778</v>
      </c>
      <c r="G803" s="23" t="n">
        <v>132564</v>
      </c>
      <c r="H803" s="8" t="s">
        <v>64</v>
      </c>
      <c r="I803" s="24" t="n">
        <v>19.22</v>
      </c>
      <c r="J803" s="25" t="n">
        <f aca="false">Summary!$B$4</f>
        <v>1</v>
      </c>
      <c r="K803" s="11" t="n">
        <f aca="false">I803*J803*IF(A803="SILVER",Summary!$B$5,Summary!$B$6)</f>
        <v>576.6</v>
      </c>
      <c r="L803" s="26" t="n">
        <v>0.059</v>
      </c>
      <c r="M803" s="27" t="n">
        <f aca="false">IF(K803&gt;0,1,0)</f>
        <v>1</v>
      </c>
      <c r="N803" s="11" t="n">
        <f aca="false">SUMIFS(K$2:K803,A$2:A803,A803,B$2:B803,B803)</f>
        <v>26287.2</v>
      </c>
      <c r="O803" s="11" t="n">
        <f aca="false">MAX(0,_xlfn.MAXIFS(N$2:N803,A$2:A803,A803,B$2:B803,B803))</f>
        <v>99656.7</v>
      </c>
      <c r="P803" s="11" t="n">
        <f aca="false">N803-O803</f>
        <v>-73369.5</v>
      </c>
    </row>
    <row r="804" customFormat="false" ht="15" hidden="false" customHeight="false" outlineLevel="0" collapsed="false">
      <c r="A804" s="8" t="s">
        <v>26</v>
      </c>
      <c r="B804" s="8" t="s">
        <v>43</v>
      </c>
      <c r="C804" s="8" t="s">
        <v>62</v>
      </c>
      <c r="D804" s="21" t="n">
        <v>45804.5590277778</v>
      </c>
      <c r="E804" s="21" t="n">
        <v>45804.6902777778</v>
      </c>
      <c r="F804" s="22" t="n">
        <f aca="false">DATE(YEAR(E804),MONTH(E804),1)</f>
        <v>45778</v>
      </c>
      <c r="G804" s="23" t="n">
        <v>131990</v>
      </c>
      <c r="H804" s="8" t="s">
        <v>64</v>
      </c>
      <c r="I804" s="24" t="n">
        <v>79.16</v>
      </c>
      <c r="J804" s="25" t="n">
        <f aca="false">Summary!$B$4</f>
        <v>1</v>
      </c>
      <c r="K804" s="11" t="n">
        <f aca="false">I804*J804*IF(A804="SILVER",Summary!$B$5,Summary!$B$6)</f>
        <v>2374.8</v>
      </c>
      <c r="L804" s="26" t="n">
        <v>0.109</v>
      </c>
      <c r="M804" s="27" t="n">
        <f aca="false">IF(K804&gt;0,1,0)</f>
        <v>1</v>
      </c>
      <c r="N804" s="11" t="n">
        <f aca="false">SUMIFS(K$2:K804,A$2:A804,A804,B$2:B804,B804)</f>
        <v>28662</v>
      </c>
      <c r="O804" s="11" t="n">
        <f aca="false">MAX(0,_xlfn.MAXIFS(N$2:N804,A$2:A804,A804,B$2:B804,B804))</f>
        <v>99656.7</v>
      </c>
      <c r="P804" s="11" t="n">
        <f aca="false">N804-O804</f>
        <v>-70994.7</v>
      </c>
    </row>
    <row r="805" customFormat="false" ht="15" hidden="false" customHeight="false" outlineLevel="0" collapsed="false">
      <c r="A805" s="8" t="s">
        <v>26</v>
      </c>
      <c r="B805" s="8" t="s">
        <v>43</v>
      </c>
      <c r="C805" s="8" t="s">
        <v>62</v>
      </c>
      <c r="D805" s="21" t="n">
        <v>45804.7291666667</v>
      </c>
      <c r="E805" s="21" t="n">
        <v>45804.7666666667</v>
      </c>
      <c r="F805" s="22" t="n">
        <f aca="false">DATE(YEAR(E805),MONTH(E805),1)</f>
        <v>45778</v>
      </c>
      <c r="G805" s="23" t="n">
        <v>131582</v>
      </c>
      <c r="H805" s="8" t="s">
        <v>64</v>
      </c>
      <c r="I805" s="24" t="n">
        <v>76.85</v>
      </c>
      <c r="J805" s="25" t="n">
        <f aca="false">Summary!$B$4</f>
        <v>1</v>
      </c>
      <c r="K805" s="11" t="n">
        <f aca="false">I805*J805*IF(A805="SILVER",Summary!$B$5,Summary!$B$6)</f>
        <v>2305.5</v>
      </c>
      <c r="L805" s="26" t="n">
        <v>0.109</v>
      </c>
      <c r="M805" s="27" t="n">
        <f aca="false">IF(K805&gt;0,1,0)</f>
        <v>1</v>
      </c>
      <c r="N805" s="11" t="n">
        <f aca="false">SUMIFS(K$2:K805,A$2:A805,A805,B$2:B805,B805)</f>
        <v>30967.5</v>
      </c>
      <c r="O805" s="11" t="n">
        <f aca="false">MAX(0,_xlfn.MAXIFS(N$2:N805,A$2:A805,A805,B$2:B805,B805))</f>
        <v>99656.7</v>
      </c>
      <c r="P805" s="11" t="n">
        <f aca="false">N805-O805</f>
        <v>-68689.2</v>
      </c>
    </row>
    <row r="806" customFormat="false" ht="15" hidden="false" customHeight="false" outlineLevel="0" collapsed="false">
      <c r="A806" s="8" t="s">
        <v>26</v>
      </c>
      <c r="B806" s="8" t="s">
        <v>43</v>
      </c>
      <c r="C806" s="8" t="s">
        <v>62</v>
      </c>
      <c r="D806" s="21" t="n">
        <v>45805.7013888889</v>
      </c>
      <c r="E806" s="21" t="n">
        <v>45805.7833333333</v>
      </c>
      <c r="F806" s="22" t="n">
        <f aca="false">DATE(YEAR(E806),MONTH(E806),1)</f>
        <v>45778</v>
      </c>
      <c r="G806" s="23" t="n">
        <v>132556</v>
      </c>
      <c r="H806" s="8" t="s">
        <v>64</v>
      </c>
      <c r="I806" s="24" t="n">
        <v>-4.54</v>
      </c>
      <c r="J806" s="25" t="n">
        <f aca="false">Summary!$B$4</f>
        <v>1</v>
      </c>
      <c r="K806" s="11" t="n">
        <f aca="false">I806*J806*IF(A806="SILVER",Summary!$B$5,Summary!$B$6)</f>
        <v>-136.2</v>
      </c>
      <c r="L806" s="26" t="n">
        <v>-0.01</v>
      </c>
      <c r="M806" s="27" t="n">
        <f aca="false">IF(K806&gt;0,1,0)</f>
        <v>0</v>
      </c>
      <c r="N806" s="11" t="n">
        <f aca="false">SUMIFS(K$2:K806,A$2:A806,A806,B$2:B806,B806)</f>
        <v>30831.3</v>
      </c>
      <c r="O806" s="11" t="n">
        <f aca="false">MAX(0,_xlfn.MAXIFS(N$2:N806,A$2:A806,A806,B$2:B806,B806))</f>
        <v>99656.7</v>
      </c>
      <c r="P806" s="11" t="n">
        <f aca="false">N806-O806</f>
        <v>-68825.4</v>
      </c>
    </row>
    <row r="807" customFormat="false" ht="15" hidden="false" customHeight="false" outlineLevel="0" collapsed="false">
      <c r="A807" s="8" t="s">
        <v>26</v>
      </c>
      <c r="B807" s="8" t="s">
        <v>43</v>
      </c>
      <c r="C807" s="8" t="s">
        <v>62</v>
      </c>
      <c r="D807" s="21" t="n">
        <v>45805.8402777778</v>
      </c>
      <c r="E807" s="21" t="n">
        <v>45805.8965277778</v>
      </c>
      <c r="F807" s="22" t="n">
        <f aca="false">DATE(YEAR(E807),MONTH(E807),1)</f>
        <v>45778</v>
      </c>
      <c r="G807" s="23" t="n">
        <v>132244</v>
      </c>
      <c r="H807" s="8" t="s">
        <v>64</v>
      </c>
      <c r="I807" s="24" t="n">
        <v>74.15</v>
      </c>
      <c r="J807" s="25" t="n">
        <f aca="false">Summary!$B$4</f>
        <v>1</v>
      </c>
      <c r="K807" s="11" t="n">
        <f aca="false">I807*J807*IF(A807="SILVER",Summary!$B$5,Summary!$B$6)</f>
        <v>2224.5</v>
      </c>
      <c r="L807" s="26" t="n">
        <v>0.107</v>
      </c>
      <c r="M807" s="27" t="n">
        <f aca="false">IF(K807&gt;0,1,0)</f>
        <v>1</v>
      </c>
      <c r="N807" s="11" t="n">
        <f aca="false">SUMIFS(K$2:K807,A$2:A807,A807,B$2:B807,B807)</f>
        <v>33055.8</v>
      </c>
      <c r="O807" s="11" t="n">
        <f aca="false">MAX(0,_xlfn.MAXIFS(N$2:N807,A$2:A807,A807,B$2:B807,B807))</f>
        <v>99656.7</v>
      </c>
      <c r="P807" s="11" t="n">
        <f aca="false">N807-O807</f>
        <v>-66600.9</v>
      </c>
    </row>
    <row r="808" customFormat="false" ht="15" hidden="false" customHeight="false" outlineLevel="0" collapsed="false">
      <c r="A808" s="8" t="s">
        <v>26</v>
      </c>
      <c r="B808" s="8" t="s">
        <v>43</v>
      </c>
      <c r="C808" s="8" t="s">
        <v>62</v>
      </c>
      <c r="D808" s="21" t="n">
        <v>45805.9305555556</v>
      </c>
      <c r="E808" s="21" t="n">
        <v>45806.3784722222</v>
      </c>
      <c r="F808" s="22" t="n">
        <f aca="false">DATE(YEAR(E808),MONTH(E808),1)</f>
        <v>45778</v>
      </c>
      <c r="G808" s="23" t="n">
        <v>131993</v>
      </c>
      <c r="H808" s="8" t="s">
        <v>61</v>
      </c>
      <c r="I808" s="24" t="n">
        <v>-591.48</v>
      </c>
      <c r="J808" s="25" t="n">
        <f aca="false">Summary!$B$4</f>
        <v>1</v>
      </c>
      <c r="K808" s="11" t="n">
        <f aca="false">I808*J808*IF(A808="SILVER",Summary!$B$5,Summary!$B$6)</f>
        <v>-17744.4</v>
      </c>
      <c r="L808" s="26" t="n">
        <v>-1.21</v>
      </c>
      <c r="M808" s="27" t="n">
        <f aca="false">IF(K808&gt;0,1,0)</f>
        <v>0</v>
      </c>
      <c r="N808" s="11" t="n">
        <f aca="false">SUMIFS(K$2:K808,A$2:A808,A808,B$2:B808,B808)</f>
        <v>15311.4</v>
      </c>
      <c r="O808" s="11" t="n">
        <f aca="false">MAX(0,_xlfn.MAXIFS(N$2:N808,A$2:A808,A808,B$2:B808,B808))</f>
        <v>99656.7</v>
      </c>
      <c r="P808" s="11" t="n">
        <f aca="false">N808-O808</f>
        <v>-84345.3</v>
      </c>
    </row>
    <row r="809" customFormat="false" ht="15" hidden="false" customHeight="false" outlineLevel="0" collapsed="false">
      <c r="A809" s="8" t="s">
        <v>26</v>
      </c>
      <c r="B809" s="8" t="s">
        <v>43</v>
      </c>
      <c r="C809" s="8" t="s">
        <v>62</v>
      </c>
      <c r="D809" s="21" t="n">
        <v>45806.7743055556</v>
      </c>
      <c r="E809" s="21" t="n">
        <v>45806.8041666667</v>
      </c>
      <c r="F809" s="22" t="n">
        <f aca="false">DATE(YEAR(E809),MONTH(E809),1)</f>
        <v>45778</v>
      </c>
      <c r="G809" s="23" t="n">
        <v>132649</v>
      </c>
      <c r="H809" s="8" t="s">
        <v>64</v>
      </c>
      <c r="I809" s="24" t="n">
        <v>79.46</v>
      </c>
      <c r="J809" s="25" t="n">
        <f aca="false">Summary!$B$4</f>
        <v>1</v>
      </c>
      <c r="K809" s="11" t="n">
        <f aca="false">I809*J809*IF(A809="SILVER",Summary!$B$5,Summary!$B$6)</f>
        <v>2383.8</v>
      </c>
      <c r="L809" s="26" t="n">
        <v>0.094</v>
      </c>
      <c r="M809" s="27" t="n">
        <f aca="false">IF(K809&gt;0,1,0)</f>
        <v>1</v>
      </c>
      <c r="N809" s="11" t="n">
        <f aca="false">SUMIFS(K$2:K809,A$2:A809,A809,B$2:B809,B809)</f>
        <v>17695.2</v>
      </c>
      <c r="O809" s="11" t="n">
        <f aca="false">MAX(0,_xlfn.MAXIFS(N$2:N809,A$2:A809,A809,B$2:B809,B809))</f>
        <v>99656.7</v>
      </c>
      <c r="P809" s="11" t="n">
        <f aca="false">N809-O809</f>
        <v>-81961.5</v>
      </c>
    </row>
    <row r="810" customFormat="false" ht="15" hidden="false" customHeight="false" outlineLevel="0" collapsed="false">
      <c r="A810" s="8" t="s">
        <v>26</v>
      </c>
      <c r="B810" s="8" t="s">
        <v>43</v>
      </c>
      <c r="C810" s="8" t="s">
        <v>62</v>
      </c>
      <c r="D810" s="21" t="n">
        <v>45806.8125</v>
      </c>
      <c r="E810" s="21" t="n">
        <v>45807.5020833333</v>
      </c>
      <c r="F810" s="22" t="n">
        <f aca="false">DATE(YEAR(E810),MONTH(E810),1)</f>
        <v>45778</v>
      </c>
      <c r="G810" s="23" t="n">
        <v>132405</v>
      </c>
      <c r="H810" s="8" t="s">
        <v>64</v>
      </c>
      <c r="I810" s="24" t="n">
        <v>103.15</v>
      </c>
      <c r="J810" s="25" t="n">
        <f aca="false">Summary!$B$4</f>
        <v>1</v>
      </c>
      <c r="K810" s="11" t="n">
        <f aca="false">I810*J810*IF(A810="SILVER",Summary!$B$5,Summary!$B$6)</f>
        <v>3094.5</v>
      </c>
      <c r="L810" s="26" t="n">
        <v>0.117</v>
      </c>
      <c r="M810" s="27" t="n">
        <f aca="false">IF(K810&gt;0,1,0)</f>
        <v>1</v>
      </c>
      <c r="N810" s="11" t="n">
        <f aca="false">SUMIFS(K$2:K810,A$2:A810,A810,B$2:B810,B810)</f>
        <v>20789.7</v>
      </c>
      <c r="O810" s="11" t="n">
        <f aca="false">MAX(0,_xlfn.MAXIFS(N$2:N810,A$2:A810,A810,B$2:B810,B810))</f>
        <v>99656.7</v>
      </c>
      <c r="P810" s="11" t="n">
        <f aca="false">N810-O810</f>
        <v>-78867</v>
      </c>
    </row>
    <row r="811" customFormat="false" ht="15" hidden="false" customHeight="false" outlineLevel="0" collapsed="false">
      <c r="A811" s="8" t="s">
        <v>26</v>
      </c>
      <c r="B811" s="8" t="s">
        <v>43</v>
      </c>
      <c r="C811" s="8" t="s">
        <v>62</v>
      </c>
      <c r="D811" s="21" t="n">
        <v>45807.8090277778</v>
      </c>
      <c r="E811" s="21" t="n">
        <v>45807.8152777778</v>
      </c>
      <c r="F811" s="22" t="n">
        <f aca="false">DATE(YEAR(E811),MONTH(E811),1)</f>
        <v>45778</v>
      </c>
      <c r="G811" s="23" t="n">
        <v>132220</v>
      </c>
      <c r="H811" s="8" t="s">
        <v>64</v>
      </c>
      <c r="I811" s="24" t="n">
        <v>94.62</v>
      </c>
      <c r="J811" s="25" t="n">
        <f aca="false">Summary!$B$4</f>
        <v>1</v>
      </c>
      <c r="K811" s="11" t="n">
        <f aca="false">I811*J811*IF(A811="SILVER",Summary!$B$5,Summary!$B$6)</f>
        <v>2838.6</v>
      </c>
      <c r="L811" s="26" t="n">
        <v>0.114</v>
      </c>
      <c r="M811" s="27" t="n">
        <f aca="false">IF(K811&gt;0,1,0)</f>
        <v>1</v>
      </c>
      <c r="N811" s="11" t="n">
        <f aca="false">SUMIFS(K$2:K811,A$2:A811,A811,B$2:B811,B811)</f>
        <v>23628.3</v>
      </c>
      <c r="O811" s="11" t="n">
        <f aca="false">MAX(0,_xlfn.MAXIFS(N$2:N811,A$2:A811,A811,B$2:B811,B811))</f>
        <v>99656.7</v>
      </c>
      <c r="P811" s="11" t="n">
        <f aca="false">N811-O811</f>
        <v>-76028.4</v>
      </c>
    </row>
    <row r="812" customFormat="false" ht="15" hidden="false" customHeight="false" outlineLevel="0" collapsed="false">
      <c r="A812" s="8" t="s">
        <v>26</v>
      </c>
      <c r="B812" s="8" t="s">
        <v>43</v>
      </c>
      <c r="C812" s="8" t="s">
        <v>62</v>
      </c>
      <c r="D812" s="21" t="n">
        <v>45807.9201388889</v>
      </c>
      <c r="E812" s="21" t="n">
        <v>45810.5</v>
      </c>
      <c r="F812" s="22" t="n">
        <f aca="false">DATE(YEAR(E812),MONTH(E812),1)</f>
        <v>45809</v>
      </c>
      <c r="G812" s="23" t="n">
        <v>131691</v>
      </c>
      <c r="H812" s="8" t="s">
        <v>61</v>
      </c>
      <c r="I812" s="24" t="n">
        <v>-801.45</v>
      </c>
      <c r="J812" s="25" t="n">
        <f aca="false">Summary!$B$4</f>
        <v>1</v>
      </c>
      <c r="K812" s="11" t="n">
        <f aca="false">I812*J812*IF(A812="SILVER",Summary!$B$5,Summary!$B$6)</f>
        <v>-24043.5</v>
      </c>
      <c r="L812" s="26" t="n">
        <v>-0.995</v>
      </c>
      <c r="M812" s="27" t="n">
        <f aca="false">IF(K812&gt;0,1,0)</f>
        <v>0</v>
      </c>
      <c r="N812" s="11" t="n">
        <f aca="false">SUMIFS(K$2:K812,A$2:A812,A812,B$2:B812,B812)</f>
        <v>-415.199999999964</v>
      </c>
      <c r="O812" s="11" t="n">
        <f aca="false">MAX(0,_xlfn.MAXIFS(N$2:N812,A$2:A812,A812,B$2:B812,B812))</f>
        <v>99656.7</v>
      </c>
      <c r="P812" s="11" t="n">
        <f aca="false">N812-O812</f>
        <v>-100071.9</v>
      </c>
    </row>
    <row r="813" customFormat="false" ht="15" hidden="false" customHeight="false" outlineLevel="0" collapsed="false">
      <c r="A813" s="8" t="s">
        <v>26</v>
      </c>
      <c r="B813" s="8" t="s">
        <v>43</v>
      </c>
      <c r="C813" s="8" t="s">
        <v>62</v>
      </c>
      <c r="D813" s="21" t="n">
        <v>45810.6701388889</v>
      </c>
      <c r="E813" s="21" t="n">
        <v>45810.75</v>
      </c>
      <c r="F813" s="22" t="n">
        <f aca="false">DATE(YEAR(E813),MONTH(E813),1)</f>
        <v>45809</v>
      </c>
      <c r="G813" s="23" t="n">
        <v>132626</v>
      </c>
      <c r="H813" s="8" t="s">
        <v>61</v>
      </c>
      <c r="I813" s="24" t="n">
        <v>-598.61</v>
      </c>
      <c r="J813" s="25" t="n">
        <f aca="false">Summary!$B$4</f>
        <v>1</v>
      </c>
      <c r="K813" s="11" t="n">
        <f aca="false">I813*J813*IF(A813="SILVER",Summary!$B$5,Summary!$B$6)</f>
        <v>-17958.3</v>
      </c>
      <c r="L813" s="26" t="n">
        <v>-1.103</v>
      </c>
      <c r="M813" s="27" t="n">
        <f aca="false">IF(K813&gt;0,1,0)</f>
        <v>0</v>
      </c>
      <c r="N813" s="11" t="n">
        <f aca="false">SUMIFS(K$2:K813,A$2:A813,A813,B$2:B813,B813)</f>
        <v>-18373.5</v>
      </c>
      <c r="O813" s="11" t="n">
        <f aca="false">MAX(0,_xlfn.MAXIFS(N$2:N813,A$2:A813,A813,B$2:B813,B813))</f>
        <v>99656.7</v>
      </c>
      <c r="P813" s="11" t="n">
        <f aca="false">N813-O813</f>
        <v>-118030.2</v>
      </c>
    </row>
    <row r="814" customFormat="false" ht="15" hidden="false" customHeight="false" outlineLevel="0" collapsed="false">
      <c r="A814" s="8" t="s">
        <v>26</v>
      </c>
      <c r="B814" s="8" t="s">
        <v>43</v>
      </c>
      <c r="C814" s="8" t="s">
        <v>60</v>
      </c>
      <c r="D814" s="21" t="n">
        <v>45814.3784722222</v>
      </c>
      <c r="E814" s="21" t="n">
        <v>45814.4541666667</v>
      </c>
      <c r="F814" s="22" t="n">
        <f aca="false">DATE(YEAR(E814),MONTH(E814),1)</f>
        <v>45809</v>
      </c>
      <c r="G814" s="23" t="n">
        <v>140260</v>
      </c>
      <c r="H814" s="8" t="s">
        <v>64</v>
      </c>
      <c r="I814" s="24" t="n">
        <v>145.22</v>
      </c>
      <c r="J814" s="25" t="n">
        <f aca="false">Summary!$B$4</f>
        <v>1</v>
      </c>
      <c r="K814" s="11" t="n">
        <f aca="false">I814*J814*IF(A814="SILVER",Summary!$B$5,Summary!$B$6)</f>
        <v>4356.6</v>
      </c>
      <c r="L814" s="26" t="n">
        <v>0.124</v>
      </c>
      <c r="M814" s="27" t="n">
        <f aca="false">IF(K814&gt;0,1,0)</f>
        <v>1</v>
      </c>
      <c r="N814" s="11" t="n">
        <f aca="false">SUMIFS(K$2:K814,A$2:A814,A814,B$2:B814,B814)</f>
        <v>-14016.9</v>
      </c>
      <c r="O814" s="11" t="n">
        <f aca="false">MAX(0,_xlfn.MAXIFS(N$2:N814,A$2:A814,A814,B$2:B814,B814))</f>
        <v>99656.7</v>
      </c>
      <c r="P814" s="11" t="n">
        <f aca="false">N814-O814</f>
        <v>-113673.6</v>
      </c>
    </row>
    <row r="815" customFormat="false" ht="15" hidden="false" customHeight="false" outlineLevel="0" collapsed="false">
      <c r="A815" s="8" t="s">
        <v>26</v>
      </c>
      <c r="B815" s="8" t="s">
        <v>43</v>
      </c>
      <c r="C815" s="8" t="s">
        <v>60</v>
      </c>
      <c r="D815" s="21" t="n">
        <v>45817.5173611111</v>
      </c>
      <c r="E815" s="21" t="n">
        <v>45817.5486111111</v>
      </c>
      <c r="F815" s="22" t="n">
        <f aca="false">DATE(YEAR(E815),MONTH(E815),1)</f>
        <v>45809</v>
      </c>
      <c r="G815" s="23" t="n">
        <v>140695</v>
      </c>
      <c r="H815" s="8" t="s">
        <v>64</v>
      </c>
      <c r="I815" s="24" t="n">
        <v>56.12</v>
      </c>
      <c r="J815" s="25" t="n">
        <f aca="false">Summary!$B$4</f>
        <v>1</v>
      </c>
      <c r="K815" s="11" t="n">
        <f aca="false">I815*J815*IF(A815="SILVER",Summary!$B$5,Summary!$B$6)</f>
        <v>1683.6</v>
      </c>
      <c r="L815" s="26" t="n">
        <v>0.096</v>
      </c>
      <c r="M815" s="27" t="n">
        <f aca="false">IF(K815&gt;0,1,0)</f>
        <v>1</v>
      </c>
      <c r="N815" s="11" t="n">
        <f aca="false">SUMIFS(K$2:K815,A$2:A815,A815,B$2:B815,B815)</f>
        <v>-12333.3</v>
      </c>
      <c r="O815" s="11" t="n">
        <f aca="false">MAX(0,_xlfn.MAXIFS(N$2:N815,A$2:A815,A815,B$2:B815,B815))</f>
        <v>99656.7</v>
      </c>
      <c r="P815" s="11" t="n">
        <f aca="false">N815-O815</f>
        <v>-111990</v>
      </c>
    </row>
    <row r="816" customFormat="false" ht="15" hidden="false" customHeight="false" outlineLevel="0" collapsed="false">
      <c r="A816" s="8" t="s">
        <v>26</v>
      </c>
      <c r="B816" s="8" t="s">
        <v>43</v>
      </c>
      <c r="C816" s="8" t="s">
        <v>60</v>
      </c>
      <c r="D816" s="21" t="n">
        <v>45817.5868055556</v>
      </c>
      <c r="E816" s="21" t="n">
        <v>45818.375</v>
      </c>
      <c r="F816" s="22" t="n">
        <f aca="false">DATE(YEAR(E816),MONTH(E816),1)</f>
        <v>45809</v>
      </c>
      <c r="G816" s="23" t="n">
        <v>141210</v>
      </c>
      <c r="H816" s="8" t="s">
        <v>64</v>
      </c>
      <c r="I816" s="24" t="n">
        <v>69.79</v>
      </c>
      <c r="J816" s="25" t="n">
        <f aca="false">Summary!$B$4</f>
        <v>1</v>
      </c>
      <c r="K816" s="11" t="n">
        <f aca="false">I816*J816*IF(A816="SILVER",Summary!$B$5,Summary!$B$6)</f>
        <v>2093.7</v>
      </c>
      <c r="L816" s="26" t="n">
        <v>0.104</v>
      </c>
      <c r="M816" s="27" t="n">
        <f aca="false">IF(K816&gt;0,1,0)</f>
        <v>1</v>
      </c>
      <c r="N816" s="11" t="n">
        <f aca="false">SUMIFS(K$2:K816,A$2:A816,A816,B$2:B816,B816)</f>
        <v>-10239.6</v>
      </c>
      <c r="O816" s="11" t="n">
        <f aca="false">MAX(0,_xlfn.MAXIFS(N$2:N816,A$2:A816,A816,B$2:B816,B816))</f>
        <v>99656.7</v>
      </c>
      <c r="P816" s="11" t="n">
        <f aca="false">N816-O816</f>
        <v>-109896.3</v>
      </c>
    </row>
    <row r="817" customFormat="false" ht="15" hidden="false" customHeight="false" outlineLevel="0" collapsed="false">
      <c r="A817" s="8" t="s">
        <v>26</v>
      </c>
      <c r="B817" s="8" t="s">
        <v>43</v>
      </c>
      <c r="C817" s="8" t="s">
        <v>60</v>
      </c>
      <c r="D817" s="21" t="n">
        <v>45818.6666666667</v>
      </c>
      <c r="E817" s="21" t="n">
        <v>45818.7166666667</v>
      </c>
      <c r="F817" s="22" t="n">
        <f aca="false">DATE(YEAR(E817),MONTH(E817),1)</f>
        <v>45809</v>
      </c>
      <c r="G817" s="23" t="n">
        <v>141930</v>
      </c>
      <c r="H817" s="8" t="s">
        <v>64</v>
      </c>
      <c r="I817" s="24" t="n">
        <v>48.97</v>
      </c>
      <c r="J817" s="25" t="n">
        <f aca="false">Summary!$B$4</f>
        <v>1</v>
      </c>
      <c r="K817" s="11" t="n">
        <f aca="false">I817*J817*IF(A817="SILVER",Summary!$B$5,Summary!$B$6)</f>
        <v>1469.1</v>
      </c>
      <c r="L817" s="26" t="n">
        <v>0.091</v>
      </c>
      <c r="M817" s="27" t="n">
        <f aca="false">IF(K817&gt;0,1,0)</f>
        <v>1</v>
      </c>
      <c r="N817" s="11" t="n">
        <f aca="false">SUMIFS(K$2:K817,A$2:A817,A817,B$2:B817,B817)</f>
        <v>-8770.49999999996</v>
      </c>
      <c r="O817" s="11" t="n">
        <f aca="false">MAX(0,_xlfn.MAXIFS(N$2:N817,A$2:A817,A817,B$2:B817,B817))</f>
        <v>99656.7</v>
      </c>
      <c r="P817" s="11" t="n">
        <f aca="false">N817-O817</f>
        <v>-108427.2</v>
      </c>
    </row>
    <row r="818" customFormat="false" ht="15" hidden="false" customHeight="false" outlineLevel="0" collapsed="false">
      <c r="A818" s="8" t="s">
        <v>26</v>
      </c>
      <c r="B818" s="8" t="s">
        <v>43</v>
      </c>
      <c r="C818" s="8" t="s">
        <v>60</v>
      </c>
      <c r="D818" s="21" t="n">
        <v>45820.3819444445</v>
      </c>
      <c r="E818" s="21" t="n">
        <v>45820.5347222222</v>
      </c>
      <c r="F818" s="22" t="n">
        <f aca="false">DATE(YEAR(E818),MONTH(E818),1)</f>
        <v>45809</v>
      </c>
      <c r="G818" s="23" t="n">
        <v>141068</v>
      </c>
      <c r="H818" s="8" t="s">
        <v>61</v>
      </c>
      <c r="I818" s="24" t="n">
        <v>-554.19</v>
      </c>
      <c r="J818" s="25" t="n">
        <f aca="false">Summary!$B$4</f>
        <v>1</v>
      </c>
      <c r="K818" s="11" t="n">
        <f aca="false">I818*J818*IF(A818="SILVER",Summary!$B$5,Summary!$B$6)</f>
        <v>-16625.7</v>
      </c>
      <c r="L818" s="26" t="n">
        <v>-0.556</v>
      </c>
      <c r="M818" s="27" t="n">
        <f aca="false">IF(K818&gt;0,1,0)</f>
        <v>0</v>
      </c>
      <c r="N818" s="11" t="n">
        <f aca="false">SUMIFS(K$2:K818,A$2:A818,A818,B$2:B818,B818)</f>
        <v>-25396.2</v>
      </c>
      <c r="O818" s="11" t="n">
        <f aca="false">MAX(0,_xlfn.MAXIFS(N$2:N818,A$2:A818,A818,B$2:B818,B818))</f>
        <v>99656.7</v>
      </c>
      <c r="P818" s="11" t="n">
        <f aca="false">N818-O818</f>
        <v>-125052.9</v>
      </c>
    </row>
    <row r="819" customFormat="false" ht="15" hidden="false" customHeight="false" outlineLevel="0" collapsed="false">
      <c r="A819" s="8" t="s">
        <v>26</v>
      </c>
      <c r="B819" s="8" t="s">
        <v>43</v>
      </c>
      <c r="C819" s="8" t="s">
        <v>60</v>
      </c>
      <c r="D819" s="21" t="n">
        <v>45820.6805555556</v>
      </c>
      <c r="E819" s="21" t="n">
        <v>45820.7784722222</v>
      </c>
      <c r="F819" s="22" t="n">
        <f aca="false">DATE(YEAR(E819),MONTH(E819),1)</f>
        <v>45809</v>
      </c>
      <c r="G819" s="23" t="n">
        <v>140633</v>
      </c>
      <c r="H819" s="8" t="s">
        <v>64</v>
      </c>
      <c r="I819" s="24" t="n">
        <v>118.9</v>
      </c>
      <c r="J819" s="25" t="n">
        <f aca="false">Summary!$B$4</f>
        <v>1</v>
      </c>
      <c r="K819" s="11" t="n">
        <f aca="false">I819*J819*IF(A819="SILVER",Summary!$B$5,Summary!$B$6)</f>
        <v>3567</v>
      </c>
      <c r="L819" s="26" t="n">
        <v>0.119</v>
      </c>
      <c r="M819" s="27" t="n">
        <f aca="false">IF(K819&gt;0,1,0)</f>
        <v>1</v>
      </c>
      <c r="N819" s="11" t="n">
        <f aca="false">SUMIFS(K$2:K819,A$2:A819,A819,B$2:B819,B819)</f>
        <v>-21829.2</v>
      </c>
      <c r="O819" s="11" t="n">
        <f aca="false">MAX(0,_xlfn.MAXIFS(N$2:N819,A$2:A819,A819,B$2:B819,B819))</f>
        <v>99656.7</v>
      </c>
      <c r="P819" s="11" t="n">
        <f aca="false">N819-O819</f>
        <v>-121485.9</v>
      </c>
    </row>
    <row r="820" customFormat="false" ht="15" hidden="false" customHeight="false" outlineLevel="0" collapsed="false">
      <c r="A820" s="8" t="s">
        <v>26</v>
      </c>
      <c r="B820" s="8" t="s">
        <v>43</v>
      </c>
      <c r="C820" s="8" t="s">
        <v>60</v>
      </c>
      <c r="D820" s="21" t="n">
        <v>45821.3784722222</v>
      </c>
      <c r="E820" s="21" t="n">
        <v>45821.5243055556</v>
      </c>
      <c r="F820" s="22" t="n">
        <f aca="false">DATE(YEAR(E820),MONTH(E820),1)</f>
        <v>45809</v>
      </c>
      <c r="G820" s="23" t="n">
        <v>141519</v>
      </c>
      <c r="H820" s="8" t="s">
        <v>61</v>
      </c>
      <c r="I820" s="24" t="n">
        <v>-879.25</v>
      </c>
      <c r="J820" s="25" t="n">
        <f aca="false">Summary!$B$4</f>
        <v>1</v>
      </c>
      <c r="K820" s="11" t="n">
        <f aca="false">I820*J820*IF(A820="SILVER",Summary!$B$5,Summary!$B$6)</f>
        <v>-26377.5</v>
      </c>
      <c r="L820" s="26" t="n">
        <v>-0.962</v>
      </c>
      <c r="M820" s="27" t="n">
        <f aca="false">IF(K820&gt;0,1,0)</f>
        <v>0</v>
      </c>
      <c r="N820" s="11" t="n">
        <f aca="false">SUMIFS(K$2:K820,A$2:A820,A820,B$2:B820,B820)</f>
        <v>-48206.7</v>
      </c>
      <c r="O820" s="11" t="n">
        <f aca="false">MAX(0,_xlfn.MAXIFS(N$2:N820,A$2:A820,A820,B$2:B820,B820))</f>
        <v>99656.7</v>
      </c>
      <c r="P820" s="11" t="n">
        <f aca="false">N820-O820</f>
        <v>-147863.4</v>
      </c>
    </row>
    <row r="821" customFormat="false" ht="15" hidden="false" customHeight="false" outlineLevel="0" collapsed="false">
      <c r="A821" s="8" t="s">
        <v>26</v>
      </c>
      <c r="B821" s="8" t="s">
        <v>43</v>
      </c>
      <c r="C821" s="8" t="s">
        <v>60</v>
      </c>
      <c r="D821" s="21" t="n">
        <v>45821.6145833333</v>
      </c>
      <c r="E821" s="21" t="n">
        <v>45824.5118055556</v>
      </c>
      <c r="F821" s="22" t="n">
        <f aca="false">DATE(YEAR(E821),MONTH(E821),1)</f>
        <v>45809</v>
      </c>
      <c r="G821" s="23" t="n">
        <v>141673</v>
      </c>
      <c r="H821" s="8" t="s">
        <v>64</v>
      </c>
      <c r="I821" s="24" t="n">
        <v>121.68</v>
      </c>
      <c r="J821" s="25" t="n">
        <f aca="false">Summary!$B$4</f>
        <v>1</v>
      </c>
      <c r="K821" s="11" t="n">
        <f aca="false">I821*J821*IF(A821="SILVER",Summary!$B$5,Summary!$B$6)</f>
        <v>3650.4</v>
      </c>
      <c r="L821" s="26" t="n">
        <v>0.119</v>
      </c>
      <c r="M821" s="27" t="n">
        <f aca="false">IF(K821&gt;0,1,0)</f>
        <v>1</v>
      </c>
      <c r="N821" s="11" t="n">
        <f aca="false">SUMIFS(K$2:K821,A$2:A821,A821,B$2:B821,B821)</f>
        <v>-44556.3</v>
      </c>
      <c r="O821" s="11" t="n">
        <f aca="false">MAX(0,_xlfn.MAXIFS(N$2:N821,A$2:A821,A821,B$2:B821,B821))</f>
        <v>99656.7</v>
      </c>
      <c r="P821" s="11" t="n">
        <f aca="false">N821-O821</f>
        <v>-144213</v>
      </c>
    </row>
    <row r="822" customFormat="false" ht="15" hidden="false" customHeight="false" outlineLevel="0" collapsed="false">
      <c r="A822" s="8" t="s">
        <v>26</v>
      </c>
      <c r="B822" s="8" t="s">
        <v>43</v>
      </c>
      <c r="C822" s="8" t="s">
        <v>60</v>
      </c>
      <c r="D822" s="21" t="n">
        <v>45825.4166666667</v>
      </c>
      <c r="E822" s="21" t="n">
        <v>45825.4590277778</v>
      </c>
      <c r="F822" s="22" t="n">
        <f aca="false">DATE(YEAR(E822),MONTH(E822),1)</f>
        <v>45809</v>
      </c>
      <c r="G822" s="23" t="n">
        <v>141550</v>
      </c>
      <c r="H822" s="8" t="s">
        <v>64</v>
      </c>
      <c r="I822" s="24" t="n">
        <v>68.95</v>
      </c>
      <c r="J822" s="25" t="n">
        <f aca="false">Summary!$B$4</f>
        <v>1</v>
      </c>
      <c r="K822" s="11" t="n">
        <f aca="false">I822*J822*IF(A822="SILVER",Summary!$B$5,Summary!$B$6)</f>
        <v>2068.5</v>
      </c>
      <c r="L822" s="26" t="n">
        <v>0.103</v>
      </c>
      <c r="M822" s="27" t="n">
        <f aca="false">IF(K822&gt;0,1,0)</f>
        <v>1</v>
      </c>
      <c r="N822" s="11" t="n">
        <f aca="false">SUMIFS(K$2:K822,A$2:A822,A822,B$2:B822,B822)</f>
        <v>-42487.8</v>
      </c>
      <c r="O822" s="11" t="n">
        <f aca="false">MAX(0,_xlfn.MAXIFS(N$2:N822,A$2:A822,A822,B$2:B822,B822))</f>
        <v>99656.7</v>
      </c>
      <c r="P822" s="11" t="n">
        <f aca="false">N822-O822</f>
        <v>-142144.5</v>
      </c>
    </row>
    <row r="823" customFormat="false" ht="15" hidden="false" customHeight="false" outlineLevel="0" collapsed="false">
      <c r="A823" s="8" t="s">
        <v>26</v>
      </c>
      <c r="B823" s="8" t="s">
        <v>43</v>
      </c>
      <c r="C823" s="8" t="s">
        <v>60</v>
      </c>
      <c r="D823" s="21" t="n">
        <v>45825.4965277778</v>
      </c>
      <c r="E823" s="21" t="n">
        <v>45825.60625</v>
      </c>
      <c r="F823" s="22" t="n">
        <f aca="false">DATE(YEAR(E823),MONTH(E823),1)</f>
        <v>45809</v>
      </c>
      <c r="G823" s="23" t="n">
        <v>141870</v>
      </c>
      <c r="H823" s="8" t="s">
        <v>64</v>
      </c>
      <c r="I823" s="24" t="n">
        <v>46.78</v>
      </c>
      <c r="J823" s="25" t="n">
        <f aca="false">Summary!$B$4</f>
        <v>1</v>
      </c>
      <c r="K823" s="11" t="n">
        <f aca="false">I823*J823*IF(A823="SILVER",Summary!$B$5,Summary!$B$6)</f>
        <v>1403.4</v>
      </c>
      <c r="L823" s="26" t="n">
        <v>0.09</v>
      </c>
      <c r="M823" s="27" t="n">
        <f aca="false">IF(K823&gt;0,1,0)</f>
        <v>1</v>
      </c>
      <c r="N823" s="11" t="n">
        <f aca="false">SUMIFS(K$2:K823,A$2:A823,A823,B$2:B823,B823)</f>
        <v>-41084.4</v>
      </c>
      <c r="O823" s="11" t="n">
        <f aca="false">MAX(0,_xlfn.MAXIFS(N$2:N823,A$2:A823,A823,B$2:B823,B823))</f>
        <v>99656.7</v>
      </c>
      <c r="P823" s="11" t="n">
        <f aca="false">N823-O823</f>
        <v>-140741.1</v>
      </c>
    </row>
    <row r="824" customFormat="false" ht="15" hidden="false" customHeight="false" outlineLevel="0" collapsed="false">
      <c r="A824" s="8" t="s">
        <v>26</v>
      </c>
      <c r="B824" s="8" t="s">
        <v>43</v>
      </c>
      <c r="C824" s="8" t="s">
        <v>60</v>
      </c>
      <c r="D824" s="21" t="n">
        <v>45825.6215277778</v>
      </c>
      <c r="E824" s="21" t="n">
        <v>45826.75</v>
      </c>
      <c r="F824" s="22" t="n">
        <f aca="false">DATE(YEAR(E824),MONTH(E824),1)</f>
        <v>45809</v>
      </c>
      <c r="G824" s="23" t="n">
        <v>142048</v>
      </c>
      <c r="H824" s="8" t="s">
        <v>61</v>
      </c>
      <c r="I824" s="24" t="n">
        <v>1946.37</v>
      </c>
      <c r="J824" s="25" t="n">
        <f aca="false">Summary!$B$4</f>
        <v>1</v>
      </c>
      <c r="K824" s="11" t="n">
        <f aca="false">I824*J824*IF(A824="SILVER",Summary!$B$5,Summary!$B$6)</f>
        <v>58391.1</v>
      </c>
      <c r="L824" s="26" t="n">
        <v>3.184</v>
      </c>
      <c r="M824" s="27" t="n">
        <f aca="false">IF(K824&gt;0,1,0)</f>
        <v>1</v>
      </c>
      <c r="N824" s="11" t="n">
        <f aca="false">SUMIFS(K$2:K824,A$2:A824,A824,B$2:B824,B824)</f>
        <v>17306.7</v>
      </c>
      <c r="O824" s="11" t="n">
        <f aca="false">MAX(0,_xlfn.MAXIFS(N$2:N824,A$2:A824,A824,B$2:B824,B824))</f>
        <v>99656.7</v>
      </c>
      <c r="P824" s="11" t="n">
        <f aca="false">N824-O824</f>
        <v>-82350</v>
      </c>
    </row>
    <row r="825" customFormat="false" ht="15" hidden="false" customHeight="false" outlineLevel="0" collapsed="false">
      <c r="A825" s="8" t="s">
        <v>26</v>
      </c>
      <c r="B825" s="8" t="s">
        <v>43</v>
      </c>
      <c r="C825" s="8" t="s">
        <v>60</v>
      </c>
      <c r="D825" s="21" t="n">
        <v>45841.5458333333</v>
      </c>
      <c r="E825" s="21" t="n">
        <v>45841.7534722222</v>
      </c>
      <c r="F825" s="22" t="n">
        <f aca="false">DATE(YEAR(E825),MONTH(E825),1)</f>
        <v>45839</v>
      </c>
      <c r="G825" s="23" t="n">
        <v>142567</v>
      </c>
      <c r="H825" s="8" t="s">
        <v>61</v>
      </c>
      <c r="I825" s="24" t="n">
        <v>-836.47</v>
      </c>
      <c r="J825" s="25" t="n">
        <f aca="false">Summary!$B$4</f>
        <v>1</v>
      </c>
      <c r="K825" s="11" t="n">
        <f aca="false">I825*J825*IF(A825="SILVER",Summary!$B$5,Summary!$B$6)</f>
        <v>-25094.1</v>
      </c>
      <c r="L825" s="26" t="n">
        <v>-0.995</v>
      </c>
      <c r="M825" s="27" t="n">
        <f aca="false">IF(K825&gt;0,1,0)</f>
        <v>0</v>
      </c>
      <c r="N825" s="11" t="n">
        <f aca="false">SUMIFS(K$2:K825,A$2:A825,A825,B$2:B825,B825)</f>
        <v>-7787.39999999997</v>
      </c>
      <c r="O825" s="11" t="n">
        <f aca="false">MAX(0,_xlfn.MAXIFS(N$2:N825,A$2:A825,A825,B$2:B825,B825))</f>
        <v>99656.7</v>
      </c>
      <c r="P825" s="11" t="n">
        <f aca="false">N825-O825</f>
        <v>-107444.1</v>
      </c>
    </row>
    <row r="826" customFormat="false" ht="15" hidden="false" customHeight="false" outlineLevel="0" collapsed="false">
      <c r="A826" s="8" t="s">
        <v>26</v>
      </c>
      <c r="B826" s="8" t="s">
        <v>43</v>
      </c>
      <c r="C826" s="8" t="s">
        <v>60</v>
      </c>
      <c r="D826" s="21" t="n">
        <v>45842.4138888889</v>
      </c>
      <c r="E826" s="21" t="n">
        <v>45845.4236111111</v>
      </c>
      <c r="F826" s="22" t="n">
        <f aca="false">DATE(YEAR(E826),MONTH(E826),1)</f>
        <v>45839</v>
      </c>
      <c r="G826" s="23" t="n">
        <v>142537</v>
      </c>
      <c r="H826" s="8" t="s">
        <v>61</v>
      </c>
      <c r="I826" s="24" t="n">
        <v>-698.02</v>
      </c>
      <c r="J826" s="25" t="n">
        <f aca="false">Summary!$B$4</f>
        <v>1</v>
      </c>
      <c r="K826" s="11" t="n">
        <f aca="false">I826*J826*IF(A826="SILVER",Summary!$B$5,Summary!$B$6)</f>
        <v>-20940.6</v>
      </c>
      <c r="L826" s="26" t="n">
        <v>-0.771</v>
      </c>
      <c r="M826" s="27" t="n">
        <f aca="false">IF(K826&gt;0,1,0)</f>
        <v>0</v>
      </c>
      <c r="N826" s="11" t="n">
        <f aca="false">SUMIFS(K$2:K826,A$2:A826,A826,B$2:B826,B826)</f>
        <v>-28728</v>
      </c>
      <c r="O826" s="11" t="n">
        <f aca="false">MAX(0,_xlfn.MAXIFS(N$2:N826,A$2:A826,A826,B$2:B826,B826))</f>
        <v>99656.7</v>
      </c>
      <c r="P826" s="11" t="n">
        <f aca="false">N826-O826</f>
        <v>-128384.7</v>
      </c>
    </row>
    <row r="827" customFormat="false" ht="15" hidden="false" customHeight="false" outlineLevel="0" collapsed="false">
      <c r="A827" s="8" t="s">
        <v>26</v>
      </c>
      <c r="B827" s="8" t="s">
        <v>43</v>
      </c>
      <c r="C827" s="8" t="s">
        <v>60</v>
      </c>
      <c r="D827" s="21" t="n">
        <v>45845.8229166667</v>
      </c>
      <c r="E827" s="21" t="n">
        <v>45846.6256944445</v>
      </c>
      <c r="F827" s="22" t="n">
        <f aca="false">DATE(YEAR(E827),MONTH(E827),1)</f>
        <v>45839</v>
      </c>
      <c r="G827" s="23" t="n">
        <v>142356</v>
      </c>
      <c r="H827" s="8" t="s">
        <v>64</v>
      </c>
      <c r="I827" s="24" t="n">
        <v>99.01</v>
      </c>
      <c r="J827" s="25" t="n">
        <f aca="false">Summary!$B$4</f>
        <v>1</v>
      </c>
      <c r="K827" s="11" t="n">
        <f aca="false">I827*J827*IF(A827="SILVER",Summary!$B$5,Summary!$B$6)</f>
        <v>2970.3</v>
      </c>
      <c r="L827" s="26" t="n">
        <v>0.114</v>
      </c>
      <c r="M827" s="27" t="n">
        <f aca="false">IF(K827&gt;0,1,0)</f>
        <v>1</v>
      </c>
      <c r="N827" s="11" t="n">
        <f aca="false">SUMIFS(K$2:K827,A$2:A827,A827,B$2:B827,B827)</f>
        <v>-25757.7</v>
      </c>
      <c r="O827" s="11" t="n">
        <f aca="false">MAX(0,_xlfn.MAXIFS(N$2:N827,A$2:A827,A827,B$2:B827,B827))</f>
        <v>99656.7</v>
      </c>
      <c r="P827" s="11" t="n">
        <f aca="false">N827-O827</f>
        <v>-125414.4</v>
      </c>
    </row>
    <row r="828" customFormat="false" ht="15" hidden="false" customHeight="false" outlineLevel="0" collapsed="false">
      <c r="A828" s="8" t="s">
        <v>26</v>
      </c>
      <c r="B828" s="8" t="s">
        <v>43</v>
      </c>
      <c r="C828" s="8" t="s">
        <v>60</v>
      </c>
      <c r="D828" s="21" t="n">
        <v>45846.9618055556</v>
      </c>
      <c r="E828" s="21" t="n">
        <v>45847.4861111111</v>
      </c>
      <c r="F828" s="22" t="n">
        <f aca="false">DATE(YEAR(E828),MONTH(E828),1)</f>
        <v>45839</v>
      </c>
      <c r="G828" s="23" t="n">
        <v>142386</v>
      </c>
      <c r="H828" s="8" t="s">
        <v>64</v>
      </c>
      <c r="I828" s="24" t="n">
        <v>85.66</v>
      </c>
      <c r="J828" s="25" t="n">
        <f aca="false">Summary!$B$4</f>
        <v>1</v>
      </c>
      <c r="K828" s="11" t="n">
        <f aca="false">I828*J828*IF(A828="SILVER",Summary!$B$5,Summary!$B$6)</f>
        <v>2569.8</v>
      </c>
      <c r="L828" s="26" t="n">
        <v>0.11</v>
      </c>
      <c r="M828" s="27" t="n">
        <f aca="false">IF(K828&gt;0,1,0)</f>
        <v>1</v>
      </c>
      <c r="N828" s="11" t="n">
        <f aca="false">SUMIFS(K$2:K828,A$2:A828,A828,B$2:B828,B828)</f>
        <v>-23187.9</v>
      </c>
      <c r="O828" s="11" t="n">
        <f aca="false">MAX(0,_xlfn.MAXIFS(N$2:N828,A$2:A828,A828,B$2:B828,B828))</f>
        <v>99656.7</v>
      </c>
      <c r="P828" s="11" t="n">
        <f aca="false">N828-O828</f>
        <v>-122844.6</v>
      </c>
    </row>
    <row r="829" customFormat="false" ht="15" hidden="false" customHeight="false" outlineLevel="0" collapsed="false">
      <c r="A829" s="8" t="s">
        <v>26</v>
      </c>
      <c r="B829" s="8" t="s">
        <v>43</v>
      </c>
      <c r="C829" s="8" t="s">
        <v>60</v>
      </c>
      <c r="D829" s="21" t="n">
        <v>45848.5034722222</v>
      </c>
      <c r="E829" s="21" t="n">
        <v>45848.5631944445</v>
      </c>
      <c r="F829" s="22" t="n">
        <f aca="false">DATE(YEAR(E829),MONTH(E829),1)</f>
        <v>45839</v>
      </c>
      <c r="G829" s="23" t="n">
        <v>142024</v>
      </c>
      <c r="H829" s="8" t="s">
        <v>64</v>
      </c>
      <c r="I829" s="24" t="n">
        <v>21.48</v>
      </c>
      <c r="J829" s="25" t="n">
        <f aca="false">Summary!$B$4</f>
        <v>1</v>
      </c>
      <c r="K829" s="11" t="n">
        <f aca="false">I829*J829*IF(A829="SILVER",Summary!$B$5,Summary!$B$6)</f>
        <v>644.4</v>
      </c>
      <c r="L829" s="26" t="n">
        <v>0.054</v>
      </c>
      <c r="M829" s="27" t="n">
        <f aca="false">IF(K829&gt;0,1,0)</f>
        <v>1</v>
      </c>
      <c r="N829" s="11" t="n">
        <f aca="false">SUMIFS(K$2:K829,A$2:A829,A829,B$2:B829,B829)</f>
        <v>-22543.5</v>
      </c>
      <c r="O829" s="11" t="n">
        <f aca="false">MAX(0,_xlfn.MAXIFS(N$2:N829,A$2:A829,A829,B$2:B829,B829))</f>
        <v>99656.7</v>
      </c>
      <c r="P829" s="11" t="n">
        <f aca="false">N829-O829</f>
        <v>-122200.2</v>
      </c>
    </row>
    <row r="830" customFormat="false" ht="15" hidden="false" customHeight="false" outlineLevel="0" collapsed="false">
      <c r="A830" s="8" t="s">
        <v>26</v>
      </c>
      <c r="B830" s="8" t="s">
        <v>43</v>
      </c>
      <c r="C830" s="8" t="s">
        <v>60</v>
      </c>
      <c r="D830" s="21" t="n">
        <v>45848.6666666667</v>
      </c>
      <c r="E830" s="21" t="n">
        <v>45848.6715277778</v>
      </c>
      <c r="F830" s="22" t="n">
        <f aca="false">DATE(YEAR(E830),MONTH(E830),1)</f>
        <v>45839</v>
      </c>
      <c r="G830" s="23" t="n">
        <v>142569</v>
      </c>
      <c r="H830" s="8" t="s">
        <v>64</v>
      </c>
      <c r="I830" s="24" t="n">
        <v>46.71</v>
      </c>
      <c r="J830" s="25" t="n">
        <f aca="false">Summary!$B$4</f>
        <v>1</v>
      </c>
      <c r="K830" s="11" t="n">
        <f aca="false">I830*J830*IF(A830="SILVER",Summary!$B$5,Summary!$B$6)</f>
        <v>1401.3</v>
      </c>
      <c r="L830" s="26" t="n">
        <v>0.089</v>
      </c>
      <c r="M830" s="27" t="n">
        <f aca="false">IF(K830&gt;0,1,0)</f>
        <v>1</v>
      </c>
      <c r="N830" s="11" t="n">
        <f aca="false">SUMIFS(K$2:K830,A$2:A830,A830,B$2:B830,B830)</f>
        <v>-21142.2</v>
      </c>
      <c r="O830" s="11" t="n">
        <f aca="false">MAX(0,_xlfn.MAXIFS(N$2:N830,A$2:A830,A830,B$2:B830,B830))</f>
        <v>99656.7</v>
      </c>
      <c r="P830" s="11" t="n">
        <f aca="false">N830-O830</f>
        <v>-120798.9</v>
      </c>
    </row>
    <row r="831" customFormat="false" ht="15" hidden="false" customHeight="false" outlineLevel="0" collapsed="false">
      <c r="A831" s="8" t="s">
        <v>26</v>
      </c>
      <c r="B831" s="8" t="s">
        <v>43</v>
      </c>
      <c r="C831" s="8" t="s">
        <v>60</v>
      </c>
      <c r="D831" s="21" t="n">
        <v>45848.6770833333</v>
      </c>
      <c r="E831" s="21" t="n">
        <v>45848.6847222222</v>
      </c>
      <c r="F831" s="22" t="n">
        <f aca="false">DATE(YEAR(E831),MONTH(E831),1)</f>
        <v>45839</v>
      </c>
      <c r="G831" s="23" t="n">
        <v>142736</v>
      </c>
      <c r="H831" s="8" t="s">
        <v>64</v>
      </c>
      <c r="I831" s="24" t="n">
        <v>49.26</v>
      </c>
      <c r="J831" s="25" t="n">
        <f aca="false">Summary!$B$4</f>
        <v>1</v>
      </c>
      <c r="K831" s="11" t="n">
        <f aca="false">I831*J831*IF(A831="SILVER",Summary!$B$5,Summary!$B$6)</f>
        <v>1477.8</v>
      </c>
      <c r="L831" s="26" t="n">
        <v>0.091</v>
      </c>
      <c r="M831" s="27" t="n">
        <f aca="false">IF(K831&gt;0,1,0)</f>
        <v>1</v>
      </c>
      <c r="N831" s="11" t="n">
        <f aca="false">SUMIFS(K$2:K831,A$2:A831,A831,B$2:B831,B831)</f>
        <v>-19664.4</v>
      </c>
      <c r="O831" s="11" t="n">
        <f aca="false">MAX(0,_xlfn.MAXIFS(N$2:N831,A$2:A831,A831,B$2:B831,B831))</f>
        <v>99656.7</v>
      </c>
      <c r="P831" s="11" t="n">
        <f aca="false">N831-O831</f>
        <v>-119321.1</v>
      </c>
    </row>
    <row r="832" customFormat="false" ht="15" hidden="false" customHeight="false" outlineLevel="0" collapsed="false">
      <c r="A832" s="8" t="s">
        <v>26</v>
      </c>
      <c r="B832" s="8" t="s">
        <v>43</v>
      </c>
      <c r="C832" s="8" t="s">
        <v>60</v>
      </c>
      <c r="D832" s="21" t="n">
        <v>45848.7743055556</v>
      </c>
      <c r="E832" s="21" t="n">
        <v>45848.7854166667</v>
      </c>
      <c r="F832" s="22" t="n">
        <f aca="false">DATE(YEAR(E832),MONTH(E832),1)</f>
        <v>45839</v>
      </c>
      <c r="G832" s="23" t="n">
        <v>143393</v>
      </c>
      <c r="H832" s="8" t="s">
        <v>64</v>
      </c>
      <c r="I832" s="24" t="n">
        <v>88.19</v>
      </c>
      <c r="J832" s="25" t="n">
        <f aca="false">Summary!$B$4</f>
        <v>1</v>
      </c>
      <c r="K832" s="11" t="n">
        <f aca="false">I832*J832*IF(A832="SILVER",Summary!$B$5,Summary!$B$6)</f>
        <v>2645.7</v>
      </c>
      <c r="L832" s="26" t="n">
        <v>0.091</v>
      </c>
      <c r="M832" s="27" t="n">
        <f aca="false">IF(K832&gt;0,1,0)</f>
        <v>1</v>
      </c>
      <c r="N832" s="11" t="n">
        <f aca="false">SUMIFS(K$2:K832,A$2:A832,A832,B$2:B832,B832)</f>
        <v>-17018.7</v>
      </c>
      <c r="O832" s="11" t="n">
        <f aca="false">MAX(0,_xlfn.MAXIFS(N$2:N832,A$2:A832,A832,B$2:B832,B832))</f>
        <v>99656.7</v>
      </c>
      <c r="P832" s="11" t="n">
        <f aca="false">N832-O832</f>
        <v>-116675.4</v>
      </c>
    </row>
    <row r="833" customFormat="false" ht="15" hidden="false" customHeight="false" outlineLevel="0" collapsed="false">
      <c r="A833" s="8" t="s">
        <v>26</v>
      </c>
      <c r="B833" s="8" t="s">
        <v>43</v>
      </c>
      <c r="C833" s="8" t="s">
        <v>60</v>
      </c>
      <c r="D833" s="21" t="n">
        <v>45849.3784722222</v>
      </c>
      <c r="E833" s="21" t="n">
        <v>45852.7534722222</v>
      </c>
      <c r="F833" s="22" t="n">
        <f aca="false">DATE(YEAR(E833),MONTH(E833),1)</f>
        <v>45839</v>
      </c>
      <c r="G833" s="23" t="n">
        <v>144824</v>
      </c>
      <c r="H833" s="8" t="s">
        <v>61</v>
      </c>
      <c r="I833" s="24" t="n">
        <v>3789.53</v>
      </c>
      <c r="J833" s="25" t="n">
        <f aca="false">Summary!$B$4</f>
        <v>1</v>
      </c>
      <c r="K833" s="11" t="n">
        <f aca="false">I833*J833*IF(A833="SILVER",Summary!$B$5,Summary!$B$6)</f>
        <v>113685.9</v>
      </c>
      <c r="L833" s="26" t="n">
        <v>2.54</v>
      </c>
      <c r="M833" s="27" t="n">
        <f aca="false">IF(K833&gt;0,1,0)</f>
        <v>1</v>
      </c>
      <c r="N833" s="11" t="n">
        <f aca="false">SUMIFS(K$2:K833,A$2:A833,A833,B$2:B833,B833)</f>
        <v>96667.2</v>
      </c>
      <c r="O833" s="11" t="n">
        <f aca="false">MAX(0,_xlfn.MAXIFS(N$2:N833,A$2:A833,A833,B$2:B833,B833))</f>
        <v>99656.7</v>
      </c>
      <c r="P833" s="11" t="n">
        <f aca="false">N833-O833</f>
        <v>-2989.5</v>
      </c>
    </row>
    <row r="834" customFormat="false" ht="15" hidden="false" customHeight="false" outlineLevel="0" collapsed="false">
      <c r="A834" s="8" t="s">
        <v>26</v>
      </c>
      <c r="B834" s="8" t="s">
        <v>43</v>
      </c>
      <c r="C834" s="8" t="s">
        <v>60</v>
      </c>
      <c r="D834" s="21" t="n">
        <v>45859.7847222222</v>
      </c>
      <c r="E834" s="21" t="n">
        <v>45860.4131944445</v>
      </c>
      <c r="F834" s="22" t="n">
        <f aca="false">DATE(YEAR(E834),MONTH(E834),1)</f>
        <v>45839</v>
      </c>
      <c r="G834" s="23" t="n">
        <v>148584</v>
      </c>
      <c r="H834" s="8" t="s">
        <v>61</v>
      </c>
      <c r="I834" s="24" t="n">
        <v>288.13</v>
      </c>
      <c r="J834" s="25" t="n">
        <f aca="false">Summary!$B$4</f>
        <v>1</v>
      </c>
      <c r="K834" s="11" t="n">
        <f aca="false">I834*J834*IF(A834="SILVER",Summary!$B$5,Summary!$B$6)</f>
        <v>8643.9</v>
      </c>
      <c r="L834" s="26" t="n">
        <v>0.397</v>
      </c>
      <c r="M834" s="27" t="n">
        <f aca="false">IF(K834&gt;0,1,0)</f>
        <v>1</v>
      </c>
      <c r="N834" s="11" t="n">
        <f aca="false">SUMIFS(K$2:K834,A$2:A834,A834,B$2:B834,B834)</f>
        <v>105311.1</v>
      </c>
      <c r="O834" s="11" t="n">
        <f aca="false">MAX(0,_xlfn.MAXIFS(N$2:N834,A$2:A834,A834,B$2:B834,B834))</f>
        <v>105311.1</v>
      </c>
      <c r="P834" s="11" t="n">
        <f aca="false">N834-O834</f>
        <v>0</v>
      </c>
    </row>
    <row r="835" customFormat="false" ht="15" hidden="false" customHeight="false" outlineLevel="0" collapsed="false">
      <c r="A835" s="8" t="s">
        <v>26</v>
      </c>
      <c r="B835" s="8" t="s">
        <v>43</v>
      </c>
      <c r="C835" s="8" t="s">
        <v>60</v>
      </c>
      <c r="D835" s="21" t="n">
        <v>45860.53125</v>
      </c>
      <c r="E835" s="21" t="n">
        <v>45860.5493055556</v>
      </c>
      <c r="F835" s="22" t="n">
        <f aca="false">DATE(YEAR(E835),MONTH(E835),1)</f>
        <v>45839</v>
      </c>
      <c r="G835" s="23" t="n">
        <v>149255</v>
      </c>
      <c r="H835" s="8" t="s">
        <v>64</v>
      </c>
      <c r="I835" s="24" t="n">
        <v>52.44</v>
      </c>
      <c r="J835" s="25" t="n">
        <f aca="false">Summary!$B$4</f>
        <v>1</v>
      </c>
      <c r="K835" s="11" t="n">
        <f aca="false">I835*J835*IF(A835="SILVER",Summary!$B$5,Summary!$B$6)</f>
        <v>1573.2</v>
      </c>
      <c r="L835" s="26" t="n">
        <v>0.092</v>
      </c>
      <c r="M835" s="27" t="n">
        <f aca="false">IF(K835&gt;0,1,0)</f>
        <v>1</v>
      </c>
      <c r="N835" s="11" t="n">
        <f aca="false">SUMIFS(K$2:K835,A$2:A835,A835,B$2:B835,B835)</f>
        <v>106884.3</v>
      </c>
      <c r="O835" s="11" t="n">
        <f aca="false">MAX(0,_xlfn.MAXIFS(N$2:N835,A$2:A835,A835,B$2:B835,B835))</f>
        <v>106884.3</v>
      </c>
      <c r="P835" s="11" t="n">
        <f aca="false">N835-O835</f>
        <v>0</v>
      </c>
    </row>
    <row r="836" customFormat="false" ht="15" hidden="false" customHeight="false" outlineLevel="0" collapsed="false">
      <c r="A836" s="8" t="s">
        <v>26</v>
      </c>
      <c r="B836" s="8" t="s">
        <v>43</v>
      </c>
      <c r="C836" s="8" t="s">
        <v>60</v>
      </c>
      <c r="D836" s="21" t="n">
        <v>45860.7361111111</v>
      </c>
      <c r="E836" s="21" t="n">
        <v>45860.7520833333</v>
      </c>
      <c r="F836" s="22" t="n">
        <f aca="false">DATE(YEAR(E836),MONTH(E836),1)</f>
        <v>45839</v>
      </c>
      <c r="G836" s="23" t="n">
        <v>149598</v>
      </c>
      <c r="H836" s="8" t="s">
        <v>64</v>
      </c>
      <c r="I836" s="24" t="n">
        <v>2.95</v>
      </c>
      <c r="J836" s="25" t="n">
        <f aca="false">Summary!$B$4</f>
        <v>1</v>
      </c>
      <c r="K836" s="11" t="n">
        <f aca="false">I836*J836*IF(A836="SILVER",Summary!$B$5,Summary!$B$6)</f>
        <v>88.5</v>
      </c>
      <c r="L836" s="26" t="n">
        <v>0.005</v>
      </c>
      <c r="M836" s="27" t="n">
        <f aca="false">IF(K836&gt;0,1,0)</f>
        <v>1</v>
      </c>
      <c r="N836" s="11" t="n">
        <f aca="false">SUMIFS(K$2:K836,A$2:A836,A836,B$2:B836,B836)</f>
        <v>106972.8</v>
      </c>
      <c r="O836" s="11" t="n">
        <f aca="false">MAX(0,_xlfn.MAXIFS(N$2:N836,A$2:A836,A836,B$2:B836,B836))</f>
        <v>106972.8</v>
      </c>
      <c r="P836" s="11" t="n">
        <f aca="false">N836-O836</f>
        <v>0</v>
      </c>
    </row>
    <row r="837" customFormat="false" ht="15" hidden="false" customHeight="false" outlineLevel="0" collapsed="false">
      <c r="A837" s="8" t="s">
        <v>26</v>
      </c>
      <c r="B837" s="8" t="s">
        <v>43</v>
      </c>
      <c r="C837" s="8" t="s">
        <v>60</v>
      </c>
      <c r="D837" s="21" t="n">
        <v>45860.7743055556</v>
      </c>
      <c r="E837" s="21" t="n">
        <v>45860.7791666667</v>
      </c>
      <c r="F837" s="22" t="n">
        <f aca="false">DATE(YEAR(E837),MONTH(E837),1)</f>
        <v>45839</v>
      </c>
      <c r="G837" s="23" t="n">
        <v>150278</v>
      </c>
      <c r="H837" s="8" t="s">
        <v>64</v>
      </c>
      <c r="I837" s="24" t="n">
        <v>99.89</v>
      </c>
      <c r="J837" s="25" t="n">
        <f aca="false">Summary!$B$4</f>
        <v>1</v>
      </c>
      <c r="K837" s="11" t="n">
        <f aca="false">I837*J837*IF(A837="SILVER",Summary!$B$5,Summary!$B$6)</f>
        <v>2996.7</v>
      </c>
      <c r="L837" s="26" t="n">
        <v>0.113</v>
      </c>
      <c r="M837" s="27" t="n">
        <f aca="false">IF(K837&gt;0,1,0)</f>
        <v>1</v>
      </c>
      <c r="N837" s="11" t="n">
        <f aca="false">SUMIFS(K$2:K837,A$2:A837,A837,B$2:B837,B837)</f>
        <v>109969.5</v>
      </c>
      <c r="O837" s="11" t="n">
        <f aca="false">MAX(0,_xlfn.MAXIFS(N$2:N837,A$2:A837,A837,B$2:B837,B837))</f>
        <v>109969.5</v>
      </c>
      <c r="P837" s="11" t="n">
        <f aca="false">N837-O837</f>
        <v>0</v>
      </c>
    </row>
    <row r="838" customFormat="false" ht="15" hidden="false" customHeight="false" outlineLevel="0" collapsed="false">
      <c r="A838" s="8" t="s">
        <v>26</v>
      </c>
      <c r="B838" s="8" t="s">
        <v>43</v>
      </c>
      <c r="C838" s="8" t="s">
        <v>60</v>
      </c>
      <c r="D838" s="21" t="n">
        <v>45861.4284722222</v>
      </c>
      <c r="E838" s="21" t="n">
        <v>45861.6479166667</v>
      </c>
      <c r="F838" s="22" t="n">
        <f aca="false">DATE(YEAR(E838),MONTH(E838),1)</f>
        <v>45839</v>
      </c>
      <c r="G838" s="23" t="n">
        <v>150589</v>
      </c>
      <c r="H838" s="8" t="s">
        <v>64</v>
      </c>
      <c r="I838" s="24" t="n">
        <v>89.42</v>
      </c>
      <c r="J838" s="25" t="n">
        <f aca="false">Summary!$B$4</f>
        <v>1</v>
      </c>
      <c r="K838" s="11" t="n">
        <f aca="false">I838*J838*IF(A838="SILVER",Summary!$B$5,Summary!$B$6)</f>
        <v>2682.6</v>
      </c>
      <c r="L838" s="26" t="n">
        <v>0.109</v>
      </c>
      <c r="M838" s="27" t="n">
        <f aca="false">IF(K838&gt;0,1,0)</f>
        <v>1</v>
      </c>
      <c r="N838" s="11" t="n">
        <f aca="false">SUMIFS(K$2:K838,A$2:A838,A838,B$2:B838,B838)</f>
        <v>112652.1</v>
      </c>
      <c r="O838" s="11" t="n">
        <f aca="false">MAX(0,_xlfn.MAXIFS(N$2:N838,A$2:A838,A838,B$2:B838,B838))</f>
        <v>112652.1</v>
      </c>
      <c r="P838" s="11" t="n">
        <f aca="false">N838-O838</f>
        <v>0</v>
      </c>
    </row>
    <row r="839" customFormat="false" ht="15" hidden="false" customHeight="false" outlineLevel="0" collapsed="false">
      <c r="A839" s="8" t="s">
        <v>26</v>
      </c>
      <c r="B839" s="8" t="s">
        <v>43</v>
      </c>
      <c r="C839" s="8" t="s">
        <v>60</v>
      </c>
      <c r="D839" s="21" t="n">
        <v>45863.3784722222</v>
      </c>
      <c r="E839" s="21" t="n">
        <v>45863.5541666667</v>
      </c>
      <c r="F839" s="22" t="n">
        <f aca="false">DATE(YEAR(E839),MONTH(E839),1)</f>
        <v>45839</v>
      </c>
      <c r="G839" s="23" t="n">
        <v>149759</v>
      </c>
      <c r="H839" s="8" t="s">
        <v>64</v>
      </c>
      <c r="I839" s="24" t="n">
        <v>37.28</v>
      </c>
      <c r="J839" s="25" t="n">
        <f aca="false">Summary!$B$4</f>
        <v>1</v>
      </c>
      <c r="K839" s="11" t="n">
        <f aca="false">I839*J839*IF(A839="SILVER",Summary!$B$5,Summary!$B$6)</f>
        <v>1118.4</v>
      </c>
      <c r="L839" s="26" t="n">
        <v>0.079</v>
      </c>
      <c r="M839" s="27" t="n">
        <f aca="false">IF(K839&gt;0,1,0)</f>
        <v>1</v>
      </c>
      <c r="N839" s="11" t="n">
        <f aca="false">SUMIFS(K$2:K839,A$2:A839,A839,B$2:B839,B839)</f>
        <v>113770.5</v>
      </c>
      <c r="O839" s="11" t="n">
        <f aca="false">MAX(0,_xlfn.MAXIFS(N$2:N839,A$2:A839,A839,B$2:B839,B839))</f>
        <v>113770.5</v>
      </c>
      <c r="P839" s="11" t="n">
        <f aca="false">N839-O839</f>
        <v>0</v>
      </c>
    </row>
    <row r="840" customFormat="false" ht="15" hidden="false" customHeight="false" outlineLevel="0" collapsed="false">
      <c r="A840" s="8" t="s">
        <v>26</v>
      </c>
      <c r="B840" s="8" t="s">
        <v>43</v>
      </c>
      <c r="C840" s="8" t="s">
        <v>60</v>
      </c>
      <c r="D840" s="21" t="n">
        <v>45873.5833333333</v>
      </c>
      <c r="E840" s="21" t="n">
        <v>45873.8361111111</v>
      </c>
      <c r="F840" s="22" t="n">
        <f aca="false">DATE(YEAR(E840),MONTH(E840),1)</f>
        <v>45870</v>
      </c>
      <c r="G840" s="23" t="n">
        <v>146431</v>
      </c>
      <c r="H840" s="8" t="s">
        <v>64</v>
      </c>
      <c r="I840" s="24" t="n">
        <v>68.33</v>
      </c>
      <c r="J840" s="25" t="n">
        <f aca="false">Summary!$B$4</f>
        <v>1</v>
      </c>
      <c r="K840" s="11" t="n">
        <f aca="false">I840*J840*IF(A840="SILVER",Summary!$B$5,Summary!$B$6)</f>
        <v>2049.9</v>
      </c>
      <c r="L840" s="26" t="n">
        <v>0.102</v>
      </c>
      <c r="M840" s="27" t="n">
        <f aca="false">IF(K840&gt;0,1,0)</f>
        <v>1</v>
      </c>
      <c r="N840" s="11" t="n">
        <f aca="false">SUMIFS(K$2:K840,A$2:A840,A840,B$2:B840,B840)</f>
        <v>115820.4</v>
      </c>
      <c r="O840" s="11" t="n">
        <f aca="false">MAX(0,_xlfn.MAXIFS(N$2:N840,A$2:A840,A840,B$2:B840,B840))</f>
        <v>115820.4</v>
      </c>
      <c r="P840" s="11" t="n">
        <f aca="false">N840-O840</f>
        <v>0</v>
      </c>
    </row>
    <row r="841" customFormat="false" ht="15" hidden="false" customHeight="false" outlineLevel="0" collapsed="false">
      <c r="A841" s="8" t="s">
        <v>26</v>
      </c>
      <c r="B841" s="8" t="s">
        <v>43</v>
      </c>
      <c r="C841" s="8" t="s">
        <v>60</v>
      </c>
      <c r="D841" s="21" t="n">
        <v>45873.8506944445</v>
      </c>
      <c r="E841" s="21" t="n">
        <v>45874.7708333333</v>
      </c>
      <c r="F841" s="22" t="n">
        <f aca="false">DATE(YEAR(E841),MONTH(E841),1)</f>
        <v>45870</v>
      </c>
      <c r="G841" s="23" t="n">
        <v>146815</v>
      </c>
      <c r="H841" s="8" t="s">
        <v>64</v>
      </c>
      <c r="I841" s="24" t="n">
        <v>110.89</v>
      </c>
      <c r="J841" s="25" t="n">
        <f aca="false">Summary!$B$4</f>
        <v>1</v>
      </c>
      <c r="K841" s="11" t="n">
        <f aca="false">I841*J841*IF(A841="SILVER",Summary!$B$5,Summary!$B$6)</f>
        <v>3326.7</v>
      </c>
      <c r="L841" s="26" t="n">
        <v>0.116</v>
      </c>
      <c r="M841" s="27" t="n">
        <f aca="false">IF(K841&gt;0,1,0)</f>
        <v>1</v>
      </c>
      <c r="N841" s="11" t="n">
        <f aca="false">SUMIFS(K$2:K841,A$2:A841,A841,B$2:B841,B841)</f>
        <v>119147.1</v>
      </c>
      <c r="O841" s="11" t="n">
        <f aca="false">MAX(0,_xlfn.MAXIFS(N$2:N841,A$2:A841,A841,B$2:B841,B841))</f>
        <v>119147.1</v>
      </c>
      <c r="P841" s="11" t="n">
        <f aca="false">N841-O841</f>
        <v>0</v>
      </c>
    </row>
    <row r="842" customFormat="false" ht="15" hidden="false" customHeight="false" outlineLevel="0" collapsed="false">
      <c r="A842" s="8" t="s">
        <v>26</v>
      </c>
      <c r="B842" s="8" t="s">
        <v>43</v>
      </c>
      <c r="C842" s="8" t="s">
        <v>60</v>
      </c>
      <c r="D842" s="21" t="n">
        <v>45874.8263888889</v>
      </c>
      <c r="E842" s="21" t="n">
        <v>45874.85625</v>
      </c>
      <c r="F842" s="22" t="n">
        <f aca="false">DATE(YEAR(E842),MONTH(E842),1)</f>
        <v>45870</v>
      </c>
      <c r="G842" s="23" t="n">
        <v>147598</v>
      </c>
      <c r="H842" s="8" t="s">
        <v>64</v>
      </c>
      <c r="I842" s="24" t="n">
        <v>103.48</v>
      </c>
      <c r="J842" s="25" t="n">
        <f aca="false">Summary!$B$4</f>
        <v>1</v>
      </c>
      <c r="K842" s="11" t="n">
        <f aca="false">I842*J842*IF(A842="SILVER",Summary!$B$5,Summary!$B$6)</f>
        <v>3104.4</v>
      </c>
      <c r="L842" s="26" t="n">
        <v>0.114</v>
      </c>
      <c r="M842" s="27" t="n">
        <f aca="false">IF(K842&gt;0,1,0)</f>
        <v>1</v>
      </c>
      <c r="N842" s="11" t="n">
        <f aca="false">SUMIFS(K$2:K842,A$2:A842,A842,B$2:B842,B842)</f>
        <v>122251.5</v>
      </c>
      <c r="O842" s="11" t="n">
        <f aca="false">MAX(0,_xlfn.MAXIFS(N$2:N842,A$2:A842,A842,B$2:B842,B842))</f>
        <v>122251.5</v>
      </c>
      <c r="P842" s="11" t="n">
        <f aca="false">N842-O842</f>
        <v>0</v>
      </c>
    </row>
    <row r="843" customFormat="false" ht="15" hidden="false" customHeight="false" outlineLevel="0" collapsed="false">
      <c r="A843" s="8" t="s">
        <v>26</v>
      </c>
      <c r="B843" s="8" t="s">
        <v>43</v>
      </c>
      <c r="C843" s="8" t="s">
        <v>60</v>
      </c>
      <c r="D843" s="21" t="n">
        <v>45875.7916666667</v>
      </c>
      <c r="E843" s="21" t="n">
        <v>45875.8784722222</v>
      </c>
      <c r="F843" s="22" t="n">
        <f aca="false">DATE(YEAR(E843),MONTH(E843),1)</f>
        <v>45870</v>
      </c>
      <c r="G843" s="23" t="n">
        <v>147845</v>
      </c>
      <c r="H843" s="8" t="s">
        <v>64</v>
      </c>
      <c r="I843" s="24" t="n">
        <v>48.31</v>
      </c>
      <c r="J843" s="25" t="n">
        <f aca="false">Summary!$B$4</f>
        <v>1</v>
      </c>
      <c r="K843" s="11" t="n">
        <f aca="false">I843*J843*IF(A843="SILVER",Summary!$B$5,Summary!$B$6)</f>
        <v>1449.3</v>
      </c>
      <c r="L843" s="26" t="n">
        <v>0.084</v>
      </c>
      <c r="M843" s="27" t="n">
        <f aca="false">IF(K843&gt;0,1,0)</f>
        <v>1</v>
      </c>
      <c r="N843" s="11" t="n">
        <f aca="false">SUMIFS(K$2:K843,A$2:A843,A843,B$2:B843,B843)</f>
        <v>123700.8</v>
      </c>
      <c r="O843" s="11" t="n">
        <f aca="false">MAX(0,_xlfn.MAXIFS(N$2:N843,A$2:A843,A843,B$2:B843,B843))</f>
        <v>123700.8</v>
      </c>
      <c r="P843" s="11" t="n">
        <f aca="false">N843-O843</f>
        <v>0</v>
      </c>
    </row>
    <row r="844" customFormat="false" ht="15" hidden="false" customHeight="false" outlineLevel="0" collapsed="false">
      <c r="A844" s="8" t="s">
        <v>26</v>
      </c>
      <c r="B844" s="8" t="s">
        <v>43</v>
      </c>
      <c r="C844" s="8" t="s">
        <v>60</v>
      </c>
      <c r="D844" s="21" t="n">
        <v>45876.3784722222</v>
      </c>
      <c r="E844" s="21" t="n">
        <v>45876.5680555556</v>
      </c>
      <c r="F844" s="22" t="n">
        <f aca="false">DATE(YEAR(E844),MONTH(E844),1)</f>
        <v>45870</v>
      </c>
      <c r="G844" s="23" t="n">
        <v>148442</v>
      </c>
      <c r="H844" s="8" t="s">
        <v>64</v>
      </c>
      <c r="I844" s="24" t="n">
        <v>56</v>
      </c>
      <c r="J844" s="25" t="n">
        <f aca="false">Summary!$B$4</f>
        <v>1</v>
      </c>
      <c r="K844" s="11" t="n">
        <f aca="false">I844*J844*IF(A844="SILVER",Summary!$B$5,Summary!$B$6)</f>
        <v>1680</v>
      </c>
      <c r="L844" s="26" t="n">
        <v>0.095</v>
      </c>
      <c r="M844" s="27" t="n">
        <f aca="false">IF(K844&gt;0,1,0)</f>
        <v>1</v>
      </c>
      <c r="N844" s="11" t="n">
        <f aca="false">SUMIFS(K$2:K844,A$2:A844,A844,B$2:B844,B844)</f>
        <v>125380.8</v>
      </c>
      <c r="O844" s="11" t="n">
        <f aca="false">MAX(0,_xlfn.MAXIFS(N$2:N844,A$2:A844,A844,B$2:B844,B844))</f>
        <v>125380.8</v>
      </c>
      <c r="P844" s="11" t="n">
        <f aca="false">N844-O844</f>
        <v>0</v>
      </c>
    </row>
    <row r="845" customFormat="false" ht="15" hidden="false" customHeight="false" outlineLevel="0" collapsed="false">
      <c r="A845" s="8" t="s">
        <v>26</v>
      </c>
      <c r="B845" s="8" t="s">
        <v>43</v>
      </c>
      <c r="C845" s="8" t="s">
        <v>60</v>
      </c>
      <c r="D845" s="21" t="n">
        <v>45876.6770833333</v>
      </c>
      <c r="E845" s="21" t="n">
        <v>45876.8541666667</v>
      </c>
      <c r="F845" s="22" t="n">
        <f aca="false">DATE(YEAR(E845),MONTH(E845),1)</f>
        <v>45870</v>
      </c>
      <c r="G845" s="23" t="n">
        <v>149734</v>
      </c>
      <c r="H845" s="8" t="s">
        <v>61</v>
      </c>
      <c r="I845" s="24" t="n">
        <v>-1081.96</v>
      </c>
      <c r="J845" s="25" t="n">
        <f aca="false">Summary!$B$4</f>
        <v>1</v>
      </c>
      <c r="K845" s="11" t="n">
        <f aca="false">I845*J845*IF(A845="SILVER",Summary!$B$5,Summary!$B$6)</f>
        <v>-32458.8</v>
      </c>
      <c r="L845" s="26" t="n">
        <v>-1.124</v>
      </c>
      <c r="M845" s="27" t="n">
        <f aca="false">IF(K845&gt;0,1,0)</f>
        <v>0</v>
      </c>
      <c r="N845" s="11" t="n">
        <f aca="false">SUMIFS(K$2:K845,A$2:A845,A845,B$2:B845,B845)</f>
        <v>92922</v>
      </c>
      <c r="O845" s="11" t="n">
        <f aca="false">MAX(0,_xlfn.MAXIFS(N$2:N845,A$2:A845,A845,B$2:B845,B845))</f>
        <v>125380.8</v>
      </c>
      <c r="P845" s="11" t="n">
        <f aca="false">N845-O845</f>
        <v>-32458.8</v>
      </c>
    </row>
    <row r="846" customFormat="false" ht="15" hidden="false" customHeight="false" outlineLevel="0" collapsed="false">
      <c r="A846" s="8" t="s">
        <v>26</v>
      </c>
      <c r="B846" s="8" t="s">
        <v>43</v>
      </c>
      <c r="C846" s="8" t="s">
        <v>60</v>
      </c>
      <c r="D846" s="21" t="n">
        <v>45877.3819444445</v>
      </c>
      <c r="E846" s="21" t="n">
        <v>45877.65625</v>
      </c>
      <c r="F846" s="22" t="n">
        <f aca="false">DATE(YEAR(E846),MONTH(E846),1)</f>
        <v>45870</v>
      </c>
      <c r="G846" s="23" t="n">
        <v>149220</v>
      </c>
      <c r="H846" s="8" t="s">
        <v>61</v>
      </c>
      <c r="I846" s="24" t="n">
        <v>231.01</v>
      </c>
      <c r="J846" s="25" t="n">
        <f aca="false">Summary!$B$4</f>
        <v>1</v>
      </c>
      <c r="K846" s="11" t="n">
        <f aca="false">I846*J846*IF(A846="SILVER",Summary!$B$5,Summary!$B$6)</f>
        <v>6930.3</v>
      </c>
      <c r="L846" s="26" t="n">
        <v>0.297</v>
      </c>
      <c r="M846" s="27" t="n">
        <f aca="false">IF(K846&gt;0,1,0)</f>
        <v>1</v>
      </c>
      <c r="N846" s="11" t="n">
        <f aca="false">SUMIFS(K$2:K846,A$2:A846,A846,B$2:B846,B846)</f>
        <v>99852.3</v>
      </c>
      <c r="O846" s="11" t="n">
        <f aca="false">MAX(0,_xlfn.MAXIFS(N$2:N846,A$2:A846,A846,B$2:B846,B846))</f>
        <v>125380.8</v>
      </c>
      <c r="P846" s="11" t="n">
        <f aca="false">N846-O846</f>
        <v>-25528.5</v>
      </c>
    </row>
    <row r="847" customFormat="false" ht="15" hidden="false" customHeight="false" outlineLevel="0" collapsed="false">
      <c r="A847" s="8" t="s">
        <v>26</v>
      </c>
      <c r="B847" s="8" t="s">
        <v>43</v>
      </c>
      <c r="C847" s="8" t="s">
        <v>60</v>
      </c>
      <c r="D847" s="21" t="n">
        <v>45881.46875</v>
      </c>
      <c r="E847" s="21" t="n">
        <v>45881.5590277778</v>
      </c>
      <c r="F847" s="22" t="n">
        <f aca="false">DATE(YEAR(E847),MONTH(E847),1)</f>
        <v>45870</v>
      </c>
      <c r="G847" s="23" t="n">
        <v>148099</v>
      </c>
      <c r="H847" s="8" t="s">
        <v>61</v>
      </c>
      <c r="I847" s="24" t="n">
        <v>-461.7</v>
      </c>
      <c r="J847" s="25" t="n">
        <f aca="false">Summary!$B$4</f>
        <v>1</v>
      </c>
      <c r="K847" s="11" t="n">
        <f aca="false">I847*J847*IF(A847="SILVER",Summary!$B$5,Summary!$B$6)</f>
        <v>-13851</v>
      </c>
      <c r="L847" s="26" t="n">
        <v>-0.976</v>
      </c>
      <c r="M847" s="27" t="n">
        <f aca="false">IF(K847&gt;0,1,0)</f>
        <v>0</v>
      </c>
      <c r="N847" s="11" t="n">
        <f aca="false">SUMIFS(K$2:K847,A$2:A847,A847,B$2:B847,B847)</f>
        <v>86001.3</v>
      </c>
      <c r="O847" s="11" t="n">
        <f aca="false">MAX(0,_xlfn.MAXIFS(N$2:N847,A$2:A847,A847,B$2:B847,B847))</f>
        <v>125380.8</v>
      </c>
      <c r="P847" s="11" t="n">
        <f aca="false">N847-O847</f>
        <v>-39379.5</v>
      </c>
    </row>
    <row r="848" customFormat="false" ht="15" hidden="false" customHeight="false" outlineLevel="0" collapsed="false">
      <c r="A848" s="8" t="s">
        <v>26</v>
      </c>
      <c r="B848" s="8" t="s">
        <v>43</v>
      </c>
      <c r="C848" s="8" t="s">
        <v>60</v>
      </c>
      <c r="D848" s="21" t="n">
        <v>45881.8680555556</v>
      </c>
      <c r="E848" s="21" t="n">
        <v>45881.8777777778</v>
      </c>
      <c r="F848" s="22" t="n">
        <f aca="false">DATE(YEAR(E848),MONTH(E848),1)</f>
        <v>45870</v>
      </c>
      <c r="G848" s="23" t="n">
        <v>147988</v>
      </c>
      <c r="H848" s="8" t="s">
        <v>64</v>
      </c>
      <c r="I848" s="24" t="n">
        <v>77.53</v>
      </c>
      <c r="J848" s="25" t="n">
        <f aca="false">Summary!$B$4</f>
        <v>1</v>
      </c>
      <c r="K848" s="11" t="n">
        <f aca="false">I848*J848*IF(A848="SILVER",Summary!$B$5,Summary!$B$6)</f>
        <v>2325.9</v>
      </c>
      <c r="L848" s="26" t="n">
        <v>0.105</v>
      </c>
      <c r="M848" s="27" t="n">
        <f aca="false">IF(K848&gt;0,1,0)</f>
        <v>1</v>
      </c>
      <c r="N848" s="11" t="n">
        <f aca="false">SUMIFS(K$2:K848,A$2:A848,A848,B$2:B848,B848)</f>
        <v>88327.2</v>
      </c>
      <c r="O848" s="11" t="n">
        <f aca="false">MAX(0,_xlfn.MAXIFS(N$2:N848,A$2:A848,A848,B$2:B848,B848))</f>
        <v>125380.8</v>
      </c>
      <c r="P848" s="11" t="n">
        <f aca="false">N848-O848</f>
        <v>-37053.6</v>
      </c>
    </row>
    <row r="849" customFormat="false" ht="15" hidden="false" customHeight="false" outlineLevel="0" collapsed="false">
      <c r="A849" s="8" t="s">
        <v>26</v>
      </c>
      <c r="B849" s="8" t="s">
        <v>43</v>
      </c>
      <c r="C849" s="8" t="s">
        <v>60</v>
      </c>
      <c r="D849" s="21" t="n">
        <v>45882.3784722222</v>
      </c>
      <c r="E849" s="21" t="n">
        <v>45882.4625</v>
      </c>
      <c r="F849" s="22" t="n">
        <f aca="false">DATE(YEAR(E849),MONTH(E849),1)</f>
        <v>45870</v>
      </c>
      <c r="G849" s="23" t="n">
        <v>148696</v>
      </c>
      <c r="H849" s="8" t="s">
        <v>64</v>
      </c>
      <c r="I849" s="24" t="n">
        <v>63.44</v>
      </c>
      <c r="J849" s="25" t="n">
        <f aca="false">Summary!$B$4</f>
        <v>1</v>
      </c>
      <c r="K849" s="11" t="n">
        <f aca="false">I849*J849*IF(A849="SILVER",Summary!$B$5,Summary!$B$6)</f>
        <v>1903.2</v>
      </c>
      <c r="L849" s="26" t="n">
        <v>0.099</v>
      </c>
      <c r="M849" s="27" t="n">
        <f aca="false">IF(K849&gt;0,1,0)</f>
        <v>1</v>
      </c>
      <c r="N849" s="11" t="n">
        <f aca="false">SUMIFS(K$2:K849,A$2:A849,A849,B$2:B849,B849)</f>
        <v>90230.4</v>
      </c>
      <c r="O849" s="11" t="n">
        <f aca="false">MAX(0,_xlfn.MAXIFS(N$2:N849,A$2:A849,A849,B$2:B849,B849))</f>
        <v>125380.8</v>
      </c>
      <c r="P849" s="11" t="n">
        <f aca="false">N849-O849</f>
        <v>-35150.4</v>
      </c>
    </row>
    <row r="850" customFormat="false" ht="15" hidden="false" customHeight="false" outlineLevel="0" collapsed="false">
      <c r="A850" s="8" t="s">
        <v>26</v>
      </c>
      <c r="B850" s="8" t="s">
        <v>43</v>
      </c>
      <c r="C850" s="8" t="s">
        <v>60</v>
      </c>
      <c r="D850" s="21" t="n">
        <v>45882.4930555556</v>
      </c>
      <c r="E850" s="21" t="n">
        <v>45882.5020833333</v>
      </c>
      <c r="F850" s="22" t="n">
        <f aca="false">DATE(YEAR(E850),MONTH(E850),1)</f>
        <v>45870</v>
      </c>
      <c r="G850" s="23" t="n">
        <v>149169</v>
      </c>
      <c r="H850" s="8" t="s">
        <v>64</v>
      </c>
      <c r="I850" s="24" t="n">
        <v>42.51</v>
      </c>
      <c r="J850" s="25" t="n">
        <f aca="false">Summary!$B$4</f>
        <v>1</v>
      </c>
      <c r="K850" s="11" t="n">
        <f aca="false">I850*J850*IF(A850="SILVER",Summary!$B$5,Summary!$B$6)</f>
        <v>1275.3</v>
      </c>
      <c r="L850" s="26" t="n">
        <v>0.084</v>
      </c>
      <c r="M850" s="27" t="n">
        <f aca="false">IF(K850&gt;0,1,0)</f>
        <v>1</v>
      </c>
      <c r="N850" s="11" t="n">
        <f aca="false">SUMIFS(K$2:K850,A$2:A850,A850,B$2:B850,B850)</f>
        <v>91505.7</v>
      </c>
      <c r="O850" s="11" t="n">
        <f aca="false">MAX(0,_xlfn.MAXIFS(N$2:N850,A$2:A850,A850,B$2:B850,B850))</f>
        <v>125380.8</v>
      </c>
      <c r="P850" s="11" t="n">
        <f aca="false">N850-O850</f>
        <v>-33875.1</v>
      </c>
    </row>
    <row r="851" customFormat="false" ht="15" hidden="false" customHeight="false" outlineLevel="0" collapsed="false">
      <c r="A851" s="8" t="s">
        <v>26</v>
      </c>
      <c r="B851" s="8" t="s">
        <v>43</v>
      </c>
      <c r="C851" s="8" t="s">
        <v>60</v>
      </c>
      <c r="D851" s="21" t="n">
        <v>45882.53125</v>
      </c>
      <c r="E851" s="21" t="n">
        <v>45882.7041666667</v>
      </c>
      <c r="F851" s="22" t="n">
        <f aca="false">DATE(YEAR(E851),MONTH(E851),1)</f>
        <v>45870</v>
      </c>
      <c r="G851" s="23" t="n">
        <v>149385</v>
      </c>
      <c r="H851" s="8" t="s">
        <v>64</v>
      </c>
      <c r="I851" s="24" t="n">
        <v>41.52</v>
      </c>
      <c r="J851" s="25" t="n">
        <f aca="false">Summary!$B$4</f>
        <v>1</v>
      </c>
      <c r="K851" s="11" t="n">
        <f aca="false">I851*J851*IF(A851="SILVER",Summary!$B$5,Summary!$B$6)</f>
        <v>1245.6</v>
      </c>
      <c r="L851" s="26" t="n">
        <v>0.084</v>
      </c>
      <c r="M851" s="27" t="n">
        <f aca="false">IF(K851&gt;0,1,0)</f>
        <v>1</v>
      </c>
      <c r="N851" s="11" t="n">
        <f aca="false">SUMIFS(K$2:K851,A$2:A851,A851,B$2:B851,B851)</f>
        <v>92751.3</v>
      </c>
      <c r="O851" s="11" t="n">
        <f aca="false">MAX(0,_xlfn.MAXIFS(N$2:N851,A$2:A851,A851,B$2:B851,B851))</f>
        <v>125380.8</v>
      </c>
      <c r="P851" s="11" t="n">
        <f aca="false">N851-O851</f>
        <v>-32629.5</v>
      </c>
    </row>
    <row r="852" customFormat="false" ht="15" hidden="false" customHeight="false" outlineLevel="0" collapsed="false">
      <c r="A852" s="8" t="s">
        <v>26</v>
      </c>
      <c r="B852" s="8" t="s">
        <v>43</v>
      </c>
      <c r="C852" s="8" t="s">
        <v>60</v>
      </c>
      <c r="D852" s="21" t="n">
        <v>45887.7569444445</v>
      </c>
      <c r="E852" s="21" t="n">
        <v>45887.8194444445</v>
      </c>
      <c r="F852" s="22" t="n">
        <f aca="false">DATE(YEAR(E852),MONTH(E852),1)</f>
        <v>45870</v>
      </c>
      <c r="G852" s="23" t="n">
        <v>148684</v>
      </c>
      <c r="H852" s="8" t="s">
        <v>61</v>
      </c>
      <c r="I852" s="24" t="n">
        <v>-583.8</v>
      </c>
      <c r="J852" s="25" t="n">
        <f aca="false">Summary!$B$4</f>
        <v>1</v>
      </c>
      <c r="K852" s="11" t="n">
        <f aca="false">I852*J852*IF(A852="SILVER",Summary!$B$5,Summary!$B$6)</f>
        <v>-17514</v>
      </c>
      <c r="L852" s="26" t="n">
        <v>-1.041</v>
      </c>
      <c r="M852" s="27" t="n">
        <f aca="false">IF(K852&gt;0,1,0)</f>
        <v>0</v>
      </c>
      <c r="N852" s="11" t="n">
        <f aca="false">SUMIFS(K$2:K852,A$2:A852,A852,B$2:B852,B852)</f>
        <v>75237.3</v>
      </c>
      <c r="O852" s="11" t="n">
        <f aca="false">MAX(0,_xlfn.MAXIFS(N$2:N852,A$2:A852,A852,B$2:B852,B852))</f>
        <v>125380.8</v>
      </c>
      <c r="P852" s="11" t="n">
        <f aca="false">N852-O852</f>
        <v>-50143.5</v>
      </c>
    </row>
    <row r="853" customFormat="false" ht="15" hidden="false" customHeight="false" outlineLevel="0" collapsed="false">
      <c r="A853" s="8" t="s">
        <v>26</v>
      </c>
      <c r="B853" s="8" t="s">
        <v>43</v>
      </c>
      <c r="C853" s="8" t="s">
        <v>60</v>
      </c>
      <c r="D853" s="21" t="n">
        <v>45890.7256944445</v>
      </c>
      <c r="E853" s="21" t="n">
        <v>45891.5069444445</v>
      </c>
      <c r="F853" s="22" t="n">
        <f aca="false">DATE(YEAR(E853),MONTH(E853),1)</f>
        <v>45870</v>
      </c>
      <c r="G853" s="23" t="n">
        <v>146945</v>
      </c>
      <c r="H853" s="8" t="s">
        <v>61</v>
      </c>
      <c r="I853" s="24" t="n">
        <v>801.4</v>
      </c>
      <c r="J853" s="25" t="n">
        <f aca="false">Summary!$B$4</f>
        <v>1</v>
      </c>
      <c r="K853" s="11" t="n">
        <f aca="false">I853*J853*IF(A853="SILVER",Summary!$B$5,Summary!$B$6)</f>
        <v>24042</v>
      </c>
      <c r="L853" s="26" t="n">
        <v>1.373</v>
      </c>
      <c r="M853" s="27" t="n">
        <f aca="false">IF(K853&gt;0,1,0)</f>
        <v>1</v>
      </c>
      <c r="N853" s="11" t="n">
        <f aca="false">SUMIFS(K$2:K853,A$2:A853,A853,B$2:B853,B853)</f>
        <v>99279.3</v>
      </c>
      <c r="O853" s="11" t="n">
        <f aca="false">MAX(0,_xlfn.MAXIFS(N$2:N853,A$2:A853,A853,B$2:B853,B853))</f>
        <v>125380.8</v>
      </c>
      <c r="P853" s="11" t="n">
        <f aca="false">N853-O853</f>
        <v>-26101.5</v>
      </c>
    </row>
    <row r="854" customFormat="false" ht="15" hidden="false" customHeight="false" outlineLevel="0" collapsed="false">
      <c r="A854" s="8" t="s">
        <v>26</v>
      </c>
      <c r="B854" s="8" t="s">
        <v>43</v>
      </c>
      <c r="C854" s="8" t="s">
        <v>60</v>
      </c>
      <c r="D854" s="21" t="n">
        <v>45891.5277777778</v>
      </c>
      <c r="E854" s="21" t="n">
        <v>45891.7395833333</v>
      </c>
      <c r="F854" s="22" t="n">
        <f aca="false">DATE(YEAR(E854),MONTH(E854),1)</f>
        <v>45870</v>
      </c>
      <c r="G854" s="23" t="n">
        <v>148192</v>
      </c>
      <c r="H854" s="8" t="s">
        <v>61</v>
      </c>
      <c r="I854" s="24" t="n">
        <v>-590.7</v>
      </c>
      <c r="J854" s="25" t="n">
        <f aca="false">Summary!$B$4</f>
        <v>1</v>
      </c>
      <c r="K854" s="11" t="n">
        <f aca="false">I854*J854*IF(A854="SILVER",Summary!$B$5,Summary!$B$6)</f>
        <v>-17721</v>
      </c>
      <c r="L854" s="26" t="n">
        <v>-1.015</v>
      </c>
      <c r="M854" s="27" t="n">
        <f aca="false">IF(K854&gt;0,1,0)</f>
        <v>0</v>
      </c>
      <c r="N854" s="11" t="n">
        <f aca="false">SUMIFS(K$2:K854,A$2:A854,A854,B$2:B854,B854)</f>
        <v>81558.3</v>
      </c>
      <c r="O854" s="11" t="n">
        <f aca="false">MAX(0,_xlfn.MAXIFS(N$2:N854,A$2:A854,A854,B$2:B854,B854))</f>
        <v>125380.8</v>
      </c>
      <c r="P854" s="11" t="n">
        <f aca="false">N854-O854</f>
        <v>-43822.5</v>
      </c>
    </row>
    <row r="855" customFormat="false" ht="15" hidden="false" customHeight="false" outlineLevel="0" collapsed="false">
      <c r="A855" s="8" t="s">
        <v>26</v>
      </c>
      <c r="B855" s="8" t="s">
        <v>43</v>
      </c>
      <c r="C855" s="8" t="s">
        <v>60</v>
      </c>
      <c r="D855" s="21" t="n">
        <v>45891.8159722222</v>
      </c>
      <c r="E855" s="21" t="n">
        <v>45894.6145833333</v>
      </c>
      <c r="F855" s="22" t="n">
        <f aca="false">DATE(YEAR(E855),MONTH(E855),1)</f>
        <v>45870</v>
      </c>
      <c r="G855" s="23" t="n">
        <v>148422</v>
      </c>
      <c r="H855" s="8" t="s">
        <v>61</v>
      </c>
      <c r="I855" s="24" t="n">
        <v>1931</v>
      </c>
      <c r="J855" s="25" t="n">
        <f aca="false">Summary!$B$4</f>
        <v>1</v>
      </c>
      <c r="K855" s="11" t="n">
        <f aca="false">I855*J855*IF(A855="SILVER",Summary!$B$5,Summary!$B$6)</f>
        <v>57930</v>
      </c>
      <c r="L855" s="26" t="n">
        <v>1.785</v>
      </c>
      <c r="M855" s="27" t="n">
        <f aca="false">IF(K855&gt;0,1,0)</f>
        <v>1</v>
      </c>
      <c r="N855" s="11" t="n">
        <f aca="false">SUMIFS(K$2:K855,A$2:A855,A855,B$2:B855,B855)</f>
        <v>139488.3</v>
      </c>
      <c r="O855" s="11" t="n">
        <f aca="false">MAX(0,_xlfn.MAXIFS(N$2:N855,A$2:A855,A855,B$2:B855,B855))</f>
        <v>139488.3</v>
      </c>
      <c r="P855" s="11" t="n">
        <f aca="false">N855-O855</f>
        <v>0</v>
      </c>
    </row>
    <row r="856" customFormat="false" ht="15" hidden="false" customHeight="false" outlineLevel="0" collapsed="false">
      <c r="A856" s="8" t="s">
        <v>26</v>
      </c>
      <c r="B856" s="8" t="s">
        <v>43</v>
      </c>
      <c r="C856" s="8" t="s">
        <v>60</v>
      </c>
      <c r="D856" s="21" t="n">
        <v>45894.8229166667</v>
      </c>
      <c r="E856" s="21" t="n">
        <v>45895.4444444445</v>
      </c>
      <c r="F856" s="22" t="n">
        <f aca="false">DATE(YEAR(E856),MONTH(E856),1)</f>
        <v>45870</v>
      </c>
      <c r="G856" s="23" t="n">
        <v>150754</v>
      </c>
      <c r="H856" s="8" t="s">
        <v>64</v>
      </c>
      <c r="I856" s="24" t="n">
        <v>94.89</v>
      </c>
      <c r="J856" s="25" t="n">
        <f aca="false">Summary!$B$4</f>
        <v>1</v>
      </c>
      <c r="K856" s="11" t="n">
        <f aca="false">I856*J856*IF(A856="SILVER",Summary!$B$5,Summary!$B$6)</f>
        <v>2846.7</v>
      </c>
      <c r="L856" s="26" t="n">
        <v>0.111</v>
      </c>
      <c r="M856" s="27" t="n">
        <f aca="false">IF(K856&gt;0,1,0)</f>
        <v>1</v>
      </c>
      <c r="N856" s="11" t="n">
        <f aca="false">SUMIFS(K$2:K856,A$2:A856,A856,B$2:B856,B856)</f>
        <v>142335</v>
      </c>
      <c r="O856" s="11" t="n">
        <f aca="false">MAX(0,_xlfn.MAXIFS(N$2:N856,A$2:A856,A856,B$2:B856,B856))</f>
        <v>142335</v>
      </c>
      <c r="P856" s="11" t="n">
        <f aca="false">N856-O856</f>
        <v>0</v>
      </c>
    </row>
    <row r="857" customFormat="false" ht="15" hidden="false" customHeight="false" outlineLevel="0" collapsed="false">
      <c r="A857" s="8" t="s">
        <v>26</v>
      </c>
      <c r="B857" s="8" t="s">
        <v>43</v>
      </c>
      <c r="C857" s="8" t="s">
        <v>60</v>
      </c>
      <c r="D857" s="21" t="n">
        <v>45895.8854166667</v>
      </c>
      <c r="E857" s="21" t="n">
        <v>45896.7118055556</v>
      </c>
      <c r="F857" s="22" t="n">
        <f aca="false">DATE(YEAR(E857),MONTH(E857),1)</f>
        <v>45870</v>
      </c>
      <c r="G857" s="23" t="n">
        <v>150477</v>
      </c>
      <c r="H857" s="8" t="s">
        <v>61</v>
      </c>
      <c r="I857" s="24" t="n">
        <v>-736.15</v>
      </c>
      <c r="J857" s="25" t="n">
        <f aca="false">Summary!$B$4</f>
        <v>1</v>
      </c>
      <c r="K857" s="11" t="n">
        <f aca="false">I857*J857*IF(A857="SILVER",Summary!$B$5,Summary!$B$6)</f>
        <v>-22084.5</v>
      </c>
      <c r="L857" s="26" t="n">
        <v>-1.165</v>
      </c>
      <c r="M857" s="27" t="n">
        <f aca="false">IF(K857&gt;0,1,0)</f>
        <v>0</v>
      </c>
      <c r="N857" s="11" t="n">
        <f aca="false">SUMIFS(K$2:K857,A$2:A857,A857,B$2:B857,B857)</f>
        <v>120250.5</v>
      </c>
      <c r="O857" s="11" t="n">
        <f aca="false">MAX(0,_xlfn.MAXIFS(N$2:N857,A$2:A857,A857,B$2:B857,B857))</f>
        <v>142335</v>
      </c>
      <c r="P857" s="11" t="n">
        <f aca="false">N857-O857</f>
        <v>-22084.5</v>
      </c>
    </row>
    <row r="858" customFormat="false" ht="15" hidden="false" customHeight="false" outlineLevel="0" collapsed="false">
      <c r="A858" s="8" t="s">
        <v>26</v>
      </c>
      <c r="B858" s="8" t="s">
        <v>43</v>
      </c>
      <c r="C858" s="8" t="s">
        <v>60</v>
      </c>
      <c r="D858" s="21" t="n">
        <v>45896.8576388889</v>
      </c>
      <c r="E858" s="21" t="n">
        <v>45896.8694444444</v>
      </c>
      <c r="F858" s="22" t="n">
        <f aca="false">DATE(YEAR(E858),MONTH(E858),1)</f>
        <v>45870</v>
      </c>
      <c r="G858" s="23" t="n">
        <v>149988</v>
      </c>
      <c r="H858" s="8" t="s">
        <v>64</v>
      </c>
      <c r="I858" s="24" t="n">
        <v>68.78</v>
      </c>
      <c r="J858" s="25" t="n">
        <f aca="false">Summary!$B$4</f>
        <v>1</v>
      </c>
      <c r="K858" s="11" t="n">
        <f aca="false">I858*J858*IF(A858="SILVER",Summary!$B$5,Summary!$B$6)</f>
        <v>2063.4</v>
      </c>
      <c r="L858" s="26" t="n">
        <v>0.101</v>
      </c>
      <c r="M858" s="27" t="n">
        <f aca="false">IF(K858&gt;0,1,0)</f>
        <v>1</v>
      </c>
      <c r="N858" s="11" t="n">
        <f aca="false">SUMIFS(K$2:K858,A$2:A858,A858,B$2:B858,B858)</f>
        <v>122313.9</v>
      </c>
      <c r="O858" s="11" t="n">
        <f aca="false">MAX(0,_xlfn.MAXIFS(N$2:N858,A$2:A858,A858,B$2:B858,B858))</f>
        <v>142335</v>
      </c>
      <c r="P858" s="11" t="n">
        <f aca="false">N858-O858</f>
        <v>-20021.1</v>
      </c>
    </row>
    <row r="859" customFormat="false" ht="15" hidden="false" customHeight="false" outlineLevel="0" collapsed="false">
      <c r="A859" s="8" t="s">
        <v>26</v>
      </c>
      <c r="B859" s="8" t="s">
        <v>43</v>
      </c>
      <c r="C859" s="8" t="s">
        <v>60</v>
      </c>
      <c r="D859" s="21" t="n">
        <v>45897.3784722222</v>
      </c>
      <c r="E859" s="21" t="n">
        <v>45897.8680555556</v>
      </c>
      <c r="F859" s="22" t="n">
        <f aca="false">DATE(YEAR(E859),MONTH(E859),1)</f>
        <v>45870</v>
      </c>
      <c r="G859" s="23" t="n">
        <v>150784</v>
      </c>
      <c r="H859" s="8" t="s">
        <v>61</v>
      </c>
      <c r="I859" s="24" t="n">
        <v>396.67</v>
      </c>
      <c r="J859" s="25" t="n">
        <f aca="false">Summary!$B$4</f>
        <v>1</v>
      </c>
      <c r="K859" s="11" t="n">
        <f aca="false">I859*J859*IF(A859="SILVER",Summary!$B$5,Summary!$B$6)</f>
        <v>11900.1</v>
      </c>
      <c r="L859" s="26" t="n">
        <v>0.495</v>
      </c>
      <c r="M859" s="27" t="n">
        <f aca="false">IF(K859&gt;0,1,0)</f>
        <v>1</v>
      </c>
      <c r="N859" s="11" t="n">
        <f aca="false">SUMIFS(K$2:K859,A$2:A859,A859,B$2:B859,B859)</f>
        <v>134214</v>
      </c>
      <c r="O859" s="11" t="n">
        <f aca="false">MAX(0,_xlfn.MAXIFS(N$2:N859,A$2:A859,A859,B$2:B859,B859))</f>
        <v>142335</v>
      </c>
      <c r="P859" s="11" t="n">
        <f aca="false">N859-O859</f>
        <v>-8121</v>
      </c>
    </row>
    <row r="860" customFormat="false" ht="15" hidden="false" customHeight="false" outlineLevel="0" collapsed="false">
      <c r="A860" s="8" t="s">
        <v>26</v>
      </c>
      <c r="B860" s="8" t="s">
        <v>43</v>
      </c>
      <c r="C860" s="8" t="s">
        <v>60</v>
      </c>
      <c r="D860" s="21" t="n">
        <v>45898.5694444445</v>
      </c>
      <c r="E860" s="21" t="n">
        <v>45898.6513888889</v>
      </c>
      <c r="F860" s="22" t="n">
        <f aca="false">DATE(YEAR(E860),MONTH(E860),1)</f>
        <v>45870</v>
      </c>
      <c r="G860" s="23" t="n">
        <v>151739</v>
      </c>
      <c r="H860" s="8" t="s">
        <v>64</v>
      </c>
      <c r="I860" s="24" t="n">
        <v>40.38</v>
      </c>
      <c r="J860" s="25" t="n">
        <f aca="false">Summary!$B$4</f>
        <v>1</v>
      </c>
      <c r="K860" s="11" t="n">
        <f aca="false">I860*J860*IF(A860="SILVER",Summary!$B$5,Summary!$B$6)</f>
        <v>1211.4</v>
      </c>
      <c r="L860" s="26" t="n">
        <v>0.082</v>
      </c>
      <c r="M860" s="27" t="n">
        <f aca="false">IF(K860&gt;0,1,0)</f>
        <v>1</v>
      </c>
      <c r="N860" s="11" t="n">
        <f aca="false">SUMIFS(K$2:K860,A$2:A860,A860,B$2:B860,B860)</f>
        <v>135425.4</v>
      </c>
      <c r="O860" s="11" t="n">
        <f aca="false">MAX(0,_xlfn.MAXIFS(N$2:N860,A$2:A860,A860,B$2:B860,B860))</f>
        <v>142335</v>
      </c>
      <c r="P860" s="11" t="n">
        <f aca="false">N860-O860</f>
        <v>-6909.59999999998</v>
      </c>
    </row>
    <row r="861" customFormat="false" ht="15" hidden="false" customHeight="false" outlineLevel="0" collapsed="false">
      <c r="A861" s="8" t="s">
        <v>26</v>
      </c>
      <c r="B861" s="8" t="s">
        <v>43</v>
      </c>
      <c r="C861" s="8" t="s">
        <v>60</v>
      </c>
      <c r="D861" s="21" t="n">
        <v>45898.7951388889</v>
      </c>
      <c r="E861" s="21" t="n">
        <v>45901.7013888889</v>
      </c>
      <c r="F861" s="22" t="n">
        <f aca="false">DATE(YEAR(E861),MONTH(E861),1)</f>
        <v>45901</v>
      </c>
      <c r="G861" s="23" t="n">
        <v>152033</v>
      </c>
      <c r="H861" s="8" t="s">
        <v>61</v>
      </c>
      <c r="I861" s="24" t="n">
        <v>4577.01</v>
      </c>
      <c r="J861" s="25" t="n">
        <f aca="false">Summary!$B$4</f>
        <v>1</v>
      </c>
      <c r="K861" s="11" t="n">
        <f aca="false">I861*J861*IF(A861="SILVER",Summary!$B$5,Summary!$B$6)</f>
        <v>137310.3</v>
      </c>
      <c r="L861" s="26" t="n">
        <v>6.309</v>
      </c>
      <c r="M861" s="27" t="n">
        <f aca="false">IF(K861&gt;0,1,0)</f>
        <v>1</v>
      </c>
      <c r="N861" s="11" t="n">
        <f aca="false">SUMIFS(K$2:K861,A$2:A861,A861,B$2:B861,B861)</f>
        <v>272735.7</v>
      </c>
      <c r="O861" s="11" t="n">
        <f aca="false">MAX(0,_xlfn.MAXIFS(N$2:N861,A$2:A861,A861,B$2:B861,B861))</f>
        <v>272735.7</v>
      </c>
      <c r="P861" s="11" t="n">
        <f aca="false">N861-O861</f>
        <v>0</v>
      </c>
    </row>
    <row r="862" customFormat="false" ht="15" hidden="false" customHeight="false" outlineLevel="0" collapsed="false">
      <c r="A862" s="8" t="s">
        <v>26</v>
      </c>
      <c r="B862" s="8" t="s">
        <v>43</v>
      </c>
      <c r="C862" s="8" t="s">
        <v>60</v>
      </c>
      <c r="D862" s="21" t="n">
        <v>45901.7881944445</v>
      </c>
      <c r="E862" s="21" t="n">
        <v>45902.4958333333</v>
      </c>
      <c r="F862" s="22" t="n">
        <f aca="false">DATE(YEAR(E862),MONTH(E862),1)</f>
        <v>45901</v>
      </c>
      <c r="G862" s="23" t="n">
        <v>157226</v>
      </c>
      <c r="H862" s="8" t="s">
        <v>64</v>
      </c>
      <c r="I862" s="24" t="n">
        <v>78.53</v>
      </c>
      <c r="J862" s="25" t="n">
        <f aca="false">Summary!$B$4</f>
        <v>1</v>
      </c>
      <c r="K862" s="11" t="n">
        <f aca="false">I862*J862*IF(A862="SILVER",Summary!$B$5,Summary!$B$6)</f>
        <v>2355.9</v>
      </c>
      <c r="L862" s="26" t="n">
        <v>0.104</v>
      </c>
      <c r="M862" s="27" t="n">
        <f aca="false">IF(K862&gt;0,1,0)</f>
        <v>1</v>
      </c>
      <c r="N862" s="11" t="n">
        <f aca="false">SUMIFS(K$2:K862,A$2:A862,A862,B$2:B862,B862)</f>
        <v>275091.6</v>
      </c>
      <c r="O862" s="11" t="n">
        <f aca="false">MAX(0,_xlfn.MAXIFS(N$2:N862,A$2:A862,A862,B$2:B862,B862))</f>
        <v>275091.6</v>
      </c>
      <c r="P862" s="11" t="n">
        <f aca="false">N862-O862</f>
        <v>0</v>
      </c>
    </row>
    <row r="863" customFormat="false" ht="15" hidden="false" customHeight="false" outlineLevel="0" collapsed="false">
      <c r="A863" s="8" t="s">
        <v>26</v>
      </c>
      <c r="B863" s="8" t="s">
        <v>43</v>
      </c>
      <c r="C863" s="8" t="s">
        <v>60</v>
      </c>
      <c r="D863" s="21" t="n">
        <v>45902.6729166667</v>
      </c>
      <c r="E863" s="21" t="n">
        <v>45902.7583333333</v>
      </c>
      <c r="F863" s="22" t="n">
        <f aca="false">DATE(YEAR(E863),MONTH(E863),1)</f>
        <v>45901</v>
      </c>
      <c r="G863" s="23" t="n">
        <v>157034</v>
      </c>
      <c r="H863" s="8" t="s">
        <v>61</v>
      </c>
      <c r="I863" s="24" t="n">
        <v>-1084.42</v>
      </c>
      <c r="J863" s="25" t="n">
        <f aca="false">Summary!$B$4</f>
        <v>1</v>
      </c>
      <c r="K863" s="11" t="n">
        <f aca="false">I863*J863*IF(A863="SILVER",Summary!$B$5,Summary!$B$6)</f>
        <v>-32532.6</v>
      </c>
      <c r="L863" s="26" t="n">
        <v>-1.403</v>
      </c>
      <c r="M863" s="27" t="n">
        <f aca="false">IF(K863&gt;0,1,0)</f>
        <v>0</v>
      </c>
      <c r="N863" s="11" t="n">
        <f aca="false">SUMIFS(K$2:K863,A$2:A863,A863,B$2:B863,B863)</f>
        <v>242559</v>
      </c>
      <c r="O863" s="11" t="n">
        <f aca="false">MAX(0,_xlfn.MAXIFS(N$2:N863,A$2:A863,A863,B$2:B863,B863))</f>
        <v>275091.6</v>
      </c>
      <c r="P863" s="11" t="n">
        <f aca="false">N863-O863</f>
        <v>-32532.6</v>
      </c>
    </row>
    <row r="864" customFormat="false" ht="15" hidden="false" customHeight="false" outlineLevel="0" collapsed="false">
      <c r="A864" s="8" t="s">
        <v>26</v>
      </c>
      <c r="B864" s="8" t="s">
        <v>43</v>
      </c>
      <c r="C864" s="8" t="s">
        <v>60</v>
      </c>
      <c r="D864" s="21" t="n">
        <v>45902.8958333333</v>
      </c>
      <c r="E864" s="21" t="n">
        <v>45903.8673611111</v>
      </c>
      <c r="F864" s="22" t="n">
        <f aca="false">DATE(YEAR(E864),MONTH(E864),1)</f>
        <v>45901</v>
      </c>
      <c r="G864" s="23" t="n">
        <v>157184</v>
      </c>
      <c r="H864" s="8" t="s">
        <v>61</v>
      </c>
      <c r="I864" s="24" t="n">
        <v>873.42</v>
      </c>
      <c r="J864" s="25" t="n">
        <f aca="false">Summary!$B$4</f>
        <v>1</v>
      </c>
      <c r="K864" s="11" t="n">
        <f aca="false">I864*J864*IF(A864="SILVER",Summary!$B$5,Summary!$B$6)</f>
        <v>26202.6</v>
      </c>
      <c r="L864" s="26" t="n">
        <v>0.646</v>
      </c>
      <c r="M864" s="27" t="n">
        <f aca="false">IF(K864&gt;0,1,0)</f>
        <v>1</v>
      </c>
      <c r="N864" s="11" t="n">
        <f aca="false">SUMIFS(K$2:K864,A$2:A864,A864,B$2:B864,B864)</f>
        <v>268761.6</v>
      </c>
      <c r="O864" s="11" t="n">
        <f aca="false">MAX(0,_xlfn.MAXIFS(N$2:N864,A$2:A864,A864,B$2:B864,B864))</f>
        <v>275091.6</v>
      </c>
      <c r="P864" s="11" t="n">
        <f aca="false">N864-O864</f>
        <v>-6330</v>
      </c>
    </row>
    <row r="865" customFormat="false" ht="15" hidden="false" customHeight="false" outlineLevel="0" collapsed="false">
      <c r="A865" s="8" t="s">
        <v>26</v>
      </c>
      <c r="B865" s="8" t="s">
        <v>43</v>
      </c>
      <c r="C865" s="8" t="s">
        <v>60</v>
      </c>
      <c r="D865" s="21" t="n">
        <v>45905.4083333333</v>
      </c>
      <c r="E865" s="21" t="n">
        <v>45905.7520833333</v>
      </c>
      <c r="F865" s="22" t="n">
        <f aca="false">DATE(YEAR(E865),MONTH(E865),1)</f>
        <v>45901</v>
      </c>
      <c r="G865" s="23" t="n">
        <v>157814</v>
      </c>
      <c r="H865" s="8" t="s">
        <v>61</v>
      </c>
      <c r="I865" s="24" t="n">
        <v>60.42</v>
      </c>
      <c r="J865" s="25" t="n">
        <f aca="false">Summary!$B$4</f>
        <v>1</v>
      </c>
      <c r="K865" s="11" t="n">
        <f aca="false">I865*J865*IF(A865="SILVER",Summary!$B$5,Summary!$B$6)</f>
        <v>1812.6</v>
      </c>
      <c r="L865" s="26" t="n">
        <v>0.052</v>
      </c>
      <c r="M865" s="27" t="n">
        <f aca="false">IF(K865&gt;0,1,0)</f>
        <v>1</v>
      </c>
      <c r="N865" s="11" t="n">
        <f aca="false">SUMIFS(K$2:K865,A$2:A865,A865,B$2:B865,B865)</f>
        <v>270574.2</v>
      </c>
      <c r="O865" s="11" t="n">
        <f aca="false">MAX(0,_xlfn.MAXIFS(N$2:N865,A$2:A865,A865,B$2:B865,B865))</f>
        <v>275091.6</v>
      </c>
      <c r="P865" s="11" t="n">
        <f aca="false">N865-O865</f>
        <v>-4517.39999999997</v>
      </c>
    </row>
    <row r="866" customFormat="false" ht="15" hidden="false" customHeight="false" outlineLevel="0" collapsed="false">
      <c r="A866" s="8" t="s">
        <v>26</v>
      </c>
      <c r="B866" s="8" t="s">
        <v>43</v>
      </c>
      <c r="C866" s="8" t="s">
        <v>60</v>
      </c>
      <c r="D866" s="21" t="n">
        <v>45905.7701388889</v>
      </c>
      <c r="E866" s="21" t="n">
        <v>45905.8534722222</v>
      </c>
      <c r="F866" s="22" t="n">
        <f aca="false">DATE(YEAR(E866),MONTH(E866),1)</f>
        <v>45901</v>
      </c>
      <c r="G866" s="23" t="n">
        <v>158634</v>
      </c>
      <c r="H866" s="8" t="s">
        <v>61</v>
      </c>
      <c r="I866" s="24" t="n">
        <v>-947.66</v>
      </c>
      <c r="J866" s="25" t="n">
        <f aca="false">Summary!$B$4</f>
        <v>1</v>
      </c>
      <c r="K866" s="11" t="n">
        <f aca="false">I866*J866*IF(A866="SILVER",Summary!$B$5,Summary!$B$6)</f>
        <v>-28429.8</v>
      </c>
      <c r="L866" s="26" t="n">
        <v>-0.505</v>
      </c>
      <c r="M866" s="27" t="n">
        <f aca="false">IF(K866&gt;0,1,0)</f>
        <v>0</v>
      </c>
      <c r="N866" s="11" t="n">
        <f aca="false">SUMIFS(K$2:K866,A$2:A866,A866,B$2:B866,B866)</f>
        <v>242144.4</v>
      </c>
      <c r="O866" s="11" t="n">
        <f aca="false">MAX(0,_xlfn.MAXIFS(N$2:N866,A$2:A866,A866,B$2:B866,B866))</f>
        <v>275091.6</v>
      </c>
      <c r="P866" s="11" t="n">
        <f aca="false">N866-O866</f>
        <v>-32947.2</v>
      </c>
    </row>
    <row r="867" customFormat="false" ht="15" hidden="false" customHeight="false" outlineLevel="0" collapsed="false">
      <c r="A867" s="8" t="s">
        <v>26</v>
      </c>
      <c r="B867" s="8" t="s">
        <v>43</v>
      </c>
      <c r="C867" s="8" t="s">
        <v>60</v>
      </c>
      <c r="D867" s="21" t="n">
        <v>45912.5659722222</v>
      </c>
      <c r="E867" s="21" t="n">
        <v>45912.6020833333</v>
      </c>
      <c r="F867" s="22" t="n">
        <f aca="false">DATE(YEAR(E867),MONTH(E867),1)</f>
        <v>45901</v>
      </c>
      <c r="G867" s="23" t="n">
        <v>160009</v>
      </c>
      <c r="H867" s="8" t="s">
        <v>64</v>
      </c>
      <c r="I867" s="24" t="n">
        <v>77.16</v>
      </c>
      <c r="J867" s="25" t="n">
        <f aca="false">Summary!$B$4</f>
        <v>1</v>
      </c>
      <c r="K867" s="11" t="n">
        <f aca="false">I867*J867*IF(A867="SILVER",Summary!$B$5,Summary!$B$6)</f>
        <v>2314.8</v>
      </c>
      <c r="L867" s="26" t="n">
        <v>0.103</v>
      </c>
      <c r="M867" s="27" t="n">
        <f aca="false">IF(K867&gt;0,1,0)</f>
        <v>1</v>
      </c>
      <c r="N867" s="11" t="n">
        <f aca="false">SUMIFS(K$2:K867,A$2:A867,A867,B$2:B867,B867)</f>
        <v>244459.2</v>
      </c>
      <c r="O867" s="11" t="n">
        <f aca="false">MAX(0,_xlfn.MAXIFS(N$2:N867,A$2:A867,A867,B$2:B867,B867))</f>
        <v>275091.6</v>
      </c>
      <c r="P867" s="11" t="n">
        <f aca="false">N867-O867</f>
        <v>-30632.4</v>
      </c>
    </row>
    <row r="868" customFormat="false" ht="15" hidden="false" customHeight="false" outlineLevel="0" collapsed="false">
      <c r="A868" s="8" t="s">
        <v>26</v>
      </c>
      <c r="B868" s="8" t="s">
        <v>43</v>
      </c>
      <c r="C868" s="8" t="s">
        <v>60</v>
      </c>
      <c r="D868" s="21" t="n">
        <v>45912.9513888889</v>
      </c>
      <c r="E868" s="21" t="n">
        <v>45915.75</v>
      </c>
      <c r="F868" s="22" t="n">
        <f aca="false">DATE(YEAR(E868),MONTH(E868),1)</f>
        <v>45901</v>
      </c>
      <c r="G868" s="23" t="n">
        <v>160309</v>
      </c>
      <c r="H868" s="8" t="s">
        <v>61</v>
      </c>
      <c r="I868" s="24" t="n">
        <v>-841.71</v>
      </c>
      <c r="J868" s="25" t="n">
        <f aca="false">Summary!$B$4</f>
        <v>1</v>
      </c>
      <c r="K868" s="11" t="n">
        <f aca="false">I868*J868*IF(A868="SILVER",Summary!$B$5,Summary!$B$6)</f>
        <v>-25251.3</v>
      </c>
      <c r="L868" s="26" t="n">
        <v>-1.168</v>
      </c>
      <c r="M868" s="27" t="n">
        <f aca="false">IF(K868&gt;0,1,0)</f>
        <v>0</v>
      </c>
      <c r="N868" s="11" t="n">
        <f aca="false">SUMIFS(K$2:K868,A$2:A868,A868,B$2:B868,B868)</f>
        <v>219207.9</v>
      </c>
      <c r="O868" s="11" t="n">
        <f aca="false">MAX(0,_xlfn.MAXIFS(N$2:N868,A$2:A868,A868,B$2:B868,B868))</f>
        <v>275091.6</v>
      </c>
      <c r="P868" s="11" t="n">
        <f aca="false">N868-O868</f>
        <v>-55883.7</v>
      </c>
    </row>
    <row r="869" customFormat="false" ht="15" hidden="false" customHeight="false" outlineLevel="0" collapsed="false">
      <c r="A869" s="8" t="s">
        <v>26</v>
      </c>
      <c r="B869" s="8" t="s">
        <v>43</v>
      </c>
      <c r="C869" s="8" t="s">
        <v>60</v>
      </c>
      <c r="D869" s="21" t="n">
        <v>45915.8368055556</v>
      </c>
      <c r="E869" s="21" t="n">
        <v>45915.8631944444</v>
      </c>
      <c r="F869" s="22" t="n">
        <f aca="false">DATE(YEAR(E869),MONTH(E869),1)</f>
        <v>45901</v>
      </c>
      <c r="G869" s="23" t="n">
        <v>160177</v>
      </c>
      <c r="H869" s="8" t="s">
        <v>64</v>
      </c>
      <c r="I869" s="24" t="n">
        <v>92.32</v>
      </c>
      <c r="J869" s="25" t="n">
        <f aca="false">Summary!$B$4</f>
        <v>1</v>
      </c>
      <c r="K869" s="11" t="n">
        <f aca="false">I869*J869*IF(A869="SILVER",Summary!$B$5,Summary!$B$6)</f>
        <v>2769.6</v>
      </c>
      <c r="L869" s="26" t="n">
        <v>0.108</v>
      </c>
      <c r="M869" s="27" t="n">
        <f aca="false">IF(K869&gt;0,1,0)</f>
        <v>1</v>
      </c>
      <c r="N869" s="11" t="n">
        <f aca="false">SUMIFS(K$2:K869,A$2:A869,A869,B$2:B869,B869)</f>
        <v>221977.5</v>
      </c>
      <c r="O869" s="11" t="n">
        <f aca="false">MAX(0,_xlfn.MAXIFS(N$2:N869,A$2:A869,A869,B$2:B869,B869))</f>
        <v>275091.6</v>
      </c>
      <c r="P869" s="11" t="n">
        <f aca="false">N869-O869</f>
        <v>-53114.1</v>
      </c>
    </row>
    <row r="870" customFormat="false" ht="15" hidden="false" customHeight="false" outlineLevel="0" collapsed="false">
      <c r="A870" s="8" t="s">
        <v>26</v>
      </c>
      <c r="B870" s="8" t="s">
        <v>43</v>
      </c>
      <c r="C870" s="8" t="s">
        <v>60</v>
      </c>
      <c r="D870" s="21" t="n">
        <v>45915.8819444445</v>
      </c>
      <c r="E870" s="21" t="n">
        <v>45915.9236111111</v>
      </c>
      <c r="F870" s="22" t="n">
        <f aca="false">DATE(YEAR(E870),MONTH(E870),1)</f>
        <v>45901</v>
      </c>
      <c r="G870" s="23" t="n">
        <v>160530</v>
      </c>
      <c r="H870" s="8" t="s">
        <v>64</v>
      </c>
      <c r="I870" s="24" t="n">
        <v>90.7</v>
      </c>
      <c r="J870" s="25" t="n">
        <f aca="false">Summary!$B$4</f>
        <v>1</v>
      </c>
      <c r="K870" s="11" t="n">
        <f aca="false">I870*J870*IF(A870="SILVER",Summary!$B$5,Summary!$B$6)</f>
        <v>2721</v>
      </c>
      <c r="L870" s="26" t="n">
        <v>0.108</v>
      </c>
      <c r="M870" s="27" t="n">
        <f aca="false">IF(K870&gt;0,1,0)</f>
        <v>1</v>
      </c>
      <c r="N870" s="11" t="n">
        <f aca="false">SUMIFS(K$2:K870,A$2:A870,A870,B$2:B870,B870)</f>
        <v>224698.5</v>
      </c>
      <c r="O870" s="11" t="n">
        <f aca="false">MAX(0,_xlfn.MAXIFS(N$2:N870,A$2:A870,A870,B$2:B870,B870))</f>
        <v>275091.6</v>
      </c>
      <c r="P870" s="11" t="n">
        <f aca="false">N870-O870</f>
        <v>-50393.1</v>
      </c>
    </row>
    <row r="871" customFormat="false" ht="15" hidden="false" customHeight="false" outlineLevel="0" collapsed="false">
      <c r="A871" s="8" t="s">
        <v>26</v>
      </c>
      <c r="B871" s="8" t="s">
        <v>43</v>
      </c>
      <c r="C871" s="8" t="s">
        <v>60</v>
      </c>
      <c r="D871" s="21" t="n">
        <v>45916.4027777778</v>
      </c>
      <c r="E871" s="21" t="n">
        <v>45916.8319444444</v>
      </c>
      <c r="F871" s="22" t="n">
        <f aca="false">DATE(YEAR(E871),MONTH(E871),1)</f>
        <v>45901</v>
      </c>
      <c r="G871" s="23" t="n">
        <v>161038</v>
      </c>
      <c r="H871" s="8" t="s">
        <v>64</v>
      </c>
      <c r="I871" s="24" t="n">
        <v>65.14</v>
      </c>
      <c r="J871" s="25" t="n">
        <f aca="false">Summary!$B$4</f>
        <v>1</v>
      </c>
      <c r="K871" s="11" t="n">
        <f aca="false">I871*J871*IF(A871="SILVER",Summary!$B$5,Summary!$B$6)</f>
        <v>1954.2</v>
      </c>
      <c r="L871" s="26" t="n">
        <v>0.097</v>
      </c>
      <c r="M871" s="27" t="n">
        <f aca="false">IF(K871&gt;0,1,0)</f>
        <v>1</v>
      </c>
      <c r="N871" s="11" t="n">
        <f aca="false">SUMIFS(K$2:K871,A$2:A871,A871,B$2:B871,B871)</f>
        <v>226652.7</v>
      </c>
      <c r="O871" s="11" t="n">
        <f aca="false">MAX(0,_xlfn.MAXIFS(N$2:N871,A$2:A871,A871,B$2:B871,B871))</f>
        <v>275091.6</v>
      </c>
      <c r="P871" s="11" t="n">
        <f aca="false">N871-O871</f>
        <v>-48438.9</v>
      </c>
    </row>
    <row r="872" customFormat="false" ht="15" hidden="false" customHeight="false" outlineLevel="0" collapsed="false">
      <c r="A872" s="8" t="s">
        <v>26</v>
      </c>
      <c r="B872" s="8" t="s">
        <v>43</v>
      </c>
      <c r="C872" s="8" t="s">
        <v>60</v>
      </c>
      <c r="D872" s="21" t="n">
        <v>45919.9722222222</v>
      </c>
      <c r="E872" s="21" t="n">
        <v>45922.7395833333</v>
      </c>
      <c r="F872" s="22" t="n">
        <f aca="false">DATE(YEAR(E872),MONTH(E872),1)</f>
        <v>45901</v>
      </c>
      <c r="G872" s="23" t="n">
        <v>161161</v>
      </c>
      <c r="H872" s="8" t="s">
        <v>61</v>
      </c>
      <c r="I872" s="24" t="n">
        <v>2435.8</v>
      </c>
      <c r="J872" s="25" t="n">
        <f aca="false">Summary!$B$4</f>
        <v>1</v>
      </c>
      <c r="K872" s="11" t="n">
        <f aca="false">I872*J872*IF(A872="SILVER",Summary!$B$5,Summary!$B$6)</f>
        <v>73074</v>
      </c>
      <c r="L872" s="26" t="n">
        <v>3.251</v>
      </c>
      <c r="M872" s="27" t="n">
        <f aca="false">IF(K872&gt;0,1,0)</f>
        <v>1</v>
      </c>
      <c r="N872" s="11" t="n">
        <f aca="false">SUMIFS(K$2:K872,A$2:A872,A872,B$2:B872,B872)</f>
        <v>299726.7</v>
      </c>
      <c r="O872" s="11" t="n">
        <f aca="false">MAX(0,_xlfn.MAXIFS(N$2:N872,A$2:A872,A872,B$2:B872,B872))</f>
        <v>299726.7</v>
      </c>
      <c r="P872" s="11" t="n">
        <f aca="false">N872-O872</f>
        <v>0</v>
      </c>
    </row>
    <row r="873" customFormat="false" ht="15" hidden="false" customHeight="false" outlineLevel="0" collapsed="false">
      <c r="A873" s="8" t="s">
        <v>26</v>
      </c>
      <c r="B873" s="8" t="s">
        <v>43</v>
      </c>
      <c r="C873" s="8" t="s">
        <v>60</v>
      </c>
      <c r="D873" s="21" t="n">
        <v>45922.8541666667</v>
      </c>
      <c r="E873" s="21" t="n">
        <v>45922.89375</v>
      </c>
      <c r="F873" s="22" t="n">
        <f aca="false">DATE(YEAR(E873),MONTH(E873),1)</f>
        <v>45901</v>
      </c>
      <c r="G873" s="23" t="n">
        <v>164253</v>
      </c>
      <c r="H873" s="8" t="s">
        <v>64</v>
      </c>
      <c r="I873" s="24" t="n">
        <v>144.69</v>
      </c>
      <c r="J873" s="25" t="n">
        <f aca="false">Summary!$B$4</f>
        <v>1</v>
      </c>
      <c r="K873" s="11" t="n">
        <f aca="false">I873*J873*IF(A873="SILVER",Summary!$B$5,Summary!$B$6)</f>
        <v>4340.7</v>
      </c>
      <c r="L873" s="26" t="n">
        <v>0.12</v>
      </c>
      <c r="M873" s="27" t="n">
        <f aca="false">IF(K873&gt;0,1,0)</f>
        <v>1</v>
      </c>
      <c r="N873" s="11" t="n">
        <f aca="false">SUMIFS(K$2:K873,A$2:A873,A873,B$2:B873,B873)</f>
        <v>304067.4</v>
      </c>
      <c r="O873" s="11" t="n">
        <f aca="false">MAX(0,_xlfn.MAXIFS(N$2:N873,A$2:A873,A873,B$2:B873,B873))</f>
        <v>304067.4</v>
      </c>
      <c r="P873" s="11" t="n">
        <f aca="false">N873-O873</f>
        <v>0</v>
      </c>
    </row>
    <row r="874" customFormat="false" ht="15" hidden="false" customHeight="false" outlineLevel="0" collapsed="false">
      <c r="A874" s="8" t="s">
        <v>26</v>
      </c>
      <c r="B874" s="8" t="s">
        <v>43</v>
      </c>
      <c r="C874" s="8" t="s">
        <v>60</v>
      </c>
      <c r="D874" s="21" t="n">
        <v>45922.9027777778</v>
      </c>
      <c r="E874" s="21" t="n">
        <v>45923.375</v>
      </c>
      <c r="F874" s="22" t="n">
        <f aca="false">DATE(YEAR(E874),MONTH(E874),1)</f>
        <v>45901</v>
      </c>
      <c r="G874" s="23" t="n">
        <v>164653</v>
      </c>
      <c r="H874" s="8" t="s">
        <v>64</v>
      </c>
      <c r="I874" s="24" t="n">
        <v>-86.7</v>
      </c>
      <c r="J874" s="25" t="n">
        <f aca="false">Summary!$B$4</f>
        <v>1</v>
      </c>
      <c r="K874" s="11" t="n">
        <f aca="false">I874*J874*IF(A874="SILVER",Summary!$B$5,Summary!$B$6)</f>
        <v>-2601</v>
      </c>
      <c r="L874" s="26" t="n">
        <v>-0.086</v>
      </c>
      <c r="M874" s="27" t="n">
        <f aca="false">IF(K874&gt;0,1,0)</f>
        <v>0</v>
      </c>
      <c r="N874" s="11" t="n">
        <f aca="false">SUMIFS(K$2:K874,A$2:A874,A874,B$2:B874,B874)</f>
        <v>301466.4</v>
      </c>
      <c r="O874" s="11" t="n">
        <f aca="false">MAX(0,_xlfn.MAXIFS(N$2:N874,A$2:A874,A874,B$2:B874,B874))</f>
        <v>304067.4</v>
      </c>
      <c r="P874" s="11" t="n">
        <f aca="false">N874-O874</f>
        <v>-2601</v>
      </c>
    </row>
    <row r="875" customFormat="false" ht="15" hidden="false" customHeight="false" outlineLevel="0" collapsed="false">
      <c r="A875" s="8" t="s">
        <v>26</v>
      </c>
      <c r="B875" s="8" t="s">
        <v>43</v>
      </c>
      <c r="C875" s="8" t="s">
        <v>60</v>
      </c>
      <c r="D875" s="21" t="n">
        <v>45923.3784722222</v>
      </c>
      <c r="E875" s="21" t="n">
        <v>45923.4305555556</v>
      </c>
      <c r="F875" s="22" t="n">
        <f aca="false">DATE(YEAR(E875),MONTH(E875),1)</f>
        <v>45901</v>
      </c>
      <c r="G875" s="23" t="n">
        <v>165063</v>
      </c>
      <c r="H875" s="8" t="s">
        <v>64</v>
      </c>
      <c r="I875" s="24" t="n">
        <v>87.12</v>
      </c>
      <c r="J875" s="25" t="n">
        <f aca="false">Summary!$B$4</f>
        <v>1</v>
      </c>
      <c r="K875" s="11" t="n">
        <f aca="false">I875*J875*IF(A875="SILVER",Summary!$B$5,Summary!$B$6)</f>
        <v>2613.6</v>
      </c>
      <c r="L875" s="26" t="n">
        <v>0.105</v>
      </c>
      <c r="M875" s="27" t="n">
        <f aca="false">IF(K875&gt;0,1,0)</f>
        <v>1</v>
      </c>
      <c r="N875" s="11" t="n">
        <f aca="false">SUMIFS(K$2:K875,A$2:A875,A875,B$2:B875,B875)</f>
        <v>304080</v>
      </c>
      <c r="O875" s="11" t="n">
        <f aca="false">MAX(0,_xlfn.MAXIFS(N$2:N875,A$2:A875,A875,B$2:B875,B875))</f>
        <v>304080</v>
      </c>
      <c r="P875" s="11" t="n">
        <f aca="false">N875-O875</f>
        <v>0</v>
      </c>
    </row>
    <row r="876" customFormat="false" ht="15" hidden="false" customHeight="false" outlineLevel="0" collapsed="false">
      <c r="A876" s="8" t="s">
        <v>26</v>
      </c>
      <c r="B876" s="8" t="s">
        <v>43</v>
      </c>
      <c r="C876" s="8" t="s">
        <v>60</v>
      </c>
      <c r="D876" s="21" t="n">
        <v>45923.4409722222</v>
      </c>
      <c r="E876" s="21" t="n">
        <v>45923.4736111111</v>
      </c>
      <c r="F876" s="22" t="n">
        <f aca="false">DATE(YEAR(E876),MONTH(E876),1)</f>
        <v>45901</v>
      </c>
      <c r="G876" s="23" t="n">
        <v>165451</v>
      </c>
      <c r="H876" s="8" t="s">
        <v>64</v>
      </c>
      <c r="I876" s="24" t="n">
        <v>99.88</v>
      </c>
      <c r="J876" s="25" t="n">
        <f aca="false">Summary!$B$4</f>
        <v>1</v>
      </c>
      <c r="K876" s="11" t="n">
        <f aca="false">I876*J876*IF(A876="SILVER",Summary!$B$5,Summary!$B$6)</f>
        <v>2996.4</v>
      </c>
      <c r="L876" s="26" t="n">
        <v>0.11</v>
      </c>
      <c r="M876" s="27" t="n">
        <f aca="false">IF(K876&gt;0,1,0)</f>
        <v>1</v>
      </c>
      <c r="N876" s="11" t="n">
        <f aca="false">SUMIFS(K$2:K876,A$2:A876,A876,B$2:B876,B876)</f>
        <v>307076.4</v>
      </c>
      <c r="O876" s="11" t="n">
        <f aca="false">MAX(0,_xlfn.MAXIFS(N$2:N876,A$2:A876,A876,B$2:B876,B876))</f>
        <v>307076.4</v>
      </c>
      <c r="P876" s="11" t="n">
        <f aca="false">N876-O876</f>
        <v>0</v>
      </c>
    </row>
    <row r="877" customFormat="false" ht="15" hidden="false" customHeight="false" outlineLevel="0" collapsed="false">
      <c r="A877" s="8" t="s">
        <v>26</v>
      </c>
      <c r="B877" s="8" t="s">
        <v>43</v>
      </c>
      <c r="C877" s="8" t="s">
        <v>60</v>
      </c>
      <c r="D877" s="21" t="n">
        <v>45923.5868055556</v>
      </c>
      <c r="E877" s="21" t="n">
        <v>45923.8270833333</v>
      </c>
      <c r="F877" s="22" t="n">
        <f aca="false">DATE(YEAR(E877),MONTH(E877),1)</f>
        <v>45901</v>
      </c>
      <c r="G877" s="23" t="n">
        <v>166086</v>
      </c>
      <c r="H877" s="8" t="s">
        <v>64</v>
      </c>
      <c r="I877" s="24" t="n">
        <v>120.32</v>
      </c>
      <c r="J877" s="25" t="n">
        <f aca="false">Summary!$B$4</f>
        <v>1</v>
      </c>
      <c r="K877" s="11" t="n">
        <f aca="false">I877*J877*IF(A877="SILVER",Summary!$B$5,Summary!$B$6)</f>
        <v>3609.6</v>
      </c>
      <c r="L877" s="26" t="n">
        <v>0.115</v>
      </c>
      <c r="M877" s="27" t="n">
        <f aca="false">IF(K877&gt;0,1,0)</f>
        <v>1</v>
      </c>
      <c r="N877" s="11" t="n">
        <f aca="false">SUMIFS(K$2:K877,A$2:A877,A877,B$2:B877,B877)</f>
        <v>310686</v>
      </c>
      <c r="O877" s="11" t="n">
        <f aca="false">MAX(0,_xlfn.MAXIFS(N$2:N877,A$2:A877,A877,B$2:B877,B877))</f>
        <v>310686</v>
      </c>
      <c r="P877" s="11" t="n">
        <f aca="false">N877-O877</f>
        <v>0</v>
      </c>
    </row>
    <row r="878" customFormat="false" ht="15" hidden="false" customHeight="false" outlineLevel="0" collapsed="false">
      <c r="A878" s="8" t="s">
        <v>26</v>
      </c>
      <c r="B878" s="8" t="s">
        <v>43</v>
      </c>
      <c r="C878" s="8" t="s">
        <v>60</v>
      </c>
      <c r="D878" s="21" t="n">
        <v>45924.78125</v>
      </c>
      <c r="E878" s="21" t="n">
        <v>45924.8958333333</v>
      </c>
      <c r="F878" s="22" t="n">
        <f aca="false">DATE(YEAR(E878),MONTH(E878),1)</f>
        <v>45901</v>
      </c>
      <c r="G878" s="23" t="n">
        <v>166515</v>
      </c>
      <c r="H878" s="8" t="s">
        <v>61</v>
      </c>
      <c r="I878" s="24" t="n">
        <v>-1191.92</v>
      </c>
      <c r="J878" s="25" t="n">
        <f aca="false">Summary!$B$4</f>
        <v>1</v>
      </c>
      <c r="K878" s="11" t="n">
        <f aca="false">I878*J878*IF(A878="SILVER",Summary!$B$5,Summary!$B$6)</f>
        <v>-35757.6</v>
      </c>
      <c r="L878" s="26" t="n">
        <v>-1.034</v>
      </c>
      <c r="M878" s="27" t="n">
        <f aca="false">IF(K878&gt;0,1,0)</f>
        <v>0</v>
      </c>
      <c r="N878" s="11" t="n">
        <f aca="false">SUMIFS(K$2:K878,A$2:A878,A878,B$2:B878,B878)</f>
        <v>274928.4</v>
      </c>
      <c r="O878" s="11" t="n">
        <f aca="false">MAX(0,_xlfn.MAXIFS(N$2:N878,A$2:A878,A878,B$2:B878,B878))</f>
        <v>310686</v>
      </c>
      <c r="P878" s="11" t="n">
        <f aca="false">N878-O878</f>
        <v>-35757.6</v>
      </c>
    </row>
    <row r="879" customFormat="false" ht="15" hidden="false" customHeight="false" outlineLevel="0" collapsed="false">
      <c r="A879" s="8" t="s">
        <v>26</v>
      </c>
      <c r="B879" s="8" t="s">
        <v>43</v>
      </c>
      <c r="C879" s="8" t="s">
        <v>60</v>
      </c>
      <c r="D879" s="21" t="n">
        <v>45925.5451388889</v>
      </c>
      <c r="E879" s="21" t="n">
        <v>45925.7638888889</v>
      </c>
      <c r="F879" s="22" t="n">
        <f aca="false">DATE(YEAR(E879),MONTH(E879),1)</f>
        <v>45901</v>
      </c>
      <c r="G879" s="23" t="n">
        <v>166181</v>
      </c>
      <c r="H879" s="8" t="s">
        <v>61</v>
      </c>
      <c r="I879" s="24" t="n">
        <v>1347.89</v>
      </c>
      <c r="J879" s="25" t="n">
        <f aca="false">Summary!$B$4</f>
        <v>1</v>
      </c>
      <c r="K879" s="11" t="n">
        <f aca="false">I879*J879*IF(A879="SILVER",Summary!$B$5,Summary!$B$6)</f>
        <v>40436.7</v>
      </c>
      <c r="L879" s="26" t="n">
        <v>1.629</v>
      </c>
      <c r="M879" s="27" t="n">
        <f aca="false">IF(K879&gt;0,1,0)</f>
        <v>1</v>
      </c>
      <c r="N879" s="11" t="n">
        <f aca="false">SUMIFS(K$2:K879,A$2:A879,A879,B$2:B879,B879)</f>
        <v>315365.1</v>
      </c>
      <c r="O879" s="11" t="n">
        <f aca="false">MAX(0,_xlfn.MAXIFS(N$2:N879,A$2:A879,A879,B$2:B879,B879))</f>
        <v>315365.1</v>
      </c>
      <c r="P879" s="11" t="n">
        <f aca="false">N879-O879</f>
        <v>0</v>
      </c>
    </row>
    <row r="880" customFormat="false" ht="15" hidden="false" customHeight="false" outlineLevel="0" collapsed="false">
      <c r="A880" s="8" t="s">
        <v>26</v>
      </c>
      <c r="B880" s="8" t="s">
        <v>43</v>
      </c>
      <c r="C880" s="8" t="s">
        <v>60</v>
      </c>
      <c r="D880" s="21" t="n">
        <v>45925.8680555556</v>
      </c>
      <c r="E880" s="21" t="n">
        <v>45929.75</v>
      </c>
      <c r="F880" s="22" t="n">
        <f aca="false">DATE(YEAR(E880),MONTH(E880),1)</f>
        <v>45901</v>
      </c>
      <c r="G880" s="23" t="n">
        <v>168332</v>
      </c>
      <c r="H880" s="8" t="s">
        <v>61</v>
      </c>
      <c r="I880" s="24" t="n">
        <v>5850.02</v>
      </c>
      <c r="J880" s="25" t="n">
        <f aca="false">Summary!$B$4</f>
        <v>1</v>
      </c>
      <c r="K880" s="11" t="n">
        <f aca="false">I880*J880*IF(A880="SILVER",Summary!$B$5,Summary!$B$6)</f>
        <v>175500.6</v>
      </c>
      <c r="L880" s="26" t="n">
        <v>3.198</v>
      </c>
      <c r="M880" s="27" t="n">
        <f aca="false">IF(K880&gt;0,1,0)</f>
        <v>1</v>
      </c>
      <c r="N880" s="11" t="n">
        <f aca="false">SUMIFS(K$2:K880,A$2:A880,A880,B$2:B880,B880)</f>
        <v>490865.7</v>
      </c>
      <c r="O880" s="11" t="n">
        <f aca="false">MAX(0,_xlfn.MAXIFS(N$2:N880,A$2:A880,A880,B$2:B880,B880))</f>
        <v>490865.7</v>
      </c>
      <c r="P880" s="11" t="n">
        <f aca="false">N880-O880</f>
        <v>0</v>
      </c>
    </row>
    <row r="881" customFormat="false" ht="15" hidden="false" customHeight="false" outlineLevel="0" collapsed="false">
      <c r="A881" s="8" t="s">
        <v>26</v>
      </c>
      <c r="B881" s="8" t="s">
        <v>43</v>
      </c>
      <c r="C881" s="8" t="s">
        <v>60</v>
      </c>
      <c r="D881" s="21" t="n">
        <v>45930.3854166667</v>
      </c>
      <c r="E881" s="21" t="n">
        <v>45930.5173611111</v>
      </c>
      <c r="F881" s="22" t="n">
        <f aca="false">DATE(YEAR(E881),MONTH(E881),1)</f>
        <v>45901</v>
      </c>
      <c r="G881" s="23" t="n">
        <v>175383</v>
      </c>
      <c r="H881" s="8" t="s">
        <v>61</v>
      </c>
      <c r="I881" s="24" t="n">
        <v>-848.73</v>
      </c>
      <c r="J881" s="25" t="n">
        <f aca="false">Summary!$B$4</f>
        <v>1</v>
      </c>
      <c r="K881" s="11" t="n">
        <f aca="false">I881*J881*IF(A881="SILVER",Summary!$B$5,Summary!$B$6)</f>
        <v>-25461.9</v>
      </c>
      <c r="L881" s="26" t="n">
        <v>-0.618</v>
      </c>
      <c r="M881" s="27" t="n">
        <f aca="false">IF(K881&gt;0,1,0)</f>
        <v>0</v>
      </c>
      <c r="N881" s="11" t="n">
        <f aca="false">SUMIFS(K$2:K881,A$2:A881,A881,B$2:B881,B881)</f>
        <v>465403.8</v>
      </c>
      <c r="O881" s="11" t="n">
        <f aca="false">MAX(0,_xlfn.MAXIFS(N$2:N881,A$2:A881,A881,B$2:B881,B881))</f>
        <v>490865.7</v>
      </c>
      <c r="P881" s="11" t="n">
        <f aca="false">N881-O881</f>
        <v>-25461.9</v>
      </c>
    </row>
    <row r="882" customFormat="false" ht="15" hidden="false" customHeight="false" outlineLevel="0" collapsed="false">
      <c r="A882" s="8" t="s">
        <v>26</v>
      </c>
      <c r="B882" s="8" t="s">
        <v>43</v>
      </c>
      <c r="C882" s="8" t="s">
        <v>60</v>
      </c>
      <c r="D882" s="21" t="n">
        <v>45930.8229166667</v>
      </c>
      <c r="E882" s="21" t="n">
        <v>45930.8555555556</v>
      </c>
      <c r="F882" s="22" t="n">
        <f aca="false">DATE(YEAR(E882),MONTH(E882),1)</f>
        <v>45901</v>
      </c>
      <c r="G882" s="23" t="n">
        <v>173776</v>
      </c>
      <c r="H882" s="8" t="s">
        <v>64</v>
      </c>
      <c r="I882" s="24" t="n">
        <v>281.61</v>
      </c>
      <c r="J882" s="25" t="n">
        <f aca="false">Summary!$B$4</f>
        <v>1</v>
      </c>
      <c r="K882" s="11" t="n">
        <f aca="false">I882*J882*IF(A882="SILVER",Summary!$B$5,Summary!$B$6)</f>
        <v>8448.3</v>
      </c>
      <c r="L882" s="26" t="n">
        <v>0.132</v>
      </c>
      <c r="M882" s="27" t="n">
        <f aca="false">IF(K882&gt;0,1,0)</f>
        <v>1</v>
      </c>
      <c r="N882" s="11" t="n">
        <f aca="false">SUMIFS(K$2:K882,A$2:A882,A882,B$2:B882,B882)</f>
        <v>473852.1</v>
      </c>
      <c r="O882" s="11" t="n">
        <f aca="false">MAX(0,_xlfn.MAXIFS(N$2:N882,A$2:A882,A882,B$2:B882,B882))</f>
        <v>490865.7</v>
      </c>
      <c r="P882" s="11" t="n">
        <f aca="false">N882-O882</f>
        <v>-17013.6</v>
      </c>
    </row>
    <row r="883" customFormat="false" ht="15" hidden="false" customHeight="false" outlineLevel="0" collapsed="false">
      <c r="A883" s="8" t="s">
        <v>26</v>
      </c>
      <c r="B883" s="8" t="s">
        <v>43</v>
      </c>
      <c r="C883" s="8" t="s">
        <v>60</v>
      </c>
      <c r="D883" s="21" t="n">
        <v>45931.3784722222</v>
      </c>
      <c r="E883" s="21" t="n">
        <v>45931.5486111111</v>
      </c>
      <c r="F883" s="22" t="n">
        <f aca="false">DATE(YEAR(E883),MONTH(E883),1)</f>
        <v>45931</v>
      </c>
      <c r="G883" s="23" t="n">
        <v>175153</v>
      </c>
      <c r="H883" s="8" t="s">
        <v>64</v>
      </c>
      <c r="I883" s="24" t="n">
        <v>204.93</v>
      </c>
      <c r="J883" s="25" t="n">
        <f aca="false">Summary!$B$4</f>
        <v>1</v>
      </c>
      <c r="K883" s="11" t="n">
        <f aca="false">I883*J883*IF(A883="SILVER",Summary!$B$5,Summary!$B$6)</f>
        <v>6147.9</v>
      </c>
      <c r="L883" s="26" t="n">
        <v>0.126</v>
      </c>
      <c r="M883" s="27" t="n">
        <f aca="false">IF(K883&gt;0,1,0)</f>
        <v>1</v>
      </c>
      <c r="N883" s="11" t="n">
        <f aca="false">SUMIFS(K$2:K883,A$2:A883,A883,B$2:B883,B883)</f>
        <v>480000</v>
      </c>
      <c r="O883" s="11" t="n">
        <f aca="false">MAX(0,_xlfn.MAXIFS(N$2:N883,A$2:A883,A883,B$2:B883,B883))</f>
        <v>490865.7</v>
      </c>
      <c r="P883" s="11" t="n">
        <f aca="false">N883-O883</f>
        <v>-10865.7</v>
      </c>
    </row>
    <row r="884" customFormat="false" ht="15" hidden="false" customHeight="false" outlineLevel="0" collapsed="false">
      <c r="A884" s="8" t="s">
        <v>26</v>
      </c>
      <c r="B884" s="8" t="s">
        <v>43</v>
      </c>
      <c r="C884" s="8" t="s">
        <v>60</v>
      </c>
      <c r="D884" s="21" t="n">
        <v>45931.7951388889</v>
      </c>
      <c r="E884" s="21" t="n">
        <v>45931.8013888889</v>
      </c>
      <c r="F884" s="22" t="n">
        <f aca="false">DATE(YEAR(E884),MONTH(E884),1)</f>
        <v>45931</v>
      </c>
      <c r="G884" s="23" t="n">
        <v>176393</v>
      </c>
      <c r="H884" s="8" t="s">
        <v>64</v>
      </c>
      <c r="I884" s="24" t="n">
        <v>180.13</v>
      </c>
      <c r="J884" s="25" t="n">
        <f aca="false">Summary!$B$4</f>
        <v>1</v>
      </c>
      <c r="K884" s="11" t="n">
        <f aca="false">I884*J884*IF(A884="SILVER",Summary!$B$5,Summary!$B$6)</f>
        <v>5403.9</v>
      </c>
      <c r="L884" s="26" t="n">
        <v>0.123</v>
      </c>
      <c r="M884" s="27" t="n">
        <f aca="false">IF(K884&gt;0,1,0)</f>
        <v>1</v>
      </c>
      <c r="N884" s="11" t="n">
        <f aca="false">SUMIFS(K$2:K884,A$2:A884,A884,B$2:B884,B884)</f>
        <v>485403.9</v>
      </c>
      <c r="O884" s="11" t="n">
        <f aca="false">MAX(0,_xlfn.MAXIFS(N$2:N884,A$2:A884,A884,B$2:B884,B884))</f>
        <v>490865.7</v>
      </c>
      <c r="P884" s="11" t="n">
        <f aca="false">N884-O884</f>
        <v>-5461.79999999999</v>
      </c>
    </row>
    <row r="885" customFormat="false" ht="15" hidden="false" customHeight="false" outlineLevel="0" collapsed="false">
      <c r="A885" s="8" t="s">
        <v>26</v>
      </c>
      <c r="B885" s="8" t="s">
        <v>43</v>
      </c>
      <c r="C885" s="8" t="s">
        <v>60</v>
      </c>
      <c r="D885" s="21" t="n">
        <v>45931.8368055556</v>
      </c>
      <c r="E885" s="21" t="n">
        <v>45933.3784722222</v>
      </c>
      <c r="F885" s="22" t="n">
        <f aca="false">DATE(YEAR(E885),MONTH(E885),1)</f>
        <v>45931</v>
      </c>
      <c r="G885" s="23" t="n">
        <v>177023</v>
      </c>
      <c r="H885" s="8" t="s">
        <v>61</v>
      </c>
      <c r="I885" s="24" t="n">
        <v>-3161.82</v>
      </c>
      <c r="J885" s="25" t="n">
        <f aca="false">Summary!$B$4</f>
        <v>1</v>
      </c>
      <c r="K885" s="11" t="n">
        <f aca="false">I885*J885*IF(A885="SILVER",Summary!$B$5,Summary!$B$6)</f>
        <v>-94854.6</v>
      </c>
      <c r="L885" s="26" t="n">
        <v>-1.682</v>
      </c>
      <c r="M885" s="27" t="n">
        <f aca="false">IF(K885&gt;0,1,0)</f>
        <v>0</v>
      </c>
      <c r="N885" s="11" t="n">
        <f aca="false">SUMIFS(K$2:K885,A$2:A885,A885,B$2:B885,B885)</f>
        <v>390549.3</v>
      </c>
      <c r="O885" s="11" t="n">
        <f aca="false">MAX(0,_xlfn.MAXIFS(N$2:N885,A$2:A885,A885,B$2:B885,B885))</f>
        <v>490865.7</v>
      </c>
      <c r="P885" s="11" t="n">
        <f aca="false">N885-O885</f>
        <v>-100316.4</v>
      </c>
    </row>
    <row r="886" customFormat="false" ht="15" hidden="false" customHeight="false" outlineLevel="0" collapsed="false">
      <c r="A886" s="8" t="s">
        <v>26</v>
      </c>
      <c r="B886" s="8" t="s">
        <v>43</v>
      </c>
      <c r="C886" s="8" t="s">
        <v>60</v>
      </c>
      <c r="D886" s="21" t="n">
        <v>45933.6458333333</v>
      </c>
      <c r="E886" s="21" t="n">
        <v>45933.6993055556</v>
      </c>
      <c r="F886" s="22" t="n">
        <f aca="false">DATE(YEAR(E886),MONTH(E886),1)</f>
        <v>45931</v>
      </c>
      <c r="G886" s="23" t="n">
        <v>175498</v>
      </c>
      <c r="H886" s="8" t="s">
        <v>64</v>
      </c>
      <c r="I886" s="24" t="n">
        <v>97.3</v>
      </c>
      <c r="J886" s="25" t="n">
        <f aca="false">Summary!$B$4</f>
        <v>1</v>
      </c>
      <c r="K886" s="11" t="n">
        <f aca="false">I886*J886*IF(A886="SILVER",Summary!$B$5,Summary!$B$6)</f>
        <v>2919</v>
      </c>
      <c r="L886" s="26" t="n">
        <v>0.107</v>
      </c>
      <c r="M886" s="27" t="n">
        <f aca="false">IF(K886&gt;0,1,0)</f>
        <v>1</v>
      </c>
      <c r="N886" s="11" t="n">
        <f aca="false">SUMIFS(K$2:K886,A$2:A886,A886,B$2:B886,B886)</f>
        <v>393468.3</v>
      </c>
      <c r="O886" s="11" t="n">
        <f aca="false">MAX(0,_xlfn.MAXIFS(N$2:N886,A$2:A886,A886,B$2:B886,B886))</f>
        <v>490865.7</v>
      </c>
      <c r="P886" s="11" t="n">
        <f aca="false">N886-O886</f>
        <v>-97397.4</v>
      </c>
    </row>
    <row r="887" customFormat="false" ht="15" hidden="false" customHeight="false" outlineLevel="0" collapsed="false">
      <c r="A887" s="8" t="s">
        <v>26</v>
      </c>
      <c r="B887" s="8" t="s">
        <v>43</v>
      </c>
      <c r="C887" s="8" t="s">
        <v>60</v>
      </c>
      <c r="D887" s="21" t="n">
        <v>45933.7569444445</v>
      </c>
      <c r="E887" s="21" t="n">
        <v>45933.8604166667</v>
      </c>
      <c r="F887" s="22" t="n">
        <f aca="false">DATE(YEAR(E887),MONTH(E887),1)</f>
        <v>45931</v>
      </c>
      <c r="G887" s="23" t="n">
        <v>176603</v>
      </c>
      <c r="H887" s="8" t="s">
        <v>64</v>
      </c>
      <c r="I887" s="24" t="n">
        <v>115.91</v>
      </c>
      <c r="J887" s="25" t="n">
        <f aca="false">Summary!$B$4</f>
        <v>1</v>
      </c>
      <c r="K887" s="11" t="n">
        <f aca="false">I887*J887*IF(A887="SILVER",Summary!$B$5,Summary!$B$6)</f>
        <v>3477.3</v>
      </c>
      <c r="L887" s="26" t="n">
        <v>0.088</v>
      </c>
      <c r="M887" s="27" t="n">
        <f aca="false">IF(K887&gt;0,1,0)</f>
        <v>1</v>
      </c>
      <c r="N887" s="11" t="n">
        <f aca="false">SUMIFS(K$2:K887,A$2:A887,A887,B$2:B887,B887)</f>
        <v>396945.6</v>
      </c>
      <c r="O887" s="11" t="n">
        <f aca="false">MAX(0,_xlfn.MAXIFS(N$2:N887,A$2:A887,A887,B$2:B887,B887))</f>
        <v>490865.7</v>
      </c>
      <c r="P887" s="11" t="n">
        <f aca="false">N887-O887</f>
        <v>-93920.1</v>
      </c>
    </row>
    <row r="888" customFormat="false" ht="15" hidden="false" customHeight="false" outlineLevel="0" collapsed="false">
      <c r="A888" s="8" t="s">
        <v>26</v>
      </c>
      <c r="B888" s="8" t="s">
        <v>43</v>
      </c>
      <c r="C888" s="8" t="s">
        <v>60</v>
      </c>
      <c r="D888" s="21" t="n">
        <v>45933.8715277778</v>
      </c>
      <c r="E888" s="21" t="n">
        <v>45936.7152777778</v>
      </c>
      <c r="F888" s="22" t="n">
        <f aca="false">DATE(YEAR(E888),MONTH(E888),1)</f>
        <v>45931</v>
      </c>
      <c r="G888" s="23" t="n">
        <v>177819</v>
      </c>
      <c r="H888" s="8" t="s">
        <v>64</v>
      </c>
      <c r="I888" s="24" t="n">
        <v>294.35</v>
      </c>
      <c r="J888" s="25" t="n">
        <f aca="false">Summary!$B$4</f>
        <v>1</v>
      </c>
      <c r="K888" s="11" t="n">
        <f aca="false">I888*J888*IF(A888="SILVER",Summary!$B$5,Summary!$B$6)</f>
        <v>8830.5</v>
      </c>
      <c r="L888" s="26" t="n">
        <v>0.132</v>
      </c>
      <c r="M888" s="27" t="n">
        <f aca="false">IF(K888&gt;0,1,0)</f>
        <v>1</v>
      </c>
      <c r="N888" s="11" t="n">
        <f aca="false">SUMIFS(K$2:K888,A$2:A888,A888,B$2:B888,B888)</f>
        <v>405776.1</v>
      </c>
      <c r="O888" s="11" t="n">
        <f aca="false">MAX(0,_xlfn.MAXIFS(N$2:N888,A$2:A888,A888,B$2:B888,B888))</f>
        <v>490865.7</v>
      </c>
      <c r="P888" s="11" t="n">
        <f aca="false">N888-O888</f>
        <v>-85089.6</v>
      </c>
    </row>
    <row r="889" customFormat="false" ht="15" hidden="false" customHeight="false" outlineLevel="0" collapsed="false">
      <c r="A889" s="8" t="s">
        <v>26</v>
      </c>
      <c r="B889" s="8" t="s">
        <v>43</v>
      </c>
      <c r="C889" s="8" t="s">
        <v>60</v>
      </c>
      <c r="D889" s="21" t="n">
        <v>45937.6145833333</v>
      </c>
      <c r="E889" s="21" t="n">
        <v>45937.7055555556</v>
      </c>
      <c r="F889" s="22" t="n">
        <f aca="false">DATE(YEAR(E889),MONTH(E889),1)</f>
        <v>45931</v>
      </c>
      <c r="G889" s="23" t="n">
        <v>178243</v>
      </c>
      <c r="H889" s="8" t="s">
        <v>64</v>
      </c>
      <c r="I889" s="24" t="n">
        <v>197.14</v>
      </c>
      <c r="J889" s="25" t="n">
        <f aca="false">Summary!$B$4</f>
        <v>1</v>
      </c>
      <c r="K889" s="11" t="n">
        <f aca="false">I889*J889*IF(A889="SILVER",Summary!$B$5,Summary!$B$6)</f>
        <v>5914.2</v>
      </c>
      <c r="L889" s="26" t="n">
        <v>0.125</v>
      </c>
      <c r="M889" s="27" t="n">
        <f aca="false">IF(K889&gt;0,1,0)</f>
        <v>1</v>
      </c>
      <c r="N889" s="11" t="n">
        <f aca="false">SUMIFS(K$2:K889,A$2:A889,A889,B$2:B889,B889)</f>
        <v>411690.3</v>
      </c>
      <c r="O889" s="11" t="n">
        <f aca="false">MAX(0,_xlfn.MAXIFS(N$2:N889,A$2:A889,A889,B$2:B889,B889))</f>
        <v>490865.7</v>
      </c>
      <c r="P889" s="11" t="n">
        <f aca="false">N889-O889</f>
        <v>-79175.4</v>
      </c>
    </row>
    <row r="890" customFormat="false" ht="15" hidden="false" customHeight="false" outlineLevel="0" collapsed="false">
      <c r="A890" s="8" t="s">
        <v>26</v>
      </c>
      <c r="B890" s="8" t="s">
        <v>43</v>
      </c>
      <c r="C890" s="8" t="s">
        <v>60</v>
      </c>
      <c r="D890" s="21" t="n">
        <v>45938.3888888889</v>
      </c>
      <c r="E890" s="21" t="n">
        <v>45938.4909722222</v>
      </c>
      <c r="F890" s="22" t="n">
        <f aca="false">DATE(YEAR(E890),MONTH(E890),1)</f>
        <v>45931</v>
      </c>
      <c r="G890" s="23" t="n">
        <v>178603</v>
      </c>
      <c r="H890" s="8" t="s">
        <v>64</v>
      </c>
      <c r="I890" s="24" t="n">
        <v>306.49</v>
      </c>
      <c r="J890" s="25" t="n">
        <f aca="false">Summary!$B$4</f>
        <v>1</v>
      </c>
      <c r="K890" s="11" t="n">
        <f aca="false">I890*J890*IF(A890="SILVER",Summary!$B$5,Summary!$B$6)</f>
        <v>9194.7</v>
      </c>
      <c r="L890" s="26" t="n">
        <v>0.133</v>
      </c>
      <c r="M890" s="27" t="n">
        <f aca="false">IF(K890&gt;0,1,0)</f>
        <v>1</v>
      </c>
      <c r="N890" s="11" t="n">
        <f aca="false">SUMIFS(K$2:K890,A$2:A890,A890,B$2:B890,B890)</f>
        <v>420885</v>
      </c>
      <c r="O890" s="11" t="n">
        <f aca="false">MAX(0,_xlfn.MAXIFS(N$2:N890,A$2:A890,A890,B$2:B890,B890))</f>
        <v>490865.7</v>
      </c>
      <c r="P890" s="11" t="n">
        <f aca="false">N890-O890</f>
        <v>-69980.7</v>
      </c>
    </row>
    <row r="891" customFormat="false" ht="15" hidden="false" customHeight="false" outlineLevel="0" collapsed="false">
      <c r="A891" s="8" t="s">
        <v>26</v>
      </c>
      <c r="B891" s="8" t="s">
        <v>43</v>
      </c>
      <c r="C891" s="8" t="s">
        <v>60</v>
      </c>
      <c r="D891" s="21" t="n">
        <v>45938.6388888889</v>
      </c>
      <c r="E891" s="21" t="n">
        <v>45939.375</v>
      </c>
      <c r="F891" s="22" t="n">
        <f aca="false">DATE(YEAR(E891),MONTH(E891),1)</f>
        <v>45931</v>
      </c>
      <c r="G891" s="23" t="n">
        <v>180353</v>
      </c>
      <c r="H891" s="8" t="s">
        <v>64</v>
      </c>
      <c r="I891" s="24" t="n">
        <v>-289.75</v>
      </c>
      <c r="J891" s="25" t="n">
        <f aca="false">Summary!$B$4</f>
        <v>1</v>
      </c>
      <c r="K891" s="11" t="n">
        <f aca="false">I891*J891*IF(A891="SILVER",Summary!$B$5,Summary!$B$6)</f>
        <v>-8692.5</v>
      </c>
      <c r="L891" s="26" t="n">
        <v>-0.256</v>
      </c>
      <c r="M891" s="27" t="n">
        <f aca="false">IF(K891&gt;0,1,0)</f>
        <v>0</v>
      </c>
      <c r="N891" s="11" t="n">
        <f aca="false">SUMIFS(K$2:K891,A$2:A891,A891,B$2:B891,B891)</f>
        <v>412192.5</v>
      </c>
      <c r="O891" s="11" t="n">
        <f aca="false">MAX(0,_xlfn.MAXIFS(N$2:N891,A$2:A891,A891,B$2:B891,B891))</f>
        <v>490865.7</v>
      </c>
      <c r="P891" s="11" t="n">
        <f aca="false">N891-O891</f>
        <v>-78673.2</v>
      </c>
    </row>
    <row r="892" customFormat="false" ht="15" hidden="false" customHeight="false" outlineLevel="0" collapsed="false">
      <c r="A892" s="8" t="s">
        <v>26</v>
      </c>
      <c r="B892" s="8" t="s">
        <v>43</v>
      </c>
      <c r="C892" s="8" t="s">
        <v>60</v>
      </c>
      <c r="D892" s="21" t="n">
        <v>45939.4791666667</v>
      </c>
      <c r="E892" s="21" t="n">
        <v>45939.8020833333</v>
      </c>
      <c r="F892" s="22" t="n">
        <f aca="false">DATE(YEAR(E892),MONTH(E892),1)</f>
        <v>45931</v>
      </c>
      <c r="G892" s="23" t="n">
        <v>180653</v>
      </c>
      <c r="H892" s="8" t="s">
        <v>61</v>
      </c>
      <c r="I892" s="24" t="n">
        <v>1428.01</v>
      </c>
      <c r="J892" s="25" t="n">
        <f aca="false">Summary!$B$4</f>
        <v>1</v>
      </c>
      <c r="K892" s="11" t="n">
        <f aca="false">I892*J892*IF(A892="SILVER",Summary!$B$5,Summary!$B$6)</f>
        <v>42840.3</v>
      </c>
      <c r="L892" s="26" t="n">
        <v>0.983</v>
      </c>
      <c r="M892" s="27" t="n">
        <f aca="false">IF(K892&gt;0,1,0)</f>
        <v>1</v>
      </c>
      <c r="N892" s="11" t="n">
        <f aca="false">SUMIFS(K$2:K892,A$2:A892,A892,B$2:B892,B892)</f>
        <v>455032.8</v>
      </c>
      <c r="O892" s="11" t="n">
        <f aca="false">MAX(0,_xlfn.MAXIFS(N$2:N892,A$2:A892,A892,B$2:B892,B892))</f>
        <v>490865.7</v>
      </c>
      <c r="P892" s="11" t="n">
        <f aca="false">N892-O892</f>
        <v>-35832.9</v>
      </c>
    </row>
    <row r="893" customFormat="false" ht="15" hidden="false" customHeight="false" outlineLevel="0" collapsed="false">
      <c r="A893" s="8" t="s">
        <v>26</v>
      </c>
      <c r="B893" s="8" t="s">
        <v>43</v>
      </c>
      <c r="C893" s="8" t="s">
        <v>60</v>
      </c>
      <c r="D893" s="21" t="n">
        <v>45943.8368055556</v>
      </c>
      <c r="E893" s="21" t="n">
        <v>45943.9152777778</v>
      </c>
      <c r="F893" s="22" t="n">
        <f aca="false">DATE(YEAR(E893),MONTH(E893),1)</f>
        <v>45931</v>
      </c>
      <c r="G893" s="23" t="n">
        <v>185743</v>
      </c>
      <c r="H893" s="8" t="s">
        <v>64</v>
      </c>
      <c r="I893" s="24" t="n">
        <v>240.54</v>
      </c>
      <c r="J893" s="25" t="n">
        <f aca="false">Summary!$B$4</f>
        <v>1</v>
      </c>
      <c r="K893" s="11" t="n">
        <f aca="false">I893*J893*IF(A893="SILVER",Summary!$B$5,Summary!$B$6)</f>
        <v>7216.2</v>
      </c>
      <c r="L893" s="26" t="n">
        <v>0.128</v>
      </c>
      <c r="M893" s="27" t="n">
        <f aca="false">IF(K893&gt;0,1,0)</f>
        <v>1</v>
      </c>
      <c r="N893" s="11" t="n">
        <f aca="false">SUMIFS(K$2:K893,A$2:A893,A893,B$2:B893,B893)</f>
        <v>462249</v>
      </c>
      <c r="O893" s="11" t="n">
        <f aca="false">MAX(0,_xlfn.MAXIFS(N$2:N893,A$2:A893,A893,B$2:B893,B893))</f>
        <v>490865.7</v>
      </c>
      <c r="P893" s="11" t="n">
        <f aca="false">N893-O893</f>
        <v>-28616.7</v>
      </c>
    </row>
    <row r="894" customFormat="false" ht="15" hidden="false" customHeight="false" outlineLevel="0" collapsed="false">
      <c r="A894" s="8" t="s">
        <v>26</v>
      </c>
      <c r="B894" s="8" t="s">
        <v>43</v>
      </c>
      <c r="C894" s="8" t="s">
        <v>60</v>
      </c>
      <c r="D894" s="21" t="n">
        <v>45944.3784722222</v>
      </c>
      <c r="E894" s="21" t="n">
        <v>45944.4618055556</v>
      </c>
      <c r="F894" s="22" t="n">
        <f aca="false">DATE(YEAR(E894),MONTH(E894),1)</f>
        <v>45931</v>
      </c>
      <c r="G894" s="23" t="n">
        <v>192122</v>
      </c>
      <c r="H894" s="8" t="s">
        <v>64</v>
      </c>
      <c r="I894" s="24" t="n">
        <v>852.25</v>
      </c>
      <c r="J894" s="25" t="n">
        <f aca="false">Summary!$B$4</f>
        <v>1</v>
      </c>
      <c r="K894" s="11" t="n">
        <f aca="false">I894*J894*IF(A894="SILVER",Summary!$B$5,Summary!$B$6)</f>
        <v>25567.5</v>
      </c>
      <c r="L894" s="26" t="n">
        <v>0.143</v>
      </c>
      <c r="M894" s="27" t="n">
        <f aca="false">IF(K894&gt;0,1,0)</f>
        <v>1</v>
      </c>
      <c r="N894" s="11" t="n">
        <f aca="false">SUMIFS(K$2:K894,A$2:A894,A894,B$2:B894,B894)</f>
        <v>487816.5</v>
      </c>
      <c r="O894" s="11" t="n">
        <f aca="false">MAX(0,_xlfn.MAXIFS(N$2:N894,A$2:A894,A894,B$2:B894,B894))</f>
        <v>490865.7</v>
      </c>
      <c r="P894" s="11" t="n">
        <f aca="false">N894-O894</f>
        <v>-3049.20000000001</v>
      </c>
    </row>
    <row r="895" customFormat="false" ht="15" hidden="false" customHeight="false" outlineLevel="0" collapsed="false">
      <c r="A895" s="8" t="s">
        <v>26</v>
      </c>
      <c r="B895" s="8" t="s">
        <v>43</v>
      </c>
      <c r="C895" s="8" t="s">
        <v>60</v>
      </c>
      <c r="D895" s="21" t="n">
        <v>45944.9305555556</v>
      </c>
      <c r="E895" s="21" t="n">
        <v>45945.3972222222</v>
      </c>
      <c r="F895" s="22" t="n">
        <f aca="false">DATE(YEAR(E895),MONTH(E895),1)</f>
        <v>45931</v>
      </c>
      <c r="G895" s="23" t="n">
        <v>190854</v>
      </c>
      <c r="H895" s="8" t="s">
        <v>64</v>
      </c>
      <c r="I895" s="24" t="n">
        <v>365.13</v>
      </c>
      <c r="J895" s="25" t="n">
        <f aca="false">Summary!$B$4</f>
        <v>1</v>
      </c>
      <c r="K895" s="11" t="n">
        <f aca="false">I895*J895*IF(A895="SILVER",Summary!$B$5,Summary!$B$6)</f>
        <v>10953.9</v>
      </c>
      <c r="L895" s="26" t="n">
        <v>0.135</v>
      </c>
      <c r="M895" s="27" t="n">
        <f aca="false">IF(K895&gt;0,1,0)</f>
        <v>1</v>
      </c>
      <c r="N895" s="11" t="n">
        <f aca="false">SUMIFS(K$2:K895,A$2:A895,A895,B$2:B895,B895)</f>
        <v>498770.4</v>
      </c>
      <c r="O895" s="11" t="n">
        <f aca="false">MAX(0,_xlfn.MAXIFS(N$2:N895,A$2:A895,A895,B$2:B895,B895))</f>
        <v>498770.4</v>
      </c>
      <c r="P895" s="11" t="n">
        <f aca="false">N895-O895</f>
        <v>0</v>
      </c>
    </row>
    <row r="896" customFormat="false" ht="15" hidden="false" customHeight="false" outlineLevel="0" collapsed="false">
      <c r="A896" s="8" t="s">
        <v>26</v>
      </c>
      <c r="B896" s="8" t="s">
        <v>43</v>
      </c>
      <c r="C896" s="8" t="s">
        <v>60</v>
      </c>
      <c r="D896" s="21" t="n">
        <v>45945.5625</v>
      </c>
      <c r="E896" s="21" t="n">
        <v>45945.6097222222</v>
      </c>
      <c r="F896" s="22" t="n">
        <f aca="false">DATE(YEAR(E896),MONTH(E896),1)</f>
        <v>45931</v>
      </c>
      <c r="G896" s="23" t="n">
        <v>192853</v>
      </c>
      <c r="H896" s="8" t="s">
        <v>64</v>
      </c>
      <c r="I896" s="24" t="n">
        <v>161.06</v>
      </c>
      <c r="J896" s="25" t="n">
        <f aca="false">Summary!$B$4</f>
        <v>1</v>
      </c>
      <c r="K896" s="11" t="n">
        <f aca="false">I896*J896*IF(A896="SILVER",Summary!$B$5,Summary!$B$6)</f>
        <v>4831.8</v>
      </c>
      <c r="L896" s="26" t="n">
        <v>0.119</v>
      </c>
      <c r="M896" s="27" t="n">
        <f aca="false">IF(K896&gt;0,1,0)</f>
        <v>1</v>
      </c>
      <c r="N896" s="11" t="n">
        <f aca="false">SUMIFS(K$2:K896,A$2:A896,A896,B$2:B896,B896)</f>
        <v>503602.2</v>
      </c>
      <c r="O896" s="11" t="n">
        <f aca="false">MAX(0,_xlfn.MAXIFS(N$2:N896,A$2:A896,A896,B$2:B896,B896))</f>
        <v>503602.2</v>
      </c>
      <c r="P896" s="11" t="n">
        <f aca="false">N896-O896</f>
        <v>0</v>
      </c>
    </row>
    <row r="897" customFormat="false" ht="15" hidden="false" customHeight="false" outlineLevel="0" collapsed="false">
      <c r="A897" s="8" t="s">
        <v>26</v>
      </c>
      <c r="B897" s="8" t="s">
        <v>43</v>
      </c>
      <c r="C897" s="8" t="s">
        <v>60</v>
      </c>
      <c r="D897" s="21" t="n">
        <v>45946.375</v>
      </c>
      <c r="E897" s="21" t="n">
        <v>45946.425</v>
      </c>
      <c r="F897" s="22" t="n">
        <f aca="false">DATE(YEAR(E897),MONTH(E897),1)</f>
        <v>45931</v>
      </c>
      <c r="G897" s="23" t="n">
        <v>194852</v>
      </c>
      <c r="H897" s="8" t="s">
        <v>64</v>
      </c>
      <c r="I897" s="24" t="n">
        <v>307.26</v>
      </c>
      <c r="J897" s="25" t="n">
        <f aca="false">Summary!$B$4</f>
        <v>1</v>
      </c>
      <c r="K897" s="11" t="n">
        <f aca="false">I897*J897*IF(A897="SILVER",Summary!$B$5,Summary!$B$6)</f>
        <v>9217.8</v>
      </c>
      <c r="L897" s="26" t="n">
        <v>0.132</v>
      </c>
      <c r="M897" s="27" t="n">
        <f aca="false">IF(K897&gt;0,1,0)</f>
        <v>1</v>
      </c>
      <c r="N897" s="11" t="n">
        <f aca="false">SUMIFS(K$2:K897,A$2:A897,A897,B$2:B897,B897)</f>
        <v>512820</v>
      </c>
      <c r="O897" s="11" t="n">
        <f aca="false">MAX(0,_xlfn.MAXIFS(N$2:N897,A$2:A897,A897,B$2:B897,B897))</f>
        <v>512820</v>
      </c>
      <c r="P897" s="11" t="n">
        <f aca="false">N897-O897</f>
        <v>0</v>
      </c>
    </row>
    <row r="898" customFormat="false" ht="15" hidden="false" customHeight="false" outlineLevel="0" collapsed="false">
      <c r="A898" s="8" t="s">
        <v>26</v>
      </c>
      <c r="B898" s="8" t="s">
        <v>43</v>
      </c>
      <c r="C898" s="8" t="s">
        <v>60</v>
      </c>
      <c r="D898" s="21" t="n">
        <v>45946.8229166667</v>
      </c>
      <c r="E898" s="21" t="n">
        <v>45946.84375</v>
      </c>
      <c r="F898" s="22" t="n">
        <f aca="false">DATE(YEAR(E898),MONTH(E898),1)</f>
        <v>45931</v>
      </c>
      <c r="G898" s="23" t="n">
        <v>196353</v>
      </c>
      <c r="H898" s="8" t="s">
        <v>64</v>
      </c>
      <c r="I898" s="24" t="n">
        <v>154.41</v>
      </c>
      <c r="J898" s="25" t="n">
        <f aca="false">Summary!$B$4</f>
        <v>1</v>
      </c>
      <c r="K898" s="11" t="n">
        <f aca="false">I898*J898*IF(A898="SILVER",Summary!$B$5,Summary!$B$6)</f>
        <v>4632.3</v>
      </c>
      <c r="L898" s="26" t="n">
        <v>0.117</v>
      </c>
      <c r="M898" s="27" t="n">
        <f aca="false">IF(K898&gt;0,1,0)</f>
        <v>1</v>
      </c>
      <c r="N898" s="11" t="n">
        <f aca="false">SUMIFS(K$2:K898,A$2:A898,A898,B$2:B898,B898)</f>
        <v>517452.3</v>
      </c>
      <c r="O898" s="11" t="n">
        <f aca="false">MAX(0,_xlfn.MAXIFS(N$2:N898,A$2:A898,A898,B$2:B898,B898))</f>
        <v>517452.3</v>
      </c>
      <c r="P898" s="11" t="n">
        <f aca="false">N898-O898</f>
        <v>0</v>
      </c>
    </row>
    <row r="899" customFormat="false" ht="15" hidden="false" customHeight="false" outlineLevel="0" collapsed="false">
      <c r="A899" s="8" t="s">
        <v>26</v>
      </c>
      <c r="B899" s="8" t="s">
        <v>43</v>
      </c>
      <c r="C899" s="8" t="s">
        <v>60</v>
      </c>
      <c r="D899" s="21" t="n">
        <v>45946.8576388889</v>
      </c>
      <c r="E899" s="21" t="n">
        <v>45946.9222222222</v>
      </c>
      <c r="F899" s="22" t="n">
        <f aca="false">DATE(YEAR(E899),MONTH(E899),1)</f>
        <v>45931</v>
      </c>
      <c r="G899" s="23" t="n">
        <v>197254</v>
      </c>
      <c r="H899" s="8" t="s">
        <v>64</v>
      </c>
      <c r="I899" s="24" t="n">
        <v>255.38</v>
      </c>
      <c r="J899" s="25" t="n">
        <f aca="false">Summary!$B$4</f>
        <v>1</v>
      </c>
      <c r="K899" s="11" t="n">
        <f aca="false">I899*J899*IF(A899="SILVER",Summary!$B$5,Summary!$B$6)</f>
        <v>7661.4</v>
      </c>
      <c r="L899" s="26" t="n">
        <v>0.128</v>
      </c>
      <c r="M899" s="27" t="n">
        <f aca="false">IF(K899&gt;0,1,0)</f>
        <v>1</v>
      </c>
      <c r="N899" s="11" t="n">
        <f aca="false">SUMIFS(K$2:K899,A$2:A899,A899,B$2:B899,B899)</f>
        <v>525113.7</v>
      </c>
      <c r="O899" s="11" t="n">
        <f aca="false">MAX(0,_xlfn.MAXIFS(N$2:N899,A$2:A899,A899,B$2:B899,B899))</f>
        <v>525113.7</v>
      </c>
      <c r="P899" s="11" t="n">
        <f aca="false">N899-O899</f>
        <v>0</v>
      </c>
    </row>
    <row r="900" customFormat="false" ht="15" hidden="false" customHeight="false" outlineLevel="0" collapsed="false">
      <c r="A900" s="8" t="s">
        <v>26</v>
      </c>
      <c r="B900" s="8" t="s">
        <v>43</v>
      </c>
      <c r="C900" s="8" t="s">
        <v>60</v>
      </c>
      <c r="D900" s="21" t="n">
        <v>45947.3784722222</v>
      </c>
      <c r="E900" s="21" t="n">
        <v>45947.4097222222</v>
      </c>
      <c r="F900" s="22" t="n">
        <f aca="false">DATE(YEAR(E900),MONTH(E900),1)</f>
        <v>45931</v>
      </c>
      <c r="G900" s="23" t="n">
        <v>200302</v>
      </c>
      <c r="H900" s="8" t="s">
        <v>64</v>
      </c>
      <c r="I900" s="24" t="n">
        <v>493.8</v>
      </c>
      <c r="J900" s="25" t="n">
        <f aca="false">Summary!$B$4</f>
        <v>1</v>
      </c>
      <c r="K900" s="11" t="n">
        <f aca="false">I900*J900*IF(A900="SILVER",Summary!$B$5,Summary!$B$6)</f>
        <v>14814</v>
      </c>
      <c r="L900" s="26" t="n">
        <v>0.138</v>
      </c>
      <c r="M900" s="27" t="n">
        <f aca="false">IF(K900&gt;0,1,0)</f>
        <v>1</v>
      </c>
      <c r="N900" s="11" t="n">
        <f aca="false">SUMIFS(K$2:K900,A$2:A900,A900,B$2:B900,B900)</f>
        <v>539927.7</v>
      </c>
      <c r="O900" s="11" t="n">
        <f aca="false">MAX(0,_xlfn.MAXIFS(N$2:N900,A$2:A900,A900,B$2:B900,B900))</f>
        <v>539927.7</v>
      </c>
      <c r="P900" s="11" t="n">
        <f aca="false">N900-O900</f>
        <v>0</v>
      </c>
    </row>
    <row r="901" customFormat="false" ht="15" hidden="false" customHeight="false" outlineLevel="0" collapsed="false">
      <c r="A901" s="8" t="s">
        <v>26</v>
      </c>
      <c r="B901" s="8" t="s">
        <v>43</v>
      </c>
      <c r="C901" s="8" t="s">
        <v>60</v>
      </c>
      <c r="D901" s="21" t="n">
        <v>45961.4930555556</v>
      </c>
      <c r="E901" s="21" t="n">
        <v>45961.5451388889</v>
      </c>
      <c r="F901" s="22" t="n">
        <f aca="false">DATE(YEAR(E901),MONTH(E901),1)</f>
        <v>45931</v>
      </c>
      <c r="G901" s="23" t="n">
        <v>180681</v>
      </c>
      <c r="H901" s="8" t="s">
        <v>64</v>
      </c>
      <c r="I901" s="24" t="n">
        <v>144.12</v>
      </c>
      <c r="J901" s="25" t="n">
        <f aca="false">Summary!$B$4</f>
        <v>1</v>
      </c>
      <c r="K901" s="11" t="n">
        <f aca="false">I901*J901*IF(A901="SILVER",Summary!$B$5,Summary!$B$6)</f>
        <v>4323.6</v>
      </c>
      <c r="L901" s="26" t="n">
        <v>0.104</v>
      </c>
      <c r="M901" s="27" t="n">
        <f aca="false">IF(K901&gt;0,1,0)</f>
        <v>1</v>
      </c>
      <c r="N901" s="11" t="n">
        <f aca="false">SUMIFS(K$2:K901,A$2:A901,A901,B$2:B901,B901)</f>
        <v>544251.3</v>
      </c>
      <c r="O901" s="11" t="n">
        <f aca="false">MAX(0,_xlfn.MAXIFS(N$2:N901,A$2:A901,A901,B$2:B901,B901))</f>
        <v>544251.3</v>
      </c>
      <c r="P901" s="11" t="n">
        <f aca="false">N901-O901</f>
        <v>0</v>
      </c>
    </row>
    <row r="902" customFormat="false" ht="15" hidden="false" customHeight="false" outlineLevel="0" collapsed="false">
      <c r="A902" s="8" t="s">
        <v>26</v>
      </c>
      <c r="B902" s="8" t="s">
        <v>43</v>
      </c>
      <c r="C902" s="8" t="s">
        <v>60</v>
      </c>
      <c r="D902" s="21" t="n">
        <v>45961.5625</v>
      </c>
      <c r="E902" s="21" t="n">
        <v>45961.6388888889</v>
      </c>
      <c r="F902" s="22" t="n">
        <f aca="false">DATE(YEAR(E902),MONTH(E902),1)</f>
        <v>45931</v>
      </c>
      <c r="G902" s="23" t="n">
        <v>181203</v>
      </c>
      <c r="H902" s="8" t="s">
        <v>61</v>
      </c>
      <c r="I902" s="24" t="n">
        <v>-1422.84</v>
      </c>
      <c r="J902" s="25" t="n">
        <f aca="false">Summary!$B$4</f>
        <v>1</v>
      </c>
      <c r="K902" s="11" t="n">
        <f aca="false">I902*J902*IF(A902="SILVER",Summary!$B$5,Summary!$B$6)</f>
        <v>-42685.2</v>
      </c>
      <c r="L902" s="26" t="n">
        <v>-0.982</v>
      </c>
      <c r="M902" s="27" t="n">
        <f aca="false">IF(K902&gt;0,1,0)</f>
        <v>0</v>
      </c>
      <c r="N902" s="11" t="n">
        <f aca="false">SUMIFS(K$2:K902,A$2:A902,A902,B$2:B902,B902)</f>
        <v>501566.1</v>
      </c>
      <c r="O902" s="11" t="n">
        <f aca="false">MAX(0,_xlfn.MAXIFS(N$2:N902,A$2:A902,A902,B$2:B902,B902))</f>
        <v>544251.3</v>
      </c>
      <c r="P902" s="11" t="n">
        <f aca="false">N902-O902</f>
        <v>-42685.2</v>
      </c>
    </row>
    <row r="903" customFormat="false" ht="15" hidden="false" customHeight="false" outlineLevel="0" collapsed="false">
      <c r="A903" s="8" t="s">
        <v>26</v>
      </c>
      <c r="B903" s="8" t="s">
        <v>43</v>
      </c>
      <c r="C903" s="8" t="s">
        <v>60</v>
      </c>
      <c r="D903" s="21" t="n">
        <v>45964.5486111111</v>
      </c>
      <c r="E903" s="21" t="n">
        <v>45964.625</v>
      </c>
      <c r="F903" s="22" t="n">
        <f aca="false">DATE(YEAR(E903),MONTH(E903),1)</f>
        <v>45962</v>
      </c>
      <c r="G903" s="23" t="n">
        <v>180824</v>
      </c>
      <c r="H903" s="8" t="s">
        <v>61</v>
      </c>
      <c r="I903" s="24" t="n">
        <v>-665.83</v>
      </c>
      <c r="J903" s="25" t="n">
        <f aca="false">Summary!$B$4</f>
        <v>1</v>
      </c>
      <c r="K903" s="11" t="n">
        <f aca="false">I903*J903*IF(A903="SILVER",Summary!$B$5,Summary!$B$6)</f>
        <v>-19974.9</v>
      </c>
      <c r="L903" s="26" t="n">
        <v>-0.704</v>
      </c>
      <c r="M903" s="27" t="n">
        <f aca="false">IF(K903&gt;0,1,0)</f>
        <v>0</v>
      </c>
      <c r="N903" s="11" t="n">
        <f aca="false">SUMIFS(K$2:K903,A$2:A903,A903,B$2:B903,B903)</f>
        <v>481591.2</v>
      </c>
      <c r="O903" s="11" t="n">
        <f aca="false">MAX(0,_xlfn.MAXIFS(N$2:N903,A$2:A903,A903,B$2:B903,B903))</f>
        <v>544251.3</v>
      </c>
      <c r="P903" s="11" t="n">
        <f aca="false">N903-O903</f>
        <v>-62660.1</v>
      </c>
    </row>
    <row r="904" customFormat="false" ht="15" hidden="false" customHeight="false" outlineLevel="0" collapsed="false">
      <c r="A904" s="8" t="s">
        <v>26</v>
      </c>
      <c r="B904" s="8" t="s">
        <v>43</v>
      </c>
      <c r="C904" s="8" t="s">
        <v>60</v>
      </c>
      <c r="D904" s="21" t="n">
        <v>45965.5833333333</v>
      </c>
      <c r="E904" s="21" t="n">
        <v>45965.8333333333</v>
      </c>
      <c r="F904" s="22" t="n">
        <f aca="false">DATE(YEAR(E904),MONTH(E904),1)</f>
        <v>45962</v>
      </c>
      <c r="G904" s="23" t="n">
        <v>178216</v>
      </c>
      <c r="H904" s="8" t="s">
        <v>61</v>
      </c>
      <c r="I904" s="24" t="n">
        <v>-1435.23</v>
      </c>
      <c r="J904" s="25" t="n">
        <f aca="false">Summary!$B$4</f>
        <v>1</v>
      </c>
      <c r="K904" s="11" t="n">
        <f aca="false">I904*J904*IF(A904="SILVER",Summary!$B$5,Summary!$B$6)</f>
        <v>-43056.9</v>
      </c>
      <c r="L904" s="26" t="n">
        <v>-0.886</v>
      </c>
      <c r="M904" s="27" t="n">
        <f aca="false">IF(K904&gt;0,1,0)</f>
        <v>0</v>
      </c>
      <c r="N904" s="11" t="n">
        <f aca="false">SUMIFS(K$2:K904,A$2:A904,A904,B$2:B904,B904)</f>
        <v>438534.3</v>
      </c>
      <c r="O904" s="11" t="n">
        <f aca="false">MAX(0,_xlfn.MAXIFS(N$2:N904,A$2:A904,A904,B$2:B904,B904))</f>
        <v>544251.3</v>
      </c>
      <c r="P904" s="11" t="n">
        <f aca="false">N904-O904</f>
        <v>-105717</v>
      </c>
    </row>
    <row r="905" customFormat="false" ht="15" hidden="false" customHeight="false" outlineLevel="0" collapsed="false">
      <c r="A905" s="8" t="s">
        <v>26</v>
      </c>
      <c r="B905" s="8" t="s">
        <v>43</v>
      </c>
      <c r="C905" s="8" t="s">
        <v>60</v>
      </c>
      <c r="D905" s="21" t="n">
        <v>45965.9201388889</v>
      </c>
      <c r="E905" s="21" t="n">
        <v>45966.8465277778</v>
      </c>
      <c r="F905" s="22" t="n">
        <f aca="false">DATE(YEAR(E905),MONTH(E905),1)</f>
        <v>45962</v>
      </c>
      <c r="G905" s="23" t="n">
        <v>177466</v>
      </c>
      <c r="H905" s="8" t="s">
        <v>64</v>
      </c>
      <c r="I905" s="24" t="n">
        <v>212.49</v>
      </c>
      <c r="J905" s="25" t="n">
        <f aca="false">Summary!$B$4</f>
        <v>1</v>
      </c>
      <c r="K905" s="11" t="n">
        <f aca="false">I905*J905*IF(A905="SILVER",Summary!$B$5,Summary!$B$6)</f>
        <v>6374.7</v>
      </c>
      <c r="L905" s="26" t="n">
        <v>0.127</v>
      </c>
      <c r="M905" s="27" t="n">
        <f aca="false">IF(K905&gt;0,1,0)</f>
        <v>1</v>
      </c>
      <c r="N905" s="11" t="n">
        <f aca="false">SUMIFS(K$2:K905,A$2:A905,A905,B$2:B905,B905)</f>
        <v>444909</v>
      </c>
      <c r="O905" s="11" t="n">
        <f aca="false">MAX(0,_xlfn.MAXIFS(N$2:N905,A$2:A905,A905,B$2:B905,B905))</f>
        <v>544251.3</v>
      </c>
      <c r="P905" s="11" t="n">
        <f aca="false">N905-O905</f>
        <v>-99342.3</v>
      </c>
    </row>
    <row r="906" customFormat="false" ht="15" hidden="false" customHeight="false" outlineLevel="0" collapsed="false">
      <c r="A906" s="8" t="s">
        <v>26</v>
      </c>
      <c r="B906" s="8" t="s">
        <v>43</v>
      </c>
      <c r="C906" s="8" t="s">
        <v>60</v>
      </c>
      <c r="D906" s="21" t="n">
        <v>45966.875</v>
      </c>
      <c r="E906" s="21" t="n">
        <v>45967.5118055556</v>
      </c>
      <c r="F906" s="22" t="n">
        <f aca="false">DATE(YEAR(E906),MONTH(E906),1)</f>
        <v>45962</v>
      </c>
      <c r="G906" s="23" t="n">
        <v>178555</v>
      </c>
      <c r="H906" s="8" t="s">
        <v>64</v>
      </c>
      <c r="I906" s="24" t="n">
        <v>179.52</v>
      </c>
      <c r="J906" s="25" t="n">
        <f aca="false">Summary!$B$4</f>
        <v>1</v>
      </c>
      <c r="K906" s="11" t="n">
        <f aca="false">I906*J906*IF(A906="SILVER",Summary!$B$5,Summary!$B$6)</f>
        <v>5385.6</v>
      </c>
      <c r="L906" s="26" t="n">
        <v>0.11</v>
      </c>
      <c r="M906" s="27" t="n">
        <f aca="false">IF(K906&gt;0,1,0)</f>
        <v>1</v>
      </c>
      <c r="N906" s="11" t="n">
        <f aca="false">SUMIFS(K$2:K906,A$2:A906,A906,B$2:B906,B906)</f>
        <v>450294.6</v>
      </c>
      <c r="O906" s="11" t="n">
        <f aca="false">MAX(0,_xlfn.MAXIFS(N$2:N906,A$2:A906,A906,B$2:B906,B906))</f>
        <v>544251.3</v>
      </c>
      <c r="P906" s="11" t="n">
        <f aca="false">N906-O906</f>
        <v>-93956.7</v>
      </c>
    </row>
    <row r="907" customFormat="false" ht="15" hidden="false" customHeight="false" outlineLevel="0" collapsed="false">
      <c r="A907" s="8" t="s">
        <v>26</v>
      </c>
      <c r="B907" s="8" t="s">
        <v>43</v>
      </c>
      <c r="C907" s="8" t="s">
        <v>60</v>
      </c>
      <c r="D907" s="21" t="n">
        <v>45967.5243055556</v>
      </c>
      <c r="E907" s="21" t="n">
        <v>45967.5423611111</v>
      </c>
      <c r="F907" s="22" t="n">
        <f aca="false">DATE(YEAR(E907),MONTH(E907),1)</f>
        <v>45962</v>
      </c>
      <c r="G907" s="23" t="n">
        <v>179316</v>
      </c>
      <c r="H907" s="8" t="s">
        <v>64</v>
      </c>
      <c r="I907" s="24" t="n">
        <v>104.9</v>
      </c>
      <c r="J907" s="25" t="n">
        <f aca="false">Summary!$B$4</f>
        <v>1</v>
      </c>
      <c r="K907" s="11" t="n">
        <f aca="false">I907*J907*IF(A907="SILVER",Summary!$B$5,Summary!$B$6)</f>
        <v>3147</v>
      </c>
      <c r="L907" s="26" t="n">
        <v>0.109</v>
      </c>
      <c r="M907" s="27" t="n">
        <f aca="false">IF(K907&gt;0,1,0)</f>
        <v>1</v>
      </c>
      <c r="N907" s="11" t="n">
        <f aca="false">SUMIFS(K$2:K907,A$2:A907,A907,B$2:B907,B907)</f>
        <v>453441.6</v>
      </c>
      <c r="O907" s="11" t="n">
        <f aca="false">MAX(0,_xlfn.MAXIFS(N$2:N907,A$2:A907,A907,B$2:B907,B907))</f>
        <v>544251.3</v>
      </c>
      <c r="P907" s="11" t="n">
        <f aca="false">N907-O907</f>
        <v>-90809.7</v>
      </c>
    </row>
    <row r="908" customFormat="false" ht="15" hidden="false" customHeight="false" outlineLevel="0" collapsed="false">
      <c r="A908" s="8" t="s">
        <v>26</v>
      </c>
      <c r="B908" s="8" t="s">
        <v>43</v>
      </c>
      <c r="C908" s="8" t="s">
        <v>60</v>
      </c>
      <c r="D908" s="21" t="n">
        <v>45967.5729166667</v>
      </c>
      <c r="E908" s="21" t="n">
        <v>45967.59375</v>
      </c>
      <c r="F908" s="22" t="n">
        <f aca="false">DATE(YEAR(E908),MONTH(E908),1)</f>
        <v>45962</v>
      </c>
      <c r="G908" s="23" t="n">
        <v>179899</v>
      </c>
      <c r="H908" s="8" t="s">
        <v>64</v>
      </c>
      <c r="I908" s="24" t="n">
        <v>77.27</v>
      </c>
      <c r="J908" s="25" t="n">
        <f aca="false">Summary!$B$4</f>
        <v>1</v>
      </c>
      <c r="K908" s="11" t="n">
        <f aca="false">I908*J908*IF(A908="SILVER",Summary!$B$5,Summary!$B$6)</f>
        <v>2318.1</v>
      </c>
      <c r="L908" s="26" t="n">
        <v>0.075</v>
      </c>
      <c r="M908" s="27" t="n">
        <f aca="false">IF(K908&gt;0,1,0)</f>
        <v>1</v>
      </c>
      <c r="N908" s="11" t="n">
        <f aca="false">SUMIFS(K$2:K908,A$2:A908,A908,B$2:B908,B908)</f>
        <v>455759.7</v>
      </c>
      <c r="O908" s="11" t="n">
        <f aca="false">MAX(0,_xlfn.MAXIFS(N$2:N908,A$2:A908,A908,B$2:B908,B908))</f>
        <v>544251.3</v>
      </c>
      <c r="P908" s="11" t="n">
        <f aca="false">N908-O908</f>
        <v>-88491.6</v>
      </c>
    </row>
    <row r="909" customFormat="false" ht="15" hidden="false" customHeight="false" outlineLevel="0" collapsed="false">
      <c r="A909" s="8" t="s">
        <v>26</v>
      </c>
      <c r="B909" s="8" t="s">
        <v>43</v>
      </c>
      <c r="C909" s="8" t="s">
        <v>60</v>
      </c>
      <c r="D909" s="21" t="n">
        <v>45968.3784722222</v>
      </c>
      <c r="E909" s="21" t="n">
        <v>45968.4541666667</v>
      </c>
      <c r="F909" s="22" t="n">
        <f aca="false">DATE(YEAR(E909),MONTH(E909),1)</f>
        <v>45962</v>
      </c>
      <c r="G909" s="23" t="n">
        <v>179263</v>
      </c>
      <c r="H909" s="8" t="s">
        <v>64</v>
      </c>
      <c r="I909" s="24" t="n">
        <v>225.48</v>
      </c>
      <c r="J909" s="25" t="n">
        <f aca="false">Summary!$B$4</f>
        <v>1</v>
      </c>
      <c r="K909" s="11" t="n">
        <f aca="false">I909*J909*IF(A909="SILVER",Summary!$B$5,Summary!$B$6)</f>
        <v>6764.4</v>
      </c>
      <c r="L909" s="26" t="n">
        <v>0.128</v>
      </c>
      <c r="M909" s="27" t="n">
        <f aca="false">IF(K909&gt;0,1,0)</f>
        <v>1</v>
      </c>
      <c r="N909" s="11" t="n">
        <f aca="false">SUMIFS(K$2:K909,A$2:A909,A909,B$2:B909,B909)</f>
        <v>462524.1</v>
      </c>
      <c r="O909" s="11" t="n">
        <f aca="false">MAX(0,_xlfn.MAXIFS(N$2:N909,A$2:A909,A909,B$2:B909,B909))</f>
        <v>544251.3</v>
      </c>
      <c r="P909" s="11" t="n">
        <f aca="false">N909-O909</f>
        <v>-81727.2</v>
      </c>
    </row>
    <row r="910" customFormat="false" ht="15" hidden="false" customHeight="false" outlineLevel="0" collapsed="false">
      <c r="A910" s="8" t="s">
        <v>26</v>
      </c>
      <c r="B910" s="8" t="s">
        <v>43</v>
      </c>
      <c r="C910" s="8" t="s">
        <v>60</v>
      </c>
      <c r="D910" s="21" t="n">
        <v>45968.53125</v>
      </c>
      <c r="E910" s="21" t="n">
        <v>45968.6090277778</v>
      </c>
      <c r="F910" s="22" t="n">
        <f aca="false">DATE(YEAR(E910),MONTH(E910),1)</f>
        <v>45962</v>
      </c>
      <c r="G910" s="23" t="n">
        <v>180205</v>
      </c>
      <c r="H910" s="8" t="s">
        <v>64</v>
      </c>
      <c r="I910" s="24" t="n">
        <v>99.77</v>
      </c>
      <c r="J910" s="25" t="n">
        <f aca="false">Summary!$B$4</f>
        <v>1</v>
      </c>
      <c r="K910" s="11" t="n">
        <f aca="false">I910*J910*IF(A910="SILVER",Summary!$B$5,Summary!$B$6)</f>
        <v>2993.1</v>
      </c>
      <c r="L910" s="26" t="n">
        <v>0.107</v>
      </c>
      <c r="M910" s="27" t="n">
        <f aca="false">IF(K910&gt;0,1,0)</f>
        <v>1</v>
      </c>
      <c r="N910" s="11" t="n">
        <f aca="false">SUMIFS(K$2:K910,A$2:A910,A910,B$2:B910,B910)</f>
        <v>465517.2</v>
      </c>
      <c r="O910" s="11" t="n">
        <f aca="false">MAX(0,_xlfn.MAXIFS(N$2:N910,A$2:A910,A910,B$2:B910,B910))</f>
        <v>544251.3</v>
      </c>
      <c r="P910" s="11" t="n">
        <f aca="false">N910-O910</f>
        <v>-78734.1</v>
      </c>
    </row>
    <row r="911" customFormat="false" ht="15" hidden="false" customHeight="false" outlineLevel="0" collapsed="false">
      <c r="A911" s="8" t="s">
        <v>26</v>
      </c>
      <c r="B911" s="8" t="s">
        <v>43</v>
      </c>
      <c r="C911" s="8" t="s">
        <v>60</v>
      </c>
      <c r="D911" s="21" t="n">
        <v>45968.6180555556</v>
      </c>
      <c r="E911" s="21" t="n">
        <v>45968.8402777778</v>
      </c>
      <c r="F911" s="22" t="n">
        <f aca="false">DATE(YEAR(E911),MONTH(E911),1)</f>
        <v>45962</v>
      </c>
      <c r="G911" s="23" t="n">
        <v>180599</v>
      </c>
      <c r="H911" s="8" t="s">
        <v>61</v>
      </c>
      <c r="I911" s="24" t="n">
        <v>-1495.7</v>
      </c>
      <c r="J911" s="25" t="n">
        <f aca="false">Summary!$B$4</f>
        <v>1</v>
      </c>
      <c r="K911" s="11" t="n">
        <f aca="false">I911*J911*IF(A911="SILVER",Summary!$B$5,Summary!$B$6)</f>
        <v>-44871</v>
      </c>
      <c r="L911" s="26" t="n">
        <v>-1.549</v>
      </c>
      <c r="M911" s="27" t="n">
        <f aca="false">IF(K911&gt;0,1,0)</f>
        <v>0</v>
      </c>
      <c r="N911" s="11" t="n">
        <f aca="false">SUMIFS(K$2:K911,A$2:A911,A911,B$2:B911,B911)</f>
        <v>420646.2</v>
      </c>
      <c r="O911" s="11" t="n">
        <f aca="false">MAX(0,_xlfn.MAXIFS(N$2:N911,A$2:A911,A911,B$2:B911,B911))</f>
        <v>544251.3</v>
      </c>
      <c r="P911" s="11" t="n">
        <f aca="false">N911-O911</f>
        <v>-123605.1</v>
      </c>
    </row>
    <row r="912" customFormat="false" ht="15" hidden="false" customHeight="false" outlineLevel="0" collapsed="false">
      <c r="A912" s="8" t="s">
        <v>26</v>
      </c>
      <c r="B912" s="8" t="s">
        <v>43</v>
      </c>
      <c r="C912" s="8" t="s">
        <v>60</v>
      </c>
      <c r="D912" s="21" t="n">
        <v>45968.9236111111</v>
      </c>
      <c r="E912" s="21" t="n">
        <v>45968.9479166667</v>
      </c>
      <c r="F912" s="22" t="n">
        <f aca="false">DATE(YEAR(E912),MONTH(E912),1)</f>
        <v>45962</v>
      </c>
      <c r="G912" s="23" t="n">
        <v>180382</v>
      </c>
      <c r="H912" s="8" t="s">
        <v>61</v>
      </c>
      <c r="I912" s="24" t="n">
        <v>-1734.63</v>
      </c>
      <c r="J912" s="25" t="n">
        <f aca="false">Summary!$B$4</f>
        <v>1</v>
      </c>
      <c r="K912" s="11" t="n">
        <f aca="false">I912*J912*IF(A912="SILVER",Summary!$B$5,Summary!$B$6)</f>
        <v>-52038.9</v>
      </c>
      <c r="L912" s="26" t="n">
        <v>-1.039</v>
      </c>
      <c r="M912" s="27" t="n">
        <f aca="false">IF(K912&gt;0,1,0)</f>
        <v>0</v>
      </c>
      <c r="N912" s="11" t="n">
        <f aca="false">SUMIFS(K$2:K912,A$2:A912,A912,B$2:B912,B912)</f>
        <v>368607.3</v>
      </c>
      <c r="O912" s="11" t="n">
        <f aca="false">MAX(0,_xlfn.MAXIFS(N$2:N912,A$2:A912,A912,B$2:B912,B912))</f>
        <v>544251.3</v>
      </c>
      <c r="P912" s="11" t="n">
        <f aca="false">N912-O912</f>
        <v>-175644</v>
      </c>
    </row>
    <row r="913" customFormat="false" ht="15" hidden="false" customHeight="false" outlineLevel="0" collapsed="false">
      <c r="A913" s="8" t="s">
        <v>26</v>
      </c>
      <c r="B913" s="8" t="s">
        <v>43</v>
      </c>
      <c r="C913" s="8" t="s">
        <v>60</v>
      </c>
      <c r="D913" s="21" t="n">
        <v>45971.3784722222</v>
      </c>
      <c r="E913" s="21" t="n">
        <v>45971.8229166667</v>
      </c>
      <c r="F913" s="22" t="n">
        <f aca="false">DATE(YEAR(E913),MONTH(E913),1)</f>
        <v>45962</v>
      </c>
      <c r="G913" s="23" t="n">
        <v>181712</v>
      </c>
      <c r="H913" s="8" t="s">
        <v>61</v>
      </c>
      <c r="I913" s="24" t="n">
        <v>1514.78</v>
      </c>
      <c r="J913" s="25" t="n">
        <f aca="false">Summary!$B$4</f>
        <v>1</v>
      </c>
      <c r="K913" s="11" t="n">
        <f aca="false">I913*J913*IF(A913="SILVER",Summary!$B$5,Summary!$B$6)</f>
        <v>45443.4</v>
      </c>
      <c r="L913" s="26" t="n">
        <v>0.611</v>
      </c>
      <c r="M913" s="27" t="n">
        <f aca="false">IF(K913&gt;0,1,0)</f>
        <v>1</v>
      </c>
      <c r="N913" s="11" t="n">
        <f aca="false">SUMIFS(K$2:K913,A$2:A913,A913,B$2:B913,B913)</f>
        <v>414050.7</v>
      </c>
      <c r="O913" s="11" t="n">
        <f aca="false">MAX(0,_xlfn.MAXIFS(N$2:N913,A$2:A913,A913,B$2:B913,B913))</f>
        <v>544251.3</v>
      </c>
      <c r="P913" s="11" t="n">
        <f aca="false">N913-O913</f>
        <v>-130200.6</v>
      </c>
    </row>
    <row r="914" customFormat="false" ht="15" hidden="false" customHeight="false" outlineLevel="0" collapsed="false">
      <c r="A914" s="8" t="s">
        <v>26</v>
      </c>
      <c r="B914" s="8" t="s">
        <v>43</v>
      </c>
      <c r="C914" s="8" t="s">
        <v>60</v>
      </c>
      <c r="D914" s="21" t="n">
        <v>45971.9409722222</v>
      </c>
      <c r="E914" s="21" t="n">
        <v>45972.5555555556</v>
      </c>
      <c r="F914" s="22" t="n">
        <f aca="false">DATE(YEAR(E914),MONTH(E914),1)</f>
        <v>45962</v>
      </c>
      <c r="G914" s="23" t="n">
        <v>184403</v>
      </c>
      <c r="H914" s="8" t="s">
        <v>61</v>
      </c>
      <c r="I914" s="24" t="n">
        <v>1203.27</v>
      </c>
      <c r="J914" s="25" t="n">
        <f aca="false">Summary!$B$4</f>
        <v>1</v>
      </c>
      <c r="K914" s="11" t="n">
        <f aca="false">I914*J914*IF(A914="SILVER",Summary!$B$5,Summary!$B$6)</f>
        <v>36098.1</v>
      </c>
      <c r="L914" s="26" t="n">
        <v>0.929</v>
      </c>
      <c r="M914" s="27" t="n">
        <f aca="false">IF(K914&gt;0,1,0)</f>
        <v>1</v>
      </c>
      <c r="N914" s="11" t="n">
        <f aca="false">SUMIFS(K$2:K914,A$2:A914,A914,B$2:B914,B914)</f>
        <v>450148.8</v>
      </c>
      <c r="O914" s="11" t="n">
        <f aca="false">MAX(0,_xlfn.MAXIFS(N$2:N914,A$2:A914,A914,B$2:B914,B914))</f>
        <v>544251.3</v>
      </c>
      <c r="P914" s="11" t="n">
        <f aca="false">N914-O914</f>
        <v>-94102.5</v>
      </c>
    </row>
    <row r="915" customFormat="false" ht="15" hidden="false" customHeight="false" outlineLevel="0" collapsed="false">
      <c r="A915" s="8" t="s">
        <v>26</v>
      </c>
      <c r="B915" s="8" t="s">
        <v>43</v>
      </c>
      <c r="C915" s="8" t="s">
        <v>60</v>
      </c>
      <c r="D915" s="21" t="n">
        <v>45972.7118055556</v>
      </c>
      <c r="E915" s="21" t="n">
        <v>45972.8472222222</v>
      </c>
      <c r="F915" s="22" t="n">
        <f aca="false">DATE(YEAR(E915),MONTH(E915),1)</f>
        <v>45962</v>
      </c>
      <c r="G915" s="23" t="n">
        <v>186946</v>
      </c>
      <c r="H915" s="8" t="s">
        <v>61</v>
      </c>
      <c r="I915" s="24" t="n">
        <v>-1242</v>
      </c>
      <c r="J915" s="25" t="n">
        <f aca="false">Summary!$B$4</f>
        <v>1</v>
      </c>
      <c r="K915" s="11" t="n">
        <f aca="false">I915*J915*IF(A915="SILVER",Summary!$B$5,Summary!$B$6)</f>
        <v>-37260</v>
      </c>
      <c r="L915" s="26" t="n">
        <v>-1.145</v>
      </c>
      <c r="M915" s="27" t="n">
        <f aca="false">IF(K915&gt;0,1,0)</f>
        <v>0</v>
      </c>
      <c r="N915" s="11" t="n">
        <f aca="false">SUMIFS(K$2:K915,A$2:A915,A915,B$2:B915,B915)</f>
        <v>412888.8</v>
      </c>
      <c r="O915" s="11" t="n">
        <f aca="false">MAX(0,_xlfn.MAXIFS(N$2:N915,A$2:A915,A915,B$2:B915,B915))</f>
        <v>544251.3</v>
      </c>
      <c r="P915" s="11" t="n">
        <f aca="false">N915-O915</f>
        <v>-131362.5</v>
      </c>
    </row>
    <row r="916" customFormat="false" ht="15" hidden="false" customHeight="false" outlineLevel="0" collapsed="false">
      <c r="A916" s="8" t="s">
        <v>26</v>
      </c>
      <c r="B916" s="8" t="s">
        <v>43</v>
      </c>
      <c r="C916" s="8" t="s">
        <v>60</v>
      </c>
      <c r="D916" s="21" t="n">
        <v>45973.3784722222</v>
      </c>
      <c r="E916" s="21" t="n">
        <v>45974.6875</v>
      </c>
      <c r="F916" s="22" t="n">
        <f aca="false">DATE(YEAR(E916),MONTH(E916),1)</f>
        <v>45962</v>
      </c>
      <c r="G916" s="23" t="n">
        <v>186953</v>
      </c>
      <c r="H916" s="8" t="s">
        <v>61</v>
      </c>
      <c r="I916" s="24" t="n">
        <v>7931.09</v>
      </c>
      <c r="J916" s="25" t="n">
        <f aca="false">Summary!$B$4</f>
        <v>1</v>
      </c>
      <c r="K916" s="11" t="n">
        <f aca="false">I916*J916*IF(A916="SILVER",Summary!$B$5,Summary!$B$6)</f>
        <v>237932.7</v>
      </c>
      <c r="L916" s="26" t="n">
        <v>5.019</v>
      </c>
      <c r="M916" s="27" t="n">
        <f aca="false">IF(K916&gt;0,1,0)</f>
        <v>1</v>
      </c>
      <c r="N916" s="11" t="n">
        <f aca="false">SUMIFS(K$2:K916,A$2:A916,A916,B$2:B916,B916)</f>
        <v>650821.5</v>
      </c>
      <c r="O916" s="11" t="n">
        <f aca="false">MAX(0,_xlfn.MAXIFS(N$2:N916,A$2:A916,A916,B$2:B916,B916))</f>
        <v>650821.5</v>
      </c>
      <c r="P916" s="11" t="n">
        <f aca="false">N916-O916</f>
        <v>0</v>
      </c>
    </row>
    <row r="917" customFormat="false" ht="15" hidden="false" customHeight="false" outlineLevel="0" collapsed="false">
      <c r="A917" s="8" t="s">
        <v>26</v>
      </c>
      <c r="B917" s="8" t="s">
        <v>43</v>
      </c>
      <c r="C917" s="8" t="s">
        <v>60</v>
      </c>
      <c r="D917" s="21" t="n">
        <v>45987.7118055556</v>
      </c>
      <c r="E917" s="21" t="n">
        <v>45987.8541666667</v>
      </c>
      <c r="F917" s="22" t="n">
        <f aca="false">DATE(YEAR(E917),MONTH(E917),1)</f>
        <v>45962</v>
      </c>
      <c r="G917" s="23" t="n">
        <v>190554</v>
      </c>
      <c r="H917" s="8" t="s">
        <v>61</v>
      </c>
      <c r="I917" s="24" t="n">
        <v>-832.76</v>
      </c>
      <c r="J917" s="25" t="n">
        <f aca="false">Summary!$B$4</f>
        <v>1</v>
      </c>
      <c r="K917" s="11" t="n">
        <f aca="false">I917*J917*IF(A917="SILVER",Summary!$B$5,Summary!$B$6)</f>
        <v>-24982.8</v>
      </c>
      <c r="L917" s="26" t="n">
        <v>-0.896</v>
      </c>
      <c r="M917" s="27" t="n">
        <f aca="false">IF(K917&gt;0,1,0)</f>
        <v>0</v>
      </c>
      <c r="N917" s="11" t="n">
        <f aca="false">SUMIFS(K$2:K917,A$2:A917,A917,B$2:B917,B917)</f>
        <v>625838.7</v>
      </c>
      <c r="O917" s="11" t="n">
        <f aca="false">MAX(0,_xlfn.MAXIFS(N$2:N917,A$2:A917,A917,B$2:B917,B917))</f>
        <v>650821.5</v>
      </c>
      <c r="P917" s="11" t="n">
        <f aca="false">N917-O917</f>
        <v>-24982.8</v>
      </c>
    </row>
    <row r="918" customFormat="false" ht="15" hidden="false" customHeight="false" outlineLevel="0" collapsed="false">
      <c r="A918" s="8" t="s">
        <v>26</v>
      </c>
      <c r="B918" s="8" t="s">
        <v>43</v>
      </c>
      <c r="C918" s="8" t="s">
        <v>60</v>
      </c>
      <c r="D918" s="21" t="n">
        <v>45987.8958333333</v>
      </c>
      <c r="E918" s="21" t="n">
        <v>45988.6631944445</v>
      </c>
      <c r="F918" s="22" t="n">
        <f aca="false">DATE(YEAR(E918),MONTH(E918),1)</f>
        <v>45962</v>
      </c>
      <c r="G918" s="23" t="n">
        <v>191278</v>
      </c>
      <c r="H918" s="8" t="s">
        <v>61</v>
      </c>
      <c r="I918" s="24" t="n">
        <v>2382.78</v>
      </c>
      <c r="J918" s="25" t="n">
        <f aca="false">Summary!$B$4</f>
        <v>1</v>
      </c>
      <c r="K918" s="11" t="n">
        <f aca="false">I918*J918*IF(A918="SILVER",Summary!$B$5,Summary!$B$6)</f>
        <v>71483.4</v>
      </c>
      <c r="L918" s="26" t="n">
        <v>1.471</v>
      </c>
      <c r="M918" s="27" t="n">
        <f aca="false">IF(K918&gt;0,1,0)</f>
        <v>1</v>
      </c>
      <c r="N918" s="11" t="n">
        <f aca="false">SUMIFS(K$2:K918,A$2:A918,A918,B$2:B918,B918)</f>
        <v>697322.1</v>
      </c>
      <c r="O918" s="11" t="n">
        <f aca="false">MAX(0,_xlfn.MAXIFS(N$2:N918,A$2:A918,A918,B$2:B918,B918))</f>
        <v>697322.1</v>
      </c>
      <c r="P918" s="11" t="n">
        <f aca="false">N918-O918</f>
        <v>0</v>
      </c>
    </row>
    <row r="919" customFormat="false" ht="15" hidden="false" customHeight="false" outlineLevel="0" collapsed="false">
      <c r="A919" s="8" t="s">
        <v>26</v>
      </c>
      <c r="B919" s="8" t="s">
        <v>43</v>
      </c>
      <c r="C919" s="8" t="s">
        <v>60</v>
      </c>
      <c r="D919" s="21" t="n">
        <v>45989.3784722222</v>
      </c>
      <c r="E919" s="21" t="n">
        <v>45989.5368055556</v>
      </c>
      <c r="F919" s="22" t="n">
        <f aca="false">DATE(YEAR(E919),MONTH(E919),1)</f>
        <v>45962</v>
      </c>
      <c r="G919" s="23" t="n">
        <v>195154</v>
      </c>
      <c r="H919" s="8" t="s">
        <v>64</v>
      </c>
      <c r="I919" s="24" t="n">
        <v>118.41</v>
      </c>
      <c r="J919" s="25" t="n">
        <f aca="false">Summary!$B$4</f>
        <v>1</v>
      </c>
      <c r="K919" s="11" t="n">
        <f aca="false">I919*J919*IF(A919="SILVER",Summary!$B$5,Summary!$B$6)</f>
        <v>3552.3</v>
      </c>
      <c r="L919" s="26" t="n">
        <v>0.11</v>
      </c>
      <c r="M919" s="27" t="n">
        <f aca="false">IF(K919&gt;0,1,0)</f>
        <v>1</v>
      </c>
      <c r="N919" s="11" t="n">
        <f aca="false">SUMIFS(K$2:K919,A$2:A919,A919,B$2:B919,B919)</f>
        <v>700874.4</v>
      </c>
      <c r="O919" s="11" t="n">
        <f aca="false">MAX(0,_xlfn.MAXIFS(N$2:N919,A$2:A919,A919,B$2:B919,B919))</f>
        <v>700874.4</v>
      </c>
      <c r="P919" s="11" t="n">
        <f aca="false">N919-O919</f>
        <v>0</v>
      </c>
    </row>
    <row r="920" customFormat="false" ht="15" hidden="false" customHeight="false" outlineLevel="0" collapsed="false">
      <c r="A920" s="8" t="s">
        <v>26</v>
      </c>
      <c r="B920" s="8" t="s">
        <v>43</v>
      </c>
      <c r="C920" s="8" t="s">
        <v>60</v>
      </c>
      <c r="D920" s="21" t="n">
        <v>45989.8055555556</v>
      </c>
      <c r="E920" s="21" t="n">
        <v>45992.7708333333</v>
      </c>
      <c r="F920" s="22" t="n">
        <f aca="false">DATE(YEAR(E920),MONTH(E920),1)</f>
        <v>45992</v>
      </c>
      <c r="G920" s="23" t="n">
        <v>195763</v>
      </c>
      <c r="H920" s="8" t="s">
        <v>61</v>
      </c>
      <c r="I920" s="24" t="n">
        <v>8871.23</v>
      </c>
      <c r="J920" s="25" t="n">
        <f aca="false">Summary!$B$4</f>
        <v>1</v>
      </c>
      <c r="K920" s="11" t="n">
        <f aca="false">I920*J920*IF(A920="SILVER",Summary!$B$5,Summary!$B$6)</f>
        <v>266136.9</v>
      </c>
      <c r="L920" s="26" t="n">
        <v>9.344</v>
      </c>
      <c r="M920" s="27" t="n">
        <f aca="false">IF(K920&gt;0,1,0)</f>
        <v>1</v>
      </c>
      <c r="N920" s="11" t="n">
        <f aca="false">SUMIFS(K$2:K920,A$2:A920,A920,B$2:B920,B920)</f>
        <v>967011.3</v>
      </c>
      <c r="O920" s="11" t="n">
        <f aca="false">MAX(0,_xlfn.MAXIFS(N$2:N920,A$2:A920,A920,B$2:B920,B920))</f>
        <v>967011.3</v>
      </c>
      <c r="P920" s="11" t="n">
        <f aca="false">N920-O920</f>
        <v>0</v>
      </c>
    </row>
    <row r="921" customFormat="false" ht="15" hidden="false" customHeight="false" outlineLevel="0" collapsed="false">
      <c r="A921" s="8" t="s">
        <v>26</v>
      </c>
      <c r="B921" s="8" t="s">
        <v>43</v>
      </c>
      <c r="C921" s="8" t="s">
        <v>60</v>
      </c>
      <c r="D921" s="21" t="n">
        <v>45992.9027777778</v>
      </c>
      <c r="E921" s="21" t="n">
        <v>45993.375</v>
      </c>
      <c r="F921" s="22" t="n">
        <f aca="false">DATE(YEAR(E921),MONTH(E921),1)</f>
        <v>45992</v>
      </c>
      <c r="G921" s="23" t="n">
        <v>206947</v>
      </c>
      <c r="H921" s="8" t="s">
        <v>64</v>
      </c>
      <c r="I921" s="24" t="n">
        <v>331.52</v>
      </c>
      <c r="J921" s="25" t="n">
        <f aca="false">Summary!$B$4</f>
        <v>1</v>
      </c>
      <c r="K921" s="11" t="n">
        <f aca="false">I921*J921*IF(A921="SILVER",Summary!$B$5,Summary!$B$6)</f>
        <v>9945.6</v>
      </c>
      <c r="L921" s="26" t="n">
        <v>0.132</v>
      </c>
      <c r="M921" s="27" t="n">
        <f aca="false">IF(K921&gt;0,1,0)</f>
        <v>1</v>
      </c>
      <c r="N921" s="11" t="n">
        <f aca="false">SUMIFS(K$2:K921,A$2:A921,A921,B$2:B921,B921)</f>
        <v>976956.9</v>
      </c>
      <c r="O921" s="11" t="n">
        <f aca="false">MAX(0,_xlfn.MAXIFS(N$2:N921,A$2:A921,A921,B$2:B921,B921))</f>
        <v>976956.9</v>
      </c>
      <c r="P921" s="11" t="n">
        <f aca="false">N921-O921</f>
        <v>0</v>
      </c>
    </row>
    <row r="922" customFormat="false" ht="15" hidden="false" customHeight="false" outlineLevel="0" collapsed="false">
      <c r="A922" s="8" t="s">
        <v>26</v>
      </c>
      <c r="B922" s="8" t="s">
        <v>43</v>
      </c>
      <c r="C922" s="8" t="s">
        <v>60</v>
      </c>
      <c r="D922" s="21" t="n">
        <v>45993.7256944445</v>
      </c>
      <c r="E922" s="21" t="n">
        <v>45993.8673611111</v>
      </c>
      <c r="F922" s="22" t="n">
        <f aca="false">DATE(YEAR(E922),MONTH(E922),1)</f>
        <v>45992</v>
      </c>
      <c r="G922" s="23" t="n">
        <v>206448</v>
      </c>
      <c r="H922" s="8" t="s">
        <v>64</v>
      </c>
      <c r="I922" s="24" t="n">
        <v>-90.01</v>
      </c>
      <c r="J922" s="25" t="n">
        <f aca="false">Summary!$B$4</f>
        <v>1</v>
      </c>
      <c r="K922" s="11" t="n">
        <f aca="false">I922*J922*IF(A922="SILVER",Summary!$B$5,Summary!$B$6)</f>
        <v>-2700.3</v>
      </c>
      <c r="L922" s="26" t="n">
        <v>-0.054</v>
      </c>
      <c r="M922" s="27" t="n">
        <f aca="false">IF(K922&gt;0,1,0)</f>
        <v>0</v>
      </c>
      <c r="N922" s="11" t="n">
        <f aca="false">SUMIFS(K$2:K922,A$2:A922,A922,B$2:B922,B922)</f>
        <v>974256.6</v>
      </c>
      <c r="O922" s="11" t="n">
        <f aca="false">MAX(0,_xlfn.MAXIFS(N$2:N922,A$2:A922,A922,B$2:B922,B922))</f>
        <v>976956.9</v>
      </c>
      <c r="P922" s="11" t="n">
        <f aca="false">N922-O922</f>
        <v>-2700.30000000005</v>
      </c>
    </row>
    <row r="923" customFormat="false" ht="15" hidden="false" customHeight="false" outlineLevel="0" collapsed="false">
      <c r="A923" s="8" t="s">
        <v>26</v>
      </c>
      <c r="B923" s="8" t="s">
        <v>43</v>
      </c>
      <c r="C923" s="8" t="s">
        <v>60</v>
      </c>
      <c r="D923" s="21" t="n">
        <v>45994.3958333333</v>
      </c>
      <c r="E923" s="21" t="n">
        <v>45994.4020833333</v>
      </c>
      <c r="F923" s="22" t="n">
        <f aca="false">DATE(YEAR(E923),MONTH(E923),1)</f>
        <v>45992</v>
      </c>
      <c r="G923" s="23" t="n">
        <v>211135</v>
      </c>
      <c r="H923" s="8" t="s">
        <v>64</v>
      </c>
      <c r="I923" s="24" t="n">
        <v>-118.97</v>
      </c>
      <c r="J923" s="25" t="n">
        <f aca="false">Summary!$B$4</f>
        <v>1</v>
      </c>
      <c r="K923" s="11" t="n">
        <f aca="false">I923*J923*IF(A923="SILVER",Summary!$B$5,Summary!$B$6)</f>
        <v>-3569.1</v>
      </c>
      <c r="L923" s="26" t="n">
        <v>-0.039</v>
      </c>
      <c r="M923" s="27" t="n">
        <f aca="false">IF(K923&gt;0,1,0)</f>
        <v>0</v>
      </c>
      <c r="N923" s="11" t="n">
        <f aca="false">SUMIFS(K$2:K923,A$2:A923,A923,B$2:B923,B923)</f>
        <v>970687.5</v>
      </c>
      <c r="O923" s="11" t="n">
        <f aca="false">MAX(0,_xlfn.MAXIFS(N$2:N923,A$2:A923,A923,B$2:B923,B923))</f>
        <v>976956.9</v>
      </c>
      <c r="P923" s="11" t="n">
        <f aca="false">N923-O923</f>
        <v>-6269.40000000002</v>
      </c>
    </row>
    <row r="924" customFormat="false" ht="15" hidden="false" customHeight="false" outlineLevel="0" collapsed="false">
      <c r="A924" s="8" t="s">
        <v>26</v>
      </c>
      <c r="B924" s="8" t="s">
        <v>43</v>
      </c>
      <c r="C924" s="8" t="s">
        <v>60</v>
      </c>
      <c r="D924" s="21" t="n">
        <v>45996.5777777778</v>
      </c>
      <c r="E924" s="21" t="n">
        <v>45999.525</v>
      </c>
      <c r="F924" s="22" t="n">
        <f aca="false">DATE(YEAR(E924),MONTH(E924),1)</f>
        <v>45992</v>
      </c>
      <c r="G924" s="23" t="n">
        <v>210253</v>
      </c>
      <c r="H924" s="8" t="s">
        <v>64</v>
      </c>
      <c r="I924" s="24" t="n">
        <v>582.85</v>
      </c>
      <c r="J924" s="25" t="n">
        <f aca="false">Summary!$B$4</f>
        <v>1</v>
      </c>
      <c r="K924" s="11" t="n">
        <f aca="false">I924*J924*IF(A924="SILVER",Summary!$B$5,Summary!$B$6)</f>
        <v>17485.5</v>
      </c>
      <c r="L924" s="26" t="n">
        <v>0.129</v>
      </c>
      <c r="M924" s="27" t="n">
        <f aca="false">IF(K924&gt;0,1,0)</f>
        <v>1</v>
      </c>
      <c r="N924" s="11" t="n">
        <f aca="false">SUMIFS(K$2:K924,A$2:A924,A924,B$2:B924,B924)</f>
        <v>988173</v>
      </c>
      <c r="O924" s="11" t="n">
        <f aca="false">MAX(0,_xlfn.MAXIFS(N$2:N924,A$2:A924,A924,B$2:B924,B924))</f>
        <v>988173</v>
      </c>
      <c r="P924" s="11" t="n">
        <f aca="false">N924-O924</f>
        <v>0</v>
      </c>
    </row>
    <row r="925" customFormat="false" ht="15" hidden="false" customHeight="false" outlineLevel="0" collapsed="false">
      <c r="A925" s="8" t="s">
        <v>26</v>
      </c>
      <c r="B925" s="8" t="s">
        <v>43</v>
      </c>
      <c r="C925" s="8" t="s">
        <v>60</v>
      </c>
      <c r="D925" s="21" t="n">
        <v>46000.6041666667</v>
      </c>
      <c r="E925" s="21" t="n">
        <v>46001.6180555556</v>
      </c>
      <c r="F925" s="22" t="n">
        <f aca="false">DATE(YEAR(E925),MONTH(E925),1)</f>
        <v>45992</v>
      </c>
      <c r="G925" s="23" t="n">
        <v>210635</v>
      </c>
      <c r="H925" s="8" t="s">
        <v>61</v>
      </c>
      <c r="I925" s="24" t="n">
        <v>7385.8</v>
      </c>
      <c r="J925" s="25" t="n">
        <f aca="false">Summary!$B$4</f>
        <v>1</v>
      </c>
      <c r="K925" s="11" t="n">
        <f aca="false">I925*J925*IF(A925="SILVER",Summary!$B$5,Summary!$B$6)</f>
        <v>221574</v>
      </c>
      <c r="L925" s="26" t="n">
        <v>5.129</v>
      </c>
      <c r="M925" s="27" t="n">
        <f aca="false">IF(K925&gt;0,1,0)</f>
        <v>1</v>
      </c>
      <c r="N925" s="11" t="n">
        <f aca="false">SUMIFS(K$2:K925,A$2:A925,A925,B$2:B925,B925)</f>
        <v>1209747</v>
      </c>
      <c r="O925" s="11" t="n">
        <f aca="false">MAX(0,_xlfn.MAXIFS(N$2:N925,A$2:A925,A925,B$2:B925,B925))</f>
        <v>1209747</v>
      </c>
      <c r="P925" s="11" t="n">
        <f aca="false">N925-O925</f>
        <v>0</v>
      </c>
    </row>
    <row r="926" customFormat="false" ht="15" hidden="false" customHeight="false" outlineLevel="0" collapsed="false">
      <c r="A926" s="8" t="s">
        <v>26</v>
      </c>
      <c r="B926" s="8" t="s">
        <v>43</v>
      </c>
      <c r="C926" s="8" t="s">
        <v>60</v>
      </c>
      <c r="D926" s="21" t="n">
        <v>46002.3784722222</v>
      </c>
      <c r="E926" s="21" t="n">
        <v>46002.7236111111</v>
      </c>
      <c r="F926" s="22" t="n">
        <f aca="false">DATE(YEAR(E926),MONTH(E926),1)</f>
        <v>45992</v>
      </c>
      <c r="G926" s="23" t="n">
        <v>220819</v>
      </c>
      <c r="H926" s="8" t="s">
        <v>64</v>
      </c>
      <c r="I926" s="24" t="n">
        <v>595.98</v>
      </c>
      <c r="J926" s="25" t="n">
        <f aca="false">Summary!$B$4</f>
        <v>1</v>
      </c>
      <c r="K926" s="11" t="n">
        <f aca="false">I926*J926*IF(A926="SILVER",Summary!$B$5,Summary!$B$6)</f>
        <v>17879.4</v>
      </c>
      <c r="L926" s="26" t="n">
        <v>0.139</v>
      </c>
      <c r="M926" s="27" t="n">
        <f aca="false">IF(K926&gt;0,1,0)</f>
        <v>1</v>
      </c>
      <c r="N926" s="11" t="n">
        <f aca="false">SUMIFS(K$2:K926,A$2:A926,A926,B$2:B926,B926)</f>
        <v>1227626.4</v>
      </c>
      <c r="O926" s="11" t="n">
        <f aca="false">MAX(0,_xlfn.MAXIFS(N$2:N926,A$2:A926,A926,B$2:B926,B926))</f>
        <v>1227626.4</v>
      </c>
      <c r="P926" s="11" t="n">
        <f aca="false">N926-O926</f>
        <v>0</v>
      </c>
    </row>
    <row r="927" customFormat="false" ht="15" hidden="false" customHeight="false" outlineLevel="0" collapsed="false">
      <c r="A927" s="8" t="s">
        <v>26</v>
      </c>
      <c r="B927" s="8" t="s">
        <v>43</v>
      </c>
      <c r="C927" s="8" t="s">
        <v>60</v>
      </c>
      <c r="D927" s="21" t="n">
        <v>46002.8055555556</v>
      </c>
      <c r="E927" s="21" t="n">
        <v>46002.8243055556</v>
      </c>
      <c r="F927" s="22" t="n">
        <f aca="false">DATE(YEAR(E927),MONTH(E927),1)</f>
        <v>45992</v>
      </c>
      <c r="G927" s="23" t="n">
        <v>222566</v>
      </c>
      <c r="H927" s="8" t="s">
        <v>64</v>
      </c>
      <c r="I927" s="24" t="n">
        <v>194.12</v>
      </c>
      <c r="J927" s="25" t="n">
        <f aca="false">Summary!$B$4</f>
        <v>1</v>
      </c>
      <c r="K927" s="11" t="n">
        <f aca="false">I927*J927*IF(A927="SILVER",Summary!$B$5,Summary!$B$6)</f>
        <v>5823.6</v>
      </c>
      <c r="L927" s="26" t="n">
        <v>0.12</v>
      </c>
      <c r="M927" s="27" t="n">
        <f aca="false">IF(K927&gt;0,1,0)</f>
        <v>1</v>
      </c>
      <c r="N927" s="11" t="n">
        <f aca="false">SUMIFS(K$2:K927,A$2:A927,A927,B$2:B927,B927)</f>
        <v>1233450</v>
      </c>
      <c r="O927" s="11" t="n">
        <f aca="false">MAX(0,_xlfn.MAXIFS(N$2:N927,A$2:A927,A927,B$2:B927,B927))</f>
        <v>1233450</v>
      </c>
      <c r="P927" s="11" t="n">
        <f aca="false">N927-O927</f>
        <v>0</v>
      </c>
    </row>
    <row r="928" customFormat="false" ht="15" hidden="false" customHeight="false" outlineLevel="0" collapsed="false">
      <c r="A928" s="8" t="s">
        <v>26</v>
      </c>
      <c r="B928" s="8" t="s">
        <v>43</v>
      </c>
      <c r="C928" s="8" t="s">
        <v>60</v>
      </c>
      <c r="D928" s="21" t="n">
        <v>46002.8784722222</v>
      </c>
      <c r="E928" s="21" t="n">
        <v>46003.8680555556</v>
      </c>
      <c r="F928" s="22" t="n">
        <f aca="false">DATE(YEAR(E928),MONTH(E928),1)</f>
        <v>45992</v>
      </c>
      <c r="G928" s="23" t="n">
        <v>223994</v>
      </c>
      <c r="H928" s="8" t="s">
        <v>61</v>
      </c>
      <c r="I928" s="24" t="n">
        <v>1790.68</v>
      </c>
      <c r="J928" s="25" t="n">
        <f aca="false">Summary!$B$4</f>
        <v>1</v>
      </c>
      <c r="K928" s="11" t="n">
        <f aca="false">I928*J928*IF(A928="SILVER",Summary!$B$5,Summary!$B$6)</f>
        <v>53720.4</v>
      </c>
      <c r="L928" s="26" t="n">
        <v>0.685</v>
      </c>
      <c r="M928" s="27" t="n">
        <f aca="false">IF(K928&gt;0,1,0)</f>
        <v>1</v>
      </c>
      <c r="N928" s="11" t="n">
        <f aca="false">SUMIFS(K$2:K928,A$2:A928,A928,B$2:B928,B928)</f>
        <v>1287170.4</v>
      </c>
      <c r="O928" s="11" t="n">
        <f aca="false">MAX(0,_xlfn.MAXIFS(N$2:N928,A$2:A928,A928,B$2:B928,B928))</f>
        <v>1287170.4</v>
      </c>
      <c r="P928" s="11" t="n">
        <f aca="false">N928-O928</f>
        <v>0</v>
      </c>
    </row>
    <row r="929" customFormat="false" ht="15" hidden="false" customHeight="false" outlineLevel="0" collapsed="false">
      <c r="A929" s="8" t="s">
        <v>26</v>
      </c>
      <c r="B929" s="8" t="s">
        <v>43</v>
      </c>
      <c r="C929" s="8" t="s">
        <v>60</v>
      </c>
      <c r="D929" s="21" t="n">
        <v>46008.9270833333</v>
      </c>
      <c r="E929" s="21" t="n">
        <v>46008.9402777778</v>
      </c>
      <c r="F929" s="22" t="n">
        <f aca="false">DATE(YEAR(E929),MONTH(E929),1)</f>
        <v>45992</v>
      </c>
      <c r="G929" s="23" t="n">
        <v>233683</v>
      </c>
      <c r="H929" s="8" t="s">
        <v>64</v>
      </c>
      <c r="I929" s="24" t="n">
        <v>457.33</v>
      </c>
      <c r="J929" s="25" t="n">
        <f aca="false">Summary!$B$4</f>
        <v>1</v>
      </c>
      <c r="K929" s="11" t="n">
        <f aca="false">I929*J929*IF(A929="SILVER",Summary!$B$5,Summary!$B$6)</f>
        <v>13719.9</v>
      </c>
      <c r="L929" s="26" t="n">
        <v>0.135</v>
      </c>
      <c r="M929" s="27" t="n">
        <f aca="false">IF(K929&gt;0,1,0)</f>
        <v>1</v>
      </c>
      <c r="N929" s="11" t="n">
        <f aca="false">SUMIFS(K$2:K929,A$2:A929,A929,B$2:B929,B929)</f>
        <v>1300890.3</v>
      </c>
      <c r="O929" s="11" t="n">
        <f aca="false">MAX(0,_xlfn.MAXIFS(N$2:N929,A$2:A929,A929,B$2:B929,B929))</f>
        <v>1300890.3</v>
      </c>
      <c r="P929" s="11" t="n">
        <f aca="false">N929-O929</f>
        <v>0</v>
      </c>
    </row>
    <row r="930" customFormat="false" ht="15" hidden="false" customHeight="false" outlineLevel="0" collapsed="false">
      <c r="A930" s="8" t="s">
        <v>26</v>
      </c>
      <c r="B930" s="8" t="s">
        <v>43</v>
      </c>
      <c r="C930" s="8" t="s">
        <v>60</v>
      </c>
      <c r="D930" s="21" t="n">
        <v>46008.9618055556</v>
      </c>
      <c r="E930" s="21" t="n">
        <v>46009.7777777778</v>
      </c>
      <c r="F930" s="22" t="n">
        <f aca="false">DATE(YEAR(E930),MONTH(E930),1)</f>
        <v>45992</v>
      </c>
      <c r="G930" s="23" t="n">
        <v>235381</v>
      </c>
      <c r="H930" s="8" t="s">
        <v>61</v>
      </c>
      <c r="I930" s="24" t="n">
        <v>-1954.22</v>
      </c>
      <c r="J930" s="25" t="n">
        <f aca="false">Summary!$B$4</f>
        <v>1</v>
      </c>
      <c r="K930" s="11" t="n">
        <f aca="false">I930*J930*IF(A930="SILVER",Summary!$B$5,Summary!$B$6)</f>
        <v>-58626.6</v>
      </c>
      <c r="L930" s="26" t="n">
        <v>-0.541</v>
      </c>
      <c r="M930" s="27" t="n">
        <f aca="false">IF(K930&gt;0,1,0)</f>
        <v>0</v>
      </c>
      <c r="N930" s="11" t="n">
        <f aca="false">SUMIFS(K$2:K930,A$2:A930,A930,B$2:B930,B930)</f>
        <v>1242263.7</v>
      </c>
      <c r="O930" s="11" t="n">
        <f aca="false">MAX(0,_xlfn.MAXIFS(N$2:N930,A$2:A930,A930,B$2:B930,B930))</f>
        <v>1300890.3</v>
      </c>
      <c r="P930" s="11" t="n">
        <f aca="false">N930-O930</f>
        <v>-58626.6000000001</v>
      </c>
    </row>
    <row r="931" customFormat="false" ht="15" hidden="false" customHeight="false" outlineLevel="0" collapsed="false">
      <c r="A931" s="8" t="s">
        <v>26</v>
      </c>
      <c r="B931" s="8" t="s">
        <v>43</v>
      </c>
      <c r="C931" s="8" t="s">
        <v>60</v>
      </c>
      <c r="D931" s="21" t="n">
        <v>46009.8090277778</v>
      </c>
      <c r="E931" s="21" t="n">
        <v>46009.8402777778</v>
      </c>
      <c r="F931" s="22" t="n">
        <f aca="false">DATE(YEAR(E931),MONTH(E931),1)</f>
        <v>45992</v>
      </c>
      <c r="G931" s="23" t="n">
        <v>235160</v>
      </c>
      <c r="H931" s="8" t="s">
        <v>61</v>
      </c>
      <c r="I931" s="24" t="n">
        <v>-2850.09</v>
      </c>
      <c r="J931" s="25" t="n">
        <f aca="false">Summary!$B$4</f>
        <v>1</v>
      </c>
      <c r="K931" s="11" t="n">
        <f aca="false">I931*J931*IF(A931="SILVER",Summary!$B$5,Summary!$B$6)</f>
        <v>-85502.7</v>
      </c>
      <c r="L931" s="26" t="n">
        <v>-1.243</v>
      </c>
      <c r="M931" s="27" t="n">
        <f aca="false">IF(K931&gt;0,1,0)</f>
        <v>0</v>
      </c>
      <c r="N931" s="11" t="n">
        <f aca="false">SUMIFS(K$2:K931,A$2:A931,A931,B$2:B931,B931)</f>
        <v>1156761</v>
      </c>
      <c r="O931" s="11" t="n">
        <f aca="false">MAX(0,_xlfn.MAXIFS(N$2:N931,A$2:A931,A931,B$2:B931,B931))</f>
        <v>1300890.3</v>
      </c>
      <c r="P931" s="11" t="n">
        <f aca="false">N931-O931</f>
        <v>-144129.3</v>
      </c>
    </row>
    <row r="932" customFormat="false" ht="15" hidden="false" customHeight="false" outlineLevel="0" collapsed="false">
      <c r="A932" s="8" t="s">
        <v>26</v>
      </c>
      <c r="B932" s="8" t="s">
        <v>43</v>
      </c>
      <c r="C932" s="8" t="s">
        <v>60</v>
      </c>
      <c r="D932" s="21" t="n">
        <v>46010.4930555556</v>
      </c>
      <c r="E932" s="21" t="n">
        <v>46010.7326388889</v>
      </c>
      <c r="F932" s="22" t="n">
        <f aca="false">DATE(YEAR(E932),MONTH(E932),1)</f>
        <v>45992</v>
      </c>
      <c r="G932" s="23" t="n">
        <v>234234</v>
      </c>
      <c r="H932" s="8" t="s">
        <v>61</v>
      </c>
      <c r="I932" s="24" t="n">
        <v>-1459.03</v>
      </c>
      <c r="J932" s="25" t="n">
        <f aca="false">Summary!$B$4</f>
        <v>1</v>
      </c>
      <c r="K932" s="11" t="n">
        <f aca="false">I932*J932*IF(A932="SILVER",Summary!$B$5,Summary!$B$6)</f>
        <v>-43770.9</v>
      </c>
      <c r="L932" s="26" t="n">
        <v>-0.636</v>
      </c>
      <c r="M932" s="27" t="n">
        <f aca="false">IF(K932&gt;0,1,0)</f>
        <v>0</v>
      </c>
      <c r="N932" s="11" t="n">
        <f aca="false">SUMIFS(K$2:K932,A$2:A932,A932,B$2:B932,B932)</f>
        <v>1112990.1</v>
      </c>
      <c r="O932" s="11" t="n">
        <f aca="false">MAX(0,_xlfn.MAXIFS(N$2:N932,A$2:A932,A932,B$2:B932,B932))</f>
        <v>1300890.3</v>
      </c>
      <c r="P932" s="11" t="n">
        <f aca="false">N932-O932</f>
        <v>-187900.2</v>
      </c>
    </row>
    <row r="933" customFormat="false" ht="15" hidden="false" customHeight="false" outlineLevel="0" collapsed="false">
      <c r="A933" s="8" t="s">
        <v>26</v>
      </c>
      <c r="B933" s="8" t="s">
        <v>43</v>
      </c>
      <c r="C933" s="8" t="s">
        <v>60</v>
      </c>
      <c r="D933" s="21" t="n">
        <v>46010.8402777778</v>
      </c>
      <c r="E933" s="21" t="n">
        <v>46010.9055555556</v>
      </c>
      <c r="F933" s="22" t="n">
        <f aca="false">DATE(YEAR(E933),MONTH(E933),1)</f>
        <v>45992</v>
      </c>
      <c r="G933" s="23" t="n">
        <v>234784</v>
      </c>
      <c r="H933" s="8" t="s">
        <v>64</v>
      </c>
      <c r="I933" s="24" t="n">
        <v>383.78</v>
      </c>
      <c r="J933" s="25" t="n">
        <f aca="false">Summary!$B$4</f>
        <v>1</v>
      </c>
      <c r="K933" s="11" t="n">
        <f aca="false">I933*J933*IF(A933="SILVER",Summary!$B$5,Summary!$B$6)</f>
        <v>11513.4</v>
      </c>
      <c r="L933" s="26" t="n">
        <v>0.132</v>
      </c>
      <c r="M933" s="27" t="n">
        <f aca="false">IF(K933&gt;0,1,0)</f>
        <v>1</v>
      </c>
      <c r="N933" s="11" t="n">
        <f aca="false">SUMIFS(K$2:K933,A$2:A933,A933,B$2:B933,B933)</f>
        <v>1124503.5</v>
      </c>
      <c r="O933" s="11" t="n">
        <f aca="false">MAX(0,_xlfn.MAXIFS(N$2:N933,A$2:A933,A933,B$2:B933,B933))</f>
        <v>1300890.3</v>
      </c>
      <c r="P933" s="11" t="n">
        <f aca="false">N933-O933</f>
        <v>-176386.8</v>
      </c>
    </row>
    <row r="934" customFormat="false" ht="15" hidden="false" customHeight="false" outlineLevel="0" collapsed="false">
      <c r="A934" s="8" t="s">
        <v>26</v>
      </c>
      <c r="B934" s="8" t="s">
        <v>43</v>
      </c>
      <c r="C934" s="8" t="s">
        <v>60</v>
      </c>
      <c r="D934" s="21" t="n">
        <v>46010.9722222222</v>
      </c>
      <c r="E934" s="21" t="n">
        <v>46013.8645833333</v>
      </c>
      <c r="F934" s="22" t="n">
        <f aca="false">DATE(YEAR(E934),MONTH(E934),1)</f>
        <v>45992</v>
      </c>
      <c r="G934" s="23" t="n">
        <v>236811</v>
      </c>
      <c r="H934" s="8" t="s">
        <v>61</v>
      </c>
      <c r="I934" s="24" t="n">
        <v>3969.88</v>
      </c>
      <c r="J934" s="25" t="n">
        <f aca="false">Summary!$B$4</f>
        <v>1</v>
      </c>
      <c r="K934" s="11" t="n">
        <f aca="false">I934*J934*IF(A934="SILVER",Summary!$B$5,Summary!$B$6)</f>
        <v>119096.4</v>
      </c>
      <c r="L934" s="26" t="n">
        <v>1.546</v>
      </c>
      <c r="M934" s="27" t="n">
        <f aca="false">IF(K934&gt;0,1,0)</f>
        <v>1</v>
      </c>
      <c r="N934" s="11" t="n">
        <f aca="false">SUMIFS(K$2:K934,A$2:A934,A934,B$2:B934,B934)</f>
        <v>1243599.9</v>
      </c>
      <c r="O934" s="11" t="n">
        <f aca="false">MAX(0,_xlfn.MAXIFS(N$2:N934,A$2:A934,A934,B$2:B934,B934))</f>
        <v>1300890.3</v>
      </c>
      <c r="P934" s="11" t="n">
        <f aca="false">N934-O934</f>
        <v>-57290.3999999999</v>
      </c>
    </row>
    <row r="935" customFormat="false" ht="15" hidden="false" customHeight="false" outlineLevel="0" collapsed="false">
      <c r="A935" s="8" t="s">
        <v>26</v>
      </c>
      <c r="B935" s="8" t="s">
        <v>43</v>
      </c>
      <c r="C935" s="8" t="s">
        <v>60</v>
      </c>
      <c r="D935" s="21" t="n">
        <v>46014.3784722222</v>
      </c>
      <c r="E935" s="21" t="n">
        <v>46014.8347222222</v>
      </c>
      <c r="F935" s="22" t="n">
        <f aca="false">DATE(YEAR(E935),MONTH(E935),1)</f>
        <v>45992</v>
      </c>
      <c r="G935" s="23" t="n">
        <v>244151</v>
      </c>
      <c r="H935" s="8" t="s">
        <v>64</v>
      </c>
      <c r="I935" s="24" t="n">
        <v>427.68</v>
      </c>
      <c r="J935" s="25" t="n">
        <f aca="false">Summary!$B$4</f>
        <v>1</v>
      </c>
      <c r="K935" s="11" t="n">
        <f aca="false">I935*J935*IF(A935="SILVER",Summary!$B$5,Summary!$B$6)</f>
        <v>12830.4</v>
      </c>
      <c r="L935" s="26" t="n">
        <v>0.133</v>
      </c>
      <c r="M935" s="27" t="n">
        <f aca="false">IF(K935&gt;0,1,0)</f>
        <v>1</v>
      </c>
      <c r="N935" s="11" t="n">
        <f aca="false">SUMIFS(K$2:K935,A$2:A935,A935,B$2:B935,B935)</f>
        <v>1256430.3</v>
      </c>
      <c r="O935" s="11" t="n">
        <f aca="false">MAX(0,_xlfn.MAXIFS(N$2:N935,A$2:A935,A935,B$2:B935,B935))</f>
        <v>1300890.3</v>
      </c>
      <c r="P935" s="11" t="n">
        <f aca="false">N935-O935</f>
        <v>-44460</v>
      </c>
    </row>
    <row r="936" customFormat="false" ht="15" hidden="false" customHeight="false" outlineLevel="0" collapsed="false">
      <c r="A936" s="8" t="s">
        <v>26</v>
      </c>
      <c r="B936" s="8" t="s">
        <v>43</v>
      </c>
      <c r="C936" s="8" t="s">
        <v>60</v>
      </c>
      <c r="D936" s="21" t="n">
        <v>46014.9409722222</v>
      </c>
      <c r="E936" s="21" t="n">
        <v>46015.6041666667</v>
      </c>
      <c r="F936" s="22" t="n">
        <f aca="false">DATE(YEAR(E936),MONTH(E936),1)</f>
        <v>45992</v>
      </c>
      <c r="G936" s="23" t="n">
        <v>247957</v>
      </c>
      <c r="H936" s="8" t="s">
        <v>61</v>
      </c>
      <c r="I936" s="24" t="n">
        <v>2264.84</v>
      </c>
      <c r="J936" s="25" t="n">
        <f aca="false">Summary!$B$4</f>
        <v>1</v>
      </c>
      <c r="K936" s="11" t="n">
        <f aca="false">I936*J936*IF(A936="SILVER",Summary!$B$5,Summary!$B$6)</f>
        <v>67945.2</v>
      </c>
      <c r="L936" s="26" t="n">
        <v>0.514</v>
      </c>
      <c r="M936" s="27" t="n">
        <f aca="false">IF(K936&gt;0,1,0)</f>
        <v>1</v>
      </c>
      <c r="N936" s="11" t="n">
        <f aca="false">SUMIFS(K$2:K936,A$2:A936,A936,B$2:B936,B936)</f>
        <v>1324375.5</v>
      </c>
      <c r="O936" s="11" t="n">
        <f aca="false">MAX(0,_xlfn.MAXIFS(N$2:N936,A$2:A936,A936,B$2:B936,B936))</f>
        <v>1324375.5</v>
      </c>
      <c r="P936" s="11" t="n">
        <f aca="false">N936-O936</f>
        <v>0</v>
      </c>
    </row>
    <row r="937" customFormat="false" ht="15" hidden="false" customHeight="false" outlineLevel="0" collapsed="false">
      <c r="A937" s="8" t="s">
        <v>26</v>
      </c>
      <c r="B937" s="8" t="s">
        <v>43</v>
      </c>
      <c r="C937" s="8" t="s">
        <v>60</v>
      </c>
      <c r="D937" s="21" t="n">
        <v>46015.7395833333</v>
      </c>
      <c r="E937" s="21" t="n">
        <v>46015.78125</v>
      </c>
      <c r="F937" s="22" t="n">
        <f aca="false">DATE(YEAR(E937),MONTH(E937),1)</f>
        <v>45992</v>
      </c>
      <c r="G937" s="23" t="n">
        <v>252406</v>
      </c>
      <c r="H937" s="8" t="s">
        <v>61</v>
      </c>
      <c r="I937" s="24" t="n">
        <v>-1380.68</v>
      </c>
      <c r="J937" s="25" t="n">
        <f aca="false">Summary!$B$4</f>
        <v>1</v>
      </c>
      <c r="K937" s="11" t="n">
        <f aca="false">I937*J937*IF(A937="SILVER",Summary!$B$5,Summary!$B$6)</f>
        <v>-41420.4</v>
      </c>
      <c r="L937" s="26" t="n">
        <v>-0.908</v>
      </c>
      <c r="M937" s="27" t="n">
        <f aca="false">IF(K937&gt;0,1,0)</f>
        <v>0</v>
      </c>
      <c r="N937" s="11" t="n">
        <f aca="false">SUMIFS(K$2:K937,A$2:A937,A937,B$2:B937,B937)</f>
        <v>1282955.1</v>
      </c>
      <c r="O937" s="11" t="n">
        <f aca="false">MAX(0,_xlfn.MAXIFS(N$2:N937,A$2:A937,A937,B$2:B937,B937))</f>
        <v>1324375.5</v>
      </c>
      <c r="P937" s="11" t="n">
        <f aca="false">N937-O937</f>
        <v>-41420.3999999999</v>
      </c>
    </row>
    <row r="938" customFormat="false" ht="15" hidden="false" customHeight="false" outlineLevel="0" collapsed="false">
      <c r="A938" s="8" t="s">
        <v>26</v>
      </c>
      <c r="B938" s="8" t="s">
        <v>43</v>
      </c>
      <c r="C938" s="8" t="s">
        <v>60</v>
      </c>
      <c r="D938" s="21" t="n">
        <v>46015.9444444445</v>
      </c>
      <c r="E938" s="21" t="n">
        <v>46017.6909722222</v>
      </c>
      <c r="F938" s="22" t="n">
        <f aca="false">DATE(YEAR(E938),MONTH(E938),1)</f>
        <v>45992</v>
      </c>
      <c r="G938" s="23" t="n">
        <v>251928</v>
      </c>
      <c r="H938" s="8" t="s">
        <v>61</v>
      </c>
      <c r="I938" s="24" t="n">
        <v>9398.35</v>
      </c>
      <c r="J938" s="25" t="n">
        <f aca="false">Summary!$B$4</f>
        <v>1</v>
      </c>
      <c r="K938" s="11" t="n">
        <f aca="false">I938*J938*IF(A938="SILVER",Summary!$B$5,Summary!$B$6)</f>
        <v>281950.5</v>
      </c>
      <c r="L938" s="26" t="n">
        <v>2.419</v>
      </c>
      <c r="M938" s="27" t="n">
        <f aca="false">IF(K938&gt;0,1,0)</f>
        <v>1</v>
      </c>
      <c r="N938" s="11" t="n">
        <f aca="false">SUMIFS(K$2:K938,A$2:A938,A938,B$2:B938,B938)</f>
        <v>1564905.6</v>
      </c>
      <c r="O938" s="11" t="n">
        <f aca="false">MAX(0,_xlfn.MAXIFS(N$2:N938,A$2:A938,A938,B$2:B938,B938))</f>
        <v>1564905.6</v>
      </c>
      <c r="P938" s="11" t="n">
        <f aca="false">N938-O938</f>
        <v>0</v>
      </c>
    </row>
    <row r="939" customFormat="false" ht="15" hidden="false" customHeight="false" outlineLevel="0" collapsed="false">
      <c r="A939" s="8" t="s">
        <v>26</v>
      </c>
      <c r="B939" s="8" t="s">
        <v>43</v>
      </c>
      <c r="C939" s="8" t="s">
        <v>60</v>
      </c>
      <c r="D939" s="21" t="n">
        <v>46017.8611111111</v>
      </c>
      <c r="E939" s="21" t="n">
        <v>46017.8840277778</v>
      </c>
      <c r="F939" s="22" t="n">
        <f aca="false">DATE(YEAR(E939),MONTH(E939),1)</f>
        <v>45992</v>
      </c>
      <c r="G939" s="23" t="n">
        <v>263084</v>
      </c>
      <c r="H939" s="8" t="s">
        <v>64</v>
      </c>
      <c r="I939" s="24" t="n">
        <v>584.42</v>
      </c>
      <c r="J939" s="25" t="n">
        <f aca="false">Summary!$B$4</f>
        <v>1</v>
      </c>
      <c r="K939" s="11" t="n">
        <f aca="false">I939*J939*IF(A939="SILVER",Summary!$B$5,Summary!$B$6)</f>
        <v>17532.6</v>
      </c>
      <c r="L939" s="26" t="n">
        <v>0.137</v>
      </c>
      <c r="M939" s="27" t="n">
        <f aca="false">IF(K939&gt;0,1,0)</f>
        <v>1</v>
      </c>
      <c r="N939" s="11" t="n">
        <f aca="false">SUMIFS(K$2:K939,A$2:A939,A939,B$2:B939,B939)</f>
        <v>1582438.2</v>
      </c>
      <c r="O939" s="11" t="n">
        <f aca="false">MAX(0,_xlfn.MAXIFS(N$2:N939,A$2:A939,A939,B$2:B939,B939))</f>
        <v>1582438.2</v>
      </c>
      <c r="P939" s="11" t="n">
        <f aca="false">N939-O939</f>
        <v>0</v>
      </c>
    </row>
    <row r="940" customFormat="false" ht="15" hidden="false" customHeight="false" outlineLevel="0" collapsed="false">
      <c r="A940" s="8" t="s">
        <v>26</v>
      </c>
      <c r="B940" s="8" t="s">
        <v>43</v>
      </c>
      <c r="C940" s="8" t="s">
        <v>60</v>
      </c>
      <c r="D940" s="21" t="n">
        <v>46017.8923611111</v>
      </c>
      <c r="E940" s="21" t="n">
        <v>46017.9166666667</v>
      </c>
      <c r="F940" s="22" t="n">
        <f aca="false">DATE(YEAR(E940),MONTH(E940),1)</f>
        <v>45992</v>
      </c>
      <c r="G940" s="23" t="n">
        <v>265018</v>
      </c>
      <c r="H940" s="8" t="s">
        <v>64</v>
      </c>
      <c r="I940" s="24" t="n">
        <v>682.99</v>
      </c>
      <c r="J940" s="25" t="n">
        <f aca="false">Summary!$B$4</f>
        <v>1</v>
      </c>
      <c r="K940" s="11" t="n">
        <f aca="false">I940*J940*IF(A940="SILVER",Summary!$B$5,Summary!$B$6)</f>
        <v>20489.7</v>
      </c>
      <c r="L940" s="26" t="n">
        <v>0.138</v>
      </c>
      <c r="M940" s="27" t="n">
        <f aca="false">IF(K940&gt;0,1,0)</f>
        <v>1</v>
      </c>
      <c r="N940" s="11" t="n">
        <f aca="false">SUMIFS(K$2:K940,A$2:A940,A940,B$2:B940,B940)</f>
        <v>1602927.9</v>
      </c>
      <c r="O940" s="11" t="n">
        <f aca="false">MAX(0,_xlfn.MAXIFS(N$2:N940,A$2:A940,A940,B$2:B940,B940))</f>
        <v>1602927.9</v>
      </c>
      <c r="P940" s="11" t="n">
        <f aca="false">N940-O940</f>
        <v>0</v>
      </c>
    </row>
    <row r="941" customFormat="false" ht="15" hidden="false" customHeight="false" outlineLevel="0" collapsed="false">
      <c r="A941" s="8" t="s">
        <v>26</v>
      </c>
      <c r="B941" s="8" t="s">
        <v>43</v>
      </c>
      <c r="C941" s="8" t="s">
        <v>60</v>
      </c>
      <c r="D941" s="21" t="n">
        <v>46017.9826388889</v>
      </c>
      <c r="E941" s="21" t="n">
        <v>46020.5</v>
      </c>
      <c r="F941" s="22" t="n">
        <f aca="false">DATE(YEAR(E941),MONTH(E941),1)</f>
        <v>45992</v>
      </c>
      <c r="G941" s="23" t="n">
        <v>267863</v>
      </c>
      <c r="H941" s="8" t="s">
        <v>61</v>
      </c>
      <c r="I941" s="24" t="n">
        <v>3912.67</v>
      </c>
      <c r="J941" s="25" t="n">
        <f aca="false">Summary!$B$4</f>
        <v>1</v>
      </c>
      <c r="K941" s="11" t="n">
        <f aca="false">I941*J941*IF(A941="SILVER",Summary!$B$5,Summary!$B$6)</f>
        <v>117380.1</v>
      </c>
      <c r="L941" s="26" t="n">
        <v>0.842</v>
      </c>
      <c r="M941" s="27" t="n">
        <f aca="false">IF(K941&gt;0,1,0)</f>
        <v>1</v>
      </c>
      <c r="N941" s="11" t="n">
        <f aca="false">SUMIFS(K$2:K941,A$2:A941,A941,B$2:B941,B941)</f>
        <v>1720308</v>
      </c>
      <c r="O941" s="11" t="n">
        <f aca="false">MAX(0,_xlfn.MAXIFS(N$2:N941,A$2:A941,A941,B$2:B941,B941))</f>
        <v>1720308</v>
      </c>
      <c r="P941" s="11" t="n">
        <f aca="false">N941-O941</f>
        <v>0</v>
      </c>
    </row>
    <row r="942" customFormat="false" ht="15" hidden="false" customHeight="false" outlineLevel="0" collapsed="false">
      <c r="A942" s="8" t="s">
        <v>26</v>
      </c>
      <c r="B942" s="8" t="s">
        <v>43</v>
      </c>
      <c r="C942" s="8" t="s">
        <v>60</v>
      </c>
      <c r="D942" s="21" t="n">
        <v>46022.8055555556</v>
      </c>
      <c r="E942" s="21" t="n">
        <v>46022.8597222222</v>
      </c>
      <c r="F942" s="22" t="n">
        <f aca="false">DATE(YEAR(E942),MONTH(E942),1)</f>
        <v>45992</v>
      </c>
      <c r="G942" s="23" t="n">
        <v>265734</v>
      </c>
      <c r="H942" s="8" t="s">
        <v>64</v>
      </c>
      <c r="I942" s="24" t="n">
        <v>727.99</v>
      </c>
      <c r="J942" s="25" t="n">
        <f aca="false">Summary!$B$4</f>
        <v>1</v>
      </c>
      <c r="K942" s="11" t="n">
        <f aca="false">I942*J942*IF(A942="SILVER",Summary!$B$5,Summary!$B$6)</f>
        <v>21839.7</v>
      </c>
      <c r="L942" s="26" t="n">
        <v>0.139</v>
      </c>
      <c r="M942" s="27" t="n">
        <f aca="false">IF(K942&gt;0,1,0)</f>
        <v>1</v>
      </c>
      <c r="N942" s="11" t="n">
        <f aca="false">SUMIFS(K$2:K942,A$2:A942,A942,B$2:B942,B942)</f>
        <v>1742147.7</v>
      </c>
      <c r="O942" s="11" t="n">
        <f aca="false">MAX(0,_xlfn.MAXIFS(N$2:N942,A$2:A942,A942,B$2:B942,B942))</f>
        <v>1742147.7</v>
      </c>
      <c r="P942" s="11" t="n">
        <f aca="false">N942-O942</f>
        <v>0</v>
      </c>
    </row>
    <row r="943" customFormat="false" ht="15" hidden="false" customHeight="false" outlineLevel="0" collapsed="false">
      <c r="A943" s="8" t="s">
        <v>26</v>
      </c>
      <c r="B943" s="8" t="s">
        <v>43</v>
      </c>
      <c r="C943" s="8" t="s">
        <v>60</v>
      </c>
      <c r="D943" s="21" t="n">
        <v>46023.6145833333</v>
      </c>
      <c r="E943" s="21" t="n">
        <v>46024.7326388889</v>
      </c>
      <c r="F943" s="22" t="n">
        <f aca="false">DATE(YEAR(E943),MONTH(E943),1)</f>
        <v>46023</v>
      </c>
      <c r="G943" s="23" t="n">
        <v>264634</v>
      </c>
      <c r="H943" s="8" t="s">
        <v>61</v>
      </c>
      <c r="I943" s="24" t="n">
        <v>6648.08</v>
      </c>
      <c r="J943" s="25" t="n">
        <f aca="false">Summary!$B$4</f>
        <v>1</v>
      </c>
      <c r="K943" s="11" t="n">
        <f aca="false">I943*J943*IF(A943="SILVER",Summary!$B$5,Summary!$B$6)</f>
        <v>199442.4</v>
      </c>
      <c r="L943" s="26" t="n">
        <v>3.585</v>
      </c>
      <c r="M943" s="27" t="n">
        <f aca="false">IF(K943&gt;0,1,0)</f>
        <v>1</v>
      </c>
      <c r="N943" s="11" t="n">
        <f aca="false">SUMIFS(K$2:K943,A$2:A943,A943,B$2:B943,B943)</f>
        <v>1941590.1</v>
      </c>
      <c r="O943" s="11" t="n">
        <f aca="false">MAX(0,_xlfn.MAXIFS(N$2:N943,A$2:A943,A943,B$2:B943,B943))</f>
        <v>1941590.1</v>
      </c>
      <c r="P943" s="11" t="n">
        <f aca="false">N943-O943</f>
        <v>0</v>
      </c>
    </row>
    <row r="944" customFormat="false" ht="15" hidden="false" customHeight="false" outlineLevel="0" collapsed="false">
      <c r="A944" s="8" t="s">
        <v>26</v>
      </c>
      <c r="B944" s="8" t="s">
        <v>43</v>
      </c>
      <c r="C944" s="8" t="s">
        <v>60</v>
      </c>
      <c r="D944" s="21" t="n">
        <v>46027.3784722222</v>
      </c>
      <c r="E944" s="21" t="n">
        <v>46027.6479166667</v>
      </c>
      <c r="F944" s="22" t="n">
        <f aca="false">DATE(YEAR(E944),MONTH(E944),1)</f>
        <v>46023</v>
      </c>
      <c r="G944" s="23" t="n">
        <v>272244</v>
      </c>
      <c r="H944" s="8" t="s">
        <v>64</v>
      </c>
      <c r="I944" s="24" t="n">
        <v>719.15</v>
      </c>
      <c r="J944" s="25" t="n">
        <f aca="false">Summary!$B$4</f>
        <v>1</v>
      </c>
      <c r="K944" s="11" t="n">
        <f aca="false">I944*J944*IF(A944="SILVER",Summary!$B$5,Summary!$B$6)</f>
        <v>21574.5</v>
      </c>
      <c r="L944" s="26" t="n">
        <v>0.139</v>
      </c>
      <c r="M944" s="27" t="n">
        <f aca="false">IF(K944&gt;0,1,0)</f>
        <v>1</v>
      </c>
      <c r="N944" s="11" t="n">
        <f aca="false">SUMIFS(K$2:K944,A$2:A944,A944,B$2:B944,B944)</f>
        <v>1963164.6</v>
      </c>
      <c r="O944" s="11" t="n">
        <f aca="false">MAX(0,_xlfn.MAXIFS(N$2:N944,A$2:A944,A944,B$2:B944,B944))</f>
        <v>1963164.6</v>
      </c>
      <c r="P944" s="11" t="n">
        <f aca="false">N944-O944</f>
        <v>0</v>
      </c>
    </row>
    <row r="945" customFormat="false" ht="15" hidden="false" customHeight="false" outlineLevel="0" collapsed="false">
      <c r="A945" s="8" t="s">
        <v>26</v>
      </c>
      <c r="B945" s="8" t="s">
        <v>43</v>
      </c>
      <c r="C945" s="8" t="s">
        <v>60</v>
      </c>
      <c r="D945" s="21" t="n">
        <v>46027.8159722222</v>
      </c>
      <c r="E945" s="21" t="n">
        <v>46027.8229166667</v>
      </c>
      <c r="F945" s="22" t="n">
        <f aca="false">DATE(YEAR(E945),MONTH(E945),1)</f>
        <v>46023</v>
      </c>
      <c r="G945" s="23" t="n">
        <v>272950</v>
      </c>
      <c r="H945" s="8" t="s">
        <v>64</v>
      </c>
      <c r="I945" s="24" t="n">
        <v>533.85</v>
      </c>
      <c r="J945" s="25" t="n">
        <f aca="false">Summary!$B$4</f>
        <v>1</v>
      </c>
      <c r="K945" s="11" t="n">
        <f aca="false">I945*J945*IF(A945="SILVER",Summary!$B$5,Summary!$B$6)</f>
        <v>16015.5</v>
      </c>
      <c r="L945" s="26" t="n">
        <v>0.135</v>
      </c>
      <c r="M945" s="27" t="n">
        <f aca="false">IF(K945&gt;0,1,0)</f>
        <v>1</v>
      </c>
      <c r="N945" s="11" t="n">
        <f aca="false">SUMIFS(K$2:K945,A$2:A945,A945,B$2:B945,B945)</f>
        <v>1979180.1</v>
      </c>
      <c r="O945" s="11" t="n">
        <f aca="false">MAX(0,_xlfn.MAXIFS(N$2:N945,A$2:A945,A945,B$2:B945,B945))</f>
        <v>1979180.1</v>
      </c>
      <c r="P945" s="11" t="n">
        <f aca="false">N945-O945</f>
        <v>0</v>
      </c>
    </row>
    <row r="946" customFormat="false" ht="15" hidden="false" customHeight="false" outlineLevel="0" collapsed="false">
      <c r="A946" s="8" t="s">
        <v>26</v>
      </c>
      <c r="B946" s="8" t="s">
        <v>43</v>
      </c>
      <c r="C946" s="8" t="s">
        <v>60</v>
      </c>
      <c r="D946" s="21" t="n">
        <v>46027.8854166667</v>
      </c>
      <c r="E946" s="21" t="n">
        <v>46027.9368055556</v>
      </c>
      <c r="F946" s="22" t="n">
        <f aca="false">DATE(YEAR(E946),MONTH(E946),1)</f>
        <v>46023</v>
      </c>
      <c r="G946" s="23" t="n">
        <v>274625</v>
      </c>
      <c r="H946" s="8" t="s">
        <v>64</v>
      </c>
      <c r="I946" s="24" t="n">
        <v>639.04</v>
      </c>
      <c r="J946" s="25" t="n">
        <f aca="false">Summary!$B$4</f>
        <v>1</v>
      </c>
      <c r="K946" s="11" t="n">
        <f aca="false">I946*J946*IF(A946="SILVER",Summary!$B$5,Summary!$B$6)</f>
        <v>19171.2</v>
      </c>
      <c r="L946" s="26" t="n">
        <v>0.137</v>
      </c>
      <c r="M946" s="27" t="n">
        <f aca="false">IF(K946&gt;0,1,0)</f>
        <v>1</v>
      </c>
      <c r="N946" s="11" t="n">
        <f aca="false">SUMIFS(K$2:K946,A$2:A946,A946,B$2:B946,B946)</f>
        <v>1998351.3</v>
      </c>
      <c r="O946" s="11" t="n">
        <f aca="false">MAX(0,_xlfn.MAXIFS(N$2:N946,A$2:A946,A946,B$2:B946,B946))</f>
        <v>1998351.3</v>
      </c>
      <c r="P946" s="11" t="n">
        <f aca="false">N946-O946</f>
        <v>0</v>
      </c>
    </row>
    <row r="947" customFormat="false" ht="15" hidden="false" customHeight="false" outlineLevel="0" collapsed="false">
      <c r="A947" s="8" t="s">
        <v>26</v>
      </c>
      <c r="B947" s="8" t="s">
        <v>43</v>
      </c>
      <c r="C947" s="8" t="s">
        <v>60</v>
      </c>
      <c r="D947" s="21" t="n">
        <v>46028.3784722222</v>
      </c>
      <c r="E947" s="21" t="n">
        <v>46028.4770833333</v>
      </c>
      <c r="F947" s="22" t="n">
        <f aca="false">DATE(YEAR(E947),MONTH(E947),1)</f>
        <v>46023</v>
      </c>
      <c r="G947" s="23" t="n">
        <v>277777</v>
      </c>
      <c r="H947" s="8" t="s">
        <v>64</v>
      </c>
      <c r="I947" s="24" t="n">
        <v>511.89</v>
      </c>
      <c r="J947" s="25" t="n">
        <f aca="false">Summary!$B$4</f>
        <v>1</v>
      </c>
      <c r="K947" s="11" t="n">
        <f aca="false">I947*J947*IF(A947="SILVER",Summary!$B$5,Summary!$B$6)</f>
        <v>15356.7</v>
      </c>
      <c r="L947" s="26" t="n">
        <v>0.134</v>
      </c>
      <c r="M947" s="27" t="n">
        <f aca="false">IF(K947&gt;0,1,0)</f>
        <v>1</v>
      </c>
      <c r="N947" s="11" t="n">
        <f aca="false">SUMIFS(K$2:K947,A$2:A947,A947,B$2:B947,B947)</f>
        <v>2013708</v>
      </c>
      <c r="O947" s="11" t="n">
        <f aca="false">MAX(0,_xlfn.MAXIFS(N$2:N947,A$2:A947,A947,B$2:B947,B947))</f>
        <v>2013708</v>
      </c>
      <c r="P947" s="11" t="n">
        <f aca="false">N947-O947</f>
        <v>0</v>
      </c>
    </row>
    <row r="948" customFormat="false" ht="15" hidden="false" customHeight="false" outlineLevel="0" collapsed="false">
      <c r="A948" s="8" t="s">
        <v>26</v>
      </c>
      <c r="B948" s="8" t="s">
        <v>43</v>
      </c>
      <c r="C948" s="8" t="s">
        <v>60</v>
      </c>
      <c r="D948" s="21" t="n">
        <v>46028.7118055556</v>
      </c>
      <c r="E948" s="21" t="n">
        <v>46029.3993055556</v>
      </c>
      <c r="F948" s="22" t="n">
        <f aca="false">DATE(YEAR(E948),MONTH(E948),1)</f>
        <v>46023</v>
      </c>
      <c r="G948" s="23" t="n">
        <v>278285</v>
      </c>
      <c r="H948" s="8" t="s">
        <v>61</v>
      </c>
      <c r="I948" s="24" t="n">
        <v>4799.48</v>
      </c>
      <c r="J948" s="25" t="n">
        <f aca="false">Summary!$B$4</f>
        <v>1</v>
      </c>
      <c r="K948" s="11" t="n">
        <f aca="false">I948*J948*IF(A948="SILVER",Summary!$B$5,Summary!$B$6)</f>
        <v>143984.4</v>
      </c>
      <c r="L948" s="26" t="n">
        <v>1.827</v>
      </c>
      <c r="M948" s="27" t="n">
        <f aca="false">IF(K948&gt;0,1,0)</f>
        <v>1</v>
      </c>
      <c r="N948" s="11" t="n">
        <f aca="false">SUMIFS(K$2:K948,A$2:A948,A948,B$2:B948,B948)</f>
        <v>2157692.4</v>
      </c>
      <c r="O948" s="11" t="n">
        <f aca="false">MAX(0,_xlfn.MAXIFS(N$2:N948,A$2:A948,A948,B$2:B948,B948))</f>
        <v>2157692.4</v>
      </c>
      <c r="P948" s="11" t="n">
        <f aca="false">N948-O948</f>
        <v>0</v>
      </c>
    </row>
    <row r="949" customFormat="false" ht="15" hidden="false" customHeight="false" outlineLevel="0" collapsed="false">
      <c r="A949" s="8" t="s">
        <v>26</v>
      </c>
      <c r="B949" s="8" t="s">
        <v>43</v>
      </c>
      <c r="C949" s="8" t="s">
        <v>60</v>
      </c>
      <c r="D949" s="21" t="n">
        <v>46029.9375</v>
      </c>
      <c r="E949" s="21" t="n">
        <v>46030.4409722222</v>
      </c>
      <c r="F949" s="22" t="n">
        <f aca="false">DATE(YEAR(E949),MONTH(E949),1)</f>
        <v>46023</v>
      </c>
      <c r="G949" s="23" t="n">
        <v>281027</v>
      </c>
      <c r="H949" s="8" t="s">
        <v>61</v>
      </c>
      <c r="I949" s="24" t="n">
        <v>-5188.02</v>
      </c>
      <c r="J949" s="25" t="n">
        <f aca="false">Summary!$B$4</f>
        <v>1</v>
      </c>
      <c r="K949" s="11" t="n">
        <f aca="false">I949*J949*IF(A949="SILVER",Summary!$B$5,Summary!$B$6)</f>
        <v>-155640.6</v>
      </c>
      <c r="L949" s="26" t="n">
        <v>-0.884</v>
      </c>
      <c r="M949" s="27" t="n">
        <f aca="false">IF(K949&gt;0,1,0)</f>
        <v>0</v>
      </c>
      <c r="N949" s="11" t="n">
        <f aca="false">SUMIFS(K$2:K949,A$2:A949,A949,B$2:B949,B949)</f>
        <v>2002051.8</v>
      </c>
      <c r="O949" s="11" t="n">
        <f aca="false">MAX(0,_xlfn.MAXIFS(N$2:N949,A$2:A949,A949,B$2:B949,B949))</f>
        <v>2157692.4</v>
      </c>
      <c r="P949" s="11" t="n">
        <f aca="false">N949-O949</f>
        <v>-155640.6</v>
      </c>
    </row>
    <row r="950" customFormat="false" ht="15" hidden="false" customHeight="false" outlineLevel="0" collapsed="false">
      <c r="A950" s="8" t="s">
        <v>26</v>
      </c>
      <c r="B950" s="8" t="s">
        <v>43</v>
      </c>
      <c r="C950" s="8" t="s">
        <v>60</v>
      </c>
      <c r="D950" s="21" t="n">
        <v>46031.8819444445</v>
      </c>
      <c r="E950" s="21" t="n">
        <v>46034.8333333333</v>
      </c>
      <c r="F950" s="22" t="n">
        <f aca="false">DATE(YEAR(E950),MONTH(E950),1)</f>
        <v>46023</v>
      </c>
      <c r="G950" s="23" t="n">
        <v>283867</v>
      </c>
      <c r="H950" s="8" t="s">
        <v>61</v>
      </c>
      <c r="I950" s="24" t="n">
        <v>9499.92</v>
      </c>
      <c r="J950" s="25" t="n">
        <f aca="false">Summary!$B$4</f>
        <v>1</v>
      </c>
      <c r="K950" s="11" t="n">
        <f aca="false">I950*J950*IF(A950="SILVER",Summary!$B$5,Summary!$B$6)</f>
        <v>284997.6</v>
      </c>
      <c r="L950" s="26" t="n">
        <v>1.74</v>
      </c>
      <c r="M950" s="27" t="n">
        <f aca="false">IF(K950&gt;0,1,0)</f>
        <v>1</v>
      </c>
      <c r="N950" s="11" t="n">
        <f aca="false">SUMIFS(K$2:K950,A$2:A950,A950,B$2:B950,B950)</f>
        <v>2287049.4</v>
      </c>
      <c r="O950" s="11" t="n">
        <f aca="false">MAX(0,_xlfn.MAXIFS(N$2:N950,A$2:A950,A950,B$2:B950,B950))</f>
        <v>2287049.4</v>
      </c>
      <c r="P950" s="11" t="n">
        <f aca="false">N950-O950</f>
        <v>0</v>
      </c>
    </row>
    <row r="951" customFormat="false" ht="15" hidden="false" customHeight="false" outlineLevel="0" collapsed="false">
      <c r="A951" s="8" t="s">
        <v>26</v>
      </c>
      <c r="B951" s="8" t="s">
        <v>43</v>
      </c>
      <c r="C951" s="8" t="s">
        <v>60</v>
      </c>
      <c r="D951" s="21" t="n">
        <v>46034.9097222222</v>
      </c>
      <c r="E951" s="21" t="n">
        <v>46035.4222222222</v>
      </c>
      <c r="F951" s="22" t="n">
        <f aca="false">DATE(YEAR(E951),MONTH(E951),1)</f>
        <v>46023</v>
      </c>
      <c r="G951" s="23" t="n">
        <v>298503</v>
      </c>
      <c r="H951" s="8" t="s">
        <v>64</v>
      </c>
      <c r="I951" s="24" t="n">
        <v>690.79</v>
      </c>
      <c r="J951" s="25" t="n">
        <f aca="false">Summary!$B$4</f>
        <v>1</v>
      </c>
      <c r="K951" s="11" t="n">
        <f aca="false">I951*J951*IF(A951="SILVER",Summary!$B$5,Summary!$B$6)</f>
        <v>20723.7</v>
      </c>
      <c r="L951" s="26" t="n">
        <v>0.137</v>
      </c>
      <c r="M951" s="27" t="n">
        <f aca="false">IF(K951&gt;0,1,0)</f>
        <v>1</v>
      </c>
      <c r="N951" s="11" t="n">
        <f aca="false">SUMIFS(K$2:K951,A$2:A951,A951,B$2:B951,B951)</f>
        <v>2307773.1</v>
      </c>
      <c r="O951" s="11" t="n">
        <f aca="false">MAX(0,_xlfn.MAXIFS(N$2:N951,A$2:A951,A951,B$2:B951,B951))</f>
        <v>2307773.1</v>
      </c>
      <c r="P951" s="11" t="n">
        <f aca="false">N951-O951</f>
        <v>0</v>
      </c>
    </row>
    <row r="952" customFormat="false" ht="15" hidden="false" customHeight="false" outlineLevel="0" collapsed="false">
      <c r="A952" s="8" t="s">
        <v>26</v>
      </c>
      <c r="B952" s="8" t="s">
        <v>43</v>
      </c>
      <c r="C952" s="8" t="s">
        <v>60</v>
      </c>
      <c r="D952" s="21" t="n">
        <v>46035.7743055556</v>
      </c>
      <c r="E952" s="21" t="n">
        <v>46035.9826388889</v>
      </c>
      <c r="F952" s="22" t="n">
        <f aca="false">DATE(YEAR(E952),MONTH(E952),1)</f>
        <v>46023</v>
      </c>
      <c r="G952" s="23" t="n">
        <v>300161</v>
      </c>
      <c r="H952" s="8" t="s">
        <v>61</v>
      </c>
      <c r="I952" s="24" t="n">
        <v>2608.36</v>
      </c>
      <c r="J952" s="25" t="n">
        <f aca="false">Summary!$B$4</f>
        <v>1</v>
      </c>
      <c r="K952" s="11" t="n">
        <f aca="false">I952*J952*IF(A952="SILVER",Summary!$B$5,Summary!$B$6)</f>
        <v>78250.8</v>
      </c>
      <c r="L952" s="26" t="n">
        <v>0.934</v>
      </c>
      <c r="M952" s="27" t="n">
        <f aca="false">IF(K952&gt;0,1,0)</f>
        <v>1</v>
      </c>
      <c r="N952" s="11" t="n">
        <f aca="false">SUMIFS(K$2:K952,A$2:A952,A952,B$2:B952,B952)</f>
        <v>2386023.9</v>
      </c>
      <c r="O952" s="11" t="n">
        <f aca="false">MAX(0,_xlfn.MAXIFS(N$2:N952,A$2:A952,A952,B$2:B952,B952))</f>
        <v>2386023.9</v>
      </c>
      <c r="P952" s="11" t="n">
        <f aca="false">N952-O952</f>
        <v>0</v>
      </c>
    </row>
    <row r="953" customFormat="false" ht="15" hidden="false" customHeight="false" outlineLevel="0" collapsed="false">
      <c r="A953" s="8" t="s">
        <v>26</v>
      </c>
      <c r="B953" s="8" t="s">
        <v>43</v>
      </c>
      <c r="C953" s="8" t="s">
        <v>60</v>
      </c>
      <c r="D953" s="21" t="n">
        <v>46036.3784722222</v>
      </c>
      <c r="E953" s="21" t="n">
        <v>46036.4784722222</v>
      </c>
      <c r="F953" s="22" t="n">
        <f aca="false">DATE(YEAR(E953),MONTH(E953),1)</f>
        <v>46023</v>
      </c>
      <c r="G953" s="23" t="n">
        <v>310338</v>
      </c>
      <c r="H953" s="8" t="s">
        <v>64</v>
      </c>
      <c r="I953" s="24" t="n">
        <v>1217.18</v>
      </c>
      <c r="J953" s="25" t="n">
        <f aca="false">Summary!$B$4</f>
        <v>1</v>
      </c>
      <c r="K953" s="11" t="n">
        <f aca="false">I953*J953*IF(A953="SILVER",Summary!$B$5,Summary!$B$6)</f>
        <v>36515.4</v>
      </c>
      <c r="L953" s="26" t="n">
        <v>0.142</v>
      </c>
      <c r="M953" s="27" t="n">
        <f aca="false">IF(K953&gt;0,1,0)</f>
        <v>1</v>
      </c>
      <c r="N953" s="11" t="n">
        <f aca="false">SUMIFS(K$2:K953,A$2:A953,A953,B$2:B953,B953)</f>
        <v>2422539.3</v>
      </c>
      <c r="O953" s="11" t="n">
        <f aca="false">MAX(0,_xlfn.MAXIFS(N$2:N953,A$2:A953,A953,B$2:B953,B953))</f>
        <v>2422539.3</v>
      </c>
      <c r="P953" s="11" t="n">
        <f aca="false">N953-O953</f>
        <v>0</v>
      </c>
    </row>
    <row r="954" customFormat="false" ht="15" hidden="false" customHeight="false" outlineLevel="0" collapsed="false">
      <c r="A954" s="8" t="s">
        <v>26</v>
      </c>
      <c r="B954" s="8" t="s">
        <v>43</v>
      </c>
      <c r="C954" s="8" t="s">
        <v>60</v>
      </c>
      <c r="D954" s="21" t="n">
        <v>46036.7326388889</v>
      </c>
      <c r="E954" s="21" t="n">
        <v>46036.7916666667</v>
      </c>
      <c r="F954" s="22" t="n">
        <f aca="false">DATE(YEAR(E954),MONTH(E954),1)</f>
        <v>46023</v>
      </c>
      <c r="G954" s="23" t="n">
        <v>317116</v>
      </c>
      <c r="H954" s="8" t="s">
        <v>64</v>
      </c>
      <c r="I954" s="24" t="n">
        <v>517.28</v>
      </c>
      <c r="J954" s="25" t="n">
        <f aca="false">Summary!$B$4</f>
        <v>1</v>
      </c>
      <c r="K954" s="11" t="n">
        <f aca="false">I954*J954*IF(A954="SILVER",Summary!$B$5,Summary!$B$6)</f>
        <v>15518.4</v>
      </c>
      <c r="L954" s="26" t="n">
        <v>0.133</v>
      </c>
      <c r="M954" s="27" t="n">
        <f aca="false">IF(K954&gt;0,1,0)</f>
        <v>1</v>
      </c>
      <c r="N954" s="11" t="n">
        <f aca="false">SUMIFS(K$2:K954,A$2:A954,A954,B$2:B954,B954)</f>
        <v>2438057.7</v>
      </c>
      <c r="O954" s="11" t="n">
        <f aca="false">MAX(0,_xlfn.MAXIFS(N$2:N954,A$2:A954,A954,B$2:B954,B954))</f>
        <v>2438057.7</v>
      </c>
      <c r="P954" s="11" t="n">
        <f aca="false">N954-O954</f>
        <v>0</v>
      </c>
    </row>
    <row r="955" customFormat="false" ht="15" hidden="false" customHeight="false" outlineLevel="0" collapsed="false">
      <c r="A955" s="8" t="s">
        <v>26</v>
      </c>
      <c r="B955" s="8" t="s">
        <v>43</v>
      </c>
      <c r="C955" s="8" t="s">
        <v>60</v>
      </c>
      <c r="D955" s="21" t="n">
        <v>46037.8506944445</v>
      </c>
      <c r="E955" s="21" t="n">
        <v>46037.9243055556</v>
      </c>
      <c r="F955" s="22" t="n">
        <f aca="false">DATE(YEAR(E955),MONTH(E955),1)</f>
        <v>46023</v>
      </c>
      <c r="G955" s="23" t="n">
        <v>315353</v>
      </c>
      <c r="H955" s="8" t="s">
        <v>64</v>
      </c>
      <c r="I955" s="24" t="n">
        <v>1408.63</v>
      </c>
      <c r="J955" s="25" t="n">
        <f aca="false">Summary!$B$4</f>
        <v>1</v>
      </c>
      <c r="K955" s="11" t="n">
        <f aca="false">I955*J955*IF(A955="SILVER",Summary!$B$5,Summary!$B$6)</f>
        <v>42258.9</v>
      </c>
      <c r="L955" s="26" t="n">
        <v>0.143</v>
      </c>
      <c r="M955" s="27" t="n">
        <f aca="false">IF(K955&gt;0,1,0)</f>
        <v>1</v>
      </c>
      <c r="N955" s="11" t="n">
        <f aca="false">SUMIFS(K$2:K955,A$2:A955,A955,B$2:B955,B955)</f>
        <v>2480316.6</v>
      </c>
      <c r="O955" s="11" t="n">
        <f aca="false">MAX(0,_xlfn.MAXIFS(N$2:N955,A$2:A955,A955,B$2:B955,B955))</f>
        <v>2480316.6</v>
      </c>
      <c r="P955" s="11" t="n">
        <f aca="false">N955-O955</f>
        <v>0</v>
      </c>
    </row>
    <row r="956" customFormat="false" ht="15" hidden="false" customHeight="false" outlineLevel="0" collapsed="false">
      <c r="A956" s="8" t="s">
        <v>26</v>
      </c>
      <c r="B956" s="8" t="s">
        <v>43</v>
      </c>
      <c r="C956" s="8" t="s">
        <v>60</v>
      </c>
      <c r="D956" s="21" t="n">
        <v>46037.9826388889</v>
      </c>
      <c r="E956" s="21" t="n">
        <v>46038.3784722222</v>
      </c>
      <c r="F956" s="22" t="n">
        <f aca="false">DATE(YEAR(E956),MONTH(E956),1)</f>
        <v>46023</v>
      </c>
      <c r="G956" s="23" t="n">
        <v>319821</v>
      </c>
      <c r="H956" s="8" t="s">
        <v>61</v>
      </c>
      <c r="I956" s="24" t="n">
        <v>-5979.7</v>
      </c>
      <c r="J956" s="25" t="n">
        <f aca="false">Summary!$B$4</f>
        <v>1</v>
      </c>
      <c r="K956" s="11" t="n">
        <f aca="false">I956*J956*IF(A956="SILVER",Summary!$B$5,Summary!$B$6)</f>
        <v>-179391</v>
      </c>
      <c r="L956" s="26" t="n">
        <v>-0.942</v>
      </c>
      <c r="M956" s="27" t="n">
        <f aca="false">IF(K956&gt;0,1,0)</f>
        <v>0</v>
      </c>
      <c r="N956" s="11" t="n">
        <f aca="false">SUMIFS(K$2:K956,A$2:A956,A956,B$2:B956,B956)</f>
        <v>2300925.6</v>
      </c>
      <c r="O956" s="11" t="n">
        <f aca="false">MAX(0,_xlfn.MAXIFS(N$2:N956,A$2:A956,A956,B$2:B956,B956))</f>
        <v>2480316.6</v>
      </c>
      <c r="P956" s="11" t="n">
        <f aca="false">N956-O956</f>
        <v>-179391</v>
      </c>
    </row>
    <row r="957" customFormat="false" ht="15" hidden="false" customHeight="false" outlineLevel="0" collapsed="false">
      <c r="A957" s="8" t="s">
        <v>26</v>
      </c>
      <c r="B957" s="8" t="s">
        <v>43</v>
      </c>
      <c r="C957" s="8" t="s">
        <v>60</v>
      </c>
      <c r="D957" s="21" t="n">
        <v>46041.3784722222</v>
      </c>
      <c r="E957" s="21" t="n">
        <v>46042.6180555556</v>
      </c>
      <c r="F957" s="22" t="n">
        <f aca="false">DATE(YEAR(E957),MONTH(E957),1)</f>
        <v>46023</v>
      </c>
      <c r="G957" s="23" t="n">
        <v>326614</v>
      </c>
      <c r="H957" s="8" t="s">
        <v>61</v>
      </c>
      <c r="I957" s="24" t="n">
        <v>17648.53</v>
      </c>
      <c r="J957" s="25" t="n">
        <f aca="false">Summary!$B$4</f>
        <v>1</v>
      </c>
      <c r="K957" s="11" t="n">
        <f aca="false">I957*J957*IF(A957="SILVER",Summary!$B$5,Summary!$B$6)</f>
        <v>529455.9</v>
      </c>
      <c r="L957" s="26" t="n">
        <v>1.862</v>
      </c>
      <c r="M957" s="27" t="n">
        <f aca="false">IF(K957&gt;0,1,0)</f>
        <v>1</v>
      </c>
      <c r="N957" s="11" t="n">
        <f aca="false">SUMIFS(K$2:K957,A$2:A957,A957,B$2:B957,B957)</f>
        <v>2830381.5</v>
      </c>
      <c r="O957" s="11" t="n">
        <f aca="false">MAX(0,_xlfn.MAXIFS(N$2:N957,A$2:A957,A957,B$2:B957,B957))</f>
        <v>2830381.5</v>
      </c>
      <c r="P957" s="11" t="n">
        <f aca="false">N957-O957</f>
        <v>0</v>
      </c>
    </row>
    <row r="958" customFormat="false" ht="15" hidden="false" customHeight="false" outlineLevel="0" collapsed="false">
      <c r="A958" s="8" t="s">
        <v>26</v>
      </c>
      <c r="B958" s="8" t="s">
        <v>43</v>
      </c>
      <c r="C958" s="8" t="s">
        <v>60</v>
      </c>
      <c r="D958" s="21" t="n">
        <v>46043.40625</v>
      </c>
      <c r="E958" s="21" t="n">
        <v>46043.7430555556</v>
      </c>
      <c r="F958" s="22" t="n">
        <f aca="false">DATE(YEAR(E958),MONTH(E958),1)</f>
        <v>46023</v>
      </c>
      <c r="G958" s="23" t="n">
        <v>355084</v>
      </c>
      <c r="H958" s="8" t="s">
        <v>61</v>
      </c>
      <c r="I958" s="24" t="n">
        <v>3407.27</v>
      </c>
      <c r="J958" s="25" t="n">
        <f aca="false">Summary!$B$4</f>
        <v>1</v>
      </c>
      <c r="K958" s="11" t="n">
        <f aca="false">I958*J958*IF(A958="SILVER",Summary!$B$5,Summary!$B$6)</f>
        <v>102218.1</v>
      </c>
      <c r="L958" s="26" t="n">
        <v>0.493</v>
      </c>
      <c r="M958" s="27" t="n">
        <f aca="false">IF(K958&gt;0,1,0)</f>
        <v>1</v>
      </c>
      <c r="N958" s="11" t="n">
        <f aca="false">SUMIFS(K$2:K958,A$2:A958,A958,B$2:B958,B958)</f>
        <v>2932599.6</v>
      </c>
      <c r="O958" s="11" t="n">
        <f aca="false">MAX(0,_xlfn.MAXIFS(N$2:N958,A$2:A958,A958,B$2:B958,B958))</f>
        <v>2932599.6</v>
      </c>
      <c r="P958" s="11" t="n">
        <f aca="false">N958-O958</f>
        <v>0</v>
      </c>
    </row>
    <row r="959" customFormat="false" ht="15" hidden="false" customHeight="false" outlineLevel="0" collapsed="false">
      <c r="A959" s="8" t="s">
        <v>26</v>
      </c>
      <c r="B959" s="8" t="s">
        <v>43</v>
      </c>
      <c r="C959" s="8" t="s">
        <v>60</v>
      </c>
      <c r="D959" s="21" t="n">
        <v>46049.5416666667</v>
      </c>
      <c r="E959" s="21" t="n">
        <v>46049.5826388889</v>
      </c>
      <c r="F959" s="22" t="n">
        <f aca="false">DATE(YEAR(E959),MONTH(E959),1)</f>
        <v>46023</v>
      </c>
      <c r="G959" s="23" t="n">
        <v>388194</v>
      </c>
      <c r="H959" s="8" t="s">
        <v>64</v>
      </c>
      <c r="I959" s="24" t="n">
        <v>1010.47</v>
      </c>
      <c r="J959" s="25" t="n">
        <f aca="false">Summary!$B$4</f>
        <v>1</v>
      </c>
      <c r="K959" s="11" t="n">
        <f aca="false">I959*J959*IF(A959="SILVER",Summary!$B$5,Summary!$B$6)</f>
        <v>30314.1</v>
      </c>
      <c r="L959" s="26" t="n">
        <v>0.139</v>
      </c>
      <c r="M959" s="27" t="n">
        <f aca="false">IF(K959&gt;0,1,0)</f>
        <v>1</v>
      </c>
      <c r="N959" s="11" t="n">
        <f aca="false">SUMIFS(K$2:K959,A$2:A959,A959,B$2:B959,B959)</f>
        <v>2962913.7</v>
      </c>
      <c r="O959" s="11" t="n">
        <f aca="false">MAX(0,_xlfn.MAXIFS(N$2:N959,A$2:A959,A959,B$2:B959,B959))</f>
        <v>2962913.7</v>
      </c>
      <c r="P959" s="11" t="n">
        <f aca="false">N959-O959</f>
        <v>0</v>
      </c>
    </row>
    <row r="960" customFormat="false" ht="15" hidden="false" customHeight="false" outlineLevel="0" collapsed="false">
      <c r="A960" s="8" t="s">
        <v>26</v>
      </c>
      <c r="B960" s="8" t="s">
        <v>43</v>
      </c>
      <c r="C960" s="8" t="s">
        <v>60</v>
      </c>
      <c r="D960" s="21" t="n">
        <v>46050.3784722222</v>
      </c>
      <c r="E960" s="21" t="n">
        <v>46050.4979166667</v>
      </c>
      <c r="F960" s="22" t="n">
        <f aca="false">DATE(YEAR(E960),MONTH(E960),1)</f>
        <v>46023</v>
      </c>
      <c r="G960" s="23" t="n">
        <v>403441</v>
      </c>
      <c r="H960" s="8" t="s">
        <v>64</v>
      </c>
      <c r="I960" s="24" t="n">
        <v>2607.74</v>
      </c>
      <c r="J960" s="25" t="n">
        <f aca="false">Summary!$B$4</f>
        <v>1</v>
      </c>
      <c r="K960" s="11" t="n">
        <f aca="false">I960*J960*IF(A960="SILVER",Summary!$B$5,Summary!$B$6)</f>
        <v>78232.2</v>
      </c>
      <c r="L960" s="26" t="n">
        <v>0.141</v>
      </c>
      <c r="M960" s="27" t="n">
        <f aca="false">IF(K960&gt;0,1,0)</f>
        <v>1</v>
      </c>
      <c r="N960" s="11" t="n">
        <f aca="false">SUMIFS(K$2:K960,A$2:A960,A960,B$2:B960,B960)</f>
        <v>3041145.9</v>
      </c>
      <c r="O960" s="11" t="n">
        <f aca="false">MAX(0,_xlfn.MAXIFS(N$2:N960,A$2:A960,A960,B$2:B960,B960))</f>
        <v>3041145.9</v>
      </c>
      <c r="P960" s="11" t="n">
        <f aca="false">N960-O960</f>
        <v>0</v>
      </c>
    </row>
    <row r="961" customFormat="false" ht="15" hidden="false" customHeight="false" outlineLevel="0" collapsed="false">
      <c r="A961" s="8" t="s">
        <v>26</v>
      </c>
      <c r="B961" s="8" t="s">
        <v>43</v>
      </c>
      <c r="C961" s="8" t="s">
        <v>60</v>
      </c>
      <c r="D961" s="21" t="n">
        <v>46050.8402777778</v>
      </c>
      <c r="E961" s="21" t="n">
        <v>46050.8590277778</v>
      </c>
      <c r="F961" s="22" t="n">
        <f aca="false">DATE(YEAR(E961),MONTH(E961),1)</f>
        <v>46023</v>
      </c>
      <c r="G961" s="23" t="n">
        <v>412382</v>
      </c>
      <c r="H961" s="8" t="s">
        <v>64</v>
      </c>
      <c r="I961" s="24" t="n">
        <v>907.98</v>
      </c>
      <c r="J961" s="25" t="n">
        <f aca="false">Summary!$B$4</f>
        <v>1</v>
      </c>
      <c r="K961" s="11" t="n">
        <f aca="false">I961*J961*IF(A961="SILVER",Summary!$B$5,Summary!$B$6)</f>
        <v>27239.4</v>
      </c>
      <c r="L961" s="26" t="n">
        <v>0.137</v>
      </c>
      <c r="M961" s="27" t="n">
        <f aca="false">IF(K961&gt;0,1,0)</f>
        <v>1</v>
      </c>
      <c r="N961" s="11" t="n">
        <f aca="false">SUMIFS(K$2:K961,A$2:A961,A961,B$2:B961,B961)</f>
        <v>3068385.3</v>
      </c>
      <c r="O961" s="11" t="n">
        <f aca="false">MAX(0,_xlfn.MAXIFS(N$2:N961,A$2:A961,A961,B$2:B961,B961))</f>
        <v>3068385.3</v>
      </c>
      <c r="P961" s="11" t="n">
        <f aca="false">N961-O961</f>
        <v>0</v>
      </c>
    </row>
    <row r="962" customFormat="false" ht="15" hidden="false" customHeight="false" outlineLevel="0" collapsed="false">
      <c r="A962" s="8" t="s">
        <v>26</v>
      </c>
      <c r="B962" s="8" t="s">
        <v>43</v>
      </c>
      <c r="C962" s="8" t="s">
        <v>60</v>
      </c>
      <c r="D962" s="21" t="n">
        <v>46050.9409722222</v>
      </c>
      <c r="E962" s="21" t="n">
        <v>46051.8611111111</v>
      </c>
      <c r="F962" s="22" t="n">
        <f aca="false">DATE(YEAR(E962),MONTH(E962),1)</f>
        <v>46023</v>
      </c>
      <c r="G962" s="23" t="n">
        <v>416006</v>
      </c>
      <c r="H962" s="8" t="s">
        <v>61</v>
      </c>
      <c r="I962" s="24" t="n">
        <v>26265.81</v>
      </c>
      <c r="J962" s="25" t="n">
        <f aca="false">Summary!$B$4</f>
        <v>1</v>
      </c>
      <c r="K962" s="11" t="n">
        <f aca="false">I962*J962*IF(A962="SILVER",Summary!$B$5,Summary!$B$6)</f>
        <v>787974.3</v>
      </c>
      <c r="L962" s="26" t="n">
        <v>3.889</v>
      </c>
      <c r="M962" s="27" t="n">
        <f aca="false">IF(K962&gt;0,1,0)</f>
        <v>1</v>
      </c>
      <c r="N962" s="11" t="n">
        <f aca="false">SUMIFS(K$2:K962,A$2:A962,A962,B$2:B962,B962)</f>
        <v>3856359.6</v>
      </c>
      <c r="O962" s="11" t="n">
        <f aca="false">MAX(0,_xlfn.MAXIFS(N$2:N962,A$2:A962,A962,B$2:B962,B962))</f>
        <v>3856359.6</v>
      </c>
      <c r="P962" s="11" t="n">
        <f aca="false">N962-O962</f>
        <v>0</v>
      </c>
    </row>
    <row r="963" customFormat="false" ht="15" hidden="false" customHeight="false" outlineLevel="0" collapsed="false">
      <c r="A963" s="8" t="s">
        <v>26</v>
      </c>
      <c r="B963" s="8" t="s">
        <v>43</v>
      </c>
      <c r="C963" s="8" t="s">
        <v>62</v>
      </c>
      <c r="D963" s="21" t="n">
        <v>46055.3784722222</v>
      </c>
      <c r="E963" s="21" t="n">
        <v>46055.59375</v>
      </c>
      <c r="F963" s="22" t="n">
        <f aca="false">DATE(YEAR(E963),MONTH(E963),1)</f>
        <v>46054</v>
      </c>
      <c r="G963" s="23" t="n">
        <v>288634</v>
      </c>
      <c r="H963" s="8" t="s">
        <v>61</v>
      </c>
      <c r="I963" s="24" t="n">
        <v>21448.1</v>
      </c>
      <c r="J963" s="25" t="n">
        <f aca="false">Summary!$B$4</f>
        <v>1</v>
      </c>
      <c r="K963" s="11" t="n">
        <f aca="false">I963*J963*IF(A963="SILVER",Summary!$B$5,Summary!$B$6)</f>
        <v>643443</v>
      </c>
      <c r="L963" s="26" t="n">
        <v>2.98</v>
      </c>
      <c r="M963" s="27" t="n">
        <f aca="false">IF(K963&gt;0,1,0)</f>
        <v>1</v>
      </c>
      <c r="N963" s="11" t="n">
        <f aca="false">SUMIFS(K$2:K963,A$2:A963,A963,B$2:B963,B963)</f>
        <v>4499802.6</v>
      </c>
      <c r="O963" s="11" t="n">
        <f aca="false">MAX(0,_xlfn.MAXIFS(N$2:N963,A$2:A963,A963,B$2:B963,B963))</f>
        <v>4499802.6</v>
      </c>
      <c r="P963" s="11" t="n">
        <f aca="false">N963-O963</f>
        <v>0</v>
      </c>
    </row>
    <row r="964" customFormat="false" ht="15" hidden="false" customHeight="false" outlineLevel="0" collapsed="false">
      <c r="A964" s="8" t="s">
        <v>26</v>
      </c>
      <c r="B964" s="8" t="s">
        <v>43</v>
      </c>
      <c r="C964" s="8" t="s">
        <v>62</v>
      </c>
      <c r="D964" s="21" t="n">
        <v>46055.8715277778</v>
      </c>
      <c r="E964" s="21" t="n">
        <v>46055.9034722222</v>
      </c>
      <c r="F964" s="22" t="n">
        <f aca="false">DATE(YEAR(E964),MONTH(E964),1)</f>
        <v>46054</v>
      </c>
      <c r="G964" s="23" t="n">
        <v>271201</v>
      </c>
      <c r="H964" s="8" t="s">
        <v>64</v>
      </c>
      <c r="I964" s="24" t="n">
        <v>3320.22</v>
      </c>
      <c r="J964" s="25" t="n">
        <f aca="false">Summary!$B$4</f>
        <v>1</v>
      </c>
      <c r="K964" s="11" t="n">
        <f aca="false">I964*J964*IF(A964="SILVER",Summary!$B$5,Summary!$B$6)</f>
        <v>99606.6</v>
      </c>
      <c r="L964" s="26" t="n">
        <v>0.147</v>
      </c>
      <c r="M964" s="27" t="n">
        <f aca="false">IF(K964&gt;0,1,0)</f>
        <v>1</v>
      </c>
      <c r="N964" s="11" t="n">
        <f aca="false">SUMIFS(K$2:K964,A$2:A964,A964,B$2:B964,B964)</f>
        <v>4599409.2</v>
      </c>
      <c r="O964" s="11" t="n">
        <f aca="false">MAX(0,_xlfn.MAXIFS(N$2:N964,A$2:A964,A964,B$2:B964,B964))</f>
        <v>4599409.2</v>
      </c>
      <c r="P964" s="11" t="n">
        <f aca="false">N964-O964</f>
        <v>0</v>
      </c>
    </row>
    <row r="965" customFormat="false" ht="15" hidden="false" customHeight="false" outlineLevel="0" collapsed="false">
      <c r="A965" s="8" t="s">
        <v>26</v>
      </c>
      <c r="B965" s="8" t="s">
        <v>43</v>
      </c>
      <c r="C965" s="8" t="s">
        <v>62</v>
      </c>
      <c r="D965" s="21" t="n">
        <v>46056.96875</v>
      </c>
      <c r="E965" s="21" t="n">
        <v>46057.3784722222</v>
      </c>
      <c r="F965" s="22" t="n">
        <f aca="false">DATE(YEAR(E965),MONTH(E965),1)</f>
        <v>46054</v>
      </c>
      <c r="G965" s="23" t="n">
        <v>295335</v>
      </c>
      <c r="H965" s="8" t="s">
        <v>61</v>
      </c>
      <c r="I965" s="24" t="n">
        <v>-15863.98</v>
      </c>
      <c r="J965" s="25" t="n">
        <f aca="false">Summary!$B$4</f>
        <v>1</v>
      </c>
      <c r="K965" s="11" t="n">
        <f aca="false">I965*J965*IF(A965="SILVER",Summary!$B$5,Summary!$B$6)</f>
        <v>-475919.4</v>
      </c>
      <c r="L965" s="26" t="n">
        <v>-1.214</v>
      </c>
      <c r="M965" s="27" t="n">
        <f aca="false">IF(K965&gt;0,1,0)</f>
        <v>0</v>
      </c>
      <c r="N965" s="11" t="n">
        <f aca="false">SUMIFS(K$2:K965,A$2:A965,A965,B$2:B965,B965)</f>
        <v>4123489.8</v>
      </c>
      <c r="O965" s="11" t="n">
        <f aca="false">MAX(0,_xlfn.MAXIFS(N$2:N965,A$2:A965,A965,B$2:B965,B965))</f>
        <v>4599409.2</v>
      </c>
      <c r="P965" s="11" t="n">
        <f aca="false">N965-O965</f>
        <v>-475919.4</v>
      </c>
    </row>
    <row r="966" customFormat="false" ht="15" hidden="false" customHeight="false" outlineLevel="0" collapsed="false">
      <c r="A966" s="8" t="s">
        <v>26</v>
      </c>
      <c r="B966" s="8" t="s">
        <v>43</v>
      </c>
      <c r="C966" s="8" t="s">
        <v>62</v>
      </c>
      <c r="D966" s="21" t="n">
        <v>46057.8715277778</v>
      </c>
      <c r="E966" s="21" t="n">
        <v>46059.7743055556</v>
      </c>
      <c r="F966" s="22" t="n">
        <f aca="false">DATE(YEAR(E966),MONTH(E966),1)</f>
        <v>46054</v>
      </c>
      <c r="G966" s="23" t="n">
        <v>310479</v>
      </c>
      <c r="H966" s="8" t="s">
        <v>61</v>
      </c>
      <c r="I966" s="24" t="n">
        <v>36581.22</v>
      </c>
      <c r="J966" s="25" t="n">
        <f aca="false">Summary!$B$4</f>
        <v>1</v>
      </c>
      <c r="K966" s="11" t="n">
        <f aca="false">I966*J966*IF(A966="SILVER",Summary!$B$5,Summary!$B$6)</f>
        <v>1097436.6</v>
      </c>
      <c r="L966" s="26" t="n">
        <v>3.405</v>
      </c>
      <c r="M966" s="27" t="n">
        <f aca="false">IF(K966&gt;0,1,0)</f>
        <v>1</v>
      </c>
      <c r="N966" s="11" t="n">
        <f aca="false">SUMIFS(K$2:K966,A$2:A966,A966,B$2:B966,B966)</f>
        <v>5220926.4</v>
      </c>
      <c r="O966" s="11" t="n">
        <f aca="false">MAX(0,_xlfn.MAXIFS(N$2:N966,A$2:A966,A966,B$2:B966,B966))</f>
        <v>5220926.4</v>
      </c>
      <c r="P966" s="11" t="n">
        <f aca="false">N966-O966</f>
        <v>0</v>
      </c>
    </row>
    <row r="967" customFormat="false" ht="15" hidden="false" customHeight="false" outlineLevel="0" collapsed="false">
      <c r="A967" s="8" t="s">
        <v>26</v>
      </c>
      <c r="B967" s="8" t="s">
        <v>43</v>
      </c>
      <c r="C967" s="8" t="s">
        <v>62</v>
      </c>
      <c r="D967" s="21" t="n">
        <v>46062.6666666667</v>
      </c>
      <c r="E967" s="21" t="n">
        <v>46062.66875</v>
      </c>
      <c r="F967" s="22" t="n">
        <f aca="false">DATE(YEAR(E967),MONTH(E967),1)</f>
        <v>46054</v>
      </c>
      <c r="G967" s="23" t="n">
        <v>284485</v>
      </c>
      <c r="H967" s="8" t="s">
        <v>64</v>
      </c>
      <c r="I967" s="24" t="n">
        <v>846.78</v>
      </c>
      <c r="J967" s="25" t="n">
        <f aca="false">Summary!$B$4</f>
        <v>1</v>
      </c>
      <c r="K967" s="11" t="n">
        <f aca="false">I967*J967*IF(A967="SILVER",Summary!$B$5,Summary!$B$6)</f>
        <v>25403.4</v>
      </c>
      <c r="L967" s="26" t="n">
        <v>0.14</v>
      </c>
      <c r="M967" s="27" t="n">
        <f aca="false">IF(K967&gt;0,1,0)</f>
        <v>1</v>
      </c>
      <c r="N967" s="11" t="n">
        <f aca="false">SUMIFS(K$2:K967,A$2:A967,A967,B$2:B967,B967)</f>
        <v>5246329.8</v>
      </c>
      <c r="O967" s="11" t="n">
        <f aca="false">MAX(0,_xlfn.MAXIFS(N$2:N967,A$2:A967,A967,B$2:B967,B967))</f>
        <v>5246329.8</v>
      </c>
      <c r="P967" s="11" t="n">
        <f aca="false">N967-O967</f>
        <v>0</v>
      </c>
    </row>
    <row r="968" customFormat="false" ht="15" hidden="false" customHeight="false" outlineLevel="0" collapsed="false">
      <c r="A968" s="8" t="s">
        <v>26</v>
      </c>
      <c r="B968" s="8" t="s">
        <v>43</v>
      </c>
      <c r="C968" s="8" t="s">
        <v>62</v>
      </c>
      <c r="D968" s="21" t="n">
        <v>46063.3819444445</v>
      </c>
      <c r="E968" s="21" t="n">
        <v>46063.4645833333</v>
      </c>
      <c r="F968" s="22" t="n">
        <f aca="false">DATE(YEAR(E968),MONTH(E968),1)</f>
        <v>46054</v>
      </c>
      <c r="G968" s="23" t="n">
        <v>287104</v>
      </c>
      <c r="H968" s="8" t="s">
        <v>64</v>
      </c>
      <c r="I968" s="24" t="n">
        <v>956.74</v>
      </c>
      <c r="J968" s="25" t="n">
        <f aca="false">Summary!$B$4</f>
        <v>1</v>
      </c>
      <c r="K968" s="11" t="n">
        <f aca="false">I968*J968*IF(A968="SILVER",Summary!$B$5,Summary!$B$6)</f>
        <v>28702.2</v>
      </c>
      <c r="L968" s="26" t="n">
        <v>0.141</v>
      </c>
      <c r="M968" s="27" t="n">
        <f aca="false">IF(K968&gt;0,1,0)</f>
        <v>1</v>
      </c>
      <c r="N968" s="11" t="n">
        <f aca="false">SUMIFS(K$2:K968,A$2:A968,A968,B$2:B968,B968)</f>
        <v>5275032</v>
      </c>
      <c r="O968" s="11" t="n">
        <f aca="false">MAX(0,_xlfn.MAXIFS(N$2:N968,A$2:A968,A968,B$2:B968,B968))</f>
        <v>5275032</v>
      </c>
      <c r="P968" s="11" t="n">
        <f aca="false">N968-O968</f>
        <v>0</v>
      </c>
    </row>
    <row r="969" customFormat="false" ht="15" hidden="false" customHeight="false" outlineLevel="0" collapsed="false">
      <c r="A969" s="8" t="s">
        <v>26</v>
      </c>
      <c r="B969" s="8" t="s">
        <v>43</v>
      </c>
      <c r="C969" s="8" t="s">
        <v>62</v>
      </c>
      <c r="D969" s="21" t="n">
        <v>46063.8819444445</v>
      </c>
      <c r="E969" s="21" t="n">
        <v>46063.8881944444</v>
      </c>
      <c r="F969" s="22" t="n">
        <f aca="false">DATE(YEAR(E969),MONTH(E969),1)</f>
        <v>46054</v>
      </c>
      <c r="G969" s="23" t="n">
        <v>286074</v>
      </c>
      <c r="H969" s="8" t="s">
        <v>64</v>
      </c>
      <c r="I969" s="24" t="n">
        <v>906.02</v>
      </c>
      <c r="J969" s="25" t="n">
        <f aca="false">Summary!$B$4</f>
        <v>1</v>
      </c>
      <c r="K969" s="11" t="n">
        <f aca="false">I969*J969*IF(A969="SILVER",Summary!$B$5,Summary!$B$6)</f>
        <v>27180.6</v>
      </c>
      <c r="L969" s="26" t="n">
        <v>0.14</v>
      </c>
      <c r="M969" s="27" t="n">
        <f aca="false">IF(K969&gt;0,1,0)</f>
        <v>1</v>
      </c>
      <c r="N969" s="11" t="n">
        <f aca="false">SUMIFS(K$2:K969,A$2:A969,A969,B$2:B969,B969)</f>
        <v>5302212.6</v>
      </c>
      <c r="O969" s="11" t="n">
        <f aca="false">MAX(0,_xlfn.MAXIFS(N$2:N969,A$2:A969,A969,B$2:B969,B969))</f>
        <v>5302212.6</v>
      </c>
      <c r="P969" s="11" t="n">
        <f aca="false">N969-O969</f>
        <v>0</v>
      </c>
    </row>
    <row r="970" customFormat="false" ht="15" hidden="false" customHeight="false" outlineLevel="0" collapsed="false">
      <c r="A970" s="8" t="s">
        <v>26</v>
      </c>
      <c r="B970" s="8" t="s">
        <v>43</v>
      </c>
      <c r="C970" s="8" t="s">
        <v>62</v>
      </c>
      <c r="D970" s="21" t="n">
        <v>46063.8993055556</v>
      </c>
      <c r="E970" s="21" t="n">
        <v>46063.9375</v>
      </c>
      <c r="F970" s="22" t="n">
        <f aca="false">DATE(YEAR(E970),MONTH(E970),1)</f>
        <v>46054</v>
      </c>
      <c r="G970" s="23" t="n">
        <v>282961</v>
      </c>
      <c r="H970" s="8" t="s">
        <v>64</v>
      </c>
      <c r="I970" s="24" t="n">
        <v>1113.49</v>
      </c>
      <c r="J970" s="25" t="n">
        <f aca="false">Summary!$B$4</f>
        <v>1</v>
      </c>
      <c r="K970" s="11" t="n">
        <f aca="false">I970*J970*IF(A970="SILVER",Summary!$B$5,Summary!$B$6)</f>
        <v>33404.7</v>
      </c>
      <c r="L970" s="26" t="n">
        <v>0.142</v>
      </c>
      <c r="M970" s="27" t="n">
        <f aca="false">IF(K970&gt;0,1,0)</f>
        <v>1</v>
      </c>
      <c r="N970" s="11" t="n">
        <f aca="false">SUMIFS(K$2:K970,A$2:A970,A970,B$2:B970,B970)</f>
        <v>5335617.3</v>
      </c>
      <c r="O970" s="11" t="n">
        <f aca="false">MAX(0,_xlfn.MAXIFS(N$2:N970,A$2:A970,A970,B$2:B970,B970))</f>
        <v>5335617.3</v>
      </c>
      <c r="P970" s="11" t="n">
        <f aca="false">N970-O970</f>
        <v>0</v>
      </c>
    </row>
    <row r="971" customFormat="false" ht="15" hidden="false" customHeight="false" outlineLevel="0" collapsed="false">
      <c r="A971" s="8" t="s">
        <v>26</v>
      </c>
      <c r="B971" s="8" t="s">
        <v>43</v>
      </c>
      <c r="C971" s="8" t="s">
        <v>62</v>
      </c>
      <c r="D971" s="21" t="n">
        <v>46064.7951388889</v>
      </c>
      <c r="E971" s="21" t="n">
        <v>46064.8493055556</v>
      </c>
      <c r="F971" s="22" t="n">
        <f aca="false">DATE(YEAR(E971),MONTH(E971),1)</f>
        <v>46054</v>
      </c>
      <c r="G971" s="23" t="n">
        <v>291651</v>
      </c>
      <c r="H971" s="8" t="s">
        <v>64</v>
      </c>
      <c r="I971" s="24" t="n">
        <v>1013.6</v>
      </c>
      <c r="J971" s="25" t="n">
        <f aca="false">Summary!$B$4</f>
        <v>1</v>
      </c>
      <c r="K971" s="11" t="n">
        <f aca="false">I971*J971*IF(A971="SILVER",Summary!$B$5,Summary!$B$6)</f>
        <v>30408</v>
      </c>
      <c r="L971" s="26" t="n">
        <v>0.141</v>
      </c>
      <c r="M971" s="27" t="n">
        <f aca="false">IF(K971&gt;0,1,0)</f>
        <v>1</v>
      </c>
      <c r="N971" s="11" t="n">
        <f aca="false">SUMIFS(K$2:K971,A$2:A971,A971,B$2:B971,B971)</f>
        <v>5366025.3</v>
      </c>
      <c r="O971" s="11" t="n">
        <f aca="false">MAX(0,_xlfn.MAXIFS(N$2:N971,A$2:A971,A971,B$2:B971,B971))</f>
        <v>5366025.3</v>
      </c>
      <c r="P971" s="11" t="n">
        <f aca="false">N971-O971</f>
        <v>0</v>
      </c>
    </row>
    <row r="972" customFormat="false" ht="15" hidden="false" customHeight="false" outlineLevel="0" collapsed="false">
      <c r="A972" s="8" t="s">
        <v>26</v>
      </c>
      <c r="B972" s="8" t="s">
        <v>43</v>
      </c>
      <c r="C972" s="8" t="s">
        <v>62</v>
      </c>
      <c r="D972" s="21" t="n">
        <v>46065.7361111111</v>
      </c>
      <c r="E972" s="21" t="n">
        <v>46065.8027777778</v>
      </c>
      <c r="F972" s="22" t="n">
        <f aca="false">DATE(YEAR(E972),MONTH(E972),1)</f>
        <v>46054</v>
      </c>
      <c r="G972" s="23" t="n">
        <v>286999</v>
      </c>
      <c r="H972" s="8" t="s">
        <v>64</v>
      </c>
      <c r="I972" s="24" t="n">
        <v>305.07</v>
      </c>
      <c r="J972" s="25" t="n">
        <f aca="false">Summary!$B$4</f>
        <v>1</v>
      </c>
      <c r="K972" s="11" t="n">
        <f aca="false">I972*J972*IF(A972="SILVER",Summary!$B$5,Summary!$B$6)</f>
        <v>9152.1</v>
      </c>
      <c r="L972" s="26" t="n">
        <v>0.125</v>
      </c>
      <c r="M972" s="27" t="n">
        <f aca="false">IF(K972&gt;0,1,0)</f>
        <v>1</v>
      </c>
      <c r="N972" s="11" t="n">
        <f aca="false">SUMIFS(K$2:K972,A$2:A972,A972,B$2:B972,B972)</f>
        <v>5375177.4</v>
      </c>
      <c r="O972" s="11" t="n">
        <f aca="false">MAX(0,_xlfn.MAXIFS(N$2:N972,A$2:A972,A972,B$2:B972,B972))</f>
        <v>5375177.4</v>
      </c>
      <c r="P972" s="11" t="n">
        <f aca="false">N972-O972</f>
        <v>0</v>
      </c>
    </row>
    <row r="973" customFormat="false" ht="15" hidden="false" customHeight="false" outlineLevel="0" collapsed="false">
      <c r="A973" s="8" t="s">
        <v>26</v>
      </c>
      <c r="B973" s="8" t="s">
        <v>43</v>
      </c>
      <c r="C973" s="8" t="s">
        <v>62</v>
      </c>
      <c r="D973" s="21" t="n">
        <v>46065.90625</v>
      </c>
      <c r="E973" s="21" t="n">
        <v>46066.5590277778</v>
      </c>
      <c r="F973" s="22" t="n">
        <f aca="false">DATE(YEAR(E973),MONTH(E973),1)</f>
        <v>46054</v>
      </c>
      <c r="G973" s="23" t="n">
        <v>280832</v>
      </c>
      <c r="H973" s="8" t="s">
        <v>61</v>
      </c>
      <c r="I973" s="24" t="n">
        <v>6924.22</v>
      </c>
      <c r="J973" s="25" t="n">
        <f aca="false">Summary!$B$4</f>
        <v>1</v>
      </c>
      <c r="K973" s="11" t="n">
        <f aca="false">I973*J973*IF(A973="SILVER",Summary!$B$5,Summary!$B$6)</f>
        <v>207726.6</v>
      </c>
      <c r="L973" s="26" t="n">
        <v>1.129</v>
      </c>
      <c r="M973" s="27" t="n">
        <f aca="false">IF(K973&gt;0,1,0)</f>
        <v>1</v>
      </c>
      <c r="N973" s="11" t="n">
        <f aca="false">SUMIFS(K$2:K973,A$2:A973,A973,B$2:B973,B973)</f>
        <v>5582904</v>
      </c>
      <c r="O973" s="11" t="n">
        <f aca="false">MAX(0,_xlfn.MAXIFS(N$2:N973,A$2:A973,A973,B$2:B973,B973))</f>
        <v>5582904</v>
      </c>
      <c r="P973" s="11" t="n">
        <f aca="false">N973-O973</f>
        <v>0</v>
      </c>
    </row>
    <row r="974" customFormat="false" ht="15" hidden="false" customHeight="false" outlineLevel="0" collapsed="false">
      <c r="A974" s="8" t="s">
        <v>26</v>
      </c>
      <c r="B974" s="8" t="s">
        <v>43</v>
      </c>
      <c r="C974" s="8" t="s">
        <v>62</v>
      </c>
      <c r="D974" s="21" t="n">
        <v>46066.6909722222</v>
      </c>
      <c r="E974" s="21" t="n">
        <v>46066.7951388889</v>
      </c>
      <c r="F974" s="22" t="n">
        <f aca="false">DATE(YEAR(E974),MONTH(E974),1)</f>
        <v>46054</v>
      </c>
      <c r="G974" s="23" t="n">
        <v>270851</v>
      </c>
      <c r="H974" s="8" t="s">
        <v>61</v>
      </c>
      <c r="I974" s="24" t="n">
        <v>-5743.98</v>
      </c>
      <c r="J974" s="25" t="n">
        <f aca="false">Summary!$B$4</f>
        <v>1</v>
      </c>
      <c r="K974" s="11" t="n">
        <f aca="false">I974*J974*IF(A974="SILVER",Summary!$B$5,Summary!$B$6)</f>
        <v>-172319.4</v>
      </c>
      <c r="L974" s="26" t="n">
        <v>-0.935</v>
      </c>
      <c r="M974" s="27" t="n">
        <f aca="false">IF(K974&gt;0,1,0)</f>
        <v>0</v>
      </c>
      <c r="N974" s="11" t="n">
        <f aca="false">SUMIFS(K$2:K974,A$2:A974,A974,B$2:B974,B974)</f>
        <v>5410584.6</v>
      </c>
      <c r="O974" s="11" t="n">
        <f aca="false">MAX(0,_xlfn.MAXIFS(N$2:N974,A$2:A974,A974,B$2:B974,B974))</f>
        <v>5582904</v>
      </c>
      <c r="P974" s="11" t="n">
        <f aca="false">N974-O974</f>
        <v>-172319.4</v>
      </c>
    </row>
    <row r="975" customFormat="false" ht="15" hidden="false" customHeight="false" outlineLevel="0" collapsed="false">
      <c r="A975" s="8" t="s">
        <v>26</v>
      </c>
      <c r="B975" s="8" t="s">
        <v>43</v>
      </c>
      <c r="C975" s="8" t="s">
        <v>62</v>
      </c>
      <c r="D975" s="21" t="n">
        <v>46069.3784722222</v>
      </c>
      <c r="E975" s="21" t="n">
        <v>46071.3784722222</v>
      </c>
      <c r="F975" s="22" t="n">
        <f aca="false">DATE(YEAR(E975),MONTH(E975),1)</f>
        <v>46054</v>
      </c>
      <c r="G975" s="23" t="n">
        <v>265545</v>
      </c>
      <c r="H975" s="8" t="s">
        <v>61</v>
      </c>
      <c r="I975" s="24" t="n">
        <v>4098.97</v>
      </c>
      <c r="J975" s="25" t="n">
        <f aca="false">Summary!$B$4</f>
        <v>1</v>
      </c>
      <c r="K975" s="11" t="n">
        <f aca="false">I975*J975*IF(A975="SILVER",Summary!$B$5,Summary!$B$6)</f>
        <v>122969.1</v>
      </c>
      <c r="L975" s="26" t="n">
        <v>0.488</v>
      </c>
      <c r="M975" s="27" t="n">
        <f aca="false">IF(K975&gt;0,1,0)</f>
        <v>1</v>
      </c>
      <c r="N975" s="11" t="n">
        <f aca="false">SUMIFS(K$2:K975,A$2:A975,A975,B$2:B975,B975)</f>
        <v>5533553.7</v>
      </c>
      <c r="O975" s="11" t="n">
        <f aca="false">MAX(0,_xlfn.MAXIFS(N$2:N975,A$2:A975,A975,B$2:B975,B975))</f>
        <v>5582904</v>
      </c>
      <c r="P975" s="11" t="n">
        <f aca="false">N975-O975</f>
        <v>-49350.2999999998</v>
      </c>
    </row>
    <row r="976" customFormat="false" ht="15" hidden="false" customHeight="false" outlineLevel="0" collapsed="false">
      <c r="A976" s="8" t="s">
        <v>26</v>
      </c>
      <c r="B976" s="8" t="s">
        <v>43</v>
      </c>
      <c r="C976" s="8" t="s">
        <v>62</v>
      </c>
      <c r="D976" s="21" t="n">
        <v>46072.65625</v>
      </c>
      <c r="E976" s="21" t="n">
        <v>46072.7104166667</v>
      </c>
      <c r="F976" s="22" t="n">
        <f aca="false">DATE(YEAR(E976),MONTH(E976),1)</f>
        <v>46054</v>
      </c>
      <c r="G976" s="23" t="n">
        <v>272961</v>
      </c>
      <c r="H976" s="8" t="s">
        <v>64</v>
      </c>
      <c r="I976" s="24" t="n">
        <v>513.23</v>
      </c>
      <c r="J976" s="25" t="n">
        <f aca="false">Summary!$B$4</f>
        <v>1</v>
      </c>
      <c r="K976" s="11" t="n">
        <f aca="false">I976*J976*IF(A976="SILVER",Summary!$B$5,Summary!$B$6)</f>
        <v>15396.9</v>
      </c>
      <c r="L976" s="26" t="n">
        <v>0.135</v>
      </c>
      <c r="M976" s="27" t="n">
        <f aca="false">IF(K976&gt;0,1,0)</f>
        <v>1</v>
      </c>
      <c r="N976" s="11" t="n">
        <f aca="false">SUMIFS(K$2:K976,A$2:A976,A976,B$2:B976,B976)</f>
        <v>5548950.6</v>
      </c>
      <c r="O976" s="11" t="n">
        <f aca="false">MAX(0,_xlfn.MAXIFS(N$2:N976,A$2:A976,A976,B$2:B976,B976))</f>
        <v>5582904</v>
      </c>
      <c r="P976" s="11" t="n">
        <f aca="false">N976-O976</f>
        <v>-33953.3999999994</v>
      </c>
    </row>
    <row r="977" customFormat="false" ht="15" hidden="false" customHeight="false" outlineLevel="0" collapsed="false">
      <c r="A977" s="8" t="s">
        <v>26</v>
      </c>
      <c r="B977" s="8" t="s">
        <v>43</v>
      </c>
      <c r="C977" s="8" t="s">
        <v>62</v>
      </c>
      <c r="D977" s="21" t="n">
        <v>46072.7256944445</v>
      </c>
      <c r="E977" s="21" t="n">
        <v>46072.7326388889</v>
      </c>
      <c r="F977" s="22" t="n">
        <f aca="false">DATE(YEAR(E977),MONTH(E977),1)</f>
        <v>46054</v>
      </c>
      <c r="G977" s="23" t="n">
        <v>270333</v>
      </c>
      <c r="H977" s="8" t="s">
        <v>64</v>
      </c>
      <c r="I977" s="24" t="n">
        <v>663.37</v>
      </c>
      <c r="J977" s="25" t="n">
        <f aca="false">Summary!$B$4</f>
        <v>1</v>
      </c>
      <c r="K977" s="11" t="n">
        <f aca="false">I977*J977*IF(A977="SILVER",Summary!$B$5,Summary!$B$6)</f>
        <v>19901.1</v>
      </c>
      <c r="L977" s="26" t="n">
        <v>0.138</v>
      </c>
      <c r="M977" s="27" t="n">
        <f aca="false">IF(K977&gt;0,1,0)</f>
        <v>1</v>
      </c>
      <c r="N977" s="11" t="n">
        <f aca="false">SUMIFS(K$2:K977,A$2:A977,A977,B$2:B977,B977)</f>
        <v>5568851.7</v>
      </c>
      <c r="O977" s="11" t="n">
        <f aca="false">MAX(0,_xlfn.MAXIFS(N$2:N977,A$2:A977,A977,B$2:B977,B977))</f>
        <v>5582904</v>
      </c>
      <c r="P977" s="11" t="n">
        <f aca="false">N977-O977</f>
        <v>-14052.2999999998</v>
      </c>
    </row>
    <row r="978" customFormat="false" ht="15" hidden="false" customHeight="false" outlineLevel="0" collapsed="false">
      <c r="A978" s="8" t="s">
        <v>26</v>
      </c>
      <c r="B978" s="8" t="s">
        <v>43</v>
      </c>
      <c r="C978" s="8" t="s">
        <v>62</v>
      </c>
      <c r="D978" s="21" t="n">
        <v>46072.7361111111</v>
      </c>
      <c r="E978" s="21" t="n">
        <v>46072.8784722222</v>
      </c>
      <c r="F978" s="22" t="n">
        <f aca="false">DATE(YEAR(E978),MONTH(E978),1)</f>
        <v>46054</v>
      </c>
      <c r="G978" s="23" t="n">
        <v>268568</v>
      </c>
      <c r="H978" s="8" t="s">
        <v>61</v>
      </c>
      <c r="I978" s="24" t="n">
        <v>-5623.6</v>
      </c>
      <c r="J978" s="25" t="n">
        <f aca="false">Summary!$B$4</f>
        <v>1</v>
      </c>
      <c r="K978" s="11" t="n">
        <f aca="false">I978*J978*IF(A978="SILVER",Summary!$B$5,Summary!$B$6)</f>
        <v>-168708</v>
      </c>
      <c r="L978" s="26" t="n">
        <v>-1.07</v>
      </c>
      <c r="M978" s="27" t="n">
        <f aca="false">IF(K978&gt;0,1,0)</f>
        <v>0</v>
      </c>
      <c r="N978" s="11" t="n">
        <f aca="false">SUMIFS(K$2:K978,A$2:A978,A978,B$2:B978,B978)</f>
        <v>5400143.7</v>
      </c>
      <c r="O978" s="11" t="n">
        <f aca="false">MAX(0,_xlfn.MAXIFS(N$2:N978,A$2:A978,A978,B$2:B978,B978))</f>
        <v>5582904</v>
      </c>
      <c r="P978" s="11" t="n">
        <f aca="false">N978-O978</f>
        <v>-182760.3</v>
      </c>
    </row>
    <row r="979" customFormat="false" ht="15" hidden="false" customHeight="false" outlineLevel="0" collapsed="false">
      <c r="A979" s="8" t="s">
        <v>26</v>
      </c>
      <c r="B979" s="8" t="s">
        <v>43</v>
      </c>
      <c r="C979" s="8" t="s">
        <v>62</v>
      </c>
      <c r="D979" s="21" t="n">
        <v>46084.7284722222</v>
      </c>
      <c r="E979" s="21" t="n">
        <v>46085.3965277778</v>
      </c>
      <c r="F979" s="22" t="n">
        <f aca="false">DATE(YEAR(E979),MONTH(E979),1)</f>
        <v>46082</v>
      </c>
      <c r="G979" s="23" t="n">
        <v>284334</v>
      </c>
      <c r="H979" s="8" t="s">
        <v>61</v>
      </c>
      <c r="I979" s="24" t="n">
        <v>-10562.58</v>
      </c>
      <c r="J979" s="25" t="n">
        <f aca="false">Summary!$B$4</f>
        <v>1</v>
      </c>
      <c r="K979" s="11" t="n">
        <f aca="false">I979*J979*IF(A979="SILVER",Summary!$B$5,Summary!$B$6)</f>
        <v>-316877.4</v>
      </c>
      <c r="L979" s="26" t="n">
        <v>-0.693</v>
      </c>
      <c r="M979" s="27" t="n">
        <f aca="false">IF(K979&gt;0,1,0)</f>
        <v>0</v>
      </c>
      <c r="N979" s="11" t="n">
        <f aca="false">SUMIFS(K$2:K979,A$2:A979,A979,B$2:B979,B979)</f>
        <v>5083266.3</v>
      </c>
      <c r="O979" s="11" t="n">
        <f aca="false">MAX(0,_xlfn.MAXIFS(N$2:N979,A$2:A979,A979,B$2:B979,B979))</f>
        <v>5582904</v>
      </c>
      <c r="P979" s="11" t="n">
        <f aca="false">N979-O979</f>
        <v>-499637.7</v>
      </c>
    </row>
    <row r="980" customFormat="false" ht="15" hidden="false" customHeight="false" outlineLevel="0" collapsed="false">
      <c r="A980" s="8" t="s">
        <v>26</v>
      </c>
      <c r="B980" s="8" t="s">
        <v>43</v>
      </c>
      <c r="C980" s="8" t="s">
        <v>62</v>
      </c>
      <c r="D980" s="21" t="n">
        <v>46085.8388888889</v>
      </c>
      <c r="E980" s="21" t="n">
        <v>46086.3868055556</v>
      </c>
      <c r="F980" s="22" t="n">
        <f aca="false">DATE(YEAR(E980),MONTH(E980),1)</f>
        <v>46082</v>
      </c>
      <c r="G980" s="23" t="n">
        <v>293887</v>
      </c>
      <c r="H980" s="8" t="s">
        <v>64</v>
      </c>
      <c r="I980" s="24" t="n">
        <v>-248.12</v>
      </c>
      <c r="J980" s="25" t="n">
        <f aca="false">Summary!$B$4</f>
        <v>1</v>
      </c>
      <c r="K980" s="11" t="n">
        <f aca="false">I980*J980*IF(A980="SILVER",Summary!$B$5,Summary!$B$6)</f>
        <v>-7443.6</v>
      </c>
      <c r="L980" s="26" t="n">
        <v>-0.051</v>
      </c>
      <c r="M980" s="27" t="n">
        <f aca="false">IF(K980&gt;0,1,0)</f>
        <v>0</v>
      </c>
      <c r="N980" s="11" t="n">
        <f aca="false">SUMIFS(K$2:K980,A$2:A980,A980,B$2:B980,B980)</f>
        <v>5075822.7</v>
      </c>
      <c r="O980" s="11" t="n">
        <f aca="false">MAX(0,_xlfn.MAXIFS(N$2:N980,A$2:A980,A980,B$2:B980,B980))</f>
        <v>5582904</v>
      </c>
      <c r="P980" s="11" t="n">
        <f aca="false">N980-O980</f>
        <v>-507081.3</v>
      </c>
    </row>
    <row r="981" customFormat="false" ht="15" hidden="false" customHeight="false" outlineLevel="0" collapsed="false">
      <c r="A981" s="8" t="s">
        <v>26</v>
      </c>
      <c r="B981" s="8" t="s">
        <v>43</v>
      </c>
      <c r="C981" s="8" t="s">
        <v>62</v>
      </c>
      <c r="D981" s="21" t="n">
        <v>46087.6319444445</v>
      </c>
      <c r="E981" s="21" t="n">
        <v>46087.6513888889</v>
      </c>
      <c r="F981" s="22" t="n">
        <f aca="false">DATE(YEAR(E981),MONTH(E981),1)</f>
        <v>46082</v>
      </c>
      <c r="G981" s="23" t="n">
        <v>280912</v>
      </c>
      <c r="H981" s="8" t="s">
        <v>64</v>
      </c>
      <c r="I981" s="24" t="n">
        <v>599.63</v>
      </c>
      <c r="J981" s="25" t="n">
        <f aca="false">Summary!$B$4</f>
        <v>1</v>
      </c>
      <c r="K981" s="11" t="n">
        <f aca="false">I981*J981*IF(A981="SILVER",Summary!$B$5,Summary!$B$6)</f>
        <v>17988.9</v>
      </c>
      <c r="L981" s="26" t="n">
        <v>0.136</v>
      </c>
      <c r="M981" s="27" t="n">
        <f aca="false">IF(K981&gt;0,1,0)</f>
        <v>1</v>
      </c>
      <c r="N981" s="11" t="n">
        <f aca="false">SUMIFS(K$2:K981,A$2:A981,A981,B$2:B981,B981)</f>
        <v>5093811.6</v>
      </c>
      <c r="O981" s="11" t="n">
        <f aca="false">MAX(0,_xlfn.MAXIFS(N$2:N981,A$2:A981,A981,B$2:B981,B981))</f>
        <v>5582904</v>
      </c>
      <c r="P981" s="11" t="n">
        <f aca="false">N981-O981</f>
        <v>-489092.4</v>
      </c>
    </row>
    <row r="982" customFormat="false" ht="15" hidden="false" customHeight="false" outlineLevel="0" collapsed="false">
      <c r="A982" s="8" t="s">
        <v>26</v>
      </c>
      <c r="B982" s="8" t="s">
        <v>43</v>
      </c>
      <c r="C982" s="8" t="s">
        <v>62</v>
      </c>
      <c r="D982" s="21" t="n">
        <v>46090.4131944445</v>
      </c>
      <c r="E982" s="21" t="n">
        <v>46090.4604166667</v>
      </c>
      <c r="F982" s="22" t="n">
        <f aca="false">DATE(YEAR(E982),MONTH(E982),1)</f>
        <v>46082</v>
      </c>
      <c r="G982" s="23" t="n">
        <v>281325</v>
      </c>
      <c r="H982" s="8" t="s">
        <v>64</v>
      </c>
      <c r="I982" s="24" t="n">
        <v>702.25</v>
      </c>
      <c r="J982" s="25" t="n">
        <f aca="false">Summary!$B$4</f>
        <v>1</v>
      </c>
      <c r="K982" s="11" t="n">
        <f aca="false">I982*J982*IF(A982="SILVER",Summary!$B$5,Summary!$B$6)</f>
        <v>21067.5</v>
      </c>
      <c r="L982" s="26" t="n">
        <v>0.138</v>
      </c>
      <c r="M982" s="27" t="n">
        <f aca="false">IF(K982&gt;0,1,0)</f>
        <v>1</v>
      </c>
      <c r="N982" s="11" t="n">
        <f aca="false">SUMIFS(K$2:K982,A$2:A982,A982,B$2:B982,B982)</f>
        <v>5114879.1</v>
      </c>
      <c r="O982" s="11" t="n">
        <f aca="false">MAX(0,_xlfn.MAXIFS(N$2:N982,A$2:A982,A982,B$2:B982,B982))</f>
        <v>5582904</v>
      </c>
      <c r="P982" s="11" t="n">
        <f aca="false">N982-O982</f>
        <v>-468024.9</v>
      </c>
    </row>
    <row r="983" customFormat="false" ht="15" hidden="false" customHeight="false" outlineLevel="0" collapsed="false">
      <c r="A983" s="8" t="s">
        <v>26</v>
      </c>
      <c r="B983" s="8" t="s">
        <v>43</v>
      </c>
      <c r="C983" s="8" t="s">
        <v>62</v>
      </c>
      <c r="D983" s="21" t="n">
        <v>46091.6736111111</v>
      </c>
      <c r="E983" s="21" t="n">
        <v>46091.78125</v>
      </c>
      <c r="F983" s="22" t="n">
        <f aca="false">DATE(YEAR(E983),MONTH(E983),1)</f>
        <v>46082</v>
      </c>
      <c r="G983" s="23" t="n">
        <v>291985</v>
      </c>
      <c r="H983" s="8" t="s">
        <v>61</v>
      </c>
      <c r="I983" s="24" t="n">
        <v>-3238.24</v>
      </c>
      <c r="J983" s="25" t="n">
        <f aca="false">Summary!$B$4</f>
        <v>1</v>
      </c>
      <c r="K983" s="11" t="n">
        <f aca="false">I983*J983*IF(A983="SILVER",Summary!$B$5,Summary!$B$6)</f>
        <v>-97147.2</v>
      </c>
      <c r="L983" s="26" t="n">
        <v>-1.106</v>
      </c>
      <c r="M983" s="27" t="n">
        <f aca="false">IF(K983&gt;0,1,0)</f>
        <v>0</v>
      </c>
      <c r="N983" s="11" t="n">
        <f aca="false">SUMIFS(K$2:K983,A$2:A983,A983,B$2:B983,B983)</f>
        <v>5017731.9</v>
      </c>
      <c r="O983" s="11" t="n">
        <f aca="false">MAX(0,_xlfn.MAXIFS(N$2:N983,A$2:A983,A983,B$2:B983,B983))</f>
        <v>5582904</v>
      </c>
      <c r="P983" s="11" t="n">
        <f aca="false">N983-O983</f>
        <v>-565172.1</v>
      </c>
    </row>
    <row r="984" customFormat="false" ht="15" hidden="false" customHeight="false" outlineLevel="0" collapsed="false">
      <c r="A984" s="8" t="s">
        <v>26</v>
      </c>
      <c r="B984" s="8" t="s">
        <v>43</v>
      </c>
      <c r="C984" s="8" t="s">
        <v>62</v>
      </c>
      <c r="D984" s="21" t="n">
        <v>46094.5</v>
      </c>
      <c r="E984" s="21" t="n">
        <v>46094.5222222222</v>
      </c>
      <c r="F984" s="22" t="n">
        <f aca="false">DATE(YEAR(E984),MONTH(E984),1)</f>
        <v>46082</v>
      </c>
      <c r="G984" s="23" t="n">
        <v>281173</v>
      </c>
      <c r="H984" s="8" t="s">
        <v>64</v>
      </c>
      <c r="I984" s="24" t="n">
        <v>547.44</v>
      </c>
      <c r="J984" s="25" t="n">
        <f aca="false">Summary!$B$4</f>
        <v>1</v>
      </c>
      <c r="K984" s="11" t="n">
        <f aca="false">I984*J984*IF(A984="SILVER",Summary!$B$5,Summary!$B$6)</f>
        <v>16423.2</v>
      </c>
      <c r="L984" s="26" t="n">
        <v>0.135</v>
      </c>
      <c r="M984" s="27" t="n">
        <f aca="false">IF(K984&gt;0,1,0)</f>
        <v>1</v>
      </c>
      <c r="N984" s="11" t="n">
        <f aca="false">SUMIFS(K$2:K984,A$2:A984,A984,B$2:B984,B984)</f>
        <v>5034155.1</v>
      </c>
      <c r="O984" s="11" t="n">
        <f aca="false">MAX(0,_xlfn.MAXIFS(N$2:N984,A$2:A984,A984,B$2:B984,B984))</f>
        <v>5582904</v>
      </c>
      <c r="P984" s="11" t="n">
        <f aca="false">N984-O984</f>
        <v>-548748.9</v>
      </c>
    </row>
    <row r="985" customFormat="false" ht="15" hidden="false" customHeight="false" outlineLevel="0" collapsed="false">
      <c r="A985" s="8" t="s">
        <v>26</v>
      </c>
      <c r="B985" s="8" t="s">
        <v>43</v>
      </c>
      <c r="C985" s="8" t="s">
        <v>62</v>
      </c>
      <c r="D985" s="21" t="n">
        <v>46094.5347222222</v>
      </c>
      <c r="E985" s="21" t="n">
        <v>46094.7291666667</v>
      </c>
      <c r="F985" s="22" t="n">
        <f aca="false">DATE(YEAR(E985),MONTH(E985),1)</f>
        <v>46082</v>
      </c>
      <c r="G985" s="23" t="n">
        <v>278737</v>
      </c>
      <c r="H985" s="8" t="s">
        <v>61</v>
      </c>
      <c r="I985" s="24" t="n">
        <v>-4571.75</v>
      </c>
      <c r="J985" s="25" t="n">
        <f aca="false">Summary!$B$4</f>
        <v>1</v>
      </c>
      <c r="K985" s="11" t="n">
        <f aca="false">I985*J985*IF(A985="SILVER",Summary!$B$5,Summary!$B$6)</f>
        <v>-137152.5</v>
      </c>
      <c r="L985" s="26" t="n">
        <v>-0.865</v>
      </c>
      <c r="M985" s="27" t="n">
        <f aca="false">IF(K985&gt;0,1,0)</f>
        <v>0</v>
      </c>
      <c r="N985" s="11" t="n">
        <f aca="false">SUMIFS(K$2:K985,A$2:A985,A985,B$2:B985,B985)</f>
        <v>4897002.6</v>
      </c>
      <c r="O985" s="11" t="n">
        <f aca="false">MAX(0,_xlfn.MAXIFS(N$2:N985,A$2:A985,A985,B$2:B985,B985))</f>
        <v>5582904</v>
      </c>
      <c r="P985" s="11" t="n">
        <f aca="false">N985-O985</f>
        <v>-685901.4</v>
      </c>
    </row>
    <row r="986" customFormat="false" ht="15" hidden="false" customHeight="false" outlineLevel="0" collapsed="false">
      <c r="A986" s="8" t="s">
        <v>26</v>
      </c>
      <c r="B986" s="8" t="s">
        <v>43</v>
      </c>
      <c r="C986" s="8" t="s">
        <v>62</v>
      </c>
      <c r="D986" s="21" t="n">
        <v>46094.8229166667</v>
      </c>
      <c r="E986" s="21" t="n">
        <v>46097.7118055556</v>
      </c>
      <c r="F986" s="22" t="n">
        <f aca="false">DATE(YEAR(E986),MONTH(E986),1)</f>
        <v>46082</v>
      </c>
      <c r="G986" s="23" t="n">
        <v>280201</v>
      </c>
      <c r="H986" s="8" t="s">
        <v>61</v>
      </c>
      <c r="I986" s="24" t="n">
        <v>10403.44</v>
      </c>
      <c r="J986" s="25" t="n">
        <f aca="false">Summary!$B$4</f>
        <v>1</v>
      </c>
      <c r="K986" s="11" t="n">
        <f aca="false">I986*J986*IF(A986="SILVER",Summary!$B$5,Summary!$B$6)</f>
        <v>312103.2</v>
      </c>
      <c r="L986" s="26" t="n">
        <v>1.775</v>
      </c>
      <c r="M986" s="27" t="n">
        <f aca="false">IF(K986&gt;0,1,0)</f>
        <v>1</v>
      </c>
      <c r="N986" s="11" t="n">
        <f aca="false">SUMIFS(K$2:K986,A$2:A986,A986,B$2:B986,B986)</f>
        <v>5209105.8</v>
      </c>
      <c r="O986" s="11" t="n">
        <f aca="false">MAX(0,_xlfn.MAXIFS(N$2:N986,A$2:A986,A986,B$2:B986,B986))</f>
        <v>5582904</v>
      </c>
      <c r="P986" s="11" t="n">
        <f aca="false">N986-O986</f>
        <v>-373798.2</v>
      </c>
    </row>
    <row r="987" customFormat="false" ht="15" hidden="false" customHeight="false" outlineLevel="0" collapsed="false">
      <c r="A987" s="8" t="s">
        <v>26</v>
      </c>
      <c r="B987" s="8" t="s">
        <v>43</v>
      </c>
      <c r="C987" s="8" t="s">
        <v>62</v>
      </c>
      <c r="D987" s="21" t="n">
        <v>46098.4861111111</v>
      </c>
      <c r="E987" s="21" t="n">
        <v>46098.6979166667</v>
      </c>
      <c r="F987" s="22" t="n">
        <f aca="false">DATE(YEAR(E987),MONTH(E987),1)</f>
        <v>46082</v>
      </c>
      <c r="G987" s="23" t="n">
        <v>275101</v>
      </c>
      <c r="H987" s="8" t="s">
        <v>64</v>
      </c>
      <c r="I987" s="24" t="n">
        <v>754.55</v>
      </c>
      <c r="J987" s="25" t="n">
        <f aca="false">Summary!$B$4</f>
        <v>1</v>
      </c>
      <c r="K987" s="11" t="n">
        <f aca="false">I987*J987*IF(A987="SILVER",Summary!$B$5,Summary!$B$6)</f>
        <v>22636.5</v>
      </c>
      <c r="L987" s="26" t="n">
        <v>0.136</v>
      </c>
      <c r="M987" s="27" t="n">
        <f aca="false">IF(K987&gt;0,1,0)</f>
        <v>1</v>
      </c>
      <c r="N987" s="11" t="n">
        <f aca="false">SUMIFS(K$2:K987,A$2:A987,A987,B$2:B987,B987)</f>
        <v>5231742.3</v>
      </c>
      <c r="O987" s="11" t="n">
        <f aca="false">MAX(0,_xlfn.MAXIFS(N$2:N987,A$2:A987,A987,B$2:B987,B987))</f>
        <v>5582904</v>
      </c>
      <c r="P987" s="11" t="n">
        <f aca="false">N987-O987</f>
        <v>-351161.7</v>
      </c>
    </row>
    <row r="988" customFormat="false" ht="15" hidden="false" customHeight="false" outlineLevel="0" collapsed="false">
      <c r="A988" s="8" t="s">
        <v>26</v>
      </c>
      <c r="B988" s="8" t="s">
        <v>43</v>
      </c>
      <c r="C988" s="8" t="s">
        <v>62</v>
      </c>
      <c r="D988" s="21" t="n">
        <v>46098.875</v>
      </c>
      <c r="E988" s="21" t="n">
        <v>46098.9159722222</v>
      </c>
      <c r="F988" s="22" t="n">
        <f aca="false">DATE(YEAR(E988),MONTH(E988),1)</f>
        <v>46082</v>
      </c>
      <c r="G988" s="23" t="n">
        <v>271024</v>
      </c>
      <c r="H988" s="8" t="s">
        <v>64</v>
      </c>
      <c r="I988" s="24" t="n">
        <v>707.36</v>
      </c>
      <c r="J988" s="25" t="n">
        <f aca="false">Summary!$B$4</f>
        <v>1</v>
      </c>
      <c r="K988" s="11" t="n">
        <f aca="false">I988*J988*IF(A988="SILVER",Summary!$B$5,Summary!$B$6)</f>
        <v>21220.8</v>
      </c>
      <c r="L988" s="26" t="n">
        <v>0.131</v>
      </c>
      <c r="M988" s="27" t="n">
        <f aca="false">IF(K988&gt;0,1,0)</f>
        <v>1</v>
      </c>
      <c r="N988" s="11" t="n">
        <f aca="false">SUMIFS(K$2:K988,A$2:A988,A988,B$2:B988,B988)</f>
        <v>5252963.1</v>
      </c>
      <c r="O988" s="11" t="n">
        <f aca="false">MAX(0,_xlfn.MAXIFS(N$2:N988,A$2:A988,A988,B$2:B988,B988))</f>
        <v>5582904</v>
      </c>
      <c r="P988" s="11" t="n">
        <f aca="false">N988-O988</f>
        <v>-329940.9</v>
      </c>
    </row>
    <row r="989" customFormat="false" ht="15" hidden="false" customHeight="false" outlineLevel="0" collapsed="false">
      <c r="A989" s="8" t="s">
        <v>26</v>
      </c>
      <c r="B989" s="8" t="s">
        <v>43</v>
      </c>
      <c r="C989" s="8" t="s">
        <v>62</v>
      </c>
      <c r="D989" s="21" t="n">
        <v>46099.4236111111</v>
      </c>
      <c r="E989" s="21" t="n">
        <v>46099.4965277778</v>
      </c>
      <c r="F989" s="22" t="n">
        <f aca="false">DATE(YEAR(E989),MONTH(E989),1)</f>
        <v>46082</v>
      </c>
      <c r="G989" s="23" t="n">
        <v>267010</v>
      </c>
      <c r="H989" s="8" t="s">
        <v>61</v>
      </c>
      <c r="I989" s="24" t="n">
        <v>-4648.37</v>
      </c>
      <c r="J989" s="25" t="n">
        <f aca="false">Summary!$B$4</f>
        <v>1</v>
      </c>
      <c r="K989" s="11" t="n">
        <f aca="false">I989*J989*IF(A989="SILVER",Summary!$B$5,Summary!$B$6)</f>
        <v>-139451.1</v>
      </c>
      <c r="L989" s="26" t="n">
        <v>-1.148</v>
      </c>
      <c r="M989" s="27" t="n">
        <f aca="false">IF(K989&gt;0,1,0)</f>
        <v>0</v>
      </c>
      <c r="N989" s="11" t="n">
        <f aca="false">SUMIFS(K$2:K989,A$2:A989,A989,B$2:B989,B989)</f>
        <v>5113512</v>
      </c>
      <c r="O989" s="11" t="n">
        <f aca="false">MAX(0,_xlfn.MAXIFS(N$2:N989,A$2:A989,A989,B$2:B989,B989))</f>
        <v>5582904</v>
      </c>
      <c r="P989" s="11" t="n">
        <f aca="false">N989-O989</f>
        <v>-469392</v>
      </c>
    </row>
    <row r="990" customFormat="false" ht="15" hidden="false" customHeight="false" outlineLevel="0" collapsed="false">
      <c r="A990" s="8" t="s">
        <v>26</v>
      </c>
      <c r="B990" s="8" t="s">
        <v>43</v>
      </c>
      <c r="C990" s="8" t="s">
        <v>62</v>
      </c>
      <c r="D990" s="21" t="n">
        <v>46099.7256944445</v>
      </c>
      <c r="E990" s="21" t="n">
        <v>46099.7395833333</v>
      </c>
      <c r="F990" s="22" t="n">
        <f aca="false">DATE(YEAR(E990),MONTH(E990),1)</f>
        <v>46082</v>
      </c>
      <c r="G990" s="23" t="n">
        <v>268617</v>
      </c>
      <c r="H990" s="8" t="s">
        <v>64</v>
      </c>
      <c r="I990" s="24" t="n">
        <v>524.51</v>
      </c>
      <c r="J990" s="25" t="n">
        <f aca="false">Summary!$B$4</f>
        <v>1</v>
      </c>
      <c r="K990" s="11" t="n">
        <f aca="false">I990*J990*IF(A990="SILVER",Summary!$B$5,Summary!$B$6)</f>
        <v>15735.3</v>
      </c>
      <c r="L990" s="26" t="n">
        <v>0.135</v>
      </c>
      <c r="M990" s="27" t="n">
        <f aca="false">IF(K990&gt;0,1,0)</f>
        <v>1</v>
      </c>
      <c r="N990" s="11" t="n">
        <f aca="false">SUMIFS(K$2:K990,A$2:A990,A990,B$2:B990,B990)</f>
        <v>5129247.3</v>
      </c>
      <c r="O990" s="11" t="n">
        <f aca="false">MAX(0,_xlfn.MAXIFS(N$2:N990,A$2:A990,A990,B$2:B990,B990))</f>
        <v>5582904</v>
      </c>
      <c r="P990" s="11" t="n">
        <f aca="false">N990-O990</f>
        <v>-453656.7</v>
      </c>
    </row>
    <row r="991" customFormat="false" ht="15" hidden="false" customHeight="false" outlineLevel="0" collapsed="false">
      <c r="A991" s="8" t="s">
        <v>26</v>
      </c>
      <c r="B991" s="8" t="s">
        <v>43</v>
      </c>
      <c r="C991" s="8" t="s">
        <v>62</v>
      </c>
      <c r="D991" s="21" t="n">
        <v>46099.7604166667</v>
      </c>
      <c r="E991" s="21" t="n">
        <v>46099.7986111111</v>
      </c>
      <c r="F991" s="22" t="n">
        <f aca="false">DATE(YEAR(E991),MONTH(E991),1)</f>
        <v>46082</v>
      </c>
      <c r="G991" s="23" t="n">
        <v>265857</v>
      </c>
      <c r="H991" s="8" t="s">
        <v>64</v>
      </c>
      <c r="I991" s="24" t="n">
        <v>760.34</v>
      </c>
      <c r="J991" s="25" t="n">
        <f aca="false">Summary!$B$4</f>
        <v>1</v>
      </c>
      <c r="K991" s="11" t="n">
        <f aca="false">I991*J991*IF(A991="SILVER",Summary!$B$5,Summary!$B$6)</f>
        <v>22810.2</v>
      </c>
      <c r="L991" s="26" t="n">
        <v>0.139</v>
      </c>
      <c r="M991" s="27" t="n">
        <f aca="false">IF(K991&gt;0,1,0)</f>
        <v>1</v>
      </c>
      <c r="N991" s="11" t="n">
        <f aca="false">SUMIFS(K$2:K991,A$2:A991,A991,B$2:B991,B991)</f>
        <v>5152057.5</v>
      </c>
      <c r="O991" s="11" t="n">
        <f aca="false">MAX(0,_xlfn.MAXIFS(N$2:N991,A$2:A991,A991,B$2:B991,B991))</f>
        <v>5582904</v>
      </c>
      <c r="P991" s="11" t="n">
        <f aca="false">N991-O991</f>
        <v>-430846.5</v>
      </c>
    </row>
    <row r="992" customFormat="false" ht="15" hidden="false" customHeight="false" outlineLevel="0" collapsed="false">
      <c r="A992" s="8" t="s">
        <v>26</v>
      </c>
      <c r="B992" s="8" t="s">
        <v>43</v>
      </c>
      <c r="C992" s="8" t="s">
        <v>62</v>
      </c>
      <c r="D992" s="21" t="n">
        <v>46100.4652777778</v>
      </c>
      <c r="E992" s="21" t="n">
        <v>46100.8125</v>
      </c>
      <c r="F992" s="22" t="n">
        <f aca="false">DATE(YEAR(E992),MONTH(E992),1)</f>
        <v>46082</v>
      </c>
      <c r="G992" s="23" t="n">
        <v>259533</v>
      </c>
      <c r="H992" s="8" t="s">
        <v>61</v>
      </c>
      <c r="I992" s="24" t="n">
        <v>14892.11</v>
      </c>
      <c r="J992" s="25" t="n">
        <f aca="false">Summary!$B$4</f>
        <v>1</v>
      </c>
      <c r="K992" s="11" t="n">
        <f aca="false">I992*J992*IF(A992="SILVER",Summary!$B$5,Summary!$B$6)</f>
        <v>446763.3</v>
      </c>
      <c r="L992" s="26" t="n">
        <v>3.186</v>
      </c>
      <c r="M992" s="27" t="n">
        <f aca="false">IF(K992&gt;0,1,0)</f>
        <v>1</v>
      </c>
      <c r="N992" s="11" t="n">
        <f aca="false">SUMIFS(K$2:K992,A$2:A992,A992,B$2:B992,B992)</f>
        <v>5598820.8</v>
      </c>
      <c r="O992" s="11" t="n">
        <f aca="false">MAX(0,_xlfn.MAXIFS(N$2:N992,A$2:A992,A992,B$2:B992,B992))</f>
        <v>5598820.8</v>
      </c>
      <c r="P992" s="11" t="n">
        <f aca="false">N992-O992</f>
        <v>0</v>
      </c>
    </row>
    <row r="993" customFormat="false" ht="15" hidden="false" customHeight="false" outlineLevel="0" collapsed="false">
      <c r="A993" s="8" t="s">
        <v>26</v>
      </c>
      <c r="B993" s="8" t="s">
        <v>43</v>
      </c>
      <c r="C993" s="8" t="s">
        <v>62</v>
      </c>
      <c r="D993" s="21" t="n">
        <v>46101.5069444445</v>
      </c>
      <c r="E993" s="21" t="n">
        <v>46104.6944444445</v>
      </c>
      <c r="F993" s="22" t="n">
        <f aca="false">DATE(YEAR(E993),MONTH(E993),1)</f>
        <v>46082</v>
      </c>
      <c r="G993" s="23" t="n">
        <v>248962</v>
      </c>
      <c r="H993" s="8" t="s">
        <v>61</v>
      </c>
      <c r="I993" s="24" t="n">
        <v>11562.8</v>
      </c>
      <c r="J993" s="25" t="n">
        <f aca="false">Summary!$B$4</f>
        <v>1</v>
      </c>
      <c r="K993" s="11" t="n">
        <f aca="false">I993*J993*IF(A993="SILVER",Summary!$B$5,Summary!$B$6)</f>
        <v>346884</v>
      </c>
      <c r="L993" s="26" t="n">
        <v>1.476</v>
      </c>
      <c r="M993" s="27" t="n">
        <f aca="false">IF(K993&gt;0,1,0)</f>
        <v>1</v>
      </c>
      <c r="N993" s="11" t="n">
        <f aca="false">SUMIFS(K$2:K993,A$2:A993,A993,B$2:B993,B993)</f>
        <v>5945704.8</v>
      </c>
      <c r="O993" s="11" t="n">
        <f aca="false">MAX(0,_xlfn.MAXIFS(N$2:N993,A$2:A993,A993,B$2:B993,B993))</f>
        <v>5945704.8</v>
      </c>
      <c r="P993" s="11" t="n">
        <f aca="false">N993-O993</f>
        <v>0</v>
      </c>
    </row>
    <row r="994" customFormat="false" ht="15" hidden="false" customHeight="false" outlineLevel="0" collapsed="false">
      <c r="A994" s="8" t="s">
        <v>26</v>
      </c>
      <c r="B994" s="8" t="s">
        <v>43</v>
      </c>
      <c r="C994" s="8" t="s">
        <v>62</v>
      </c>
      <c r="D994" s="21" t="n">
        <v>46105.3854166667</v>
      </c>
      <c r="E994" s="21" t="n">
        <v>46105.45</v>
      </c>
      <c r="F994" s="22" t="n">
        <f aca="false">DATE(YEAR(E994),MONTH(E994),1)</f>
        <v>46082</v>
      </c>
      <c r="G994" s="23" t="n">
        <v>234411</v>
      </c>
      <c r="H994" s="8" t="s">
        <v>64</v>
      </c>
      <c r="I994" s="24" t="n">
        <v>1427.77</v>
      </c>
      <c r="J994" s="25" t="n">
        <f aca="false">Summary!$B$4</f>
        <v>1</v>
      </c>
      <c r="K994" s="11" t="n">
        <f aca="false">I994*J994*IF(A994="SILVER",Summary!$B$5,Summary!$B$6)</f>
        <v>42833.1</v>
      </c>
      <c r="L994" s="26" t="n">
        <v>0.145</v>
      </c>
      <c r="M994" s="27" t="n">
        <f aca="false">IF(K994&gt;0,1,0)</f>
        <v>1</v>
      </c>
      <c r="N994" s="11" t="n">
        <f aca="false">SUMIFS(K$2:K994,A$2:A994,A994,B$2:B994,B994)</f>
        <v>5988537.9</v>
      </c>
      <c r="O994" s="11" t="n">
        <f aca="false">MAX(0,_xlfn.MAXIFS(N$2:N994,A$2:A994,A994,B$2:B994,B994))</f>
        <v>5988537.9</v>
      </c>
      <c r="P994" s="11" t="n">
        <f aca="false">N994-O994</f>
        <v>0</v>
      </c>
    </row>
    <row r="995" customFormat="false" ht="15" hidden="false" customHeight="false" outlineLevel="0" collapsed="false">
      <c r="A995" s="8" t="s">
        <v>26</v>
      </c>
      <c r="B995" s="8" t="s">
        <v>43</v>
      </c>
      <c r="C995" s="8" t="s">
        <v>62</v>
      </c>
      <c r="D995" s="21" t="n">
        <v>46105.7569444445</v>
      </c>
      <c r="E995" s="21" t="n">
        <v>46105.8076388889</v>
      </c>
      <c r="F995" s="22" t="n">
        <f aca="false">DATE(YEAR(E995),MONTH(E995),1)</f>
        <v>46082</v>
      </c>
      <c r="G995" s="23" t="n">
        <v>238720</v>
      </c>
      <c r="H995" s="8" t="s">
        <v>64</v>
      </c>
      <c r="I995" s="24" t="n">
        <v>754.8</v>
      </c>
      <c r="J995" s="25" t="n">
        <f aca="false">Summary!$B$4</f>
        <v>1</v>
      </c>
      <c r="K995" s="11" t="n">
        <f aca="false">I995*J995*IF(A995="SILVER",Summary!$B$5,Summary!$B$6)</f>
        <v>22644</v>
      </c>
      <c r="L995" s="26" t="n">
        <v>0.104</v>
      </c>
      <c r="M995" s="27" t="n">
        <f aca="false">IF(K995&gt;0,1,0)</f>
        <v>1</v>
      </c>
      <c r="N995" s="11" t="n">
        <f aca="false">SUMIFS(K$2:K995,A$2:A995,A995,B$2:B995,B995)</f>
        <v>6011181.9</v>
      </c>
      <c r="O995" s="11" t="n">
        <f aca="false">MAX(0,_xlfn.MAXIFS(N$2:N995,A$2:A995,A995,B$2:B995,B995))</f>
        <v>6011181.9</v>
      </c>
      <c r="P995" s="11" t="n">
        <f aca="false">N995-O995</f>
        <v>0</v>
      </c>
    </row>
    <row r="996" customFormat="false" ht="15" hidden="false" customHeight="false" outlineLevel="0" collapsed="false">
      <c r="A996" s="8" t="s">
        <v>26</v>
      </c>
      <c r="B996" s="8" t="s">
        <v>43</v>
      </c>
      <c r="C996" s="8" t="s">
        <v>62</v>
      </c>
      <c r="D996" s="21" t="n">
        <v>46118.80625</v>
      </c>
      <c r="E996" s="21" t="n">
        <v>46118.8215277778</v>
      </c>
      <c r="F996" s="22" t="n">
        <f aca="false">DATE(YEAR(E996),MONTH(E996),1)</f>
        <v>46113</v>
      </c>
      <c r="G996" s="23" t="n">
        <v>250785</v>
      </c>
      <c r="H996" s="8" t="s">
        <v>64</v>
      </c>
      <c r="I996" s="24" t="n">
        <v>404.53</v>
      </c>
      <c r="J996" s="25" t="n">
        <f aca="false">Summary!$B$4</f>
        <v>1</v>
      </c>
      <c r="K996" s="11" t="n">
        <f aca="false">I996*J996*IF(A996="SILVER",Summary!$B$5,Summary!$B$6)</f>
        <v>12135.9</v>
      </c>
      <c r="L996" s="26" t="n">
        <v>0.132</v>
      </c>
      <c r="M996" s="27" t="n">
        <f aca="false">IF(K996&gt;0,1,0)</f>
        <v>1</v>
      </c>
      <c r="N996" s="11" t="n">
        <f aca="false">SUMIFS(K$2:K996,A$2:A996,A996,B$2:B996,B996)</f>
        <v>6023317.8</v>
      </c>
      <c r="O996" s="11" t="n">
        <f aca="false">MAX(0,_xlfn.MAXIFS(N$2:N996,A$2:A996,A996,B$2:B996,B996))</f>
        <v>6023317.8</v>
      </c>
      <c r="P996" s="11" t="n">
        <f aca="false">N996-O996</f>
        <v>0</v>
      </c>
    </row>
    <row r="997" customFormat="false" ht="15" hidden="false" customHeight="false" outlineLevel="0" collapsed="false">
      <c r="A997" s="8" t="s">
        <v>26</v>
      </c>
      <c r="B997" s="8" t="s">
        <v>43</v>
      </c>
      <c r="C997" s="8" t="s">
        <v>62</v>
      </c>
      <c r="D997" s="21" t="n">
        <v>46119.46875</v>
      </c>
      <c r="E997" s="21" t="n">
        <v>46119.7673611111</v>
      </c>
      <c r="F997" s="22" t="n">
        <f aca="false">DATE(YEAR(E997),MONTH(E997),1)</f>
        <v>46113</v>
      </c>
      <c r="G997" s="23" t="n">
        <v>249235</v>
      </c>
      <c r="H997" s="8" t="s">
        <v>64</v>
      </c>
      <c r="I997" s="24" t="n">
        <v>496.6</v>
      </c>
      <c r="J997" s="25" t="n">
        <f aca="false">Summary!$B$4</f>
        <v>1</v>
      </c>
      <c r="K997" s="11" t="n">
        <f aca="false">I997*J997*IF(A997="SILVER",Summary!$B$5,Summary!$B$6)</f>
        <v>14898</v>
      </c>
      <c r="L997" s="26" t="n">
        <v>0.135</v>
      </c>
      <c r="M997" s="27" t="n">
        <f aca="false">IF(K997&gt;0,1,0)</f>
        <v>1</v>
      </c>
      <c r="N997" s="11" t="n">
        <f aca="false">SUMIFS(K$2:K997,A$2:A997,A997,B$2:B997,B997)</f>
        <v>6038215.8</v>
      </c>
      <c r="O997" s="11" t="n">
        <f aca="false">MAX(0,_xlfn.MAXIFS(N$2:N997,A$2:A997,A997,B$2:B997,B997))</f>
        <v>6038215.8</v>
      </c>
      <c r="P997" s="11" t="n">
        <f aca="false">N997-O997</f>
        <v>0</v>
      </c>
    </row>
    <row r="998" customFormat="false" ht="15" hidden="false" customHeight="false" outlineLevel="0" collapsed="false">
      <c r="A998" s="8" t="s">
        <v>26</v>
      </c>
      <c r="B998" s="8" t="s">
        <v>43</v>
      </c>
      <c r="C998" s="8" t="s">
        <v>62</v>
      </c>
      <c r="D998" s="21" t="n">
        <v>46119.8020833333</v>
      </c>
      <c r="E998" s="21" t="n">
        <v>46119.8381944444</v>
      </c>
      <c r="F998" s="22" t="n">
        <f aca="false">DATE(YEAR(E998),MONTH(E998),1)</f>
        <v>46113</v>
      </c>
      <c r="G998" s="23" t="n">
        <v>246471</v>
      </c>
      <c r="H998" s="8" t="s">
        <v>64</v>
      </c>
      <c r="I998" s="24" t="n">
        <v>578.61</v>
      </c>
      <c r="J998" s="25" t="n">
        <f aca="false">Summary!$B$4</f>
        <v>1</v>
      </c>
      <c r="K998" s="11" t="n">
        <f aca="false">I998*J998*IF(A998="SILVER",Summary!$B$5,Summary!$B$6)</f>
        <v>17358.3</v>
      </c>
      <c r="L998" s="26" t="n">
        <v>0.137</v>
      </c>
      <c r="M998" s="27" t="n">
        <f aca="false">IF(K998&gt;0,1,0)</f>
        <v>1</v>
      </c>
      <c r="N998" s="11" t="n">
        <f aca="false">SUMIFS(K$2:K998,A$2:A998,A998,B$2:B998,B998)</f>
        <v>6055574.1</v>
      </c>
      <c r="O998" s="11" t="n">
        <f aca="false">MAX(0,_xlfn.MAXIFS(N$2:N998,A$2:A998,A998,B$2:B998,B998))</f>
        <v>6055574.1</v>
      </c>
      <c r="P998" s="11" t="n">
        <f aca="false">N998-O998</f>
        <v>0</v>
      </c>
    </row>
    <row r="999" customFormat="false" ht="15" hidden="false" customHeight="false" outlineLevel="0" collapsed="false">
      <c r="A999" s="8" t="s">
        <v>26</v>
      </c>
      <c r="B999" s="8" t="s">
        <v>43</v>
      </c>
      <c r="C999" s="8" t="s">
        <v>62</v>
      </c>
      <c r="D999" s="21" t="n">
        <v>46133.90625</v>
      </c>
      <c r="E999" s="21" t="n">
        <v>46133.9652777778</v>
      </c>
      <c r="F999" s="22" t="n">
        <f aca="false">DATE(YEAR(E999),MONTH(E999),1)</f>
        <v>46113</v>
      </c>
      <c r="G999" s="23" t="n">
        <v>262630</v>
      </c>
      <c r="H999" s="8" t="s">
        <v>64</v>
      </c>
      <c r="I999" s="24" t="n">
        <v>467.59</v>
      </c>
      <c r="J999" s="25" t="n">
        <f aca="false">Summary!$B$4</f>
        <v>1</v>
      </c>
      <c r="K999" s="11" t="n">
        <f aca="false">I999*J999*IF(A999="SILVER",Summary!$B$5,Summary!$B$6)</f>
        <v>14027.7</v>
      </c>
      <c r="L999" s="26" t="n">
        <v>0.133</v>
      </c>
      <c r="M999" s="27" t="n">
        <f aca="false">IF(K999&gt;0,1,0)</f>
        <v>1</v>
      </c>
      <c r="N999" s="11" t="n">
        <f aca="false">SUMIFS(K$2:K999,A$2:A999,A999,B$2:B999,B999)</f>
        <v>6069601.8</v>
      </c>
      <c r="O999" s="11" t="n">
        <f aca="false">MAX(0,_xlfn.MAXIFS(N$2:N999,A$2:A999,A999,B$2:B999,B999))</f>
        <v>6069601.8</v>
      </c>
      <c r="P999" s="11" t="n">
        <f aca="false">N999-O999</f>
        <v>0</v>
      </c>
    </row>
    <row r="1000" customFormat="false" ht="15" hidden="false" customHeight="false" outlineLevel="0" collapsed="false">
      <c r="A1000" s="8" t="s">
        <v>26</v>
      </c>
      <c r="B1000" s="8" t="s">
        <v>43</v>
      </c>
      <c r="C1000" s="8" t="s">
        <v>62</v>
      </c>
      <c r="D1000" s="21" t="n">
        <v>46134.6527777778</v>
      </c>
      <c r="E1000" s="21" t="n">
        <v>46134.7881944445</v>
      </c>
      <c r="F1000" s="22" t="n">
        <f aca="false">DATE(YEAR(E1000),MONTH(E1000),1)</f>
        <v>46113</v>
      </c>
      <c r="G1000" s="23" t="n">
        <v>265885</v>
      </c>
      <c r="H1000" s="8" t="s">
        <v>64</v>
      </c>
      <c r="I1000" s="24" t="n">
        <v>200.56</v>
      </c>
      <c r="J1000" s="25" t="n">
        <f aca="false">Summary!$B$4</f>
        <v>1</v>
      </c>
      <c r="K1000" s="11" t="n">
        <f aca="false">I1000*J1000*IF(A1000="SILVER",Summary!$B$5,Summary!$B$6)</f>
        <v>6016.8</v>
      </c>
      <c r="L1000" s="26" t="n">
        <v>0.116</v>
      </c>
      <c r="M1000" s="27" t="n">
        <f aca="false">IF(K1000&gt;0,1,0)</f>
        <v>1</v>
      </c>
      <c r="N1000" s="11" t="n">
        <f aca="false">SUMIFS(K$2:K1000,A$2:A1000,A1000,B$2:B1000,B1000)</f>
        <v>6075618.6</v>
      </c>
      <c r="O1000" s="11" t="n">
        <f aca="false">MAX(0,_xlfn.MAXIFS(N$2:N1000,A$2:A1000,A1000,B$2:B1000,B1000))</f>
        <v>6075618.6</v>
      </c>
      <c r="P1000" s="11" t="n">
        <f aca="false">N1000-O1000</f>
        <v>0</v>
      </c>
    </row>
    <row r="1001" customFormat="false" ht="15" hidden="false" customHeight="false" outlineLevel="0" collapsed="false">
      <c r="A1001" s="8" t="s">
        <v>26</v>
      </c>
      <c r="B1001" s="8" t="s">
        <v>43</v>
      </c>
      <c r="C1001" s="8" t="s">
        <v>62</v>
      </c>
      <c r="D1001" s="21" t="n">
        <v>46135.3784722222</v>
      </c>
      <c r="E1001" s="21" t="n">
        <v>46135.7256944445</v>
      </c>
      <c r="F1001" s="22" t="n">
        <f aca="false">DATE(YEAR(E1001),MONTH(E1001),1)</f>
        <v>46113</v>
      </c>
      <c r="G1001" s="23" t="n">
        <v>260940</v>
      </c>
      <c r="H1001" s="8" t="s">
        <v>61</v>
      </c>
      <c r="I1001" s="24" t="n">
        <v>665.36</v>
      </c>
      <c r="J1001" s="25" t="n">
        <f aca="false">Summary!$B$4</f>
        <v>1</v>
      </c>
      <c r="K1001" s="11" t="n">
        <f aca="false">I1001*J1001*IF(A1001="SILVER",Summary!$B$5,Summary!$B$6)</f>
        <v>19960.8</v>
      </c>
      <c r="L1001" s="26" t="n">
        <v>0.219</v>
      </c>
      <c r="M1001" s="27" t="n">
        <f aca="false">IF(K1001&gt;0,1,0)</f>
        <v>1</v>
      </c>
      <c r="N1001" s="11" t="n">
        <f aca="false">SUMIFS(K$2:K1001,A$2:A1001,A1001,B$2:B1001,B1001)</f>
        <v>6095579.4</v>
      </c>
      <c r="O1001" s="11" t="n">
        <f aca="false">MAX(0,_xlfn.MAXIFS(N$2:N1001,A$2:A1001,A1001,B$2:B1001,B1001))</f>
        <v>6095579.4</v>
      </c>
      <c r="P1001" s="11" t="n">
        <f aca="false">N1001-O1001</f>
        <v>0</v>
      </c>
    </row>
    <row r="1002" customFormat="false" ht="15" hidden="false" customHeight="false" outlineLevel="0" collapsed="false">
      <c r="A1002" s="8" t="s">
        <v>26</v>
      </c>
      <c r="B1002" s="8" t="s">
        <v>43</v>
      </c>
      <c r="C1002" s="8" t="s">
        <v>62</v>
      </c>
      <c r="D1002" s="21" t="n">
        <v>46135.9513888889</v>
      </c>
      <c r="E1002" s="21" t="n">
        <v>46135.9770833333</v>
      </c>
      <c r="F1002" s="22" t="n">
        <f aca="false">DATE(YEAR(E1002),MONTH(E1002),1)</f>
        <v>46113</v>
      </c>
      <c r="G1002" s="23" t="n">
        <v>260023</v>
      </c>
      <c r="H1002" s="8" t="s">
        <v>64</v>
      </c>
      <c r="I1002" s="24" t="n">
        <v>399.63</v>
      </c>
      <c r="J1002" s="25" t="n">
        <f aca="false">Summary!$B$4</f>
        <v>1</v>
      </c>
      <c r="K1002" s="11" t="n">
        <f aca="false">I1002*J1002*IF(A1002="SILVER",Summary!$B$5,Summary!$B$6)</f>
        <v>11988.9</v>
      </c>
      <c r="L1002" s="26" t="n">
        <v>0.131</v>
      </c>
      <c r="M1002" s="27" t="n">
        <f aca="false">IF(K1002&gt;0,1,0)</f>
        <v>1</v>
      </c>
      <c r="N1002" s="11" t="n">
        <f aca="false">SUMIFS(K$2:K1002,A$2:A1002,A1002,B$2:B1002,B1002)</f>
        <v>6107568.3</v>
      </c>
      <c r="O1002" s="11" t="n">
        <f aca="false">MAX(0,_xlfn.MAXIFS(N$2:N1002,A$2:A1002,A1002,B$2:B1002,B1002))</f>
        <v>6107568.3</v>
      </c>
      <c r="P1002" s="11" t="n">
        <f aca="false">N1002-O1002</f>
        <v>0</v>
      </c>
    </row>
    <row r="1003" customFormat="false" ht="15" hidden="false" customHeight="false" outlineLevel="0" collapsed="false">
      <c r="A1003" s="8" t="s">
        <v>26</v>
      </c>
      <c r="B1003" s="8" t="s">
        <v>43</v>
      </c>
      <c r="C1003" s="8" t="s">
        <v>62</v>
      </c>
      <c r="D1003" s="21" t="n">
        <v>46136.5034722222</v>
      </c>
      <c r="E1003" s="21" t="n">
        <v>46136.6909722222</v>
      </c>
      <c r="F1003" s="22" t="n">
        <f aca="false">DATE(YEAR(E1003),MONTH(E1003),1)</f>
        <v>46113</v>
      </c>
      <c r="G1003" s="23" t="n">
        <v>256559</v>
      </c>
      <c r="H1003" s="8" t="s">
        <v>61</v>
      </c>
      <c r="I1003" s="24" t="n">
        <v>-2340.08</v>
      </c>
      <c r="J1003" s="25" t="n">
        <f aca="false">Summary!$B$4</f>
        <v>1</v>
      </c>
      <c r="K1003" s="11" t="n">
        <f aca="false">I1003*J1003*IF(A1003="SILVER",Summary!$B$5,Summary!$B$6)</f>
        <v>-70202.4</v>
      </c>
      <c r="L1003" s="26" t="n">
        <v>-0.782</v>
      </c>
      <c r="M1003" s="27" t="n">
        <f aca="false">IF(K1003&gt;0,1,0)</f>
        <v>0</v>
      </c>
      <c r="N1003" s="11" t="n">
        <f aca="false">SUMIFS(K$2:K1003,A$2:A1003,A1003,B$2:B1003,B1003)</f>
        <v>6037365.9</v>
      </c>
      <c r="O1003" s="11" t="n">
        <f aca="false">MAX(0,_xlfn.MAXIFS(N$2:N1003,A$2:A1003,A1003,B$2:B1003,B1003))</f>
        <v>6107568.3</v>
      </c>
      <c r="P1003" s="11" t="n">
        <f aca="false">N1003-O1003</f>
        <v>-70202.3999999994</v>
      </c>
    </row>
    <row r="1004" customFormat="false" ht="15" hidden="false" customHeight="false" outlineLevel="0" collapsed="false">
      <c r="A1004" s="8" t="s">
        <v>26</v>
      </c>
      <c r="B1004" s="8" t="s">
        <v>43</v>
      </c>
      <c r="C1004" s="8" t="s">
        <v>62</v>
      </c>
      <c r="D1004" s="21" t="n">
        <v>46139.7604166667</v>
      </c>
      <c r="E1004" s="21" t="n">
        <v>46139.80625</v>
      </c>
      <c r="F1004" s="22" t="n">
        <f aca="false">DATE(YEAR(E1004),MONTH(E1004),1)</f>
        <v>46113</v>
      </c>
      <c r="G1004" s="23" t="n">
        <v>259186</v>
      </c>
      <c r="H1004" s="8" t="s">
        <v>64</v>
      </c>
      <c r="I1004" s="24" t="n">
        <v>263.44</v>
      </c>
      <c r="J1004" s="25" t="n">
        <f aca="false">Summary!$B$4</f>
        <v>1</v>
      </c>
      <c r="K1004" s="11" t="n">
        <f aca="false">I1004*J1004*IF(A1004="SILVER",Summary!$B$5,Summary!$B$6)</f>
        <v>7903.2</v>
      </c>
      <c r="L1004" s="26" t="n">
        <v>0.123</v>
      </c>
      <c r="M1004" s="27" t="n">
        <f aca="false">IF(K1004&gt;0,1,0)</f>
        <v>1</v>
      </c>
      <c r="N1004" s="11" t="n">
        <f aca="false">SUMIFS(K$2:K1004,A$2:A1004,A1004,B$2:B1004,B1004)</f>
        <v>6045269.1</v>
      </c>
      <c r="O1004" s="11" t="n">
        <f aca="false">MAX(0,_xlfn.MAXIFS(N$2:N1004,A$2:A1004,A1004,B$2:B1004,B1004))</f>
        <v>6107568.3</v>
      </c>
      <c r="P1004" s="11" t="n">
        <f aca="false">N1004-O1004</f>
        <v>-62299.1999999993</v>
      </c>
    </row>
    <row r="1005" customFormat="false" ht="15" hidden="false" customHeight="false" outlineLevel="0" collapsed="false">
      <c r="A1005" s="8" t="s">
        <v>26</v>
      </c>
      <c r="B1005" s="8" t="s">
        <v>43</v>
      </c>
      <c r="C1005" s="8" t="s">
        <v>62</v>
      </c>
      <c r="D1005" s="21" t="n">
        <v>46139.8576388889</v>
      </c>
      <c r="E1005" s="21" t="n">
        <v>46140.45625</v>
      </c>
      <c r="F1005" s="22" t="n">
        <f aca="false">DATE(YEAR(E1005),MONTH(E1005),1)</f>
        <v>46113</v>
      </c>
      <c r="G1005" s="23" t="n">
        <v>257636</v>
      </c>
      <c r="H1005" s="8" t="s">
        <v>64</v>
      </c>
      <c r="I1005" s="24" t="n">
        <v>465.88</v>
      </c>
      <c r="J1005" s="25" t="n">
        <f aca="false">Summary!$B$4</f>
        <v>1</v>
      </c>
      <c r="K1005" s="11" t="n">
        <f aca="false">I1005*J1005*IF(A1005="SILVER",Summary!$B$5,Summary!$B$6)</f>
        <v>13976.4</v>
      </c>
      <c r="L1005" s="26" t="n">
        <v>0.133</v>
      </c>
      <c r="M1005" s="27" t="n">
        <f aca="false">IF(K1005&gt;0,1,0)</f>
        <v>1</v>
      </c>
      <c r="N1005" s="11" t="n">
        <f aca="false">SUMIFS(K$2:K1005,A$2:A1005,A1005,B$2:B1005,B1005)</f>
        <v>6059245.5</v>
      </c>
      <c r="O1005" s="11" t="n">
        <f aca="false">MAX(0,_xlfn.MAXIFS(N$2:N1005,A$2:A1005,A1005,B$2:B1005,B1005))</f>
        <v>6107568.3</v>
      </c>
      <c r="P1005" s="11" t="n">
        <f aca="false">N1005-O1005</f>
        <v>-48322.7999999998</v>
      </c>
    </row>
    <row r="1006" customFormat="false" ht="15" hidden="false" customHeight="false" outlineLevel="0" collapsed="false">
      <c r="A1006" s="8" t="s">
        <v>26</v>
      </c>
      <c r="B1006" s="8" t="s">
        <v>43</v>
      </c>
      <c r="C1006" s="8" t="s">
        <v>62</v>
      </c>
      <c r="D1006" s="21" t="n">
        <v>46140.4618055556</v>
      </c>
      <c r="E1006" s="21" t="n">
        <v>46140.4680555556</v>
      </c>
      <c r="F1006" s="22" t="n">
        <f aca="false">DATE(YEAR(E1006),MONTH(E1006),1)</f>
        <v>46113</v>
      </c>
      <c r="G1006" s="23" t="n">
        <v>255335</v>
      </c>
      <c r="H1006" s="8" t="s">
        <v>64</v>
      </c>
      <c r="I1006" s="24" t="n">
        <v>419.08</v>
      </c>
      <c r="J1006" s="25" t="n">
        <f aca="false">Summary!$B$4</f>
        <v>1</v>
      </c>
      <c r="K1006" s="11" t="n">
        <f aca="false">I1006*J1006*IF(A1006="SILVER",Summary!$B$5,Summary!$B$6)</f>
        <v>12572.4</v>
      </c>
      <c r="L1006" s="26" t="n">
        <v>0.132</v>
      </c>
      <c r="M1006" s="27" t="n">
        <f aca="false">IF(K1006&gt;0,1,0)</f>
        <v>1</v>
      </c>
      <c r="N1006" s="11" t="n">
        <f aca="false">SUMIFS(K$2:K1006,A$2:A1006,A1006,B$2:B1006,B1006)</f>
        <v>6071817.9</v>
      </c>
      <c r="O1006" s="11" t="n">
        <f aca="false">MAX(0,_xlfn.MAXIFS(N$2:N1006,A$2:A1006,A1006,B$2:B1006,B1006))</f>
        <v>6107568.3</v>
      </c>
      <c r="P1006" s="11" t="n">
        <f aca="false">N1006-O1006</f>
        <v>-35750.3999999994</v>
      </c>
    </row>
    <row r="1007" customFormat="false" ht="15" hidden="false" customHeight="false" outlineLevel="0" collapsed="false">
      <c r="A1007" s="8" t="s">
        <v>26</v>
      </c>
      <c r="B1007" s="8" t="s">
        <v>43</v>
      </c>
      <c r="C1007" s="8" t="s">
        <v>62</v>
      </c>
      <c r="D1007" s="21" t="n">
        <v>46140.46875</v>
      </c>
      <c r="E1007" s="21" t="n">
        <v>46140.4979166667</v>
      </c>
      <c r="F1007" s="22" t="n">
        <f aca="false">DATE(YEAR(E1007),MONTH(E1007),1)</f>
        <v>46113</v>
      </c>
      <c r="G1007" s="23" t="n">
        <v>254680</v>
      </c>
      <c r="H1007" s="8" t="s">
        <v>64</v>
      </c>
      <c r="I1007" s="24" t="n">
        <v>319.31</v>
      </c>
      <c r="J1007" s="25" t="n">
        <f aca="false">Summary!$B$4</f>
        <v>1</v>
      </c>
      <c r="K1007" s="11" t="n">
        <f aca="false">I1007*J1007*IF(A1007="SILVER",Summary!$B$5,Summary!$B$6)</f>
        <v>9579.3</v>
      </c>
      <c r="L1007" s="26" t="n">
        <v>0.127</v>
      </c>
      <c r="M1007" s="27" t="n">
        <f aca="false">IF(K1007&gt;0,1,0)</f>
        <v>1</v>
      </c>
      <c r="N1007" s="11" t="n">
        <f aca="false">SUMIFS(K$2:K1007,A$2:A1007,A1007,B$2:B1007,B1007)</f>
        <v>6081397.2</v>
      </c>
      <c r="O1007" s="11" t="n">
        <f aca="false">MAX(0,_xlfn.MAXIFS(N$2:N1007,A$2:A1007,A1007,B$2:B1007,B1007))</f>
        <v>6107568.3</v>
      </c>
      <c r="P1007" s="11" t="n">
        <f aca="false">N1007-O1007</f>
        <v>-26171.0999999996</v>
      </c>
    </row>
    <row r="1008" customFormat="false" ht="15" hidden="false" customHeight="false" outlineLevel="0" collapsed="false">
      <c r="A1008" s="8" t="s">
        <v>26</v>
      </c>
      <c r="B1008" s="8" t="s">
        <v>43</v>
      </c>
      <c r="C1008" s="8" t="s">
        <v>62</v>
      </c>
      <c r="D1008" s="21" t="n">
        <v>46140.5659722222</v>
      </c>
      <c r="E1008" s="21" t="n">
        <v>46140.7395833333</v>
      </c>
      <c r="F1008" s="22" t="n">
        <f aca="false">DATE(YEAR(E1008),MONTH(E1008),1)</f>
        <v>46113</v>
      </c>
      <c r="G1008" s="23" t="n">
        <v>253848</v>
      </c>
      <c r="H1008" s="8" t="s">
        <v>64</v>
      </c>
      <c r="I1008" s="24" t="n">
        <v>428.76</v>
      </c>
      <c r="J1008" s="25" t="n">
        <f aca="false">Summary!$B$4</f>
        <v>1</v>
      </c>
      <c r="K1008" s="11" t="n">
        <f aca="false">I1008*J1008*IF(A1008="SILVER",Summary!$B$5,Summary!$B$6)</f>
        <v>12862.8</v>
      </c>
      <c r="L1008" s="26" t="n">
        <v>0.132</v>
      </c>
      <c r="M1008" s="27" t="n">
        <f aca="false">IF(K1008&gt;0,1,0)</f>
        <v>1</v>
      </c>
      <c r="N1008" s="11" t="n">
        <f aca="false">SUMIFS(K$2:K1008,A$2:A1008,A1008,B$2:B1008,B1008)</f>
        <v>6094260</v>
      </c>
      <c r="O1008" s="11" t="n">
        <f aca="false">MAX(0,_xlfn.MAXIFS(N$2:N1008,A$2:A1008,A1008,B$2:B1008,B1008))</f>
        <v>6107568.3</v>
      </c>
      <c r="P1008" s="11" t="n">
        <f aca="false">N1008-O1008</f>
        <v>-13308.2999999998</v>
      </c>
    </row>
    <row r="1009" customFormat="false" ht="15" hidden="false" customHeight="false" outlineLevel="0" collapsed="false">
      <c r="A1009" s="8" t="s">
        <v>26</v>
      </c>
      <c r="B1009" s="8" t="s">
        <v>43</v>
      </c>
      <c r="C1009" s="8" t="s">
        <v>62</v>
      </c>
      <c r="D1009" s="21" t="n">
        <v>46141.54375</v>
      </c>
      <c r="E1009" s="21" t="n">
        <v>46141.6583333333</v>
      </c>
      <c r="F1009" s="22" t="n">
        <f aca="false">DATE(YEAR(E1009),MONTH(E1009),1)</f>
        <v>46113</v>
      </c>
      <c r="G1009" s="23" t="n">
        <v>254135</v>
      </c>
      <c r="H1009" s="8" t="s">
        <v>64</v>
      </c>
      <c r="I1009" s="24" t="n">
        <v>197.69</v>
      </c>
      <c r="J1009" s="25" t="n">
        <f aca="false">Summary!$B$4</f>
        <v>1</v>
      </c>
      <c r="K1009" s="11" t="n">
        <f aca="false">I1009*J1009*IF(A1009="SILVER",Summary!$B$5,Summary!$B$6)</f>
        <v>5930.7</v>
      </c>
      <c r="L1009" s="26" t="n">
        <v>0.11</v>
      </c>
      <c r="M1009" s="27" t="n">
        <f aca="false">IF(K1009&gt;0,1,0)</f>
        <v>1</v>
      </c>
      <c r="N1009" s="11" t="n">
        <f aca="false">SUMIFS(K$2:K1009,A$2:A1009,A1009,B$2:B1009,B1009)</f>
        <v>6100190.7</v>
      </c>
      <c r="O1009" s="11" t="n">
        <f aca="false">MAX(0,_xlfn.MAXIFS(N$2:N1009,A$2:A1009,A1009,B$2:B1009,B1009))</f>
        <v>6107568.3</v>
      </c>
      <c r="P1009" s="11" t="n">
        <f aca="false">N1009-O1009</f>
        <v>-7377.59999999963</v>
      </c>
    </row>
    <row r="1010" customFormat="false" ht="15" hidden="false" customHeight="false" outlineLevel="0" collapsed="false">
      <c r="A1010" s="8" t="s">
        <v>26</v>
      </c>
      <c r="B1010" s="8" t="s">
        <v>43</v>
      </c>
      <c r="C1010" s="8" t="s">
        <v>62</v>
      </c>
      <c r="D1010" s="21" t="n">
        <v>46141.7256944445</v>
      </c>
      <c r="E1010" s="21" t="n">
        <v>46142.4409722222</v>
      </c>
      <c r="F1010" s="22" t="n">
        <f aca="false">DATE(YEAR(E1010),MONTH(E1010),1)</f>
        <v>46113</v>
      </c>
      <c r="G1010" s="23" t="n">
        <v>252785</v>
      </c>
      <c r="H1010" s="8" t="s">
        <v>64</v>
      </c>
      <c r="I1010" s="24" t="n">
        <v>172.19</v>
      </c>
      <c r="J1010" s="25" t="n">
        <f aca="false">Summary!$B$4</f>
        <v>1</v>
      </c>
      <c r="K1010" s="11" t="n">
        <f aca="false">I1010*J1010*IF(A1010="SILVER",Summary!$B$5,Summary!$B$6)</f>
        <v>5165.7</v>
      </c>
      <c r="L1010" s="26" t="n">
        <v>0.113</v>
      </c>
      <c r="M1010" s="27" t="n">
        <f aca="false">IF(K1010&gt;0,1,0)</f>
        <v>1</v>
      </c>
      <c r="N1010" s="11" t="n">
        <f aca="false">SUMIFS(K$2:K1010,A$2:A1010,A1010,B$2:B1010,B1010)</f>
        <v>6105356.4</v>
      </c>
      <c r="O1010" s="11" t="n">
        <f aca="false">MAX(0,_xlfn.MAXIFS(N$2:N1010,A$2:A1010,A1010,B$2:B1010,B1010))</f>
        <v>6107568.3</v>
      </c>
      <c r="P1010" s="11" t="n">
        <f aca="false">N1010-O1010</f>
        <v>-2211.89999999944</v>
      </c>
    </row>
    <row r="1011" customFormat="false" ht="15" hidden="false" customHeight="false" outlineLevel="0" collapsed="false">
      <c r="A1011" s="8" t="s">
        <v>26</v>
      </c>
      <c r="B1011" s="8" t="s">
        <v>43</v>
      </c>
      <c r="C1011" s="8" t="s">
        <v>62</v>
      </c>
      <c r="D1011" s="21" t="n">
        <v>46142.8756944445</v>
      </c>
      <c r="E1011" s="21" t="n">
        <v>46142.9423611111</v>
      </c>
      <c r="F1011" s="22" t="n">
        <f aca="false">DATE(YEAR(E1011),MONTH(E1011),1)</f>
        <v>46113</v>
      </c>
      <c r="G1011" s="23" t="n">
        <v>256085</v>
      </c>
      <c r="H1011" s="8" t="s">
        <v>64</v>
      </c>
      <c r="I1011" s="24" t="n">
        <v>-357.67</v>
      </c>
      <c r="J1011" s="25" t="n">
        <f aca="false">Summary!$B$4</f>
        <v>1</v>
      </c>
      <c r="K1011" s="11" t="n">
        <f aca="false">I1011*J1011*IF(A1011="SILVER",Summary!$B$5,Summary!$B$6)</f>
        <v>-10730.1</v>
      </c>
      <c r="L1011" s="26" t="n">
        <v>-0.247</v>
      </c>
      <c r="M1011" s="27" t="n">
        <f aca="false">IF(K1011&gt;0,1,0)</f>
        <v>0</v>
      </c>
      <c r="N1011" s="11" t="n">
        <f aca="false">SUMIFS(K$2:K1011,A$2:A1011,A1011,B$2:B1011,B1011)</f>
        <v>6094626.3</v>
      </c>
      <c r="O1011" s="11" t="n">
        <f aca="false">MAX(0,_xlfn.MAXIFS(N$2:N1011,A$2:A1011,A1011,B$2:B1011,B1011))</f>
        <v>6107568.3</v>
      </c>
      <c r="P1011" s="11" t="n">
        <f aca="false">N1011-O1011</f>
        <v>-12942</v>
      </c>
    </row>
    <row r="1012" customFormat="false" ht="15" hidden="false" customHeight="false" outlineLevel="0" collapsed="false">
      <c r="A1012" s="8" t="s">
        <v>26</v>
      </c>
      <c r="B1012" s="8" t="s">
        <v>43</v>
      </c>
      <c r="C1012" s="8" t="s">
        <v>62</v>
      </c>
      <c r="D1012" s="21" t="n">
        <v>46148.7326388889</v>
      </c>
      <c r="E1012" s="21" t="n">
        <v>46148.74375</v>
      </c>
      <c r="F1012" s="22" t="n">
        <f aca="false">DATE(YEAR(E1012),MONTH(E1012),1)</f>
        <v>46143</v>
      </c>
      <c r="G1012" s="23" t="n">
        <v>259040</v>
      </c>
      <c r="H1012" s="8" t="s">
        <v>64</v>
      </c>
      <c r="I1012" s="24" t="n">
        <v>458.87</v>
      </c>
      <c r="J1012" s="25" t="n">
        <f aca="false">Summary!$B$4</f>
        <v>1</v>
      </c>
      <c r="K1012" s="11" t="n">
        <f aca="false">I1012*J1012*IF(A1012="SILVER",Summary!$B$5,Summary!$B$6)</f>
        <v>13766.1</v>
      </c>
      <c r="L1012" s="26" t="n">
        <v>0.133</v>
      </c>
      <c r="M1012" s="27" t="n">
        <f aca="false">IF(K1012&gt;0,1,0)</f>
        <v>1</v>
      </c>
      <c r="N1012" s="11" t="n">
        <f aca="false">SUMIFS(K$2:K1012,A$2:A1012,A1012,B$2:B1012,B1012)</f>
        <v>6108392.4</v>
      </c>
      <c r="O1012" s="11" t="n">
        <f aca="false">MAX(0,_xlfn.MAXIFS(N$2:N1012,A$2:A1012,A1012,B$2:B1012,B1012))</f>
        <v>6108392.4</v>
      </c>
      <c r="P1012" s="11" t="n">
        <f aca="false">N1012-O1012</f>
        <v>0</v>
      </c>
    </row>
    <row r="1013" customFormat="false" ht="15" hidden="false" customHeight="false" outlineLevel="0" collapsed="false">
      <c r="A1013" s="8" t="s">
        <v>26</v>
      </c>
      <c r="B1013" s="8" t="s">
        <v>43</v>
      </c>
      <c r="C1013" s="8" t="s">
        <v>62</v>
      </c>
      <c r="D1013" s="21" t="n">
        <v>46157.4513888889</v>
      </c>
      <c r="E1013" s="21" t="n">
        <v>46160.3993055556</v>
      </c>
      <c r="F1013" s="22" t="n">
        <f aca="false">DATE(YEAR(E1013),MONTH(E1013),1)</f>
        <v>46143</v>
      </c>
      <c r="G1013" s="23" t="n">
        <v>285469</v>
      </c>
      <c r="H1013" s="8" t="s">
        <v>61</v>
      </c>
      <c r="I1013" s="24" t="n">
        <v>4934.8</v>
      </c>
      <c r="J1013" s="25" t="n">
        <f aca="false">Summary!$B$4</f>
        <v>1</v>
      </c>
      <c r="K1013" s="11" t="n">
        <f aca="false">I1013*J1013*IF(A1013="SILVER",Summary!$B$5,Summary!$B$6)</f>
        <v>148044</v>
      </c>
      <c r="L1013" s="26" t="n">
        <v>0.798</v>
      </c>
      <c r="M1013" s="27" t="n">
        <f aca="false">IF(K1013&gt;0,1,0)</f>
        <v>1</v>
      </c>
      <c r="N1013" s="11" t="n">
        <f aca="false">SUMIFS(K$2:K1013,A$2:A1013,A1013,B$2:B1013,B1013)</f>
        <v>6256436.4</v>
      </c>
      <c r="O1013" s="11" t="n">
        <f aca="false">MAX(0,_xlfn.MAXIFS(N$2:N1013,A$2:A1013,A1013,B$2:B1013,B1013))</f>
        <v>6256436.4</v>
      </c>
      <c r="P1013" s="11" t="n">
        <f aca="false">N1013-O1013</f>
        <v>0</v>
      </c>
    </row>
    <row r="1014" customFormat="false" ht="15" hidden="false" customHeight="false" outlineLevel="0" collapsed="false">
      <c r="A1014" s="8" t="s">
        <v>26</v>
      </c>
      <c r="B1014" s="8" t="s">
        <v>43</v>
      </c>
      <c r="C1014" s="8" t="s">
        <v>62</v>
      </c>
      <c r="D1014" s="21" t="n">
        <v>46161.4097222222</v>
      </c>
      <c r="E1014" s="21" t="n">
        <v>46161.4569444444</v>
      </c>
      <c r="F1014" s="22" t="n">
        <f aca="false">DATE(YEAR(E1014),MONTH(E1014),1)</f>
        <v>46143</v>
      </c>
      <c r="G1014" s="23" t="n">
        <v>281749</v>
      </c>
      <c r="H1014" s="8" t="s">
        <v>64</v>
      </c>
      <c r="I1014" s="24" t="n">
        <v>504.61</v>
      </c>
      <c r="J1014" s="25" t="n">
        <f aca="false">Summary!$B$4</f>
        <v>1</v>
      </c>
      <c r="K1014" s="11" t="n">
        <f aca="false">I1014*J1014*IF(A1014="SILVER",Summary!$B$5,Summary!$B$6)</f>
        <v>15138.3</v>
      </c>
      <c r="L1014" s="26" t="n">
        <v>0.133</v>
      </c>
      <c r="M1014" s="27" t="n">
        <f aca="false">IF(K1014&gt;0,1,0)</f>
        <v>1</v>
      </c>
      <c r="N1014" s="11" t="n">
        <f aca="false">SUMIFS(K$2:K1014,A$2:A1014,A1014,B$2:B1014,B1014)</f>
        <v>6271574.7</v>
      </c>
      <c r="O1014" s="11" t="n">
        <f aca="false">MAX(0,_xlfn.MAXIFS(N$2:N1014,A$2:A1014,A1014,B$2:B1014,B1014))</f>
        <v>6271574.7</v>
      </c>
      <c r="P1014" s="11" t="n">
        <f aca="false">N1014-O1014</f>
        <v>0</v>
      </c>
    </row>
    <row r="1015" customFormat="false" ht="15" hidden="false" customHeight="false" outlineLevel="0" collapsed="false">
      <c r="A1015" s="8" t="s">
        <v>26</v>
      </c>
      <c r="B1015" s="8" t="s">
        <v>43</v>
      </c>
      <c r="C1015" s="8" t="s">
        <v>62</v>
      </c>
      <c r="D1015" s="21" t="n">
        <v>46161.7881944445</v>
      </c>
      <c r="E1015" s="21" t="n">
        <v>46161.8027777778</v>
      </c>
      <c r="F1015" s="22" t="n">
        <f aca="false">DATE(YEAR(E1015),MONTH(E1015),1)</f>
        <v>46143</v>
      </c>
      <c r="G1015" s="23" t="n">
        <v>276417</v>
      </c>
      <c r="H1015" s="8" t="s">
        <v>64</v>
      </c>
      <c r="I1015" s="24" t="n">
        <v>860.79</v>
      </c>
      <c r="J1015" s="25" t="n">
        <f aca="false">Summary!$B$4</f>
        <v>1</v>
      </c>
      <c r="K1015" s="11" t="n">
        <f aca="false">I1015*J1015*IF(A1015="SILVER",Summary!$B$5,Summary!$B$6)</f>
        <v>25823.7</v>
      </c>
      <c r="L1015" s="26" t="n">
        <v>0.14</v>
      </c>
      <c r="M1015" s="27" t="n">
        <f aca="false">IF(K1015&gt;0,1,0)</f>
        <v>1</v>
      </c>
      <c r="N1015" s="11" t="n">
        <f aca="false">SUMIFS(K$2:K1015,A$2:A1015,A1015,B$2:B1015,B1015)</f>
        <v>6297398.4</v>
      </c>
      <c r="O1015" s="11" t="n">
        <f aca="false">MAX(0,_xlfn.MAXIFS(N$2:N1015,A$2:A1015,A1015,B$2:B1015,B1015))</f>
        <v>6297398.4</v>
      </c>
      <c r="P1015" s="11" t="n">
        <f aca="false">N1015-O1015</f>
        <v>0</v>
      </c>
    </row>
    <row r="1016" customFormat="false" ht="15" hidden="false" customHeight="false" outlineLevel="0" collapsed="false">
      <c r="A1016" s="8" t="s">
        <v>26</v>
      </c>
      <c r="B1016" s="8" t="s">
        <v>43</v>
      </c>
      <c r="C1016" s="8" t="s">
        <v>62</v>
      </c>
      <c r="D1016" s="21" t="n">
        <v>46162.7916666667</v>
      </c>
      <c r="E1016" s="21" t="n">
        <v>46162.8222222222</v>
      </c>
      <c r="F1016" s="22" t="n">
        <f aca="false">DATE(YEAR(E1016),MONTH(E1016),1)</f>
        <v>46143</v>
      </c>
      <c r="G1016" s="23" t="n">
        <v>278146</v>
      </c>
      <c r="H1016" s="8" t="s">
        <v>64</v>
      </c>
      <c r="I1016" s="24" t="n">
        <v>546.86</v>
      </c>
      <c r="J1016" s="25" t="n">
        <f aca="false">Summary!$B$4</f>
        <v>1</v>
      </c>
      <c r="K1016" s="11" t="n">
        <f aca="false">I1016*J1016*IF(A1016="SILVER",Summary!$B$5,Summary!$B$6)</f>
        <v>16405.8</v>
      </c>
      <c r="L1016" s="26" t="n">
        <v>0.134</v>
      </c>
      <c r="M1016" s="27" t="n">
        <f aca="false">IF(K1016&gt;0,1,0)</f>
        <v>1</v>
      </c>
      <c r="N1016" s="11" t="n">
        <f aca="false">SUMIFS(K$2:K1016,A$2:A1016,A1016,B$2:B1016,B1016)</f>
        <v>6313804.2</v>
      </c>
      <c r="O1016" s="11" t="n">
        <f aca="false">MAX(0,_xlfn.MAXIFS(N$2:N1016,A$2:A1016,A1016,B$2:B1016,B1016))</f>
        <v>6313804.2</v>
      </c>
      <c r="P1016" s="11" t="n">
        <f aca="false">N1016-O1016</f>
        <v>0</v>
      </c>
    </row>
    <row r="1017" customFormat="false" ht="15" hidden="false" customHeight="false" outlineLevel="0" collapsed="false">
      <c r="A1017" s="8" t="s">
        <v>26</v>
      </c>
      <c r="B1017" s="8" t="s">
        <v>43</v>
      </c>
      <c r="C1017" s="8" t="s">
        <v>62</v>
      </c>
      <c r="D1017" s="21" t="n">
        <v>46163.4722222222</v>
      </c>
      <c r="E1017" s="21" t="n">
        <v>46163.5034722222</v>
      </c>
      <c r="F1017" s="22" t="n">
        <f aca="false">DATE(YEAR(E1017),MONTH(E1017),1)</f>
        <v>46143</v>
      </c>
      <c r="G1017" s="23" t="n">
        <v>278226</v>
      </c>
      <c r="H1017" s="8" t="s">
        <v>64</v>
      </c>
      <c r="I1017" s="24" t="n">
        <v>326.22</v>
      </c>
      <c r="J1017" s="25" t="n">
        <f aca="false">Summary!$B$4</f>
        <v>1</v>
      </c>
      <c r="K1017" s="11" t="n">
        <f aca="false">I1017*J1017*IF(A1017="SILVER",Summary!$B$5,Summary!$B$6)</f>
        <v>9786.6</v>
      </c>
      <c r="L1017" s="26" t="n">
        <v>0.125</v>
      </c>
      <c r="M1017" s="27" t="n">
        <f aca="false">IF(K1017&gt;0,1,0)</f>
        <v>1</v>
      </c>
      <c r="N1017" s="11" t="n">
        <f aca="false">SUMIFS(K$2:K1017,A$2:A1017,A1017,B$2:B1017,B1017)</f>
        <v>6323590.8</v>
      </c>
      <c r="O1017" s="11" t="n">
        <f aca="false">MAX(0,_xlfn.MAXIFS(N$2:N1017,A$2:A1017,A1017,B$2:B1017,B1017))</f>
        <v>6323590.8</v>
      </c>
      <c r="P1017" s="11" t="n">
        <f aca="false">N1017-O1017</f>
        <v>0</v>
      </c>
    </row>
    <row r="1018" customFormat="false" ht="15" hidden="false" customHeight="false" outlineLevel="0" collapsed="false">
      <c r="A1018" s="8" t="s">
        <v>26</v>
      </c>
      <c r="B1018" s="8" t="s">
        <v>43</v>
      </c>
      <c r="C1018" s="8" t="s">
        <v>62</v>
      </c>
      <c r="D1018" s="21" t="n">
        <v>46164.4791666667</v>
      </c>
      <c r="E1018" s="21" t="n">
        <v>46164.76875</v>
      </c>
      <c r="F1018" s="22" t="n">
        <f aca="false">DATE(YEAR(E1018),MONTH(E1018),1)</f>
        <v>46143</v>
      </c>
      <c r="G1018" s="23" t="n">
        <v>279418</v>
      </c>
      <c r="H1018" s="8" t="s">
        <v>64</v>
      </c>
      <c r="I1018" s="24" t="n">
        <v>482.09</v>
      </c>
      <c r="J1018" s="25" t="n">
        <f aca="false">Summary!$B$4</f>
        <v>1</v>
      </c>
      <c r="K1018" s="11" t="n">
        <f aca="false">I1018*J1018*IF(A1018="SILVER",Summary!$B$5,Summary!$B$6)</f>
        <v>14462.7</v>
      </c>
      <c r="L1018" s="26" t="n">
        <v>0.132</v>
      </c>
      <c r="M1018" s="27" t="n">
        <f aca="false">IF(K1018&gt;0,1,0)</f>
        <v>1</v>
      </c>
      <c r="N1018" s="11" t="n">
        <f aca="false">SUMIFS(K$2:K1018,A$2:A1018,A1018,B$2:B1018,B1018)</f>
        <v>6338053.5</v>
      </c>
      <c r="O1018" s="11" t="n">
        <f aca="false">MAX(0,_xlfn.MAXIFS(N$2:N1018,A$2:A1018,A1018,B$2:B1018,B1018))</f>
        <v>6338053.5</v>
      </c>
      <c r="P1018" s="11" t="n">
        <f aca="false">N1018-O1018</f>
        <v>0</v>
      </c>
    </row>
    <row r="1019" customFormat="false" ht="15" hidden="false" customHeight="false" outlineLevel="0" collapsed="false">
      <c r="A1019" s="8" t="s">
        <v>26</v>
      </c>
      <c r="B1019" s="8" t="s">
        <v>43</v>
      </c>
      <c r="C1019" s="8" t="s">
        <v>62</v>
      </c>
      <c r="D1019" s="21" t="n">
        <v>46164.8263888889</v>
      </c>
      <c r="E1019" s="21" t="n">
        <v>46164.8305555556</v>
      </c>
      <c r="F1019" s="22" t="n">
        <f aca="false">DATE(YEAR(E1019),MONTH(E1019),1)</f>
        <v>46143</v>
      </c>
      <c r="G1019" s="23" t="n">
        <v>277509</v>
      </c>
      <c r="H1019" s="8" t="s">
        <v>64</v>
      </c>
      <c r="I1019" s="24" t="n">
        <v>392.93</v>
      </c>
      <c r="J1019" s="25" t="n">
        <f aca="false">Summary!$B$4</f>
        <v>1</v>
      </c>
      <c r="K1019" s="11" t="n">
        <f aca="false">I1019*J1019*IF(A1019="SILVER",Summary!$B$5,Summary!$B$6)</f>
        <v>11787.9</v>
      </c>
      <c r="L1019" s="26" t="n">
        <v>0.129</v>
      </c>
      <c r="M1019" s="27" t="n">
        <f aca="false">IF(K1019&gt;0,1,0)</f>
        <v>1</v>
      </c>
      <c r="N1019" s="11" t="n">
        <f aca="false">SUMIFS(K$2:K1019,A$2:A1019,A1019,B$2:B1019,B1019)</f>
        <v>6349841.4</v>
      </c>
      <c r="O1019" s="11" t="n">
        <f aca="false">MAX(0,_xlfn.MAXIFS(N$2:N1019,A$2:A1019,A1019,B$2:B1019,B1019))</f>
        <v>6349841.4</v>
      </c>
      <c r="P1019" s="11" t="n">
        <f aca="false">N1019-O1019</f>
        <v>0</v>
      </c>
    </row>
    <row r="1020" customFormat="false" ht="15" hidden="false" customHeight="false" outlineLevel="0" collapsed="false">
      <c r="A1020" s="8" t="s">
        <v>26</v>
      </c>
      <c r="B1020" s="8" t="s">
        <v>43</v>
      </c>
      <c r="C1020" s="8" t="s">
        <v>62</v>
      </c>
      <c r="D1020" s="21" t="n">
        <v>46167.7916666667</v>
      </c>
      <c r="E1020" s="21" t="n">
        <v>46167.9479166667</v>
      </c>
      <c r="F1020" s="22" t="n">
        <f aca="false">DATE(YEAR(E1020),MONTH(E1020),1)</f>
        <v>46143</v>
      </c>
      <c r="G1020" s="23" t="n">
        <v>282584</v>
      </c>
      <c r="H1020" s="8" t="s">
        <v>61</v>
      </c>
      <c r="I1020" s="24" t="n">
        <v>-1835.28</v>
      </c>
      <c r="J1020" s="25" t="n">
        <f aca="false">Summary!$B$4</f>
        <v>1</v>
      </c>
      <c r="K1020" s="11" t="n">
        <f aca="false">I1020*J1020*IF(A1020="SILVER",Summary!$B$5,Summary!$B$6)</f>
        <v>-55058.4</v>
      </c>
      <c r="L1020" s="26" t="n">
        <v>-1.218</v>
      </c>
      <c r="M1020" s="27" t="n">
        <f aca="false">IF(K1020&gt;0,1,0)</f>
        <v>0</v>
      </c>
      <c r="N1020" s="11" t="n">
        <f aca="false">SUMIFS(K$2:K1020,A$2:A1020,A1020,B$2:B1020,B1020)</f>
        <v>6294783</v>
      </c>
      <c r="O1020" s="11" t="n">
        <f aca="false">MAX(0,_xlfn.MAXIFS(N$2:N1020,A$2:A1020,A1020,B$2:B1020,B1020))</f>
        <v>6349841.4</v>
      </c>
      <c r="P1020" s="11" t="n">
        <f aca="false">N1020-O1020</f>
        <v>-55058.4000000004</v>
      </c>
    </row>
    <row r="1021" customFormat="false" ht="15" hidden="false" customHeight="false" outlineLevel="0" collapsed="false">
      <c r="A1021" s="8" t="s">
        <v>26</v>
      </c>
      <c r="B1021" s="8" t="s">
        <v>43</v>
      </c>
      <c r="C1021" s="8" t="s">
        <v>62</v>
      </c>
      <c r="D1021" s="21" t="n">
        <v>46168.3784722222</v>
      </c>
      <c r="E1021" s="21" t="n">
        <v>46169.3784722222</v>
      </c>
      <c r="F1021" s="22" t="n">
        <f aca="false">DATE(YEAR(E1021),MONTH(E1021),1)</f>
        <v>46143</v>
      </c>
      <c r="G1021" s="23" t="n">
        <v>280565</v>
      </c>
      <c r="H1021" s="8" t="s">
        <v>61</v>
      </c>
      <c r="I1021" s="24" t="n">
        <v>1487.43</v>
      </c>
      <c r="J1021" s="25" t="n">
        <f aca="false">Summary!$B$4</f>
        <v>1</v>
      </c>
      <c r="K1021" s="11" t="n">
        <f aca="false">I1021*J1021*IF(A1021="SILVER",Summary!$B$5,Summary!$B$6)</f>
        <v>44622.9</v>
      </c>
      <c r="L1021" s="26" t="n">
        <v>0.586</v>
      </c>
      <c r="M1021" s="27" t="n">
        <f aca="false">IF(K1021&gt;0,1,0)</f>
        <v>1</v>
      </c>
      <c r="N1021" s="11" t="n">
        <f aca="false">SUMIFS(K$2:K1021,A$2:A1021,A1021,B$2:B1021,B1021)</f>
        <v>6339405.9</v>
      </c>
      <c r="O1021" s="11" t="n">
        <f aca="false">MAX(0,_xlfn.MAXIFS(N$2:N1021,A$2:A1021,A1021,B$2:B1021,B1021))</f>
        <v>6349841.4</v>
      </c>
      <c r="P1021" s="11" t="n">
        <f aca="false">N1021-O1021</f>
        <v>-10435.5</v>
      </c>
    </row>
    <row r="1022" customFormat="false" ht="15" hidden="false" customHeight="false" outlineLevel="0" collapsed="false">
      <c r="A1022" s="8" t="s">
        <v>26</v>
      </c>
      <c r="B1022" s="8" t="s">
        <v>43</v>
      </c>
      <c r="C1022" s="8" t="s">
        <v>62</v>
      </c>
      <c r="D1022" s="21" t="n">
        <v>46169.46875</v>
      </c>
      <c r="E1022" s="21" t="n">
        <v>46170.7708333333</v>
      </c>
      <c r="F1022" s="22" t="n">
        <f aca="false">DATE(YEAR(E1022),MONTH(E1022),1)</f>
        <v>46143</v>
      </c>
      <c r="G1022" s="23" t="n">
        <v>276269</v>
      </c>
      <c r="H1022" s="8" t="s">
        <v>61</v>
      </c>
      <c r="I1022" s="24" t="n">
        <v>4236.56</v>
      </c>
      <c r="J1022" s="25" t="n">
        <f aca="false">Summary!$B$4</f>
        <v>1</v>
      </c>
      <c r="K1022" s="11" t="n">
        <f aca="false">I1022*J1022*IF(A1022="SILVER",Summary!$B$5,Summary!$B$6)</f>
        <v>127096.8</v>
      </c>
      <c r="L1022" s="26" t="n">
        <v>1.169</v>
      </c>
      <c r="M1022" s="27" t="n">
        <f aca="false">IF(K1022&gt;0,1,0)</f>
        <v>1</v>
      </c>
      <c r="N1022" s="11" t="n">
        <f aca="false">SUMIFS(K$2:K1022,A$2:A1022,A1022,B$2:B1022,B1022)</f>
        <v>6466502.7</v>
      </c>
      <c r="O1022" s="11" t="n">
        <f aca="false">MAX(0,_xlfn.MAXIFS(N$2:N1022,A$2:A1022,A1022,B$2:B1022,B1022))</f>
        <v>6466502.7</v>
      </c>
      <c r="P1022" s="11" t="n">
        <f aca="false">N1022-O1022</f>
        <v>0</v>
      </c>
    </row>
    <row r="1023" customFormat="false" ht="15" hidden="false" customHeight="false" outlineLevel="0" collapsed="false">
      <c r="A1023" s="8" t="s">
        <v>26</v>
      </c>
      <c r="B1023" s="8" t="s">
        <v>43</v>
      </c>
      <c r="C1023" s="8" t="s">
        <v>62</v>
      </c>
      <c r="D1023" s="21" t="n">
        <v>46171.5694444445</v>
      </c>
      <c r="E1023" s="21" t="n">
        <v>46171.6083333333</v>
      </c>
      <c r="F1023" s="22" t="n">
        <f aca="false">DATE(YEAR(E1023),MONTH(E1023),1)</f>
        <v>46143</v>
      </c>
      <c r="G1023" s="23" t="n">
        <v>273630</v>
      </c>
      <c r="H1023" s="8" t="s">
        <v>64</v>
      </c>
      <c r="I1023" s="24" t="n">
        <v>329.72</v>
      </c>
      <c r="J1023" s="25" t="n">
        <f aca="false">Summary!$B$4</f>
        <v>1</v>
      </c>
      <c r="K1023" s="11" t="n">
        <f aca="false">I1023*J1023*IF(A1023="SILVER",Summary!$B$5,Summary!$B$6)</f>
        <v>9891.6</v>
      </c>
      <c r="L1023" s="26" t="n">
        <v>0.126</v>
      </c>
      <c r="M1023" s="27" t="n">
        <f aca="false">IF(K1023&gt;0,1,0)</f>
        <v>1</v>
      </c>
      <c r="N1023" s="11" t="n">
        <f aca="false">SUMIFS(K$2:K1023,A$2:A1023,A1023,B$2:B1023,B1023)</f>
        <v>6476394.3</v>
      </c>
      <c r="O1023" s="11" t="n">
        <f aca="false">MAX(0,_xlfn.MAXIFS(N$2:N1023,A$2:A1023,A1023,B$2:B1023,B1023))</f>
        <v>6476394.3</v>
      </c>
      <c r="P1023" s="11" t="n">
        <f aca="false">N1023-O1023</f>
        <v>0</v>
      </c>
    </row>
    <row r="1024" customFormat="false" ht="15" hidden="false" customHeight="false" outlineLevel="0" collapsed="false">
      <c r="A1024" s="8" t="s">
        <v>26</v>
      </c>
      <c r="B1024" s="8" t="s">
        <v>43</v>
      </c>
      <c r="C1024" s="8" t="s">
        <v>62</v>
      </c>
      <c r="D1024" s="21" t="n">
        <v>46171.8298611111</v>
      </c>
      <c r="E1024" s="21" t="n">
        <v>46171.8340277778</v>
      </c>
      <c r="F1024" s="22" t="n">
        <f aca="false">DATE(YEAR(E1024),MONTH(E1024),1)</f>
        <v>46143</v>
      </c>
      <c r="G1024" s="23" t="n">
        <v>272009</v>
      </c>
      <c r="H1024" s="8" t="s">
        <v>64</v>
      </c>
      <c r="I1024" s="24" t="n">
        <v>371.45</v>
      </c>
      <c r="J1024" s="25" t="n">
        <f aca="false">Summary!$B$4</f>
        <v>1</v>
      </c>
      <c r="K1024" s="11" t="n">
        <f aca="false">I1024*J1024*IF(A1024="SILVER",Summary!$B$5,Summary!$B$6)</f>
        <v>11143.5</v>
      </c>
      <c r="L1024" s="26" t="n">
        <v>0.128</v>
      </c>
      <c r="M1024" s="27" t="n">
        <f aca="false">IF(K1024&gt;0,1,0)</f>
        <v>1</v>
      </c>
      <c r="N1024" s="11" t="n">
        <f aca="false">SUMIFS(K$2:K1024,A$2:A1024,A1024,B$2:B1024,B1024)</f>
        <v>6487537.8</v>
      </c>
      <c r="O1024" s="11" t="n">
        <f aca="false">MAX(0,_xlfn.MAXIFS(N$2:N1024,A$2:A1024,A1024,B$2:B1024,B1024))</f>
        <v>6487537.8</v>
      </c>
      <c r="P1024" s="11" t="n">
        <f aca="false">N1024-O1024</f>
        <v>0</v>
      </c>
    </row>
    <row r="1025" customFormat="false" ht="15" hidden="false" customHeight="false" outlineLevel="0" collapsed="false">
      <c r="A1025" s="8" t="s">
        <v>26</v>
      </c>
      <c r="B1025" s="8" t="s">
        <v>43</v>
      </c>
      <c r="C1025" s="8" t="s">
        <v>62</v>
      </c>
      <c r="D1025" s="21" t="n">
        <v>46174.7881944445</v>
      </c>
      <c r="E1025" s="21" t="n">
        <v>46174.8625</v>
      </c>
      <c r="F1025" s="22" t="n">
        <f aca="false">DATE(YEAR(E1025),MONTH(E1025),1)</f>
        <v>46174</v>
      </c>
      <c r="G1025" s="23" t="n">
        <v>271774</v>
      </c>
      <c r="H1025" s="8" t="s">
        <v>64</v>
      </c>
      <c r="I1025" s="24" t="n">
        <v>487.98</v>
      </c>
      <c r="J1025" s="25" t="n">
        <f aca="false">Summary!$B$4</f>
        <v>1</v>
      </c>
      <c r="K1025" s="11" t="n">
        <f aca="false">I1025*J1025*IF(A1025="SILVER",Summary!$B$5,Summary!$B$6)</f>
        <v>14639.4</v>
      </c>
      <c r="L1025" s="26" t="n">
        <v>0.133</v>
      </c>
      <c r="M1025" s="27" t="n">
        <f aca="false">IF(K1025&gt;0,1,0)</f>
        <v>1</v>
      </c>
      <c r="N1025" s="11" t="n">
        <f aca="false">SUMIFS(K$2:K1025,A$2:A1025,A1025,B$2:B1025,B1025)</f>
        <v>6502177.2</v>
      </c>
      <c r="O1025" s="11" t="n">
        <f aca="false">MAX(0,_xlfn.MAXIFS(N$2:N1025,A$2:A1025,A1025,B$2:B1025,B1025))</f>
        <v>6502177.2</v>
      </c>
      <c r="P1025" s="11" t="n">
        <f aca="false">N1025-O1025</f>
        <v>0</v>
      </c>
    </row>
    <row r="1026" customFormat="false" ht="15" hidden="false" customHeight="false" outlineLevel="0" collapsed="false">
      <c r="A1026" s="8" t="s">
        <v>26</v>
      </c>
      <c r="B1026" s="8" t="s">
        <v>43</v>
      </c>
      <c r="C1026" s="8" t="s">
        <v>62</v>
      </c>
      <c r="D1026" s="21" t="n">
        <v>46175.7916666667</v>
      </c>
      <c r="E1026" s="21" t="n">
        <v>46175.7930555556</v>
      </c>
      <c r="F1026" s="22" t="n">
        <f aca="false">DATE(YEAR(E1026),MONTH(E1026),1)</f>
        <v>46174</v>
      </c>
      <c r="G1026" s="23" t="n">
        <v>276080</v>
      </c>
      <c r="H1026" s="8" t="s">
        <v>64</v>
      </c>
      <c r="I1026" s="24" t="n">
        <v>90.21</v>
      </c>
      <c r="J1026" s="25" t="n">
        <f aca="false">Summary!$B$4</f>
        <v>1</v>
      </c>
      <c r="K1026" s="11" t="n">
        <f aca="false">I1026*J1026*IF(A1026="SILVER",Summary!$B$5,Summary!$B$6)</f>
        <v>2706.3</v>
      </c>
      <c r="L1026" s="26" t="n">
        <v>0.045</v>
      </c>
      <c r="M1026" s="27" t="n">
        <f aca="false">IF(K1026&gt;0,1,0)</f>
        <v>1</v>
      </c>
      <c r="N1026" s="11" t="n">
        <f aca="false">SUMIFS(K$2:K1026,A$2:A1026,A1026,B$2:B1026,B1026)</f>
        <v>6504883.5</v>
      </c>
      <c r="O1026" s="11" t="n">
        <f aca="false">MAX(0,_xlfn.MAXIFS(N$2:N1026,A$2:A1026,A1026,B$2:B1026,B1026))</f>
        <v>6504883.5</v>
      </c>
      <c r="P1026" s="11" t="n">
        <f aca="false">N1026-O1026</f>
        <v>0</v>
      </c>
    </row>
    <row r="1027" customFormat="false" ht="15" hidden="false" customHeight="false" outlineLevel="0" collapsed="false">
      <c r="A1027" s="8" t="s">
        <v>26</v>
      </c>
      <c r="B1027" s="8" t="s">
        <v>43</v>
      </c>
      <c r="C1027" s="8" t="s">
        <v>62</v>
      </c>
      <c r="D1027" s="21" t="n">
        <v>46175.9548611111</v>
      </c>
      <c r="E1027" s="21" t="n">
        <v>46176.3916666667</v>
      </c>
      <c r="F1027" s="22" t="n">
        <f aca="false">DATE(YEAR(E1027),MONTH(E1027),1)</f>
        <v>46174</v>
      </c>
      <c r="G1027" s="23" t="n">
        <v>273923</v>
      </c>
      <c r="H1027" s="8" t="s">
        <v>64</v>
      </c>
      <c r="I1027" s="24" t="n">
        <v>314</v>
      </c>
      <c r="J1027" s="25" t="n">
        <f aca="false">Summary!$B$4</f>
        <v>1</v>
      </c>
      <c r="K1027" s="11" t="n">
        <f aca="false">I1027*J1027*IF(A1027="SILVER",Summary!$B$5,Summary!$B$6)</f>
        <v>9420</v>
      </c>
      <c r="L1027" s="26" t="n">
        <v>0.125</v>
      </c>
      <c r="M1027" s="27" t="n">
        <f aca="false">IF(K1027&gt;0,1,0)</f>
        <v>1</v>
      </c>
      <c r="N1027" s="11" t="n">
        <f aca="false">SUMIFS(K$2:K1027,A$2:A1027,A1027,B$2:B1027,B1027)</f>
        <v>6514303.5</v>
      </c>
      <c r="O1027" s="11" t="n">
        <f aca="false">MAX(0,_xlfn.MAXIFS(N$2:N1027,A$2:A1027,A1027,B$2:B1027,B1027))</f>
        <v>6514303.5</v>
      </c>
      <c r="P1027" s="11" t="n">
        <f aca="false">N1027-O1027</f>
        <v>0</v>
      </c>
    </row>
    <row r="1028" customFormat="false" ht="15" hidden="false" customHeight="false" outlineLevel="0" collapsed="false">
      <c r="A1028" s="8" t="s">
        <v>26</v>
      </c>
      <c r="B1028" s="8" t="s">
        <v>43</v>
      </c>
      <c r="C1028" s="8" t="s">
        <v>62</v>
      </c>
      <c r="D1028" s="21" t="n">
        <v>46176.4201388889</v>
      </c>
      <c r="E1028" s="21" t="n">
        <v>46176.44375</v>
      </c>
      <c r="F1028" s="22" t="n">
        <f aca="false">DATE(YEAR(E1028),MONTH(E1028),1)</f>
        <v>46174</v>
      </c>
      <c r="G1028" s="23" t="n">
        <v>273004</v>
      </c>
      <c r="H1028" s="8" t="s">
        <v>64</v>
      </c>
      <c r="I1028" s="24" t="n">
        <v>115.81</v>
      </c>
      <c r="J1028" s="25" t="n">
        <f aca="false">Summary!$B$4</f>
        <v>1</v>
      </c>
      <c r="K1028" s="11" t="n">
        <f aca="false">I1028*J1028*IF(A1028="SILVER",Summary!$B$5,Summary!$B$6)</f>
        <v>3474.3</v>
      </c>
      <c r="L1028" s="26" t="n">
        <v>0.048</v>
      </c>
      <c r="M1028" s="27" t="n">
        <f aca="false">IF(K1028&gt;0,1,0)</f>
        <v>1</v>
      </c>
      <c r="N1028" s="11" t="n">
        <f aca="false">SUMIFS(K$2:K1028,A$2:A1028,A1028,B$2:B1028,B1028)</f>
        <v>6517777.8</v>
      </c>
      <c r="O1028" s="11" t="n">
        <f aca="false">MAX(0,_xlfn.MAXIFS(N$2:N1028,A$2:A1028,A1028,B$2:B1028,B1028))</f>
        <v>6517777.8</v>
      </c>
      <c r="P1028" s="11" t="n">
        <f aca="false">N1028-O1028</f>
        <v>0</v>
      </c>
    </row>
    <row r="1029" customFormat="false" ht="15" hidden="false" customHeight="false" outlineLevel="0" collapsed="false">
      <c r="A1029" s="8" t="s">
        <v>26</v>
      </c>
      <c r="B1029" s="8" t="s">
        <v>43</v>
      </c>
      <c r="C1029" s="8" t="s">
        <v>62</v>
      </c>
      <c r="D1029" s="21" t="n">
        <v>46176.4791666667</v>
      </c>
      <c r="E1029" s="21" t="n">
        <v>46176.5145833333</v>
      </c>
      <c r="F1029" s="22" t="n">
        <f aca="false">DATE(YEAR(E1029),MONTH(E1029),1)</f>
        <v>46174</v>
      </c>
      <c r="G1029" s="23" t="n">
        <v>271729</v>
      </c>
      <c r="H1029" s="8" t="s">
        <v>64</v>
      </c>
      <c r="I1029" s="24" t="n">
        <v>312.92</v>
      </c>
      <c r="J1029" s="25" t="n">
        <f aca="false">Summary!$B$4</f>
        <v>1</v>
      </c>
      <c r="K1029" s="11" t="n">
        <f aca="false">I1029*J1029*IF(A1029="SILVER",Summary!$B$5,Summary!$B$6)</f>
        <v>9387.6</v>
      </c>
      <c r="L1029" s="26" t="n">
        <v>0.125</v>
      </c>
      <c r="M1029" s="27" t="n">
        <f aca="false">IF(K1029&gt;0,1,0)</f>
        <v>1</v>
      </c>
      <c r="N1029" s="11" t="n">
        <f aca="false">SUMIFS(K$2:K1029,A$2:A1029,A1029,B$2:B1029,B1029)</f>
        <v>6527165.4</v>
      </c>
      <c r="O1029" s="11" t="n">
        <f aca="false">MAX(0,_xlfn.MAXIFS(N$2:N1029,A$2:A1029,A1029,B$2:B1029,B1029))</f>
        <v>6527165.4</v>
      </c>
      <c r="P1029" s="11" t="n">
        <f aca="false">N1029-O1029</f>
        <v>0</v>
      </c>
    </row>
    <row r="1030" customFormat="false" ht="15" hidden="false" customHeight="false" outlineLevel="0" collapsed="false">
      <c r="A1030" s="8" t="s">
        <v>26</v>
      </c>
      <c r="B1030" s="8" t="s">
        <v>43</v>
      </c>
      <c r="C1030" s="8" t="s">
        <v>62</v>
      </c>
      <c r="D1030" s="21" t="n">
        <v>46176.6458333333</v>
      </c>
      <c r="E1030" s="21" t="n">
        <v>46176.8069444444</v>
      </c>
      <c r="F1030" s="22" t="n">
        <f aca="false">DATE(YEAR(E1030),MONTH(E1030),1)</f>
        <v>46174</v>
      </c>
      <c r="G1030" s="23" t="n">
        <v>270569</v>
      </c>
      <c r="H1030" s="8" t="s">
        <v>64</v>
      </c>
      <c r="I1030" s="24" t="n">
        <v>285.6</v>
      </c>
      <c r="J1030" s="25" t="n">
        <f aca="false">Summary!$B$4</f>
        <v>1</v>
      </c>
      <c r="K1030" s="11" t="n">
        <f aca="false">I1030*J1030*IF(A1030="SILVER",Summary!$B$5,Summary!$B$6)</f>
        <v>8568</v>
      </c>
      <c r="L1030" s="26" t="n">
        <v>0.123</v>
      </c>
      <c r="M1030" s="27" t="n">
        <f aca="false">IF(K1030&gt;0,1,0)</f>
        <v>1</v>
      </c>
      <c r="N1030" s="11" t="n">
        <f aca="false">SUMIFS(K$2:K1030,A$2:A1030,A1030,B$2:B1030,B1030)</f>
        <v>6535733.4</v>
      </c>
      <c r="O1030" s="11" t="n">
        <f aca="false">MAX(0,_xlfn.MAXIFS(N$2:N1030,A$2:A1030,A1030,B$2:B1030,B1030))</f>
        <v>6535733.4</v>
      </c>
      <c r="P1030" s="11" t="n">
        <f aca="false">N1030-O1030</f>
        <v>0</v>
      </c>
    </row>
    <row r="1031" customFormat="false" ht="15" hidden="false" customHeight="false" outlineLevel="0" collapsed="false">
      <c r="A1031" s="8" t="s">
        <v>26</v>
      </c>
      <c r="B1031" s="8" t="s">
        <v>43</v>
      </c>
      <c r="C1031" s="8" t="s">
        <v>62</v>
      </c>
      <c r="D1031" s="21" t="n">
        <v>46177.5104166667</v>
      </c>
      <c r="E1031" s="21" t="n">
        <v>46177.7083333333</v>
      </c>
      <c r="F1031" s="22" t="n">
        <f aca="false">DATE(YEAR(E1031),MONTH(E1031),1)</f>
        <v>46174</v>
      </c>
      <c r="G1031" s="23" t="n">
        <v>268857</v>
      </c>
      <c r="H1031" s="8" t="s">
        <v>61</v>
      </c>
      <c r="I1031" s="24" t="n">
        <v>-2801.65</v>
      </c>
      <c r="J1031" s="25" t="n">
        <f aca="false">Summary!$B$4</f>
        <v>1</v>
      </c>
      <c r="K1031" s="11" t="n">
        <f aca="false">I1031*J1031*IF(A1031="SILVER",Summary!$B$5,Summary!$B$6)</f>
        <v>-84049.5</v>
      </c>
      <c r="L1031" s="26" t="n">
        <v>-1.135</v>
      </c>
      <c r="M1031" s="27" t="n">
        <f aca="false">IF(K1031&gt;0,1,0)</f>
        <v>0</v>
      </c>
      <c r="N1031" s="11" t="n">
        <f aca="false">SUMIFS(K$2:K1031,A$2:A1031,A1031,B$2:B1031,B1031)</f>
        <v>6451683.9</v>
      </c>
      <c r="O1031" s="11" t="n">
        <f aca="false">MAX(0,_xlfn.MAXIFS(N$2:N1031,A$2:A1031,A1031,B$2:B1031,B1031))</f>
        <v>6535733.4</v>
      </c>
      <c r="P1031" s="11" t="n">
        <f aca="false">N1031-O1031</f>
        <v>-84049.5</v>
      </c>
    </row>
    <row r="1032" customFormat="false" ht="15" hidden="false" customHeight="false" outlineLevel="0" collapsed="false">
      <c r="A1032" s="8" t="s">
        <v>26</v>
      </c>
      <c r="B1032" s="8" t="s">
        <v>43</v>
      </c>
      <c r="C1032" s="8" t="s">
        <v>62</v>
      </c>
      <c r="D1032" s="21" t="n">
        <v>46177.8472222222</v>
      </c>
      <c r="E1032" s="21" t="n">
        <v>46177.8506944445</v>
      </c>
      <c r="F1032" s="22" t="n">
        <f aca="false">DATE(YEAR(E1032),MONTH(E1032),1)</f>
        <v>46174</v>
      </c>
      <c r="G1032" s="23" t="n">
        <v>270885</v>
      </c>
      <c r="H1032" s="8" t="s">
        <v>64</v>
      </c>
      <c r="I1032" s="24" t="n">
        <v>484.03</v>
      </c>
      <c r="J1032" s="25" t="n">
        <f aca="false">Summary!$B$4</f>
        <v>1</v>
      </c>
      <c r="K1032" s="11" t="n">
        <f aca="false">I1032*J1032*IF(A1032="SILVER",Summary!$B$5,Summary!$B$6)</f>
        <v>14520.9</v>
      </c>
      <c r="L1032" s="26" t="n">
        <v>0.133</v>
      </c>
      <c r="M1032" s="27" t="n">
        <f aca="false">IF(K1032&gt;0,1,0)</f>
        <v>1</v>
      </c>
      <c r="N1032" s="11" t="n">
        <f aca="false">SUMIFS(K$2:K1032,A$2:A1032,A1032,B$2:B1032,B1032)</f>
        <v>6466204.8</v>
      </c>
      <c r="O1032" s="11" t="n">
        <f aca="false">MAX(0,_xlfn.MAXIFS(N$2:N1032,A$2:A1032,A1032,B$2:B1032,B1032))</f>
        <v>6535733.4</v>
      </c>
      <c r="P1032" s="11" t="n">
        <f aca="false">N1032-O1032</f>
        <v>-69528.6000000006</v>
      </c>
    </row>
    <row r="1033" customFormat="false" ht="15" hidden="false" customHeight="false" outlineLevel="0" collapsed="false">
      <c r="A1033" s="8" t="s">
        <v>26</v>
      </c>
      <c r="B1033" s="8" t="s">
        <v>43</v>
      </c>
      <c r="C1033" s="8" t="s">
        <v>62</v>
      </c>
      <c r="D1033" s="21" t="n">
        <v>46178.3784722222</v>
      </c>
      <c r="E1033" s="21" t="n">
        <v>46178.4465277778</v>
      </c>
      <c r="F1033" s="22" t="n">
        <f aca="false">DATE(YEAR(E1033),MONTH(E1033),1)</f>
        <v>46174</v>
      </c>
      <c r="G1033" s="23" t="n">
        <v>267930</v>
      </c>
      <c r="H1033" s="8" t="s">
        <v>64</v>
      </c>
      <c r="I1033" s="24" t="n">
        <v>340.67</v>
      </c>
      <c r="J1033" s="25" t="n">
        <f aca="false">Summary!$B$4</f>
        <v>1</v>
      </c>
      <c r="K1033" s="11" t="n">
        <f aca="false">I1033*J1033*IF(A1033="SILVER",Summary!$B$5,Summary!$B$6)</f>
        <v>10220.1</v>
      </c>
      <c r="L1033" s="26" t="n">
        <v>0.127</v>
      </c>
      <c r="M1033" s="27" t="n">
        <f aca="false">IF(K1033&gt;0,1,0)</f>
        <v>1</v>
      </c>
      <c r="N1033" s="11" t="n">
        <f aca="false">SUMIFS(K$2:K1033,A$2:A1033,A1033,B$2:B1033,B1033)</f>
        <v>6476424.9</v>
      </c>
      <c r="O1033" s="11" t="n">
        <f aca="false">MAX(0,_xlfn.MAXIFS(N$2:N1033,A$2:A1033,A1033,B$2:B1033,B1033))</f>
        <v>6535733.4</v>
      </c>
      <c r="P1033" s="11" t="n">
        <f aca="false">N1033-O1033</f>
        <v>-59308.5</v>
      </c>
    </row>
    <row r="1034" customFormat="false" ht="15" hidden="false" customHeight="false" outlineLevel="0" collapsed="false">
      <c r="A1034" s="8" t="s">
        <v>26</v>
      </c>
      <c r="B1034" s="8" t="s">
        <v>43</v>
      </c>
      <c r="C1034" s="8" t="s">
        <v>62</v>
      </c>
      <c r="D1034" s="21" t="n">
        <v>46178.4618055556</v>
      </c>
      <c r="E1034" s="21" t="n">
        <v>46178.5013888889</v>
      </c>
      <c r="F1034" s="22" t="n">
        <f aca="false">DATE(YEAR(E1034),MONTH(E1034),1)</f>
        <v>46174</v>
      </c>
      <c r="G1034" s="23" t="n">
        <v>266239</v>
      </c>
      <c r="H1034" s="8" t="s">
        <v>64</v>
      </c>
      <c r="I1034" s="24" t="n">
        <v>430.11</v>
      </c>
      <c r="J1034" s="25" t="n">
        <f aca="false">Summary!$B$4</f>
        <v>1</v>
      </c>
      <c r="K1034" s="11" t="n">
        <f aca="false">I1034*J1034*IF(A1034="SILVER",Summary!$B$5,Summary!$B$6)</f>
        <v>12903.3</v>
      </c>
      <c r="L1034" s="26" t="n">
        <v>0.131</v>
      </c>
      <c r="M1034" s="27" t="n">
        <f aca="false">IF(K1034&gt;0,1,0)</f>
        <v>1</v>
      </c>
      <c r="N1034" s="11" t="n">
        <f aca="false">SUMIFS(K$2:K1034,A$2:A1034,A1034,B$2:B1034,B1034)</f>
        <v>6489328.2</v>
      </c>
      <c r="O1034" s="11" t="n">
        <f aca="false">MAX(0,_xlfn.MAXIFS(N$2:N1034,A$2:A1034,A1034,B$2:B1034,B1034))</f>
        <v>6535733.4</v>
      </c>
      <c r="P1034" s="11" t="n">
        <f aca="false">N1034-O1034</f>
        <v>-46405.2000000002</v>
      </c>
    </row>
    <row r="1035" customFormat="false" ht="15" hidden="false" customHeight="false" outlineLevel="0" collapsed="false">
      <c r="A1035" s="8" t="s">
        <v>26</v>
      </c>
      <c r="B1035" s="8" t="s">
        <v>43</v>
      </c>
      <c r="C1035" s="8" t="s">
        <v>62</v>
      </c>
      <c r="D1035" s="21" t="n">
        <v>46178.7569444445</v>
      </c>
      <c r="E1035" s="21" t="n">
        <v>46181.7013888889</v>
      </c>
      <c r="F1035" s="22" t="n">
        <f aca="false">DATE(YEAR(E1035),MONTH(E1035),1)</f>
        <v>46174</v>
      </c>
      <c r="G1035" s="23" t="n">
        <v>266472</v>
      </c>
      <c r="H1035" s="8" t="s">
        <v>61</v>
      </c>
      <c r="I1035" s="24" t="n">
        <v>14108.53</v>
      </c>
      <c r="J1035" s="25" t="n">
        <f aca="false">Summary!$B$4</f>
        <v>1</v>
      </c>
      <c r="K1035" s="11" t="n">
        <f aca="false">I1035*J1035*IF(A1035="SILVER",Summary!$B$5,Summary!$B$6)</f>
        <v>423255.9</v>
      </c>
      <c r="L1035" s="26" t="n">
        <v>4.904</v>
      </c>
      <c r="M1035" s="27" t="n">
        <f aca="false">IF(K1035&gt;0,1,0)</f>
        <v>1</v>
      </c>
      <c r="N1035" s="11" t="n">
        <f aca="false">SUMIFS(K$2:K1035,A$2:A1035,A1035,B$2:B1035,B1035)</f>
        <v>6912584.1</v>
      </c>
      <c r="O1035" s="11" t="n">
        <f aca="false">MAX(0,_xlfn.MAXIFS(N$2:N1035,A$2:A1035,A1035,B$2:B1035,B1035))</f>
        <v>6912584.1</v>
      </c>
      <c r="P1035" s="11" t="n">
        <f aca="false">N1035-O1035</f>
        <v>0</v>
      </c>
    </row>
    <row r="1036" customFormat="false" ht="15" hidden="false" customHeight="false" outlineLevel="0" collapsed="false">
      <c r="A1036" s="8" t="s">
        <v>26</v>
      </c>
      <c r="B1036" s="8" t="s">
        <v>43</v>
      </c>
      <c r="C1036" s="8" t="s">
        <v>62</v>
      </c>
      <c r="D1036" s="21" t="n">
        <v>46182.8194444445</v>
      </c>
      <c r="E1036" s="21" t="n">
        <v>46183.7569444445</v>
      </c>
      <c r="F1036" s="22" t="n">
        <f aca="false">DATE(YEAR(E1036),MONTH(E1036),1)</f>
        <v>46174</v>
      </c>
      <c r="G1036" s="23" t="n">
        <v>253349</v>
      </c>
      <c r="H1036" s="8" t="s">
        <v>61</v>
      </c>
      <c r="I1036" s="24" t="n">
        <v>10467.77</v>
      </c>
      <c r="J1036" s="25" t="n">
        <f aca="false">Summary!$B$4</f>
        <v>1</v>
      </c>
      <c r="K1036" s="11" t="n">
        <f aca="false">I1036*J1036*IF(A1036="SILVER",Summary!$B$5,Summary!$B$6)</f>
        <v>314033.1</v>
      </c>
      <c r="L1036" s="26" t="n">
        <v>3.621</v>
      </c>
      <c r="M1036" s="27" t="n">
        <f aca="false">IF(K1036&gt;0,1,0)</f>
        <v>1</v>
      </c>
      <c r="N1036" s="11" t="n">
        <f aca="false">SUMIFS(K$2:K1036,A$2:A1036,A1036,B$2:B1036,B1036)</f>
        <v>7226617.2</v>
      </c>
      <c r="O1036" s="11" t="n">
        <f aca="false">MAX(0,_xlfn.MAXIFS(N$2:N1036,A$2:A1036,A1036,B$2:B1036,B1036))</f>
        <v>7226617.2</v>
      </c>
      <c r="P1036" s="11" t="n">
        <f aca="false">N1036-O1036</f>
        <v>0</v>
      </c>
    </row>
    <row r="1037" customFormat="false" ht="15" hidden="false" customHeight="false" outlineLevel="0" collapsed="false">
      <c r="A1037" s="8" t="s">
        <v>26</v>
      </c>
      <c r="B1037" s="8" t="s">
        <v>43</v>
      </c>
      <c r="C1037" s="8" t="s">
        <v>62</v>
      </c>
      <c r="D1037" s="21" t="n">
        <v>46184.3784722222</v>
      </c>
      <c r="E1037" s="21" t="n">
        <v>46184.5520833333</v>
      </c>
      <c r="F1037" s="22" t="n">
        <f aca="false">DATE(YEAR(E1037),MONTH(E1037),1)</f>
        <v>46174</v>
      </c>
      <c r="G1037" s="23" t="n">
        <v>239669</v>
      </c>
      <c r="H1037" s="8" t="s">
        <v>61</v>
      </c>
      <c r="I1037" s="24" t="n">
        <v>-3607.91</v>
      </c>
      <c r="J1037" s="25" t="n">
        <f aca="false">Summary!$B$4</f>
        <v>1</v>
      </c>
      <c r="K1037" s="11" t="n">
        <f aca="false">I1037*J1037*IF(A1037="SILVER",Summary!$B$5,Summary!$B$6)</f>
        <v>-108237.3</v>
      </c>
      <c r="L1037" s="26" t="n">
        <v>-0.988</v>
      </c>
      <c r="M1037" s="27" t="n">
        <f aca="false">IF(K1037&gt;0,1,0)</f>
        <v>0</v>
      </c>
      <c r="N1037" s="11" t="n">
        <f aca="false">SUMIFS(K$2:K1037,A$2:A1037,A1037,B$2:B1037,B1037)</f>
        <v>7118379.9</v>
      </c>
      <c r="O1037" s="11" t="n">
        <f aca="false">MAX(0,_xlfn.MAXIFS(N$2:N1037,A$2:A1037,A1037,B$2:B1037,B1037))</f>
        <v>7226617.2</v>
      </c>
      <c r="P1037" s="11" t="n">
        <f aca="false">N1037-O1037</f>
        <v>-108237.3</v>
      </c>
    </row>
    <row r="1038" customFormat="false" ht="15" hidden="false" customHeight="false" outlineLevel="0" collapsed="false">
      <c r="A1038" s="8" t="s">
        <v>26</v>
      </c>
      <c r="B1038" s="8" t="s">
        <v>43</v>
      </c>
      <c r="C1038" s="8" t="s">
        <v>62</v>
      </c>
      <c r="D1038" s="21" t="n">
        <v>46184.7152777778</v>
      </c>
      <c r="E1038" s="21" t="n">
        <v>46184.7673611111</v>
      </c>
      <c r="F1038" s="22" t="n">
        <f aca="false">DATE(YEAR(E1038),MONTH(E1038),1)</f>
        <v>46174</v>
      </c>
      <c r="G1038" s="23" t="n">
        <v>240669</v>
      </c>
      <c r="H1038" s="8" t="s">
        <v>64</v>
      </c>
      <c r="I1038" s="24" t="n">
        <v>243.31</v>
      </c>
      <c r="J1038" s="25" t="n">
        <f aca="false">Summary!$B$4</f>
        <v>1</v>
      </c>
      <c r="K1038" s="11" t="n">
        <f aca="false">I1038*J1038*IF(A1038="SILVER",Summary!$B$5,Summary!$B$6)</f>
        <v>7299.3</v>
      </c>
      <c r="L1038" s="26" t="n">
        <v>0.106</v>
      </c>
      <c r="M1038" s="27" t="n">
        <f aca="false">IF(K1038&gt;0,1,0)</f>
        <v>1</v>
      </c>
      <c r="N1038" s="11" t="n">
        <f aca="false">SUMIFS(K$2:K1038,A$2:A1038,A1038,B$2:B1038,B1038)</f>
        <v>7125679.2</v>
      </c>
      <c r="O1038" s="11" t="n">
        <f aca="false">MAX(0,_xlfn.MAXIFS(N$2:N1038,A$2:A1038,A1038,B$2:B1038,B1038))</f>
        <v>7226617.2</v>
      </c>
      <c r="P1038" s="11" t="n">
        <f aca="false">N1038-O1038</f>
        <v>-100938</v>
      </c>
    </row>
    <row r="1039" customFormat="false" ht="15" hidden="false" customHeight="false" outlineLevel="0" collapsed="false">
      <c r="A1039" s="8" t="s">
        <v>26</v>
      </c>
      <c r="B1039" s="8" t="s">
        <v>43</v>
      </c>
      <c r="C1039" s="8" t="s">
        <v>62</v>
      </c>
      <c r="D1039" s="21" t="n">
        <v>46185.8090277778</v>
      </c>
      <c r="E1039" s="21" t="n">
        <v>46185.8715277778</v>
      </c>
      <c r="F1039" s="22" t="n">
        <f aca="false">DATE(YEAR(E1039),MONTH(E1039),1)</f>
        <v>46174</v>
      </c>
      <c r="G1039" s="23" t="n">
        <v>248152</v>
      </c>
      <c r="H1039" s="8" t="s">
        <v>61</v>
      </c>
      <c r="I1039" s="24" t="n">
        <v>-3589.56</v>
      </c>
      <c r="J1039" s="25" t="n">
        <f aca="false">Summary!$B$4</f>
        <v>1</v>
      </c>
      <c r="K1039" s="11" t="n">
        <f aca="false">I1039*J1039*IF(A1039="SILVER",Summary!$B$5,Summary!$B$6)</f>
        <v>-107686.8</v>
      </c>
      <c r="L1039" s="26" t="n">
        <v>-1.06</v>
      </c>
      <c r="M1039" s="27" t="n">
        <f aca="false">IF(K1039&gt;0,1,0)</f>
        <v>0</v>
      </c>
      <c r="N1039" s="11" t="n">
        <f aca="false">SUMIFS(K$2:K1039,A$2:A1039,A1039,B$2:B1039,B1039)</f>
        <v>7017992.4</v>
      </c>
      <c r="O1039" s="11" t="n">
        <f aca="false">MAX(0,_xlfn.MAXIFS(N$2:N1039,A$2:A1039,A1039,B$2:B1039,B1039))</f>
        <v>7226617.2</v>
      </c>
      <c r="P1039" s="11" t="n">
        <f aca="false">N1039-O1039</f>
        <v>-208624.8</v>
      </c>
    </row>
    <row r="1040" customFormat="false" ht="15" hidden="false" customHeight="false" outlineLevel="0" collapsed="false">
      <c r="A1040" s="8" t="s">
        <v>26</v>
      </c>
      <c r="B1040" s="8" t="s">
        <v>43</v>
      </c>
      <c r="C1040" s="8" t="s">
        <v>62</v>
      </c>
      <c r="D1040" s="21" t="n">
        <v>46191.7152777778</v>
      </c>
      <c r="E1040" s="21" t="n">
        <v>46191.7291666667</v>
      </c>
      <c r="F1040" s="22" t="n">
        <f aca="false">DATE(YEAR(E1040),MONTH(E1040),1)</f>
        <v>46174</v>
      </c>
      <c r="G1040" s="23" t="n">
        <v>247144</v>
      </c>
      <c r="H1040" s="8" t="s">
        <v>64</v>
      </c>
      <c r="I1040" s="24" t="n">
        <v>437.98</v>
      </c>
      <c r="J1040" s="25" t="n">
        <f aca="false">Summary!$B$4</f>
        <v>1</v>
      </c>
      <c r="K1040" s="11" t="n">
        <f aca="false">I1040*J1040*IF(A1040="SILVER",Summary!$B$5,Summary!$B$6)</f>
        <v>13139.4</v>
      </c>
      <c r="L1040" s="26" t="n">
        <v>0.132</v>
      </c>
      <c r="M1040" s="27" t="n">
        <f aca="false">IF(K1040&gt;0,1,0)</f>
        <v>1</v>
      </c>
      <c r="N1040" s="11" t="n">
        <f aca="false">SUMIFS(K$2:K1040,A$2:A1040,A1040,B$2:B1040,B1040)</f>
        <v>7031131.8</v>
      </c>
      <c r="O1040" s="11" t="n">
        <f aca="false">MAX(0,_xlfn.MAXIFS(N$2:N1040,A$2:A1040,A1040,B$2:B1040,B1040))</f>
        <v>7226617.2</v>
      </c>
      <c r="P1040" s="11" t="n">
        <f aca="false">N1040-O1040</f>
        <v>-195485.4</v>
      </c>
    </row>
    <row r="1041" customFormat="false" ht="15" hidden="false" customHeight="false" outlineLevel="0" collapsed="false">
      <c r="A1041" s="8" t="s">
        <v>26</v>
      </c>
      <c r="B1041" s="8" t="s">
        <v>43</v>
      </c>
      <c r="C1041" s="8" t="s">
        <v>62</v>
      </c>
      <c r="D1041" s="21" t="n">
        <v>46191.84375</v>
      </c>
      <c r="E1041" s="21" t="n">
        <v>46192.5173611111</v>
      </c>
      <c r="F1041" s="22" t="n">
        <f aca="false">DATE(YEAR(E1041),MONTH(E1041),1)</f>
        <v>46174</v>
      </c>
      <c r="G1041" s="23" t="n">
        <v>245169</v>
      </c>
      <c r="H1041" s="8" t="s">
        <v>61</v>
      </c>
      <c r="I1041" s="24" t="n">
        <v>5864.93</v>
      </c>
      <c r="J1041" s="25" t="n">
        <f aca="false">Summary!$B$4</f>
        <v>1</v>
      </c>
      <c r="K1041" s="11" t="n">
        <f aca="false">I1041*J1041*IF(A1041="SILVER",Summary!$B$5,Summary!$B$6)</f>
        <v>175947.9</v>
      </c>
      <c r="L1041" s="26" t="n">
        <v>1.485</v>
      </c>
      <c r="M1041" s="27" t="n">
        <f aca="false">IF(K1041&gt;0,1,0)</f>
        <v>1</v>
      </c>
      <c r="N1041" s="11" t="n">
        <f aca="false">SUMIFS(K$2:K1041,A$2:A1041,A1041,B$2:B1041,B1041)</f>
        <v>7207079.7</v>
      </c>
      <c r="O1041" s="11" t="n">
        <f aca="false">MAX(0,_xlfn.MAXIFS(N$2:N1041,A$2:A1041,A1041,B$2:B1041,B1041))</f>
        <v>7226617.2</v>
      </c>
      <c r="P1041" s="11" t="n">
        <f aca="false">N1041-O1041</f>
        <v>-19537.5</v>
      </c>
    </row>
    <row r="1042" customFormat="false" ht="15" hidden="false" customHeight="false" outlineLevel="0" collapsed="false">
      <c r="A1042" s="8" t="s">
        <v>26</v>
      </c>
      <c r="B1042" s="8" t="s">
        <v>43</v>
      </c>
      <c r="C1042" s="8" t="s">
        <v>62</v>
      </c>
      <c r="D1042" s="21" t="n">
        <v>46192.7083333333</v>
      </c>
      <c r="E1042" s="21" t="n">
        <v>46192.7708333333</v>
      </c>
      <c r="F1042" s="22" t="n">
        <f aca="false">DATE(YEAR(E1042),MONTH(E1042),1)</f>
        <v>46174</v>
      </c>
      <c r="G1042" s="23" t="n">
        <v>238587</v>
      </c>
      <c r="H1042" s="8" t="s">
        <v>61</v>
      </c>
      <c r="I1042" s="24" t="n">
        <v>-3178.62</v>
      </c>
      <c r="J1042" s="25" t="n">
        <f aca="false">Summary!$B$4</f>
        <v>1</v>
      </c>
      <c r="K1042" s="11" t="n">
        <f aca="false">I1042*J1042*IF(A1042="SILVER",Summary!$B$5,Summary!$B$6)</f>
        <v>-95358.6</v>
      </c>
      <c r="L1042" s="26" t="n">
        <v>-1.006</v>
      </c>
      <c r="M1042" s="27" t="n">
        <f aca="false">IF(K1042&gt;0,1,0)</f>
        <v>0</v>
      </c>
      <c r="N1042" s="11" t="n">
        <f aca="false">SUMIFS(K$2:K1042,A$2:A1042,A1042,B$2:B1042,B1042)</f>
        <v>7111721.1</v>
      </c>
      <c r="O1042" s="11" t="n">
        <f aca="false">MAX(0,_xlfn.MAXIFS(N$2:N1042,A$2:A1042,A1042,B$2:B1042,B1042))</f>
        <v>7226617.2</v>
      </c>
      <c r="P1042" s="11" t="n">
        <f aca="false">N1042-O1042</f>
        <v>-114896.1</v>
      </c>
    </row>
    <row r="1043" customFormat="false" ht="15" hidden="false" customHeight="false" outlineLevel="0" collapsed="false">
      <c r="A1043" s="8" t="s">
        <v>26</v>
      </c>
      <c r="B1043" s="8" t="s">
        <v>43</v>
      </c>
      <c r="C1043" s="8" t="s">
        <v>62</v>
      </c>
      <c r="D1043" s="21" t="n">
        <v>46195.8368055556</v>
      </c>
      <c r="E1043" s="21" t="n">
        <v>46197.4791666667</v>
      </c>
      <c r="F1043" s="22" t="n">
        <f aca="false">DATE(YEAR(E1043),MONTH(E1043),1)</f>
        <v>46174</v>
      </c>
      <c r="G1043" s="23" t="n">
        <v>243570</v>
      </c>
      <c r="H1043" s="8" t="s">
        <v>61</v>
      </c>
      <c r="I1043" s="24" t="n">
        <v>11596.85</v>
      </c>
      <c r="J1043" s="25" t="n">
        <f aca="false">Summary!$B$4</f>
        <v>1</v>
      </c>
      <c r="K1043" s="11" t="n">
        <f aca="false">I1043*J1043*IF(A1043="SILVER",Summary!$B$5,Summary!$B$6)</f>
        <v>347905.5</v>
      </c>
      <c r="L1043" s="26" t="n">
        <v>5.177</v>
      </c>
      <c r="M1043" s="27" t="n">
        <f aca="false">IF(K1043&gt;0,1,0)</f>
        <v>1</v>
      </c>
      <c r="N1043" s="11" t="n">
        <f aca="false">SUMIFS(K$2:K1043,A$2:A1043,A1043,B$2:B1043,B1043)</f>
        <v>7459626.6</v>
      </c>
      <c r="O1043" s="11" t="n">
        <f aca="false">MAX(0,_xlfn.MAXIFS(N$2:N1043,A$2:A1043,A1043,B$2:B1043,B1043))</f>
        <v>7459626.6</v>
      </c>
      <c r="P1043" s="11" t="n">
        <f aca="false">N1043-O1043</f>
        <v>0</v>
      </c>
    </row>
    <row r="1044" customFormat="false" ht="15" hidden="false" customHeight="false" outlineLevel="0" collapsed="false">
      <c r="A1044" s="8" t="s">
        <v>26</v>
      </c>
      <c r="B1044" s="8" t="s">
        <v>43</v>
      </c>
      <c r="C1044" s="8" t="s">
        <v>62</v>
      </c>
      <c r="D1044" s="21" t="n">
        <v>46197.6493055556</v>
      </c>
      <c r="E1044" s="21" t="n">
        <v>46197.6666666667</v>
      </c>
      <c r="F1044" s="22" t="n">
        <f aca="false">DATE(YEAR(E1044),MONTH(E1044),1)</f>
        <v>46174</v>
      </c>
      <c r="G1044" s="23" t="n">
        <v>230539</v>
      </c>
      <c r="H1044" s="8" t="s">
        <v>64</v>
      </c>
      <c r="I1044" s="24" t="n">
        <v>353.9</v>
      </c>
      <c r="J1044" s="25" t="n">
        <f aca="false">Summary!$B$4</f>
        <v>1</v>
      </c>
      <c r="K1044" s="11" t="n">
        <f aca="false">I1044*J1044*IF(A1044="SILVER",Summary!$B$5,Summary!$B$6)</f>
        <v>10617</v>
      </c>
      <c r="L1044" s="26" t="n">
        <v>0.13</v>
      </c>
      <c r="M1044" s="27" t="n">
        <f aca="false">IF(K1044&gt;0,1,0)</f>
        <v>1</v>
      </c>
      <c r="N1044" s="11" t="n">
        <f aca="false">SUMIFS(K$2:K1044,A$2:A1044,A1044,B$2:B1044,B1044)</f>
        <v>7470243.6</v>
      </c>
      <c r="O1044" s="11" t="n">
        <f aca="false">MAX(0,_xlfn.MAXIFS(N$2:N1044,A$2:A1044,A1044,B$2:B1044,B1044))</f>
        <v>7470243.6</v>
      </c>
      <c r="P1044" s="11" t="n">
        <f aca="false">N1044-O1044</f>
        <v>0</v>
      </c>
    </row>
    <row r="1045" customFormat="false" ht="15" hidden="false" customHeight="false" outlineLevel="0" collapsed="false">
      <c r="A1045" s="8" t="s">
        <v>26</v>
      </c>
      <c r="B1045" s="8" t="s">
        <v>43</v>
      </c>
      <c r="C1045" s="8" t="s">
        <v>62</v>
      </c>
      <c r="D1045" s="21" t="n">
        <v>46197.7083333333</v>
      </c>
      <c r="E1045" s="21" t="n">
        <v>46198.5659722222</v>
      </c>
      <c r="F1045" s="22" t="n">
        <f aca="false">DATE(YEAR(E1045),MONTH(E1045),1)</f>
        <v>46174</v>
      </c>
      <c r="G1045" s="23" t="n">
        <v>228497</v>
      </c>
      <c r="H1045" s="8" t="s">
        <v>61</v>
      </c>
      <c r="I1045" s="24" t="n">
        <v>5474.24</v>
      </c>
      <c r="J1045" s="25" t="n">
        <f aca="false">Summary!$B$4</f>
        <v>1</v>
      </c>
      <c r="K1045" s="11" t="n">
        <f aca="false">I1045*J1045*IF(A1045="SILVER",Summary!$B$5,Summary!$B$6)</f>
        <v>164227.2</v>
      </c>
      <c r="L1045" s="26" t="n">
        <v>2.141</v>
      </c>
      <c r="M1045" s="27" t="n">
        <f aca="false">IF(K1045&gt;0,1,0)</f>
        <v>1</v>
      </c>
      <c r="N1045" s="11" t="n">
        <f aca="false">SUMIFS(K$2:K1045,A$2:A1045,A1045,B$2:B1045,B1045)</f>
        <v>7634470.8</v>
      </c>
      <c r="O1045" s="11" t="n">
        <f aca="false">MAX(0,_xlfn.MAXIFS(N$2:N1045,A$2:A1045,A1045,B$2:B1045,B1045))</f>
        <v>7634470.8</v>
      </c>
      <c r="P1045" s="11" t="n">
        <f aca="false">N1045-O1045</f>
        <v>0</v>
      </c>
    </row>
    <row r="1046" customFormat="false" ht="15" hidden="false" customHeight="false" outlineLevel="0" collapsed="false">
      <c r="A1046" s="8" t="s">
        <v>26</v>
      </c>
      <c r="B1046" s="8" t="s">
        <v>43</v>
      </c>
      <c r="C1046" s="8" t="s">
        <v>62</v>
      </c>
      <c r="D1046" s="21" t="n">
        <v>46198.7048611111</v>
      </c>
      <c r="E1046" s="21" t="n">
        <v>46198.7534722222</v>
      </c>
      <c r="F1046" s="22" t="n">
        <f aca="false">DATE(YEAR(E1046),MONTH(E1046),1)</f>
        <v>46174</v>
      </c>
      <c r="G1046" s="23" t="n">
        <v>221709</v>
      </c>
      <c r="H1046" s="8" t="s">
        <v>61</v>
      </c>
      <c r="I1046" s="24" t="n">
        <v>-3363.31</v>
      </c>
      <c r="J1046" s="25" t="n">
        <f aca="false">Summary!$B$4</f>
        <v>1</v>
      </c>
      <c r="K1046" s="11" t="n">
        <f aca="false">I1046*J1046*IF(A1046="SILVER",Summary!$B$5,Summary!$B$6)</f>
        <v>-100899.3</v>
      </c>
      <c r="L1046" s="26" t="n">
        <v>-0.843</v>
      </c>
      <c r="M1046" s="27" t="n">
        <f aca="false">IF(K1046&gt;0,1,0)</f>
        <v>0</v>
      </c>
      <c r="N1046" s="11" t="n">
        <f aca="false">SUMIFS(K$2:K1046,A$2:A1046,A1046,B$2:B1046,B1046)</f>
        <v>7533571.5</v>
      </c>
      <c r="O1046" s="11" t="n">
        <f aca="false">MAX(0,_xlfn.MAXIFS(N$2:N1046,A$2:A1046,A1046,B$2:B1046,B1046))</f>
        <v>7634470.8</v>
      </c>
      <c r="P1046" s="11" t="n">
        <f aca="false">N1046-O1046</f>
        <v>-100899.3</v>
      </c>
    </row>
    <row r="1047" customFormat="false" ht="15" hidden="false" customHeight="false" outlineLevel="0" collapsed="false">
      <c r="A1047" s="8" t="s">
        <v>26</v>
      </c>
      <c r="B1047" s="8" t="s">
        <v>43</v>
      </c>
      <c r="C1047" s="8" t="s">
        <v>62</v>
      </c>
      <c r="D1047" s="21" t="n">
        <v>46202.4236111111</v>
      </c>
      <c r="E1047" s="21" t="n">
        <v>46202.4847222222</v>
      </c>
      <c r="F1047" s="22" t="n">
        <f aca="false">DATE(YEAR(E1047),MONTH(E1047),1)</f>
        <v>46174</v>
      </c>
      <c r="G1047" s="23" t="n">
        <v>227544</v>
      </c>
      <c r="H1047" s="8" t="s">
        <v>64</v>
      </c>
      <c r="I1047" s="24" t="n">
        <v>230.56</v>
      </c>
      <c r="J1047" s="25" t="n">
        <f aca="false">Summary!$B$4</f>
        <v>1</v>
      </c>
      <c r="K1047" s="11" t="n">
        <f aca="false">I1047*J1047*IF(A1047="SILVER",Summary!$B$5,Summary!$B$6)</f>
        <v>6916.8</v>
      </c>
      <c r="L1047" s="26" t="n">
        <v>0.122</v>
      </c>
      <c r="M1047" s="27" t="n">
        <f aca="false">IF(K1047&gt;0,1,0)</f>
        <v>1</v>
      </c>
      <c r="N1047" s="11" t="n">
        <f aca="false">SUMIFS(K$2:K1047,A$2:A1047,A1047,B$2:B1047,B1047)</f>
        <v>7540488.3</v>
      </c>
      <c r="O1047" s="11" t="n">
        <f aca="false">MAX(0,_xlfn.MAXIFS(N$2:N1047,A$2:A1047,A1047,B$2:B1047,B1047))</f>
        <v>7634470.8</v>
      </c>
      <c r="P1047" s="11" t="n">
        <f aca="false">N1047-O1047</f>
        <v>-93982.5</v>
      </c>
    </row>
    <row r="1048" customFormat="false" ht="15" hidden="false" customHeight="false" outlineLevel="0" collapsed="false">
      <c r="A1048" s="8" t="s">
        <v>26</v>
      </c>
      <c r="B1048" s="8" t="s">
        <v>43</v>
      </c>
      <c r="C1048" s="8" t="s">
        <v>62</v>
      </c>
      <c r="D1048" s="21" t="n">
        <v>46202.6708333333</v>
      </c>
      <c r="E1048" s="21" t="n">
        <v>46202.7847222222</v>
      </c>
      <c r="F1048" s="22" t="n">
        <f aca="false">DATE(YEAR(E1048),MONTH(E1048),1)</f>
        <v>46174</v>
      </c>
      <c r="G1048" s="23" t="n">
        <v>225358</v>
      </c>
      <c r="H1048" s="8" t="s">
        <v>61</v>
      </c>
      <c r="I1048" s="24" t="n">
        <v>-2529.89</v>
      </c>
      <c r="J1048" s="25" t="n">
        <f aca="false">Summary!$B$4</f>
        <v>1</v>
      </c>
      <c r="K1048" s="11" t="n">
        <f aca="false">I1048*J1048*IF(A1048="SILVER",Summary!$B$5,Summary!$B$6)</f>
        <v>-75896.7</v>
      </c>
      <c r="L1048" s="26" t="n">
        <v>-1.173</v>
      </c>
      <c r="M1048" s="27" t="n">
        <f aca="false">IF(K1048&gt;0,1,0)</f>
        <v>0</v>
      </c>
      <c r="N1048" s="11" t="n">
        <f aca="false">SUMIFS(K$2:K1048,A$2:A1048,A1048,B$2:B1048,B1048)</f>
        <v>7464591.6</v>
      </c>
      <c r="O1048" s="11" t="n">
        <f aca="false">MAX(0,_xlfn.MAXIFS(N$2:N1048,A$2:A1048,A1048,B$2:B1048,B1048))</f>
        <v>7634470.8</v>
      </c>
      <c r="P1048" s="11" t="n">
        <f aca="false">N1048-O1048</f>
        <v>-169879.199999999</v>
      </c>
    </row>
    <row r="1049" customFormat="false" ht="15" hidden="false" customHeight="false" outlineLevel="0" collapsed="false">
      <c r="A1049" s="8" t="s">
        <v>26</v>
      </c>
      <c r="B1049" s="8" t="s">
        <v>43</v>
      </c>
      <c r="C1049" s="8" t="s">
        <v>62</v>
      </c>
      <c r="D1049" s="21" t="n">
        <v>46202.8229166667</v>
      </c>
      <c r="E1049" s="21" t="n">
        <v>46203.4986111111</v>
      </c>
      <c r="F1049" s="22" t="n">
        <f aca="false">DATE(YEAR(E1049),MONTH(E1049),1)</f>
        <v>46174</v>
      </c>
      <c r="G1049" s="23" t="n">
        <v>225000</v>
      </c>
      <c r="H1049" s="8" t="s">
        <v>61</v>
      </c>
      <c r="I1049" s="24" t="n">
        <v>-5321.04</v>
      </c>
      <c r="J1049" s="25" t="n">
        <f aca="false">Summary!$B$4</f>
        <v>1</v>
      </c>
      <c r="K1049" s="11" t="n">
        <f aca="false">I1049*J1049*IF(A1049="SILVER",Summary!$B$5,Summary!$B$6)</f>
        <v>-159631.2</v>
      </c>
      <c r="L1049" s="26" t="n">
        <v>-1.885</v>
      </c>
      <c r="M1049" s="27" t="n">
        <f aca="false">IF(K1049&gt;0,1,0)</f>
        <v>0</v>
      </c>
      <c r="N1049" s="11" t="n">
        <f aca="false">SUMIFS(K$2:K1049,A$2:A1049,A1049,B$2:B1049,B1049)</f>
        <v>7304960.4</v>
      </c>
      <c r="O1049" s="11" t="n">
        <f aca="false">MAX(0,_xlfn.MAXIFS(N$2:N1049,A$2:A1049,A1049,B$2:B1049,B1049))</f>
        <v>7634470.8</v>
      </c>
      <c r="P1049" s="11" t="n">
        <f aca="false">N1049-O1049</f>
        <v>-329510.399999999</v>
      </c>
    </row>
    <row r="1050" customFormat="false" ht="15" hidden="false" customHeight="false" outlineLevel="0" collapsed="false">
      <c r="A1050" s="8" t="s">
        <v>26</v>
      </c>
      <c r="B1050" s="8" t="s">
        <v>43</v>
      </c>
      <c r="C1050" s="8" t="s">
        <v>62</v>
      </c>
      <c r="D1050" s="21" t="n">
        <v>46211.5798611111</v>
      </c>
      <c r="E1050" s="21" t="n">
        <v>46211.9583333333</v>
      </c>
      <c r="F1050" s="22" t="n">
        <f aca="false">DATE(YEAR(E1050),MONTH(E1050),1)</f>
        <v>46204</v>
      </c>
      <c r="G1050" s="23" t="n">
        <v>232677</v>
      </c>
      <c r="H1050" s="8" t="s">
        <v>61</v>
      </c>
      <c r="I1050" s="24" t="n">
        <v>4014.82</v>
      </c>
      <c r="J1050" s="25" t="n">
        <f aca="false">Summary!$B$4</f>
        <v>1</v>
      </c>
      <c r="K1050" s="11" t="n">
        <f aca="false">I1050*J1050*IF(A1050="SILVER",Summary!$B$5,Summary!$B$6)</f>
        <v>120444.6</v>
      </c>
      <c r="L1050" s="26" t="n">
        <v>1.332</v>
      </c>
      <c r="M1050" s="27" t="n">
        <f aca="false">IF(K1050&gt;0,1,0)</f>
        <v>1</v>
      </c>
      <c r="N1050" s="11" t="n">
        <f aca="false">SUMIFS(K$2:K1050,A$2:A1050,A1050,B$2:B1050,B1050)</f>
        <v>7425405</v>
      </c>
      <c r="O1050" s="11" t="n">
        <f aca="false">MAX(0,_xlfn.MAXIFS(N$2:N1050,A$2:A1050,A1050,B$2:B1050,B1050))</f>
        <v>7634470.8</v>
      </c>
      <c r="P1050" s="11" t="n">
        <f aca="false">N1050-O1050</f>
        <v>-209065.8</v>
      </c>
    </row>
    <row r="1051" customFormat="false" ht="15" hidden="false" customHeight="false" outlineLevel="0" collapsed="false">
      <c r="A1051" s="8" t="s">
        <v>26</v>
      </c>
      <c r="B1051" s="8" t="s">
        <v>43</v>
      </c>
      <c r="C1051" s="8" t="s">
        <v>62</v>
      </c>
      <c r="D1051" s="21" t="n">
        <v>46212.8409722222</v>
      </c>
      <c r="E1051" s="21" t="n">
        <v>46213.4465277778</v>
      </c>
      <c r="F1051" s="22" t="n">
        <f aca="false">DATE(YEAR(E1051),MONTH(E1051),1)</f>
        <v>46204</v>
      </c>
      <c r="G1051" s="23" t="n">
        <v>229947</v>
      </c>
      <c r="H1051" s="8" t="s">
        <v>64</v>
      </c>
      <c r="I1051" s="24" t="n">
        <v>409.29</v>
      </c>
      <c r="J1051" s="25" t="n">
        <f aca="false">Summary!$B$4</f>
        <v>1</v>
      </c>
      <c r="K1051" s="11" t="n">
        <f aca="false">I1051*J1051*IF(A1051="SILVER",Summary!$B$5,Summary!$B$6)</f>
        <v>12278.7</v>
      </c>
      <c r="L1051" s="26" t="n">
        <v>0.132</v>
      </c>
      <c r="M1051" s="27" t="n">
        <f aca="false">IF(K1051&gt;0,1,0)</f>
        <v>1</v>
      </c>
      <c r="N1051" s="11" t="n">
        <f aca="false">SUMIFS(K$2:K1051,A$2:A1051,A1051,B$2:B1051,B1051)</f>
        <v>7437683.7</v>
      </c>
      <c r="O1051" s="11" t="n">
        <f aca="false">MAX(0,_xlfn.MAXIFS(N$2:N1051,A$2:A1051,A1051,B$2:B1051,B1051))</f>
        <v>7634470.8</v>
      </c>
      <c r="P1051" s="11" t="n">
        <f aca="false">N1051-O1051</f>
        <v>-196787.1</v>
      </c>
    </row>
    <row r="1052" customFormat="false" ht="15" hidden="false" customHeight="false" outlineLevel="0" collapsed="false">
      <c r="A1052" s="8" t="s">
        <v>26</v>
      </c>
      <c r="B1052" s="8" t="s">
        <v>43</v>
      </c>
      <c r="C1052" s="8" t="s">
        <v>62</v>
      </c>
      <c r="D1052" s="21" t="n">
        <v>46213.4618055556</v>
      </c>
      <c r="E1052" s="21" t="n">
        <v>46213.6069444444</v>
      </c>
      <c r="F1052" s="22" t="n">
        <f aca="false">DATE(YEAR(E1052),MONTH(E1052),1)</f>
        <v>46204</v>
      </c>
      <c r="G1052" s="23" t="n">
        <v>227844</v>
      </c>
      <c r="H1052" s="8" t="s">
        <v>64</v>
      </c>
      <c r="I1052" s="24" t="n">
        <v>243.39</v>
      </c>
      <c r="J1052" s="25" t="n">
        <f aca="false">Summary!$B$4</f>
        <v>1</v>
      </c>
      <c r="K1052" s="11" t="n">
        <f aca="false">I1052*J1052*IF(A1052="SILVER",Summary!$B$5,Summary!$B$6)</f>
        <v>7301.7</v>
      </c>
      <c r="L1052" s="26" t="n">
        <v>0.09</v>
      </c>
      <c r="M1052" s="27" t="n">
        <f aca="false">IF(K1052&gt;0,1,0)</f>
        <v>1</v>
      </c>
      <c r="N1052" s="11" t="n">
        <f aca="false">SUMIFS(K$2:K1052,A$2:A1052,A1052,B$2:B1052,B1052)</f>
        <v>7444985.4</v>
      </c>
      <c r="O1052" s="11" t="n">
        <f aca="false">MAX(0,_xlfn.MAXIFS(N$2:N1052,A$2:A1052,A1052,B$2:B1052,B1052))</f>
        <v>7634470.8</v>
      </c>
      <c r="P1052" s="11" t="n">
        <f aca="false">N1052-O1052</f>
        <v>-189485.399999999</v>
      </c>
    </row>
    <row r="1053" customFormat="false" ht="15" hidden="false" customHeight="false" outlineLevel="0" collapsed="false">
      <c r="A1053" s="8" t="s">
        <v>26</v>
      </c>
      <c r="B1053" s="8" t="s">
        <v>43</v>
      </c>
      <c r="C1053" s="8" t="s">
        <v>62</v>
      </c>
      <c r="D1053" s="21" t="n">
        <v>46213.7152777778</v>
      </c>
      <c r="E1053" s="21" t="n">
        <v>46216.5659722222</v>
      </c>
      <c r="F1053" s="22" t="n">
        <f aca="false">DATE(YEAR(E1053),MONTH(E1053),1)</f>
        <v>46204</v>
      </c>
      <c r="G1053" s="23" t="n">
        <v>226564</v>
      </c>
      <c r="H1053" s="8" t="s">
        <v>61</v>
      </c>
      <c r="I1053" s="24" t="n">
        <v>1513.77</v>
      </c>
      <c r="J1053" s="25" t="n">
        <f aca="false">Summary!$B$4</f>
        <v>1</v>
      </c>
      <c r="K1053" s="11" t="n">
        <f aca="false">I1053*J1053*IF(A1053="SILVER",Summary!$B$5,Summary!$B$6)</f>
        <v>45413.1</v>
      </c>
      <c r="L1053" s="26" t="n">
        <v>0.894</v>
      </c>
      <c r="M1053" s="27" t="n">
        <f aca="false">IF(K1053&gt;0,1,0)</f>
        <v>1</v>
      </c>
      <c r="N1053" s="11" t="n">
        <f aca="false">SUMIFS(K$2:K1053,A$2:A1053,A1053,B$2:B1053,B1053)</f>
        <v>7490398.5</v>
      </c>
      <c r="O1053" s="11" t="n">
        <f aca="false">MAX(0,_xlfn.MAXIFS(N$2:N1053,A$2:A1053,A1053,B$2:B1053,B1053))</f>
        <v>7634470.8</v>
      </c>
      <c r="P1053" s="11" t="n">
        <f aca="false">N1053-O1053</f>
        <v>-144072.3</v>
      </c>
    </row>
    <row r="1054" customFormat="false" ht="15" hidden="false" customHeight="false" outlineLevel="0" collapsed="false">
      <c r="A1054" s="8" t="s">
        <v>26</v>
      </c>
      <c r="B1054" s="8" t="s">
        <v>43</v>
      </c>
      <c r="C1054" s="8" t="s">
        <v>62</v>
      </c>
      <c r="D1054" s="21" t="n">
        <v>46216.8263888889</v>
      </c>
      <c r="E1054" s="21" t="n">
        <v>46216.9270833333</v>
      </c>
      <c r="F1054" s="22" t="n">
        <f aca="false">DATE(YEAR(E1054),MONTH(E1054),1)</f>
        <v>46204</v>
      </c>
      <c r="G1054" s="23" t="n">
        <v>223315</v>
      </c>
      <c r="H1054" s="8" t="s">
        <v>64</v>
      </c>
      <c r="I1054" s="24" t="n">
        <v>326.63</v>
      </c>
      <c r="J1054" s="25" t="n">
        <f aca="false">Summary!$B$4</f>
        <v>1</v>
      </c>
      <c r="K1054" s="11" t="n">
        <f aca="false">I1054*J1054*IF(A1054="SILVER",Summary!$B$5,Summary!$B$6)</f>
        <v>9798.9</v>
      </c>
      <c r="L1054" s="26" t="n">
        <v>0.129</v>
      </c>
      <c r="M1054" s="27" t="n">
        <f aca="false">IF(K1054&gt;0,1,0)</f>
        <v>1</v>
      </c>
      <c r="N1054" s="11" t="n">
        <f aca="false">SUMIFS(K$2:K1054,A$2:A1054,A1054,B$2:B1054,B1054)</f>
        <v>7500197.4</v>
      </c>
      <c r="O1054" s="11" t="n">
        <f aca="false">MAX(0,_xlfn.MAXIFS(N$2:N1054,A$2:A1054,A1054,B$2:B1054,B1054))</f>
        <v>7634470.8</v>
      </c>
      <c r="P1054" s="11" t="n">
        <f aca="false">N1054-O1054</f>
        <v>-134273.399999999</v>
      </c>
    </row>
    <row r="1055" customFormat="false" ht="15" hidden="false" customHeight="false" outlineLevel="0" collapsed="false">
      <c r="A1055" s="8" t="s">
        <v>26</v>
      </c>
      <c r="B1055" s="8" t="s">
        <v>43</v>
      </c>
      <c r="C1055" s="8" t="s">
        <v>62</v>
      </c>
      <c r="D1055" s="21" t="n">
        <v>46216.9722222222</v>
      </c>
      <c r="E1055" s="21" t="n">
        <v>46217.375</v>
      </c>
      <c r="F1055" s="22" t="n">
        <f aca="false">DATE(YEAR(E1055),MONTH(E1055),1)</f>
        <v>46204</v>
      </c>
      <c r="G1055" s="23" t="n">
        <v>222457</v>
      </c>
      <c r="H1055" s="8" t="s">
        <v>64</v>
      </c>
      <c r="I1055" s="24" t="n">
        <v>-586.59</v>
      </c>
      <c r="J1055" s="25" t="n">
        <f aca="false">Summary!$B$4</f>
        <v>1</v>
      </c>
      <c r="K1055" s="11" t="n">
        <f aca="false">I1055*J1055*IF(A1055="SILVER",Summary!$B$5,Summary!$B$6)</f>
        <v>-17597.7</v>
      </c>
      <c r="L1055" s="26" t="n">
        <v>-0.347</v>
      </c>
      <c r="M1055" s="27" t="n">
        <f aca="false">IF(K1055&gt;0,1,0)</f>
        <v>0</v>
      </c>
      <c r="N1055" s="11" t="n">
        <f aca="false">SUMIFS(K$2:K1055,A$2:A1055,A1055,B$2:B1055,B1055)</f>
        <v>7482599.7</v>
      </c>
      <c r="O1055" s="11" t="n">
        <f aca="false">MAX(0,_xlfn.MAXIFS(N$2:N1055,A$2:A1055,A1055,B$2:B1055,B1055))</f>
        <v>7634470.8</v>
      </c>
      <c r="P1055" s="11" t="n">
        <f aca="false">N1055-O1055</f>
        <v>-151871.1</v>
      </c>
    </row>
    <row r="1056" customFormat="false" ht="15" hidden="false" customHeight="false" outlineLevel="0" collapsed="false">
      <c r="A1056" s="8" t="s">
        <v>26</v>
      </c>
      <c r="B1056" s="8" t="s">
        <v>43</v>
      </c>
      <c r="C1056" s="8" t="s">
        <v>62</v>
      </c>
      <c r="D1056" s="21" t="n">
        <v>46218.4618055556</v>
      </c>
      <c r="E1056" s="21" t="n">
        <v>46218.5236111111</v>
      </c>
      <c r="F1056" s="22" t="n">
        <f aca="false">DATE(YEAR(E1056),MONTH(E1056),1)</f>
        <v>46204</v>
      </c>
      <c r="G1056" s="23" t="n">
        <v>226855</v>
      </c>
      <c r="H1056" s="8" t="s">
        <v>64</v>
      </c>
      <c r="I1056" s="24" t="n">
        <v>136.6</v>
      </c>
      <c r="J1056" s="25" t="n">
        <f aca="false">Summary!$B$4</f>
        <v>1</v>
      </c>
      <c r="K1056" s="11" t="n">
        <f aca="false">I1056*J1056*IF(A1056="SILVER",Summary!$B$5,Summary!$B$6)</f>
        <v>4098</v>
      </c>
      <c r="L1056" s="26" t="n">
        <v>0.083</v>
      </c>
      <c r="M1056" s="27" t="n">
        <f aca="false">IF(K1056&gt;0,1,0)</f>
        <v>1</v>
      </c>
      <c r="N1056" s="11" t="n">
        <f aca="false">SUMIFS(K$2:K1056,A$2:A1056,A1056,B$2:B1056,B1056)</f>
        <v>7486697.7</v>
      </c>
      <c r="O1056" s="11" t="n">
        <f aca="false">MAX(0,_xlfn.MAXIFS(N$2:N1056,A$2:A1056,A1056,B$2:B1056,B1056))</f>
        <v>7634470.8</v>
      </c>
      <c r="P1056" s="11" t="n">
        <f aca="false">N1056-O1056</f>
        <v>-147773.1</v>
      </c>
    </row>
    <row r="1057" customFormat="false" ht="15" hidden="false" customHeight="false" outlineLevel="0" collapsed="false">
      <c r="A1057" s="8" t="s">
        <v>26</v>
      </c>
      <c r="B1057" s="8" t="s">
        <v>43</v>
      </c>
      <c r="C1057" s="8" t="s">
        <v>62</v>
      </c>
      <c r="D1057" s="21" t="n">
        <v>46218.5486111111</v>
      </c>
      <c r="E1057" s="21" t="n">
        <v>46218.7569444445</v>
      </c>
      <c r="F1057" s="22" t="n">
        <f aca="false">DATE(YEAR(E1057),MONTH(E1057),1)</f>
        <v>46204</v>
      </c>
      <c r="G1057" s="23" t="n">
        <v>225140</v>
      </c>
      <c r="H1057" s="8" t="s">
        <v>61</v>
      </c>
      <c r="I1057" s="24" t="n">
        <v>-2113.3</v>
      </c>
      <c r="J1057" s="25" t="n">
        <f aca="false">Summary!$B$4</f>
        <v>1</v>
      </c>
      <c r="K1057" s="11" t="n">
        <f aca="false">I1057*J1057*IF(A1057="SILVER",Summary!$B$5,Summary!$B$6)</f>
        <v>-63399</v>
      </c>
      <c r="L1057" s="26" t="n">
        <v>-1.061</v>
      </c>
      <c r="M1057" s="27" t="n">
        <f aca="false">IF(K1057&gt;0,1,0)</f>
        <v>0</v>
      </c>
      <c r="N1057" s="11" t="n">
        <f aca="false">SUMIFS(K$2:K1057,A$2:A1057,A1057,B$2:B1057,B1057)</f>
        <v>7423298.7</v>
      </c>
      <c r="O1057" s="11" t="n">
        <f aca="false">MAX(0,_xlfn.MAXIFS(N$2:N1057,A$2:A1057,A1057,B$2:B1057,B1057))</f>
        <v>7634470.8</v>
      </c>
      <c r="P1057" s="11" t="n">
        <f aca="false">N1057-O1057</f>
        <v>-211172.1</v>
      </c>
    </row>
    <row r="1058" customFormat="false" ht="15" hidden="false" customHeight="false" outlineLevel="0" collapsed="false">
      <c r="A1058" s="8" t="s">
        <v>26</v>
      </c>
      <c r="B1058" s="8" t="s">
        <v>43</v>
      </c>
      <c r="C1058" s="8" t="s">
        <v>62</v>
      </c>
      <c r="D1058" s="21" t="n">
        <v>46218.8645833333</v>
      </c>
      <c r="E1058" s="21" t="n">
        <v>46218.9583333333</v>
      </c>
      <c r="F1058" s="22" t="n">
        <f aca="false">DATE(YEAR(E1058),MONTH(E1058),1)</f>
        <v>46204</v>
      </c>
      <c r="G1058" s="23" t="n">
        <v>225210</v>
      </c>
      <c r="H1058" s="8" t="s">
        <v>64</v>
      </c>
      <c r="I1058" s="24" t="n">
        <v>381.97</v>
      </c>
      <c r="J1058" s="25" t="n">
        <f aca="false">Summary!$B$4</f>
        <v>1</v>
      </c>
      <c r="K1058" s="11" t="n">
        <f aca="false">I1058*J1058*IF(A1058="SILVER",Summary!$B$5,Summary!$B$6)</f>
        <v>11459.1</v>
      </c>
      <c r="L1058" s="26" t="n">
        <v>0.131</v>
      </c>
      <c r="M1058" s="27" t="n">
        <f aca="false">IF(K1058&gt;0,1,0)</f>
        <v>1</v>
      </c>
      <c r="N1058" s="11" t="n">
        <f aca="false">SUMIFS(K$2:K1058,A$2:A1058,A1058,B$2:B1058,B1058)</f>
        <v>7434757.8</v>
      </c>
      <c r="O1058" s="11" t="n">
        <f aca="false">MAX(0,_xlfn.MAXIFS(N$2:N1058,A$2:A1058,A1058,B$2:B1058,B1058))</f>
        <v>7634470.8</v>
      </c>
      <c r="P1058" s="11" t="n">
        <f aca="false">N1058-O1058</f>
        <v>-199713</v>
      </c>
    </row>
    <row r="1059" customFormat="false" ht="15" hidden="false" customHeight="false" outlineLevel="0" collapsed="false">
      <c r="A1059" s="8" t="s">
        <v>26</v>
      </c>
      <c r="B1059" s="8" t="s">
        <v>43</v>
      </c>
      <c r="C1059" s="8" t="s">
        <v>62</v>
      </c>
      <c r="D1059" s="21" t="n">
        <v>46219.7569444445</v>
      </c>
      <c r="E1059" s="21" t="n">
        <v>46219.7902777778</v>
      </c>
      <c r="F1059" s="22" t="n">
        <f aca="false">DATE(YEAR(E1059),MONTH(E1059),1)</f>
        <v>46204</v>
      </c>
      <c r="G1059" s="23" t="n">
        <v>222436</v>
      </c>
      <c r="H1059" s="8" t="s">
        <v>64</v>
      </c>
      <c r="I1059" s="24" t="n">
        <v>267.84</v>
      </c>
      <c r="J1059" s="25" t="n">
        <f aca="false">Summary!$B$4</f>
        <v>1</v>
      </c>
      <c r="K1059" s="11" t="n">
        <f aca="false">I1059*J1059*IF(A1059="SILVER",Summary!$B$5,Summary!$B$6)</f>
        <v>8035.2</v>
      </c>
      <c r="L1059" s="26" t="n">
        <v>0.125</v>
      </c>
      <c r="M1059" s="27" t="n">
        <f aca="false">IF(K1059&gt;0,1,0)</f>
        <v>1</v>
      </c>
      <c r="N1059" s="11" t="n">
        <f aca="false">SUMIFS(K$2:K1059,A$2:A1059,A1059,B$2:B1059,B1059)</f>
        <v>7442793</v>
      </c>
      <c r="O1059" s="11" t="n">
        <f aca="false">MAX(0,_xlfn.MAXIFS(N$2:N1059,A$2:A1059,A1059,B$2:B1059,B1059))</f>
        <v>7634470.8</v>
      </c>
      <c r="P1059" s="11" t="n">
        <f aca="false">N1059-O1059</f>
        <v>-191677.8</v>
      </c>
    </row>
    <row r="1060" customFormat="false" ht="15" hidden="false" customHeight="false" outlineLevel="0" collapsed="false">
      <c r="A1060" s="8" t="s">
        <v>26</v>
      </c>
      <c r="B1060" s="8" t="s">
        <v>43</v>
      </c>
      <c r="C1060" s="8" t="s">
        <v>62</v>
      </c>
      <c r="D1060" s="21" t="n">
        <v>46220.4201388889</v>
      </c>
      <c r="E1060" s="21" t="n">
        <v>46220.4659722222</v>
      </c>
      <c r="F1060" s="22" t="n">
        <f aca="false">DATE(YEAR(E1060),MONTH(E1060),1)</f>
        <v>46204</v>
      </c>
      <c r="G1060" s="23" t="n">
        <v>219734</v>
      </c>
      <c r="H1060" s="8" t="s">
        <v>64</v>
      </c>
      <c r="I1060" s="24" t="n">
        <v>223.98</v>
      </c>
      <c r="J1060" s="25" t="n">
        <f aca="false">Summary!$B$4</f>
        <v>1</v>
      </c>
      <c r="K1060" s="11" t="n">
        <f aca="false">I1060*J1060*IF(A1060="SILVER",Summary!$B$5,Summary!$B$6)</f>
        <v>6719.4</v>
      </c>
      <c r="L1060" s="26" t="n">
        <v>0.12</v>
      </c>
      <c r="M1060" s="27" t="n">
        <f aca="false">IF(K1060&gt;0,1,0)</f>
        <v>1</v>
      </c>
      <c r="N1060" s="11" t="n">
        <f aca="false">SUMIFS(K$2:K1060,A$2:A1060,A1060,B$2:B1060,B1060)</f>
        <v>7449512.4</v>
      </c>
      <c r="O1060" s="11" t="n">
        <f aca="false">MAX(0,_xlfn.MAXIFS(N$2:N1060,A$2:A1060,A1060,B$2:B1060,B1060))</f>
        <v>7634470.8</v>
      </c>
      <c r="P1060" s="11" t="n">
        <f aca="false">N1060-O1060</f>
        <v>-184958.399999999</v>
      </c>
    </row>
    <row r="1061" customFormat="false" ht="15" hidden="false" customHeight="false" outlineLevel="0" collapsed="false">
      <c r="A1061" s="8" t="s">
        <v>26</v>
      </c>
      <c r="B1061" s="8" t="s">
        <v>43</v>
      </c>
      <c r="C1061" s="8" t="s">
        <v>62</v>
      </c>
      <c r="D1061" s="21" t="n">
        <v>46220.7604166667</v>
      </c>
      <c r="E1061" s="21" t="n">
        <v>46220.8125</v>
      </c>
      <c r="F1061" s="22" t="n">
        <f aca="false">DATE(YEAR(E1061),MONTH(E1061),1)</f>
        <v>46204</v>
      </c>
      <c r="G1061" s="23" t="n">
        <v>218760</v>
      </c>
      <c r="H1061" s="8" t="s">
        <v>61</v>
      </c>
      <c r="I1061" s="24" t="n">
        <v>-1931.99</v>
      </c>
      <c r="J1061" s="25" t="n">
        <f aca="false">Summary!$B$4</f>
        <v>1</v>
      </c>
      <c r="K1061" s="11" t="n">
        <f aca="false">I1061*J1061*IF(A1061="SILVER",Summary!$B$5,Summary!$B$6)</f>
        <v>-57959.7</v>
      </c>
      <c r="L1061" s="26" t="n">
        <v>-1.211</v>
      </c>
      <c r="M1061" s="27" t="n">
        <f aca="false">IF(K1061&gt;0,1,0)</f>
        <v>0</v>
      </c>
      <c r="N1061" s="11" t="n">
        <f aca="false">SUMIFS(K$2:K1061,A$2:A1061,A1061,B$2:B1061,B1061)</f>
        <v>7391552.7</v>
      </c>
      <c r="O1061" s="11" t="n">
        <f aca="false">MAX(0,_xlfn.MAXIFS(N$2:N1061,A$2:A1061,A1061,B$2:B1061,B1061))</f>
        <v>7634470.8</v>
      </c>
      <c r="P1061" s="11" t="n">
        <f aca="false">N1061-O1061</f>
        <v>-242918.1</v>
      </c>
    </row>
    <row r="1062" customFormat="false" ht="15" hidden="false" customHeight="false" outlineLevel="0" collapsed="false">
      <c r="A1062" s="8" t="s">
        <v>26</v>
      </c>
      <c r="B1062" s="8" t="s">
        <v>43</v>
      </c>
      <c r="C1062" s="8" t="s">
        <v>62</v>
      </c>
      <c r="D1062" s="21" t="n">
        <v>46223.8229166667</v>
      </c>
      <c r="E1062" s="21" t="n">
        <v>46224.3784722222</v>
      </c>
      <c r="F1062" s="22" t="n">
        <f aca="false">DATE(YEAR(E1062),MONTH(E1062),1)</f>
        <v>46204</v>
      </c>
      <c r="G1062" s="23" t="n">
        <v>222984</v>
      </c>
      <c r="H1062" s="8" t="s">
        <v>61</v>
      </c>
      <c r="I1062" s="24" t="n">
        <v>-2576.92</v>
      </c>
      <c r="J1062" s="25" t="n">
        <f aca="false">Summary!$B$4</f>
        <v>1</v>
      </c>
      <c r="K1062" s="11" t="n">
        <f aca="false">I1062*J1062*IF(A1062="SILVER",Summary!$B$5,Summary!$B$6)</f>
        <v>-77307.6</v>
      </c>
      <c r="L1062" s="26" t="n">
        <v>-1.356</v>
      </c>
      <c r="M1062" s="27" t="n">
        <f aca="false">IF(K1062&gt;0,1,0)</f>
        <v>0</v>
      </c>
      <c r="N1062" s="11" t="n">
        <f aca="false">SUMIFS(K$2:K1062,A$2:A1062,A1062,B$2:B1062,B1062)</f>
        <v>7314245.1</v>
      </c>
      <c r="O1062" s="11" t="n">
        <f aca="false">MAX(0,_xlfn.MAXIFS(N$2:N1062,A$2:A1062,A1062,B$2:B1062,B1062))</f>
        <v>7634470.8</v>
      </c>
      <c r="P1062" s="11" t="n">
        <f aca="false">N1062-O1062</f>
        <v>-320225.699999999</v>
      </c>
    </row>
    <row r="1063" customFormat="false" ht="15" hidden="false" customHeight="false" outlineLevel="0" collapsed="false">
      <c r="A1063" s="8" t="s">
        <v>26</v>
      </c>
      <c r="B1063" s="8" t="s">
        <v>43</v>
      </c>
      <c r="C1063" s="8" t="s">
        <v>62</v>
      </c>
      <c r="D1063" s="21" t="n">
        <v>46227.3784722222</v>
      </c>
      <c r="E1063" s="21" t="n">
        <v>46227.4118055556</v>
      </c>
      <c r="F1063" s="22" t="n">
        <f aca="false">DATE(YEAR(E1063),MONTH(E1063),1)</f>
        <v>46204</v>
      </c>
      <c r="G1063" s="23" t="n">
        <v>222914</v>
      </c>
      <c r="H1063" s="8" t="s">
        <v>64</v>
      </c>
      <c r="I1063" s="24" t="n">
        <v>212.37</v>
      </c>
      <c r="J1063" s="25" t="n">
        <f aca="false">Summary!$B$4</f>
        <v>1</v>
      </c>
      <c r="K1063" s="11" t="n">
        <f aca="false">I1063*J1063*IF(A1063="SILVER",Summary!$B$5,Summary!$B$6)</f>
        <v>6371.1</v>
      </c>
      <c r="L1063" s="26" t="n">
        <v>0.103</v>
      </c>
      <c r="M1063" s="27" t="n">
        <f aca="false">IF(K1063&gt;0,1,0)</f>
        <v>1</v>
      </c>
      <c r="N1063" s="11" t="n">
        <f aca="false">SUMIFS(K$2:K1063,A$2:A1063,A1063,B$2:B1063,B1063)</f>
        <v>7320616.2</v>
      </c>
      <c r="O1063" s="11" t="n">
        <f aca="false">MAX(0,_xlfn.MAXIFS(N$2:N1063,A$2:A1063,A1063,B$2:B1063,B1063))</f>
        <v>7634470.8</v>
      </c>
      <c r="P1063" s="11" t="n">
        <f aca="false">N1063-O1063</f>
        <v>-313854.6</v>
      </c>
    </row>
    <row r="1064" customFormat="false" ht="15" hidden="false" customHeight="false" outlineLevel="0" collapsed="false">
      <c r="A1064" s="8" t="s">
        <v>26</v>
      </c>
      <c r="B1064" s="8" t="s">
        <v>43</v>
      </c>
      <c r="C1064" s="8" t="s">
        <v>62</v>
      </c>
      <c r="D1064" s="21" t="n">
        <v>46227.7777777778</v>
      </c>
      <c r="E1064" s="21" t="n">
        <v>46227.7861111111</v>
      </c>
      <c r="F1064" s="22" t="n">
        <f aca="false">DATE(YEAR(E1064),MONTH(E1064),1)</f>
        <v>46204</v>
      </c>
      <c r="G1064" s="23" t="n">
        <v>225547</v>
      </c>
      <c r="H1064" s="8" t="s">
        <v>64</v>
      </c>
      <c r="I1064" s="24" t="n">
        <v>258.63</v>
      </c>
      <c r="J1064" s="25" t="n">
        <f aca="false">Summary!$B$4</f>
        <v>1</v>
      </c>
      <c r="K1064" s="11" t="n">
        <f aca="false">I1064*J1064*IF(A1064="SILVER",Summary!$B$5,Summary!$B$6)</f>
        <v>7758.9</v>
      </c>
      <c r="L1064" s="26" t="n">
        <v>0.124</v>
      </c>
      <c r="M1064" s="27" t="n">
        <f aca="false">IF(K1064&gt;0,1,0)</f>
        <v>1</v>
      </c>
      <c r="N1064" s="11" t="n">
        <f aca="false">SUMIFS(K$2:K1064,A$2:A1064,A1064,B$2:B1064,B1064)</f>
        <v>7328375.1</v>
      </c>
      <c r="O1064" s="11" t="n">
        <f aca="false">MAX(0,_xlfn.MAXIFS(N$2:N1064,A$2:A1064,A1064,B$2:B1064,B1064))</f>
        <v>7634470.8</v>
      </c>
      <c r="P1064" s="11" t="n">
        <f aca="false">N1064-O1064</f>
        <v>-306095.699999999</v>
      </c>
    </row>
    <row r="1065" customFormat="false" ht="15" hidden="false" customHeight="false" outlineLevel="0" collapsed="false">
      <c r="A1065" s="8" t="s">
        <v>26</v>
      </c>
      <c r="B1065" s="8" t="s">
        <v>43</v>
      </c>
      <c r="C1065" s="8" t="s">
        <v>62</v>
      </c>
      <c r="D1065" s="21" t="n">
        <v>46230.5659722222</v>
      </c>
      <c r="E1065" s="21" t="n">
        <v>46230.7486111111</v>
      </c>
      <c r="F1065" s="22" t="n">
        <f aca="false">DATE(YEAR(E1065),MONTH(E1065),1)</f>
        <v>46204</v>
      </c>
      <c r="G1065" s="23" t="n">
        <v>228137</v>
      </c>
      <c r="H1065" s="8" t="s">
        <v>64</v>
      </c>
      <c r="I1065" s="24" t="n">
        <v>236.78</v>
      </c>
      <c r="J1065" s="25" t="n">
        <f aca="false">Summary!$B$4</f>
        <v>1</v>
      </c>
      <c r="K1065" s="11" t="n">
        <f aca="false">I1065*J1065*IF(A1065="SILVER",Summary!$B$5,Summary!$B$6)</f>
        <v>7103.4</v>
      </c>
      <c r="L1065" s="26" t="n">
        <v>0.122</v>
      </c>
      <c r="M1065" s="27" t="n">
        <f aca="false">IF(K1065&gt;0,1,0)</f>
        <v>1</v>
      </c>
      <c r="N1065" s="11" t="n">
        <f aca="false">SUMIFS(K$2:K1065,A$2:A1065,A1065,B$2:B1065,B1065)</f>
        <v>7335478.5</v>
      </c>
      <c r="O1065" s="11" t="n">
        <f aca="false">MAX(0,_xlfn.MAXIFS(N$2:N1065,A$2:A1065,A1065,B$2:B1065,B1065))</f>
        <v>7634470.8</v>
      </c>
      <c r="P1065" s="11" t="n">
        <f aca="false">N1065-O1065</f>
        <v>-298992.3</v>
      </c>
    </row>
    <row r="1066" customFormat="false" ht="15" hidden="false" customHeight="false" outlineLevel="0" collapsed="false">
      <c r="A1066" s="8" t="s">
        <v>26</v>
      </c>
      <c r="B1066" s="8" t="s">
        <v>43</v>
      </c>
      <c r="C1066" s="8" t="s">
        <v>62</v>
      </c>
      <c r="D1066" s="21" t="n">
        <v>46230.8125</v>
      </c>
      <c r="E1066" s="21" t="n">
        <v>46230.8527777778</v>
      </c>
      <c r="F1066" s="22" t="n">
        <f aca="false">DATE(YEAR(E1066),MONTH(E1066),1)</f>
        <v>46204</v>
      </c>
      <c r="G1066" s="23" t="n">
        <v>226574</v>
      </c>
      <c r="H1066" s="8" t="s">
        <v>64</v>
      </c>
      <c r="I1066" s="24" t="n">
        <v>269.44</v>
      </c>
      <c r="J1066" s="25" t="n">
        <f aca="false">Summary!$B$4</f>
        <v>1</v>
      </c>
      <c r="K1066" s="11" t="n">
        <f aca="false">I1066*J1066*IF(A1066="SILVER",Summary!$B$5,Summary!$B$6)</f>
        <v>8083.2</v>
      </c>
      <c r="L1066" s="26" t="n">
        <v>0.125</v>
      </c>
      <c r="M1066" s="27" t="n">
        <f aca="false">IF(K1066&gt;0,1,0)</f>
        <v>1</v>
      </c>
      <c r="N1066" s="11" t="n">
        <f aca="false">SUMIFS(K$2:K1066,A$2:A1066,A1066,B$2:B1066,B1066)</f>
        <v>7343561.7</v>
      </c>
      <c r="O1066" s="11" t="n">
        <f aca="false">MAX(0,_xlfn.MAXIFS(N$2:N1066,A$2:A1066,A1066,B$2:B1066,B1066))</f>
        <v>7634470.8</v>
      </c>
      <c r="P1066" s="11" t="n">
        <f aca="false">N1066-O1066</f>
        <v>-290909.1</v>
      </c>
    </row>
    <row r="1067" customFormat="false" ht="15" hidden="false" customHeight="false" outlineLevel="0" collapsed="false">
      <c r="A1067" s="8" t="s">
        <v>26</v>
      </c>
      <c r="B1067" s="8" t="s">
        <v>43</v>
      </c>
      <c r="C1067" s="8" t="s">
        <v>62</v>
      </c>
      <c r="D1067" s="21" t="n">
        <v>46231.3784722222</v>
      </c>
      <c r="E1067" s="21" t="n">
        <v>46231.5354166667</v>
      </c>
      <c r="F1067" s="22" t="n">
        <f aca="false">DATE(YEAR(E1067),MONTH(E1067),1)</f>
        <v>46204</v>
      </c>
      <c r="G1067" s="23" t="n">
        <v>223037</v>
      </c>
      <c r="H1067" s="8" t="s">
        <v>64</v>
      </c>
      <c r="I1067" s="24" t="n">
        <v>407.24</v>
      </c>
      <c r="J1067" s="25" t="n">
        <f aca="false">Summary!$B$4</f>
        <v>1</v>
      </c>
      <c r="K1067" s="11" t="n">
        <f aca="false">I1067*J1067*IF(A1067="SILVER",Summary!$B$5,Summary!$B$6)</f>
        <v>12217.2</v>
      </c>
      <c r="L1067" s="26" t="n">
        <v>0.133</v>
      </c>
      <c r="M1067" s="27" t="n">
        <f aca="false">IF(K1067&gt;0,1,0)</f>
        <v>1</v>
      </c>
      <c r="N1067" s="11" t="n">
        <f aca="false">SUMIFS(K$2:K1067,A$2:A1067,A1067,B$2:B1067,B1067)</f>
        <v>7355778.9</v>
      </c>
      <c r="O1067" s="11" t="n">
        <f aca="false">MAX(0,_xlfn.MAXIFS(N$2:N1067,A$2:A1067,A1067,B$2:B1067,B1067))</f>
        <v>7634470.8</v>
      </c>
      <c r="P1067" s="11" t="n">
        <f aca="false">N1067-O1067</f>
        <v>-278691.899999999</v>
      </c>
    </row>
    <row r="1068" customFormat="false" ht="15" hidden="false" customHeight="false" outlineLevel="0" collapsed="false">
      <c r="A1068" s="8" t="s">
        <v>26</v>
      </c>
      <c r="B1068" s="8" t="s">
        <v>43</v>
      </c>
      <c r="C1068" s="8" t="s">
        <v>62</v>
      </c>
      <c r="D1068" s="21" t="n">
        <v>46231.7256944445</v>
      </c>
      <c r="E1068" s="21" t="n">
        <v>46231.8840277778</v>
      </c>
      <c r="F1068" s="22" t="n">
        <f aca="false">DATE(YEAR(E1068),MONTH(E1068),1)</f>
        <v>46204</v>
      </c>
      <c r="G1068" s="23" t="n">
        <v>220819</v>
      </c>
      <c r="H1068" s="8" t="s">
        <v>64</v>
      </c>
      <c r="I1068" s="24" t="n">
        <v>189.99</v>
      </c>
      <c r="J1068" s="25" t="n">
        <f aca="false">Summary!$B$4</f>
        <v>1</v>
      </c>
      <c r="K1068" s="11" t="n">
        <f aca="false">I1068*J1068*IF(A1068="SILVER",Summary!$B$5,Summary!$B$6)</f>
        <v>5699.7</v>
      </c>
      <c r="L1068" s="26" t="n">
        <v>0.117</v>
      </c>
      <c r="M1068" s="27" t="n">
        <f aca="false">IF(K1068&gt;0,1,0)</f>
        <v>1</v>
      </c>
      <c r="N1068" s="11" t="n">
        <f aca="false">SUMIFS(K$2:K1068,A$2:A1068,A1068,B$2:B1068,B1068)</f>
        <v>7361478.6</v>
      </c>
      <c r="O1068" s="11" t="n">
        <f aca="false">MAX(0,_xlfn.MAXIFS(N$2:N1068,A$2:A1068,A1068,B$2:B1068,B1068))</f>
        <v>7634470.8</v>
      </c>
      <c r="P1068" s="11" t="n">
        <f aca="false">N1068-O1068</f>
        <v>-272992.199999999</v>
      </c>
    </row>
    <row r="1069" customFormat="false" ht="15" hidden="false" customHeight="false" outlineLevel="0" collapsed="false">
      <c r="A1069" s="8" t="s">
        <v>26</v>
      </c>
      <c r="B1069" s="8" t="s">
        <v>43</v>
      </c>
      <c r="C1069" s="8" t="s">
        <v>62</v>
      </c>
      <c r="D1069" s="21" t="n">
        <v>46232.6458333333</v>
      </c>
      <c r="E1069" s="21" t="n">
        <v>46232.6534722222</v>
      </c>
      <c r="F1069" s="22" t="n">
        <f aca="false">DATE(YEAR(E1069),MONTH(E1069),1)</f>
        <v>46204</v>
      </c>
      <c r="G1069" s="23" t="n">
        <v>221884</v>
      </c>
      <c r="H1069" s="8" t="s">
        <v>64</v>
      </c>
      <c r="I1069" s="24" t="n">
        <v>170.25</v>
      </c>
      <c r="J1069" s="25" t="n">
        <f aca="false">Summary!$B$4</f>
        <v>1</v>
      </c>
      <c r="K1069" s="11" t="n">
        <f aca="false">I1069*J1069*IF(A1069="SILVER",Summary!$B$5,Summary!$B$6)</f>
        <v>5107.5</v>
      </c>
      <c r="L1069" s="26" t="n">
        <v>0.114</v>
      </c>
      <c r="M1069" s="27" t="n">
        <f aca="false">IF(K1069&gt;0,1,0)</f>
        <v>1</v>
      </c>
      <c r="N1069" s="11" t="n">
        <f aca="false">SUMIFS(K$2:K1069,A$2:A1069,A1069,B$2:B1069,B1069)</f>
        <v>7366586.1</v>
      </c>
      <c r="O1069" s="11" t="n">
        <f aca="false">MAX(0,_xlfn.MAXIFS(N$2:N1069,A$2:A1069,A1069,B$2:B1069,B1069))</f>
        <v>7634470.8</v>
      </c>
      <c r="P1069" s="11" t="n">
        <f aca="false">N1069-O1069</f>
        <v>-267884.699999999</v>
      </c>
    </row>
    <row r="1070" customFormat="false" ht="15" hidden="false" customHeight="false" outlineLevel="0" collapsed="false">
      <c r="A1070" s="8" t="s">
        <v>26</v>
      </c>
      <c r="B1070" s="8" t="s">
        <v>43</v>
      </c>
      <c r="C1070" s="8" t="s">
        <v>62</v>
      </c>
      <c r="D1070" s="21" t="n">
        <v>46232.75</v>
      </c>
      <c r="E1070" s="21" t="n">
        <v>46232.8472222222</v>
      </c>
      <c r="F1070" s="22" t="n">
        <f aca="false">DATE(YEAR(E1070),MONTH(E1070),1)</f>
        <v>46204</v>
      </c>
      <c r="G1070" s="23" t="n">
        <v>219767</v>
      </c>
      <c r="H1070" s="8" t="s">
        <v>64</v>
      </c>
      <c r="I1070" s="24" t="n">
        <v>269.6</v>
      </c>
      <c r="J1070" s="25" t="n">
        <f aca="false">Summary!$B$4</f>
        <v>1</v>
      </c>
      <c r="K1070" s="11" t="n">
        <f aca="false">I1070*J1070*IF(A1070="SILVER",Summary!$B$5,Summary!$B$6)</f>
        <v>8088</v>
      </c>
      <c r="L1070" s="26" t="n">
        <v>0.125</v>
      </c>
      <c r="M1070" s="27" t="n">
        <f aca="false">IF(K1070&gt;0,1,0)</f>
        <v>1</v>
      </c>
      <c r="N1070" s="11" t="n">
        <f aca="false">SUMIFS(K$2:K1070,A$2:A1070,A1070,B$2:B1070,B1070)</f>
        <v>7374674.1</v>
      </c>
      <c r="O1070" s="11" t="n">
        <f aca="false">MAX(0,_xlfn.MAXIFS(N$2:N1070,A$2:A1070,A1070,B$2:B1070,B1070))</f>
        <v>7634470.8</v>
      </c>
      <c r="P1070" s="11" t="n">
        <f aca="false">N1070-O1070</f>
        <v>-259796.699999999</v>
      </c>
    </row>
    <row r="1071" customFormat="false" ht="15" hidden="false" customHeight="false" outlineLevel="0" collapsed="false">
      <c r="A1071" s="8" t="s">
        <v>26</v>
      </c>
      <c r="B1071" s="8" t="s">
        <v>43</v>
      </c>
      <c r="C1071" s="8" t="s">
        <v>62</v>
      </c>
      <c r="D1071" s="21" t="n">
        <v>46234.5833333333</v>
      </c>
      <c r="E1071" s="21" t="n">
        <v>46234.6368055556</v>
      </c>
      <c r="F1071" s="22" t="n">
        <f aca="false">DATE(YEAR(E1071),MONTH(E1071),1)</f>
        <v>46204</v>
      </c>
      <c r="G1071" s="23" t="n">
        <v>222818</v>
      </c>
      <c r="H1071" s="8" t="s">
        <v>64</v>
      </c>
      <c r="I1071" s="24" t="n">
        <v>176.76</v>
      </c>
      <c r="J1071" s="25" t="n">
        <f aca="false">Summary!$B$4</f>
        <v>1</v>
      </c>
      <c r="K1071" s="11" t="n">
        <f aca="false">I1071*J1071*IF(A1071="SILVER",Summary!$B$5,Summary!$B$6)</f>
        <v>5302.8</v>
      </c>
      <c r="L1071" s="26" t="n">
        <v>0.115</v>
      </c>
      <c r="M1071" s="27" t="n">
        <f aca="false">IF(K1071&gt;0,1,0)</f>
        <v>1</v>
      </c>
      <c r="N1071" s="11" t="n">
        <f aca="false">SUMIFS(K$2:K1071,A$2:A1071,A1071,B$2:B1071,B1071)</f>
        <v>7379976.9</v>
      </c>
      <c r="O1071" s="11" t="n">
        <f aca="false">MAX(0,_xlfn.MAXIFS(N$2:N1071,A$2:A1071,A1071,B$2:B1071,B1071))</f>
        <v>7634470.8</v>
      </c>
      <c r="P1071" s="11" t="n">
        <f aca="false">N1071-O1071</f>
        <v>-254493.899999999</v>
      </c>
    </row>
    <row r="1072" customFormat="false" ht="15" hidden="false" customHeight="false" outlineLevel="0" collapsed="false">
      <c r="A1072" s="8" t="s">
        <v>26</v>
      </c>
      <c r="B1072" s="8" t="s">
        <v>43</v>
      </c>
      <c r="C1072" s="8" t="s">
        <v>62</v>
      </c>
      <c r="D1072" s="21" t="n">
        <v>46234.6569444445</v>
      </c>
      <c r="E1072" s="21" t="n">
        <v>46234.6902777778</v>
      </c>
      <c r="F1072" s="22" t="n">
        <f aca="false">DATE(YEAR(E1072),MONTH(E1072),1)</f>
        <v>46204</v>
      </c>
      <c r="G1072" s="23" t="n">
        <v>222200</v>
      </c>
      <c r="H1072" s="8" t="s">
        <v>64</v>
      </c>
      <c r="I1072" s="24" t="n">
        <v>167.49</v>
      </c>
      <c r="J1072" s="25" t="n">
        <f aca="false">Summary!$B$4</f>
        <v>1</v>
      </c>
      <c r="K1072" s="11" t="n">
        <f aca="false">I1072*J1072*IF(A1072="SILVER",Summary!$B$5,Summary!$B$6)</f>
        <v>5024.7</v>
      </c>
      <c r="L1072" s="26" t="n">
        <v>0.114</v>
      </c>
      <c r="M1072" s="27" t="n">
        <f aca="false">IF(K1072&gt;0,1,0)</f>
        <v>1</v>
      </c>
      <c r="N1072" s="11" t="n">
        <f aca="false">SUMIFS(K$2:K1072,A$2:A1072,A1072,B$2:B1072,B1072)</f>
        <v>7385001.6</v>
      </c>
      <c r="O1072" s="11" t="n">
        <f aca="false">MAX(0,_xlfn.MAXIFS(N$2:N1072,A$2:A1072,A1072,B$2:B1072,B1072))</f>
        <v>7634470.8</v>
      </c>
      <c r="P1072" s="11" t="n">
        <f aca="false">N1072-O1072</f>
        <v>-249469.199999999</v>
      </c>
    </row>
    <row r="1073" customFormat="false" ht="15" hidden="false" customHeight="false" outlineLevel="0" collapsed="false">
      <c r="A1073" s="8" t="s">
        <v>26</v>
      </c>
      <c r="B1073" s="8" t="s">
        <v>43</v>
      </c>
      <c r="C1073" s="8" t="s">
        <v>62</v>
      </c>
      <c r="D1073" s="21" t="n">
        <v>46234.7743055556</v>
      </c>
      <c r="E1073" s="21" t="n">
        <v>46234.8013888889</v>
      </c>
      <c r="F1073" s="22" t="n">
        <f aca="false">DATE(YEAR(E1073),MONTH(E1073),1)</f>
        <v>46204</v>
      </c>
      <c r="G1073" s="23" t="n">
        <v>221206</v>
      </c>
      <c r="H1073" s="8" t="s">
        <v>64</v>
      </c>
      <c r="I1073" s="24" t="n">
        <v>262.85</v>
      </c>
      <c r="J1073" s="25" t="n">
        <f aca="false">Summary!$B$4</f>
        <v>1</v>
      </c>
      <c r="K1073" s="11" t="n">
        <f aca="false">I1073*J1073*IF(A1073="SILVER",Summary!$B$5,Summary!$B$6)</f>
        <v>7885.5</v>
      </c>
      <c r="L1073" s="26" t="n">
        <v>0.125</v>
      </c>
      <c r="M1073" s="27" t="n">
        <f aca="false">IF(K1073&gt;0,1,0)</f>
        <v>1</v>
      </c>
      <c r="N1073" s="11" t="n">
        <f aca="false">SUMIFS(K$2:K1073,A$2:A1073,A1073,B$2:B1073,B1073)</f>
        <v>7392887.1</v>
      </c>
      <c r="O1073" s="11" t="n">
        <f aca="false">MAX(0,_xlfn.MAXIFS(N$2:N1073,A$2:A1073,A1073,B$2:B1073,B1073))</f>
        <v>7634470.8</v>
      </c>
      <c r="P1073" s="11" t="n">
        <f aca="false">N1073-O1073</f>
        <v>-241583.699999999</v>
      </c>
    </row>
    <row r="1074" customFormat="false" ht="15" hidden="false" customHeight="false" outlineLevel="0" collapsed="false">
      <c r="A1074" s="8" t="s">
        <v>26</v>
      </c>
      <c r="B1074" s="8" t="s">
        <v>43</v>
      </c>
      <c r="C1074" s="8" t="s">
        <v>62</v>
      </c>
      <c r="D1074" s="21" t="n">
        <v>46234.8194444445</v>
      </c>
      <c r="E1074" s="21" t="n">
        <v>46237.3784722222</v>
      </c>
      <c r="F1074" s="22" t="n">
        <f aca="false">DATE(YEAR(E1074),MONTH(E1074),1)</f>
        <v>46235</v>
      </c>
      <c r="G1074" s="23" t="n">
        <v>220395</v>
      </c>
      <c r="H1074" s="8" t="s">
        <v>61</v>
      </c>
      <c r="I1074" s="24" t="n">
        <v>-2435.38</v>
      </c>
      <c r="J1074" s="25" t="n">
        <f aca="false">Summary!$B$4</f>
        <v>1</v>
      </c>
      <c r="K1074" s="11" t="n">
        <f aca="false">I1074*J1074*IF(A1074="SILVER",Summary!$B$5,Summary!$B$6)</f>
        <v>-73061.4</v>
      </c>
      <c r="L1074" s="26" t="n">
        <v>-0.999</v>
      </c>
      <c r="M1074" s="27" t="n">
        <f aca="false">IF(K1074&gt;0,1,0)</f>
        <v>0</v>
      </c>
      <c r="N1074" s="11" t="n">
        <f aca="false">SUMIFS(K$2:K1074,A$2:A1074,A1074,B$2:B1074,B1074)</f>
        <v>7319825.7</v>
      </c>
      <c r="O1074" s="11" t="n">
        <f aca="false">MAX(0,_xlfn.MAXIFS(N$2:N1074,A$2:A1074,A1074,B$2:B1074,B1074))</f>
        <v>7634470.8</v>
      </c>
      <c r="P1074" s="11" t="n">
        <f aca="false">N1074-O1074</f>
        <v>-314645.1</v>
      </c>
    </row>
    <row r="1075" customFormat="false" ht="15" hidden="false" customHeight="false" outlineLevel="0" collapsed="false">
      <c r="A1075" s="8" t="s">
        <v>26</v>
      </c>
      <c r="B1075" s="8" t="s">
        <v>43</v>
      </c>
      <c r="C1075" s="8" t="s">
        <v>62</v>
      </c>
      <c r="D1075" s="21" t="n">
        <v>46237.7013888889</v>
      </c>
      <c r="E1075" s="21" t="n">
        <v>46237.9305555556</v>
      </c>
      <c r="F1075" s="22" t="n">
        <f aca="false">DATE(YEAR(E1075),MONTH(E1075),1)</f>
        <v>46235</v>
      </c>
      <c r="G1075" s="23" t="n">
        <v>222327</v>
      </c>
      <c r="H1075" s="8" t="s">
        <v>61</v>
      </c>
      <c r="I1075" s="24" t="n">
        <v>966.58</v>
      </c>
      <c r="J1075" s="25" t="n">
        <f aca="false">Summary!$B$4</f>
        <v>1</v>
      </c>
      <c r="K1075" s="11" t="n">
        <f aca="false">I1075*J1075*IF(A1075="SILVER",Summary!$B$5,Summary!$B$6)</f>
        <v>28997.4</v>
      </c>
      <c r="L1075" s="26" t="n">
        <v>0.73</v>
      </c>
      <c r="M1075" s="27" t="n">
        <f aca="false">IF(K1075&gt;0,1,0)</f>
        <v>1</v>
      </c>
      <c r="N1075" s="11" t="n">
        <f aca="false">SUMIFS(K$2:K1075,A$2:A1075,A1075,B$2:B1075,B1075)</f>
        <v>7348823.1</v>
      </c>
      <c r="O1075" s="11" t="n">
        <f aca="false">MAX(0,_xlfn.MAXIFS(N$2:N1075,A$2:A1075,A1075,B$2:B1075,B1075))</f>
        <v>7634470.8</v>
      </c>
      <c r="P1075" s="11" t="n">
        <f aca="false">N1075-O1075</f>
        <v>-285647.699999999</v>
      </c>
    </row>
    <row r="1076" customFormat="false" ht="15" hidden="false" customHeight="false" outlineLevel="0" collapsed="false">
      <c r="A1076" s="8" t="s">
        <v>26</v>
      </c>
      <c r="B1076" s="8" t="s">
        <v>43</v>
      </c>
      <c r="C1076" s="8" t="s">
        <v>62</v>
      </c>
      <c r="D1076" s="21" t="n">
        <v>46253.4340277778</v>
      </c>
      <c r="E1076" s="21" t="n">
        <v>46253.6597222222</v>
      </c>
      <c r="F1076" s="22" t="n">
        <f aca="false">DATE(YEAR(E1076),MONTH(E1076),1)</f>
        <v>46235</v>
      </c>
      <c r="G1076" s="23" t="n">
        <v>233126</v>
      </c>
      <c r="H1076" s="8" t="s">
        <v>61</v>
      </c>
      <c r="I1076" s="24" t="n">
        <v>-1661.86</v>
      </c>
      <c r="J1076" s="25" t="n">
        <f aca="false">Summary!$B$4</f>
        <v>1</v>
      </c>
      <c r="K1076" s="11" t="n">
        <f aca="false">I1076*J1076*IF(A1076="SILVER",Summary!$B$5,Summary!$B$6)</f>
        <v>-49855.8</v>
      </c>
      <c r="L1076" s="26" t="n">
        <v>-0.827</v>
      </c>
      <c r="M1076" s="27" t="n">
        <f aca="false">IF(K1076&gt;0,1,0)</f>
        <v>0</v>
      </c>
      <c r="N1076" s="11" t="n">
        <f aca="false">SUMIFS(K$2:K1076,A$2:A1076,A1076,B$2:B1076,B1076)</f>
        <v>7298967.3</v>
      </c>
      <c r="O1076" s="11" t="n">
        <f aca="false">MAX(0,_xlfn.MAXIFS(N$2:N1076,A$2:A1076,A1076,B$2:B1076,B1076))</f>
        <v>7634470.8</v>
      </c>
      <c r="P1076" s="11" t="n">
        <f aca="false">N1076-O1076</f>
        <v>-335503.5</v>
      </c>
    </row>
    <row r="1077" customFormat="false" ht="15" hidden="false" customHeight="false" outlineLevel="0" collapsed="false">
      <c r="A1077" s="8" t="s">
        <v>26</v>
      </c>
      <c r="B1077" s="8" t="s">
        <v>43</v>
      </c>
      <c r="C1077" s="8" t="s">
        <v>62</v>
      </c>
      <c r="D1077" s="21" t="n">
        <v>46261.4131944445</v>
      </c>
      <c r="E1077" s="21" t="n">
        <v>46261.4208333333</v>
      </c>
      <c r="F1077" s="22" t="n">
        <f aca="false">DATE(YEAR(E1077),MONTH(E1077),1)</f>
        <v>46235</v>
      </c>
      <c r="G1077" s="23" t="n">
        <v>243358</v>
      </c>
      <c r="H1077" s="8" t="s">
        <v>64</v>
      </c>
      <c r="I1077" s="24" t="n">
        <v>464.33</v>
      </c>
      <c r="J1077" s="25" t="n">
        <f aca="false">Summary!$B$4</f>
        <v>1</v>
      </c>
      <c r="K1077" s="11" t="n">
        <f aca="false">I1077*J1077*IF(A1077="SILVER",Summary!$B$5,Summary!$B$6)</f>
        <v>13929.9</v>
      </c>
      <c r="L1077" s="26" t="n">
        <v>0.12</v>
      </c>
      <c r="M1077" s="27" t="n">
        <f aca="false">IF(K1077&gt;0,1,0)</f>
        <v>1</v>
      </c>
      <c r="N1077" s="11" t="n">
        <f aca="false">SUMIFS(K$2:K1077,A$2:A1077,A1077,B$2:B1077,B1077)</f>
        <v>7312897.2</v>
      </c>
      <c r="O1077" s="11" t="n">
        <f aca="false">MAX(0,_xlfn.MAXIFS(N$2:N1077,A$2:A1077,A1077,B$2:B1077,B1077))</f>
        <v>7634470.8</v>
      </c>
      <c r="P1077" s="11" t="n">
        <f aca="false">N1077-O1077</f>
        <v>-321573.6</v>
      </c>
    </row>
    <row r="1078" customFormat="false" ht="15" hidden="false" customHeight="false" outlineLevel="0" collapsed="false">
      <c r="A1078" s="8" t="s">
        <v>26</v>
      </c>
      <c r="B1078" s="8" t="s">
        <v>43</v>
      </c>
      <c r="C1078" s="8" t="s">
        <v>62</v>
      </c>
      <c r="D1078" s="21" t="n">
        <v>46262.8229166667</v>
      </c>
      <c r="E1078" s="21" t="n">
        <v>46262.8333333333</v>
      </c>
      <c r="F1078" s="22" t="n">
        <f aca="false">DATE(YEAR(E1078),MONTH(E1078),1)</f>
        <v>46235</v>
      </c>
      <c r="G1078" s="23" t="n">
        <v>246857</v>
      </c>
      <c r="H1078" s="8" t="s">
        <v>64</v>
      </c>
      <c r="I1078" s="24" t="n">
        <v>436.85</v>
      </c>
      <c r="J1078" s="25" t="n">
        <f aca="false">Summary!$B$4</f>
        <v>1</v>
      </c>
      <c r="K1078" s="11" t="n">
        <f aca="false">I1078*J1078*IF(A1078="SILVER",Summary!$B$5,Summary!$B$6)</f>
        <v>13105.5</v>
      </c>
      <c r="L1078" s="26" t="n">
        <v>0.132</v>
      </c>
      <c r="M1078" s="27" t="n">
        <f aca="false">IF(K1078&gt;0,1,0)</f>
        <v>1</v>
      </c>
      <c r="N1078" s="11" t="n">
        <f aca="false">SUMIFS(K$2:K1078,A$2:A1078,A1078,B$2:B1078,B1078)</f>
        <v>7326002.7</v>
      </c>
      <c r="O1078" s="11" t="n">
        <f aca="false">MAX(0,_xlfn.MAXIFS(N$2:N1078,A$2:A1078,A1078,B$2:B1078,B1078))</f>
        <v>7634470.8</v>
      </c>
      <c r="P1078" s="11" t="n">
        <f aca="false">N1078-O1078</f>
        <v>-308468.1</v>
      </c>
    </row>
    <row r="1079" customFormat="false" ht="15" hidden="false" customHeight="false" outlineLevel="0" collapsed="false">
      <c r="A1079" s="8" t="s">
        <v>26</v>
      </c>
      <c r="B1079" s="8" t="s">
        <v>43</v>
      </c>
      <c r="C1079" s="8" t="s">
        <v>62</v>
      </c>
      <c r="D1079" s="21" t="n">
        <v>46262.8958333333</v>
      </c>
      <c r="E1079" s="21" t="n">
        <v>46266.3854166667</v>
      </c>
      <c r="F1079" s="22" t="n">
        <f aca="false">DATE(YEAR(E1079),MONTH(E1079),1)</f>
        <v>46266</v>
      </c>
      <c r="G1079" s="23" t="n">
        <v>244057</v>
      </c>
      <c r="H1079" s="8" t="s">
        <v>61</v>
      </c>
      <c r="I1079" s="24" t="n">
        <v>3742.51</v>
      </c>
      <c r="J1079" s="25" t="n">
        <f aca="false">Summary!$B$4</f>
        <v>1</v>
      </c>
      <c r="K1079" s="11" t="n">
        <f aca="false">I1079*J1079*IF(A1079="SILVER",Summary!$B$5,Summary!$B$6)</f>
        <v>112275.3</v>
      </c>
      <c r="L1079" s="26" t="n">
        <v>0.806</v>
      </c>
      <c r="M1079" s="27" t="n">
        <f aca="false">IF(K1079&gt;0,1,0)</f>
        <v>1</v>
      </c>
      <c r="N1079" s="11" t="n">
        <f aca="false">SUMIFS(K$2:K1079,A$2:A1079,A1079,B$2:B1079,B1079)</f>
        <v>7438278</v>
      </c>
      <c r="O1079" s="11" t="n">
        <f aca="false">MAX(0,_xlfn.MAXIFS(N$2:N1079,A$2:A1079,A1079,B$2:B1079,B1079))</f>
        <v>7634470.8</v>
      </c>
      <c r="P1079" s="11" t="n">
        <f aca="false">N1079-O1079</f>
        <v>-196192.8</v>
      </c>
    </row>
    <row r="1080" customFormat="false" ht="15" hidden="false" customHeight="false" outlineLevel="0" collapsed="false">
      <c r="A1080" s="8" t="s">
        <v>26</v>
      </c>
      <c r="B1080" s="8" t="s">
        <v>43</v>
      </c>
      <c r="C1080" s="8" t="s">
        <v>62</v>
      </c>
      <c r="D1080" s="21" t="n">
        <v>46266.5486111111</v>
      </c>
      <c r="E1080" s="21" t="n">
        <v>46266.5715277778</v>
      </c>
      <c r="F1080" s="22" t="n">
        <f aca="false">DATE(YEAR(E1080),MONTH(E1080),1)</f>
        <v>46266</v>
      </c>
      <c r="G1080" s="23" t="n">
        <v>237976</v>
      </c>
      <c r="H1080" s="8" t="s">
        <v>64</v>
      </c>
      <c r="I1080" s="24" t="n">
        <v>262.34</v>
      </c>
      <c r="J1080" s="25" t="n">
        <f aca="false">Summary!$B$4</f>
        <v>1</v>
      </c>
      <c r="K1080" s="11" t="n">
        <f aca="false">I1080*J1080*IF(A1080="SILVER",Summary!$B$5,Summary!$B$6)</f>
        <v>7870.2</v>
      </c>
      <c r="L1080" s="26" t="n">
        <v>0.108</v>
      </c>
      <c r="M1080" s="27" t="n">
        <f aca="false">IF(K1080&gt;0,1,0)</f>
        <v>1</v>
      </c>
      <c r="N1080" s="11" t="n">
        <f aca="false">SUMIFS(K$2:K1080,A$2:A1080,A1080,B$2:B1080,B1080)</f>
        <v>7446148.2</v>
      </c>
      <c r="O1080" s="11" t="n">
        <f aca="false">MAX(0,_xlfn.MAXIFS(N$2:N1080,A$2:A1080,A1080,B$2:B1080,B1080))</f>
        <v>7634470.8</v>
      </c>
      <c r="P1080" s="11" t="n">
        <f aca="false">N1080-O1080</f>
        <v>-188322.6</v>
      </c>
    </row>
    <row r="1081" customFormat="false" ht="15" hidden="false" customHeight="false" outlineLevel="0" collapsed="false">
      <c r="A1081" s="8" t="s">
        <v>26</v>
      </c>
      <c r="B1081" s="8" t="s">
        <v>43</v>
      </c>
      <c r="C1081" s="8" t="s">
        <v>62</v>
      </c>
      <c r="D1081" s="21" t="n">
        <v>46266.5798611111</v>
      </c>
      <c r="E1081" s="21" t="n">
        <v>46266.6618055556</v>
      </c>
      <c r="F1081" s="22" t="n">
        <f aca="false">DATE(YEAR(E1081),MONTH(E1081),1)</f>
        <v>46266</v>
      </c>
      <c r="G1081" s="23" t="n">
        <v>236399</v>
      </c>
      <c r="H1081" s="8" t="s">
        <v>64</v>
      </c>
      <c r="I1081" s="24" t="n">
        <v>402.8</v>
      </c>
      <c r="J1081" s="25" t="n">
        <f aca="false">Summary!$B$4</f>
        <v>1</v>
      </c>
      <c r="K1081" s="11" t="n">
        <f aca="false">I1081*J1081*IF(A1081="SILVER",Summary!$B$5,Summary!$B$6)</f>
        <v>12084</v>
      </c>
      <c r="L1081" s="26" t="n">
        <v>0.132</v>
      </c>
      <c r="M1081" s="27" t="n">
        <f aca="false">IF(K1081&gt;0,1,0)</f>
        <v>1</v>
      </c>
      <c r="N1081" s="11" t="n">
        <f aca="false">SUMIFS(K$2:K1081,A$2:A1081,A1081,B$2:B1081,B1081)</f>
        <v>7458232.2</v>
      </c>
      <c r="O1081" s="11" t="n">
        <f aca="false">MAX(0,_xlfn.MAXIFS(N$2:N1081,A$2:A1081,A1081,B$2:B1081,B1081))</f>
        <v>7634470.8</v>
      </c>
      <c r="P1081" s="11" t="n">
        <f aca="false">N1081-O1081</f>
        <v>-176238.6</v>
      </c>
    </row>
    <row r="1082" customFormat="false" ht="15" hidden="false" customHeight="false" outlineLevel="0" collapsed="false">
      <c r="A1082" s="8" t="s">
        <v>26</v>
      </c>
      <c r="B1082" s="8" t="s">
        <v>43</v>
      </c>
      <c r="C1082" s="8" t="s">
        <v>62</v>
      </c>
      <c r="D1082" s="21" t="n">
        <v>46266.7777777778</v>
      </c>
      <c r="E1082" s="21" t="n">
        <v>46267.7131944444</v>
      </c>
      <c r="F1082" s="22" t="n">
        <f aca="false">DATE(YEAR(E1082),MONTH(E1082),1)</f>
        <v>46266</v>
      </c>
      <c r="G1082" s="23" t="n">
        <v>233994</v>
      </c>
      <c r="H1082" s="8" t="s">
        <v>61</v>
      </c>
      <c r="I1082" s="24" t="n">
        <v>715.24</v>
      </c>
      <c r="J1082" s="25" t="n">
        <f aca="false">Summary!$B$4</f>
        <v>1</v>
      </c>
      <c r="K1082" s="11" t="n">
        <f aca="false">I1082*J1082*IF(A1082="SILVER",Summary!$B$5,Summary!$B$6)</f>
        <v>21457.2</v>
      </c>
      <c r="L1082" s="26" t="n">
        <v>0.258</v>
      </c>
      <c r="M1082" s="27" t="n">
        <f aca="false">IF(K1082&gt;0,1,0)</f>
        <v>1</v>
      </c>
      <c r="N1082" s="11" t="n">
        <f aca="false">SUMIFS(K$2:K1082,A$2:A1082,A1082,B$2:B1082,B1082)</f>
        <v>7479689.4</v>
      </c>
      <c r="O1082" s="11" t="n">
        <f aca="false">MAX(0,_xlfn.MAXIFS(N$2:N1082,A$2:A1082,A1082,B$2:B1082,B1082))</f>
        <v>7634470.8</v>
      </c>
      <c r="P1082" s="11" t="n">
        <f aca="false">N1082-O1082</f>
        <v>-154781.399999999</v>
      </c>
    </row>
    <row r="1083" customFormat="false" ht="15" hidden="false" customHeight="false" outlineLevel="0" collapsed="false">
      <c r="A1083" s="8" t="s">
        <v>26</v>
      </c>
      <c r="B1083" s="8" t="s">
        <v>43</v>
      </c>
      <c r="C1083" s="8" t="s">
        <v>62</v>
      </c>
      <c r="D1083" s="21" t="n">
        <v>46276.3784722222</v>
      </c>
      <c r="E1083" s="21" t="n">
        <v>46276.4722222222</v>
      </c>
      <c r="F1083" s="22" t="n">
        <f aca="false">DATE(YEAR(E1083),MONTH(E1083),1)</f>
        <v>46266</v>
      </c>
      <c r="G1083" s="23" t="n">
        <v>230907</v>
      </c>
      <c r="H1083" s="8" t="s">
        <v>61</v>
      </c>
      <c r="I1083" s="24" t="n">
        <v>-2715.45</v>
      </c>
      <c r="J1083" s="25" t="n">
        <f aca="false">Summary!$B$4</f>
        <v>1</v>
      </c>
      <c r="K1083" s="11" t="n">
        <f aca="false">I1083*J1083*IF(A1083="SILVER",Summary!$B$5,Summary!$B$6)</f>
        <v>-81463.5</v>
      </c>
      <c r="L1083" s="26" t="n">
        <v>-0.805</v>
      </c>
      <c r="M1083" s="27" t="n">
        <f aca="false">IF(K1083&gt;0,1,0)</f>
        <v>0</v>
      </c>
      <c r="N1083" s="11" t="n">
        <f aca="false">SUMIFS(K$2:K1083,A$2:A1083,A1083,B$2:B1083,B1083)</f>
        <v>7398225.9</v>
      </c>
      <c r="O1083" s="11" t="n">
        <f aca="false">MAX(0,_xlfn.MAXIFS(N$2:N1083,A$2:A1083,A1083,B$2:B1083,B1083))</f>
        <v>7634470.8</v>
      </c>
      <c r="P1083" s="11" t="n">
        <f aca="false">N1083-O1083</f>
        <v>-236244.899999999</v>
      </c>
    </row>
    <row r="1084" customFormat="false" ht="15" hidden="false" customHeight="false" outlineLevel="0" collapsed="false">
      <c r="A1084" s="8" t="s">
        <v>26</v>
      </c>
      <c r="B1084" s="8" t="s">
        <v>43</v>
      </c>
      <c r="C1084" s="8" t="s">
        <v>62</v>
      </c>
      <c r="D1084" s="21" t="n">
        <v>46279.7118055556</v>
      </c>
      <c r="E1084" s="21" t="n">
        <v>46279.7708333333</v>
      </c>
      <c r="F1084" s="22" t="n">
        <f aca="false">DATE(YEAR(E1084),MONTH(E1084),1)</f>
        <v>46266</v>
      </c>
      <c r="G1084" s="23" t="n">
        <v>231000</v>
      </c>
      <c r="H1084" s="8" t="s">
        <v>64</v>
      </c>
      <c r="I1084" s="24" t="n">
        <v>440.18</v>
      </c>
      <c r="J1084" s="25" t="n">
        <f aca="false">Summary!$B$4</f>
        <v>1</v>
      </c>
      <c r="K1084" s="11" t="n">
        <f aca="false">I1084*J1084*IF(A1084="SILVER",Summary!$B$5,Summary!$B$6)</f>
        <v>13205.4</v>
      </c>
      <c r="L1084" s="26" t="n">
        <v>0.133</v>
      </c>
      <c r="M1084" s="27" t="n">
        <f aca="false">IF(K1084&gt;0,1,0)</f>
        <v>1</v>
      </c>
      <c r="N1084" s="11" t="n">
        <f aca="false">SUMIFS(K$2:K1084,A$2:A1084,A1084,B$2:B1084,B1084)</f>
        <v>7411431.3</v>
      </c>
      <c r="O1084" s="11" t="n">
        <f aca="false">MAX(0,_xlfn.MAXIFS(N$2:N1084,A$2:A1084,A1084,B$2:B1084,B1084))</f>
        <v>7634470.8</v>
      </c>
      <c r="P1084" s="11" t="n">
        <f aca="false">N1084-O1084</f>
        <v>-223039.5</v>
      </c>
    </row>
    <row r="1085" customFormat="false" ht="15" hidden="false" customHeight="false" outlineLevel="0" collapsed="false">
      <c r="A1085" s="8" t="s">
        <v>26</v>
      </c>
      <c r="B1085" s="8" t="s">
        <v>43</v>
      </c>
      <c r="C1085" s="8" t="s">
        <v>62</v>
      </c>
      <c r="D1085" s="21" t="n">
        <v>46280.5486111111</v>
      </c>
      <c r="E1085" s="21" t="n">
        <v>46280.6326388889</v>
      </c>
      <c r="F1085" s="22" t="n">
        <f aca="false">DATE(YEAR(E1085),MONTH(E1085),1)</f>
        <v>46266</v>
      </c>
      <c r="G1085" s="23" t="n">
        <v>230849</v>
      </c>
      <c r="H1085" s="8" t="s">
        <v>64</v>
      </c>
      <c r="I1085" s="24" t="n">
        <v>175.22</v>
      </c>
      <c r="J1085" s="25" t="n">
        <f aca="false">Summary!$B$4</f>
        <v>1</v>
      </c>
      <c r="K1085" s="11" t="n">
        <f aca="false">I1085*J1085*IF(A1085="SILVER",Summary!$B$5,Summary!$B$6)</f>
        <v>5256.6</v>
      </c>
      <c r="L1085" s="26" t="n">
        <v>0.114</v>
      </c>
      <c r="M1085" s="27" t="n">
        <f aca="false">IF(K1085&gt;0,1,0)</f>
        <v>1</v>
      </c>
      <c r="N1085" s="11" t="n">
        <f aca="false">SUMIFS(K$2:K1085,A$2:A1085,A1085,B$2:B1085,B1085)</f>
        <v>7416687.9</v>
      </c>
      <c r="O1085" s="11" t="n">
        <f aca="false">MAX(0,_xlfn.MAXIFS(N$2:N1085,A$2:A1085,A1085,B$2:B1085,B1085))</f>
        <v>7634470.8</v>
      </c>
      <c r="P1085" s="11" t="n">
        <f aca="false">N1085-O1085</f>
        <v>-217782.899999999</v>
      </c>
    </row>
    <row r="1086" customFormat="false" ht="15" hidden="false" customHeight="false" outlineLevel="0" collapsed="false">
      <c r="A1086" s="8" t="s">
        <v>26</v>
      </c>
      <c r="B1086" s="8" t="s">
        <v>43</v>
      </c>
      <c r="C1086" s="8" t="s">
        <v>62</v>
      </c>
      <c r="D1086" s="21" t="n">
        <v>46281.8125</v>
      </c>
      <c r="E1086" s="21" t="n">
        <v>46281.8222222222</v>
      </c>
      <c r="F1086" s="22" t="n">
        <f aca="false">DATE(YEAR(E1086),MONTH(E1086),1)</f>
        <v>46266</v>
      </c>
      <c r="G1086" s="23" t="n">
        <v>234620</v>
      </c>
      <c r="H1086" s="8" t="s">
        <v>64</v>
      </c>
      <c r="I1086" s="24" t="n">
        <v>192.59</v>
      </c>
      <c r="J1086" s="25" t="n">
        <f aca="false">Summary!$B$4</f>
        <v>1</v>
      </c>
      <c r="K1086" s="11" t="n">
        <f aca="false">I1086*J1086*IF(A1086="SILVER",Summary!$B$5,Summary!$B$6)</f>
        <v>5777.7</v>
      </c>
      <c r="L1086" s="26" t="n">
        <v>0.116</v>
      </c>
      <c r="M1086" s="27" t="n">
        <f aca="false">IF(K1086&gt;0,1,0)</f>
        <v>1</v>
      </c>
      <c r="N1086" s="11" t="n">
        <f aca="false">SUMIFS(K$2:K1086,A$2:A1086,A1086,B$2:B1086,B1086)</f>
        <v>7422465.6</v>
      </c>
      <c r="O1086" s="11" t="n">
        <f aca="false">MAX(0,_xlfn.MAXIFS(N$2:N1086,A$2:A1086,A1086,B$2:B1086,B1086))</f>
        <v>7634470.8</v>
      </c>
      <c r="P1086" s="11" t="n">
        <f aca="false">N1086-O1086</f>
        <v>-212005.199999999</v>
      </c>
    </row>
    <row r="1087" customFormat="false" ht="15" hidden="false" customHeight="false" outlineLevel="0" collapsed="false">
      <c r="A1087" s="8" t="s">
        <v>26</v>
      </c>
      <c r="B1087" s="8" t="s">
        <v>43</v>
      </c>
      <c r="C1087" s="8" t="s">
        <v>62</v>
      </c>
      <c r="D1087" s="21" t="n">
        <v>46282.3784722222</v>
      </c>
      <c r="E1087" s="21" t="n">
        <v>46282.4597222222</v>
      </c>
      <c r="F1087" s="22" t="n">
        <f aca="false">DATE(YEAR(E1087),MONTH(E1087),1)</f>
        <v>46266</v>
      </c>
      <c r="G1087" s="23" t="n">
        <v>232389</v>
      </c>
      <c r="H1087" s="8" t="s">
        <v>64</v>
      </c>
      <c r="I1087" s="24" t="n">
        <v>234.55</v>
      </c>
      <c r="J1087" s="25" t="n">
        <f aca="false">Summary!$B$4</f>
        <v>1</v>
      </c>
      <c r="K1087" s="11" t="n">
        <f aca="false">I1087*J1087*IF(A1087="SILVER",Summary!$B$5,Summary!$B$6)</f>
        <v>7036.5</v>
      </c>
      <c r="L1087" s="26" t="n">
        <v>0.11</v>
      </c>
      <c r="M1087" s="27" t="n">
        <f aca="false">IF(K1087&gt;0,1,0)</f>
        <v>1</v>
      </c>
      <c r="N1087" s="11" t="n">
        <f aca="false">SUMIFS(K$2:K1087,A$2:A1087,A1087,B$2:B1087,B1087)</f>
        <v>7429502.1</v>
      </c>
      <c r="O1087" s="11" t="n">
        <f aca="false">MAX(0,_xlfn.MAXIFS(N$2:N1087,A$2:A1087,A1087,B$2:B1087,B1087))</f>
        <v>7634470.8</v>
      </c>
      <c r="P1087" s="11" t="n">
        <f aca="false">N1087-O1087</f>
        <v>-204968.699999999</v>
      </c>
    </row>
    <row r="1088" customFormat="false" ht="15" hidden="false" customHeight="false" outlineLevel="0" collapsed="false">
      <c r="A1088" s="8" t="s">
        <v>45</v>
      </c>
      <c r="B1088" s="8" t="s">
        <v>27</v>
      </c>
      <c r="C1088" s="8" t="s">
        <v>60</v>
      </c>
      <c r="D1088" s="21" t="n">
        <v>45665.8333333333</v>
      </c>
      <c r="E1088" s="21" t="n">
        <v>45702.875</v>
      </c>
      <c r="F1088" s="22" t="n">
        <f aca="false">DATE(YEAR(E1088),MONTH(E1088),1)</f>
        <v>45689</v>
      </c>
      <c r="G1088" s="23" t="n">
        <v>98216</v>
      </c>
      <c r="H1088" s="8" t="s">
        <v>61</v>
      </c>
      <c r="I1088" s="24" t="n">
        <v>7271.71</v>
      </c>
      <c r="J1088" s="25" t="n">
        <f aca="false">Summary!$B$4</f>
        <v>1</v>
      </c>
      <c r="K1088" s="11" t="n">
        <f aca="false">I1088*J1088*IF(A1088="SILVER",Summary!$B$5,Summary!$B$6)</f>
        <v>727171</v>
      </c>
      <c r="L1088" s="26" t="n">
        <v>5.82</v>
      </c>
      <c r="M1088" s="27" t="n">
        <f aca="false">IF(K1088&gt;0,1,0)</f>
        <v>1</v>
      </c>
      <c r="N1088" s="11" t="n">
        <f aca="false">SUMIFS(K$2:K1088,A$2:A1088,A1088,B$2:B1088,B1088)</f>
        <v>727171</v>
      </c>
      <c r="O1088" s="11" t="n">
        <f aca="false">MAX(0,_xlfn.MAXIFS(N$2:N1088,A$2:A1088,A1088,B$2:B1088,B1088))</f>
        <v>727171</v>
      </c>
      <c r="P1088" s="11" t="n">
        <f aca="false">N1088-O1088</f>
        <v>0</v>
      </c>
    </row>
    <row r="1089" customFormat="false" ht="15" hidden="false" customHeight="false" outlineLevel="0" collapsed="false">
      <c r="A1089" s="8" t="s">
        <v>45</v>
      </c>
      <c r="B1089" s="8" t="s">
        <v>27</v>
      </c>
      <c r="C1089" s="8" t="s">
        <v>62</v>
      </c>
      <c r="D1089" s="21" t="n">
        <v>45702.875</v>
      </c>
      <c r="E1089" s="21" t="n">
        <v>45707.5833333333</v>
      </c>
      <c r="F1089" s="22" t="n">
        <f aca="false">DATE(YEAR(E1089),MONTH(E1089),1)</f>
        <v>45689</v>
      </c>
      <c r="G1089" s="23" t="n">
        <v>105541</v>
      </c>
      <c r="H1089" s="8" t="s">
        <v>61</v>
      </c>
      <c r="I1089" s="24" t="n">
        <v>-1398.13</v>
      </c>
      <c r="J1089" s="25" t="n">
        <f aca="false">Summary!$B$4</f>
        <v>1</v>
      </c>
      <c r="K1089" s="11" t="n">
        <f aca="false">I1089*J1089*IF(A1089="SILVER",Summary!$B$5,Summary!$B$6)</f>
        <v>-139813</v>
      </c>
      <c r="L1089" s="26" t="n">
        <v>-1.033</v>
      </c>
      <c r="M1089" s="27" t="n">
        <f aca="false">IF(K1089&gt;0,1,0)</f>
        <v>0</v>
      </c>
      <c r="N1089" s="11" t="n">
        <f aca="false">SUMIFS(K$2:K1089,A$2:A1089,A1089,B$2:B1089,B1089)</f>
        <v>587358</v>
      </c>
      <c r="O1089" s="11" t="n">
        <f aca="false">MAX(0,_xlfn.MAXIFS(N$2:N1089,A$2:A1089,A1089,B$2:B1089,B1089))</f>
        <v>727171</v>
      </c>
      <c r="P1089" s="11" t="n">
        <f aca="false">N1089-O1089</f>
        <v>-139813</v>
      </c>
    </row>
    <row r="1090" customFormat="false" ht="15" hidden="false" customHeight="false" outlineLevel="0" collapsed="false">
      <c r="A1090" s="8" t="s">
        <v>45</v>
      </c>
      <c r="B1090" s="8" t="s">
        <v>27</v>
      </c>
      <c r="C1090" s="8" t="s">
        <v>60</v>
      </c>
      <c r="D1090" s="21" t="n">
        <v>45707.5833333333</v>
      </c>
      <c r="E1090" s="21" t="n">
        <v>45713.9166666667</v>
      </c>
      <c r="F1090" s="22" t="n">
        <f aca="false">DATE(YEAR(E1090),MONTH(E1090),1)</f>
        <v>45689</v>
      </c>
      <c r="G1090" s="23" t="n">
        <v>106912</v>
      </c>
      <c r="H1090" s="8" t="s">
        <v>61</v>
      </c>
      <c r="I1090" s="24" t="n">
        <v>-1045.17</v>
      </c>
      <c r="J1090" s="25" t="n">
        <f aca="false">Summary!$B$4</f>
        <v>1</v>
      </c>
      <c r="K1090" s="11" t="n">
        <f aca="false">I1090*J1090*IF(A1090="SILVER",Summary!$B$5,Summary!$B$6)</f>
        <v>-104517</v>
      </c>
      <c r="L1090" s="26" t="n">
        <v>-0.914</v>
      </c>
      <c r="M1090" s="27" t="n">
        <f aca="false">IF(K1090&gt;0,1,0)</f>
        <v>0</v>
      </c>
      <c r="N1090" s="11" t="n">
        <f aca="false">SUMIFS(K$2:K1090,A$2:A1090,A1090,B$2:B1090,B1090)</f>
        <v>482841</v>
      </c>
      <c r="O1090" s="11" t="n">
        <f aca="false">MAX(0,_xlfn.MAXIFS(N$2:N1090,A$2:A1090,A1090,B$2:B1090,B1090))</f>
        <v>727171</v>
      </c>
      <c r="P1090" s="11" t="n">
        <f aca="false">N1090-O1090</f>
        <v>-244330</v>
      </c>
    </row>
    <row r="1091" customFormat="false" ht="15" hidden="false" customHeight="false" outlineLevel="0" collapsed="false">
      <c r="A1091" s="8" t="s">
        <v>45</v>
      </c>
      <c r="B1091" s="8" t="s">
        <v>27</v>
      </c>
      <c r="C1091" s="8" t="s">
        <v>62</v>
      </c>
      <c r="D1091" s="21" t="n">
        <v>45713.9166666667</v>
      </c>
      <c r="E1091" s="21" t="n">
        <v>45720.5416666667</v>
      </c>
      <c r="F1091" s="22" t="n">
        <f aca="false">DATE(YEAR(E1091),MONTH(E1091),1)</f>
        <v>45717</v>
      </c>
      <c r="G1091" s="23" t="n">
        <v>105894</v>
      </c>
      <c r="H1091" s="8" t="s">
        <v>61</v>
      </c>
      <c r="I1091" s="24" t="n">
        <v>-370.1</v>
      </c>
      <c r="J1091" s="25" t="n">
        <f aca="false">Summary!$B$4</f>
        <v>1</v>
      </c>
      <c r="K1091" s="11" t="n">
        <f aca="false">I1091*J1091*IF(A1091="SILVER",Summary!$B$5,Summary!$B$6)</f>
        <v>-37010</v>
      </c>
      <c r="L1091" s="26" t="n">
        <v>-0.228</v>
      </c>
      <c r="M1091" s="27" t="n">
        <f aca="false">IF(K1091&gt;0,1,0)</f>
        <v>0</v>
      </c>
      <c r="N1091" s="11" t="n">
        <f aca="false">SUMIFS(K$2:K1091,A$2:A1091,A1091,B$2:B1091,B1091)</f>
        <v>445831</v>
      </c>
      <c r="O1091" s="11" t="n">
        <f aca="false">MAX(0,_xlfn.MAXIFS(N$2:N1091,A$2:A1091,A1091,B$2:B1091,B1091))</f>
        <v>727171</v>
      </c>
      <c r="P1091" s="11" t="n">
        <f aca="false">N1091-O1091</f>
        <v>-281340</v>
      </c>
    </row>
    <row r="1092" customFormat="false" ht="15" hidden="false" customHeight="false" outlineLevel="0" collapsed="false">
      <c r="A1092" s="8" t="s">
        <v>45</v>
      </c>
      <c r="B1092" s="8" t="s">
        <v>27</v>
      </c>
      <c r="C1092" s="8" t="s">
        <v>60</v>
      </c>
      <c r="D1092" s="21" t="n">
        <v>45720.5416666667</v>
      </c>
      <c r="E1092" s="21" t="n">
        <v>45737.8333333333</v>
      </c>
      <c r="F1092" s="22" t="n">
        <f aca="false">DATE(YEAR(E1092),MONTH(E1092),1)</f>
        <v>45717</v>
      </c>
      <c r="G1092" s="23" t="n">
        <v>106237</v>
      </c>
      <c r="H1092" s="8" t="s">
        <v>61</v>
      </c>
      <c r="I1092" s="24" t="n">
        <v>1816.68</v>
      </c>
      <c r="J1092" s="25" t="n">
        <f aca="false">Summary!$B$4</f>
        <v>1</v>
      </c>
      <c r="K1092" s="11" t="n">
        <f aca="false">I1092*J1092*IF(A1092="SILVER",Summary!$B$5,Summary!$B$6)</f>
        <v>181668</v>
      </c>
      <c r="L1092" s="26" t="n">
        <v>1.27</v>
      </c>
      <c r="M1092" s="27" t="n">
        <f aca="false">IF(K1092&gt;0,1,0)</f>
        <v>1</v>
      </c>
      <c r="N1092" s="11" t="n">
        <f aca="false">SUMIFS(K$2:K1092,A$2:A1092,A1092,B$2:B1092,B1092)</f>
        <v>627499</v>
      </c>
      <c r="O1092" s="11" t="n">
        <f aca="false">MAX(0,_xlfn.MAXIFS(N$2:N1092,A$2:A1092,A1092,B$2:B1092,B1092))</f>
        <v>727171</v>
      </c>
      <c r="P1092" s="11" t="n">
        <f aca="false">N1092-O1092</f>
        <v>-99672</v>
      </c>
    </row>
    <row r="1093" customFormat="false" ht="15" hidden="false" customHeight="false" outlineLevel="0" collapsed="false">
      <c r="A1093" s="8" t="s">
        <v>45</v>
      </c>
      <c r="B1093" s="8" t="s">
        <v>27</v>
      </c>
      <c r="C1093" s="8" t="s">
        <v>62</v>
      </c>
      <c r="D1093" s="21" t="n">
        <v>45737.8333333333</v>
      </c>
      <c r="E1093" s="21" t="n">
        <v>45743.875</v>
      </c>
      <c r="F1093" s="22" t="n">
        <f aca="false">DATE(YEAR(E1093),MONTH(E1093),1)</f>
        <v>45717</v>
      </c>
      <c r="G1093" s="23" t="n">
        <v>108081</v>
      </c>
      <c r="H1093" s="8" t="s">
        <v>61</v>
      </c>
      <c r="I1093" s="24" t="n">
        <v>-986.6</v>
      </c>
      <c r="J1093" s="25" t="n">
        <f aca="false">Summary!$B$4</f>
        <v>1</v>
      </c>
      <c r="K1093" s="11" t="n">
        <f aca="false">I1093*J1093*IF(A1093="SILVER",Summary!$B$5,Summary!$B$6)</f>
        <v>-98660</v>
      </c>
      <c r="L1093" s="26" t="n">
        <v>-0.631</v>
      </c>
      <c r="M1093" s="27" t="n">
        <f aca="false">IF(K1093&gt;0,1,0)</f>
        <v>0</v>
      </c>
      <c r="N1093" s="11" t="n">
        <f aca="false">SUMIFS(K$2:K1093,A$2:A1093,A1093,B$2:B1093,B1093)</f>
        <v>528839</v>
      </c>
      <c r="O1093" s="11" t="n">
        <f aca="false">MAX(0,_xlfn.MAXIFS(N$2:N1093,A$2:A1093,A1093,B$2:B1093,B1093))</f>
        <v>727171</v>
      </c>
      <c r="P1093" s="11" t="n">
        <f aca="false">N1093-O1093</f>
        <v>-198332</v>
      </c>
    </row>
    <row r="1094" customFormat="false" ht="15" hidden="false" customHeight="false" outlineLevel="0" collapsed="false">
      <c r="A1094" s="8" t="s">
        <v>45</v>
      </c>
      <c r="B1094" s="8" t="s">
        <v>27</v>
      </c>
      <c r="C1094" s="8" t="s">
        <v>60</v>
      </c>
      <c r="D1094" s="21" t="n">
        <v>45743.875</v>
      </c>
      <c r="E1094" s="21" t="n">
        <v>45750.7520833333</v>
      </c>
      <c r="F1094" s="22" t="n">
        <f aca="false">DATE(YEAR(E1094),MONTH(E1094),1)</f>
        <v>45748</v>
      </c>
      <c r="G1094" s="23" t="n">
        <v>109040</v>
      </c>
      <c r="H1094" s="8" t="s">
        <v>61</v>
      </c>
      <c r="I1094" s="24" t="n">
        <v>1074.18</v>
      </c>
      <c r="J1094" s="25" t="n">
        <f aca="false">Summary!$B$4</f>
        <v>1</v>
      </c>
      <c r="K1094" s="11" t="n">
        <f aca="false">I1094*J1094*IF(A1094="SILVER",Summary!$B$5,Summary!$B$6)</f>
        <v>107418</v>
      </c>
      <c r="L1094" s="26" t="n">
        <v>0.873</v>
      </c>
      <c r="M1094" s="27" t="n">
        <f aca="false">IF(K1094&gt;0,1,0)</f>
        <v>1</v>
      </c>
      <c r="N1094" s="11" t="n">
        <f aca="false">SUMIFS(K$2:K1094,A$2:A1094,A1094,B$2:B1094,B1094)</f>
        <v>636257</v>
      </c>
      <c r="O1094" s="11" t="n">
        <f aca="false">MAX(0,_xlfn.MAXIFS(N$2:N1094,A$2:A1094,A1094,B$2:B1094,B1094))</f>
        <v>727171</v>
      </c>
      <c r="P1094" s="11" t="n">
        <f aca="false">N1094-O1094</f>
        <v>-90914</v>
      </c>
    </row>
    <row r="1095" customFormat="false" ht="15" hidden="false" customHeight="false" outlineLevel="0" collapsed="false">
      <c r="A1095" s="8" t="s">
        <v>45</v>
      </c>
      <c r="B1095" s="8" t="s">
        <v>27</v>
      </c>
      <c r="C1095" s="8" t="s">
        <v>62</v>
      </c>
      <c r="D1095" s="21" t="n">
        <v>45750.7520833333</v>
      </c>
      <c r="E1095" s="21" t="n">
        <v>45756.7083333333</v>
      </c>
      <c r="F1095" s="22" t="n">
        <f aca="false">DATE(YEAR(E1095),MONTH(E1095),1)</f>
        <v>45748</v>
      </c>
      <c r="G1095" s="23" t="n">
        <v>110142</v>
      </c>
      <c r="H1095" s="8" t="s">
        <v>61</v>
      </c>
      <c r="I1095" s="24" t="n">
        <v>-1025.95</v>
      </c>
      <c r="J1095" s="25" t="n">
        <f aca="false">Summary!$B$4</f>
        <v>1</v>
      </c>
      <c r="K1095" s="11" t="n">
        <f aca="false">I1095*J1095*IF(A1095="SILVER",Summary!$B$5,Summary!$B$6)</f>
        <v>-102595</v>
      </c>
      <c r="L1095" s="26" t="n">
        <v>-0.57</v>
      </c>
      <c r="M1095" s="27" t="n">
        <f aca="false">IF(K1095&gt;0,1,0)</f>
        <v>0</v>
      </c>
      <c r="N1095" s="11" t="n">
        <f aca="false">SUMIFS(K$2:K1095,A$2:A1095,A1095,B$2:B1095,B1095)</f>
        <v>533662</v>
      </c>
      <c r="O1095" s="11" t="n">
        <f aca="false">MAX(0,_xlfn.MAXIFS(N$2:N1095,A$2:A1095,A1095,B$2:B1095,B1095))</f>
        <v>727171</v>
      </c>
      <c r="P1095" s="11" t="n">
        <f aca="false">N1095-O1095</f>
        <v>-193509</v>
      </c>
    </row>
    <row r="1096" customFormat="false" ht="15" hidden="false" customHeight="false" outlineLevel="0" collapsed="false">
      <c r="A1096" s="8" t="s">
        <v>45</v>
      </c>
      <c r="B1096" s="8" t="s">
        <v>27</v>
      </c>
      <c r="C1096" s="8" t="s">
        <v>60</v>
      </c>
      <c r="D1096" s="21" t="n">
        <v>45756.7083333333</v>
      </c>
      <c r="E1096" s="21" t="n">
        <v>45770.4166666667</v>
      </c>
      <c r="F1096" s="22" t="n">
        <f aca="false">DATE(YEAR(E1096),MONTH(E1096),1)</f>
        <v>45748</v>
      </c>
      <c r="G1096" s="23" t="n">
        <v>111112</v>
      </c>
      <c r="H1096" s="8" t="s">
        <v>61</v>
      </c>
      <c r="I1096" s="24" t="n">
        <v>5836.42</v>
      </c>
      <c r="J1096" s="25" t="n">
        <f aca="false">Summary!$B$4</f>
        <v>1</v>
      </c>
      <c r="K1096" s="11" t="n">
        <f aca="false">I1096*J1096*IF(A1096="SILVER",Summary!$B$5,Summary!$B$6)</f>
        <v>583642</v>
      </c>
      <c r="L1096" s="26" t="n">
        <v>2.001</v>
      </c>
      <c r="M1096" s="27" t="n">
        <f aca="false">IF(K1096&gt;0,1,0)</f>
        <v>1</v>
      </c>
      <c r="N1096" s="11" t="n">
        <f aca="false">SUMIFS(K$2:K1096,A$2:A1096,A1096,B$2:B1096,B1096)</f>
        <v>1117304</v>
      </c>
      <c r="O1096" s="11" t="n">
        <f aca="false">MAX(0,_xlfn.MAXIFS(N$2:N1096,A$2:A1096,A1096,B$2:B1096,B1096))</f>
        <v>1117304</v>
      </c>
      <c r="P1096" s="11" t="n">
        <f aca="false">N1096-O1096</f>
        <v>0</v>
      </c>
    </row>
    <row r="1097" customFormat="false" ht="15" hidden="false" customHeight="false" outlineLevel="0" collapsed="false">
      <c r="A1097" s="8" t="s">
        <v>45</v>
      </c>
      <c r="B1097" s="8" t="s">
        <v>27</v>
      </c>
      <c r="C1097" s="8" t="s">
        <v>62</v>
      </c>
      <c r="D1097" s="21" t="n">
        <v>45770.4166666667</v>
      </c>
      <c r="E1097" s="21" t="n">
        <v>45783.4166666667</v>
      </c>
      <c r="F1097" s="22" t="n">
        <f aca="false">DATE(YEAR(E1097),MONTH(E1097),1)</f>
        <v>45778</v>
      </c>
      <c r="G1097" s="23" t="n">
        <v>116977</v>
      </c>
      <c r="H1097" s="8" t="s">
        <v>61</v>
      </c>
      <c r="I1097" s="24" t="n">
        <v>-122.17</v>
      </c>
      <c r="J1097" s="25" t="n">
        <f aca="false">Summary!$B$4</f>
        <v>1</v>
      </c>
      <c r="K1097" s="11" t="n">
        <f aca="false">I1097*J1097*IF(A1097="SILVER",Summary!$B$5,Summary!$B$6)</f>
        <v>-12217</v>
      </c>
      <c r="L1097" s="26" t="n">
        <v>-0.033</v>
      </c>
      <c r="M1097" s="27" t="n">
        <f aca="false">IF(K1097&gt;0,1,0)</f>
        <v>0</v>
      </c>
      <c r="N1097" s="11" t="n">
        <f aca="false">SUMIFS(K$2:K1097,A$2:A1097,A1097,B$2:B1097,B1097)</f>
        <v>1105087</v>
      </c>
      <c r="O1097" s="11" t="n">
        <f aca="false">MAX(0,_xlfn.MAXIFS(N$2:N1097,A$2:A1097,A1097,B$2:B1097,B1097))</f>
        <v>1117304</v>
      </c>
      <c r="P1097" s="11" t="n">
        <f aca="false">N1097-O1097</f>
        <v>-12217</v>
      </c>
    </row>
    <row r="1098" customFormat="false" ht="15" hidden="false" customHeight="false" outlineLevel="0" collapsed="false">
      <c r="A1098" s="8" t="s">
        <v>45</v>
      </c>
      <c r="B1098" s="8" t="s">
        <v>27</v>
      </c>
      <c r="C1098" s="8" t="s">
        <v>60</v>
      </c>
      <c r="D1098" s="21" t="n">
        <v>45783.4166666667</v>
      </c>
      <c r="E1098" s="21" t="n">
        <v>45789.4166666667</v>
      </c>
      <c r="F1098" s="22" t="n">
        <f aca="false">DATE(YEAR(E1098),MONTH(E1098),1)</f>
        <v>45778</v>
      </c>
      <c r="G1098" s="23" t="n">
        <v>117070</v>
      </c>
      <c r="H1098" s="8" t="s">
        <v>61</v>
      </c>
      <c r="I1098" s="24" t="n">
        <v>-1924.99</v>
      </c>
      <c r="J1098" s="25" t="n">
        <f aca="false">Summary!$B$4</f>
        <v>1</v>
      </c>
      <c r="K1098" s="11" t="n">
        <f aca="false">I1098*J1098*IF(A1098="SILVER",Summary!$B$5,Summary!$B$6)</f>
        <v>-192499</v>
      </c>
      <c r="L1098" s="26" t="n">
        <v>-0.71</v>
      </c>
      <c r="M1098" s="27" t="n">
        <f aca="false">IF(K1098&gt;0,1,0)</f>
        <v>0</v>
      </c>
      <c r="N1098" s="11" t="n">
        <f aca="false">SUMIFS(K$2:K1098,A$2:A1098,A1098,B$2:B1098,B1098)</f>
        <v>912588</v>
      </c>
      <c r="O1098" s="11" t="n">
        <f aca="false">MAX(0,_xlfn.MAXIFS(N$2:N1098,A$2:A1098,A1098,B$2:B1098,B1098))</f>
        <v>1117304</v>
      </c>
      <c r="P1098" s="11" t="n">
        <f aca="false">N1098-O1098</f>
        <v>-204716</v>
      </c>
    </row>
    <row r="1099" customFormat="false" ht="15" hidden="false" customHeight="false" outlineLevel="0" collapsed="false">
      <c r="A1099" s="8" t="s">
        <v>45</v>
      </c>
      <c r="B1099" s="8" t="s">
        <v>27</v>
      </c>
      <c r="C1099" s="8" t="s">
        <v>62</v>
      </c>
      <c r="D1099" s="21" t="n">
        <v>45789.4166666667</v>
      </c>
      <c r="E1099" s="21" t="n">
        <v>45796.5833333333</v>
      </c>
      <c r="F1099" s="22" t="n">
        <f aca="false">DATE(YEAR(E1099),MONTH(E1099),1)</f>
        <v>45778</v>
      </c>
      <c r="G1099" s="23" t="n">
        <v>115174</v>
      </c>
      <c r="H1099" s="8" t="s">
        <v>61</v>
      </c>
      <c r="I1099" s="24" t="n">
        <v>432.24</v>
      </c>
      <c r="J1099" s="25" t="n">
        <f aca="false">Summary!$B$4</f>
        <v>1</v>
      </c>
      <c r="K1099" s="11" t="n">
        <f aca="false">I1099*J1099*IF(A1099="SILVER",Summary!$B$5,Summary!$B$6)</f>
        <v>43224</v>
      </c>
      <c r="L1099" s="26" t="n">
        <v>0.125</v>
      </c>
      <c r="M1099" s="27" t="n">
        <f aca="false">IF(K1099&gt;0,1,0)</f>
        <v>1</v>
      </c>
      <c r="N1099" s="11" t="n">
        <f aca="false">SUMIFS(K$2:K1099,A$2:A1099,A1099,B$2:B1099,B1099)</f>
        <v>955812</v>
      </c>
      <c r="O1099" s="11" t="n">
        <f aca="false">MAX(0,_xlfn.MAXIFS(N$2:N1099,A$2:A1099,A1099,B$2:B1099,B1099))</f>
        <v>1117304</v>
      </c>
      <c r="P1099" s="11" t="n">
        <f aca="false">N1099-O1099</f>
        <v>-161492</v>
      </c>
    </row>
    <row r="1100" customFormat="false" ht="15" hidden="false" customHeight="false" outlineLevel="0" collapsed="false">
      <c r="A1100" s="8" t="s">
        <v>45</v>
      </c>
      <c r="B1100" s="8" t="s">
        <v>27</v>
      </c>
      <c r="C1100" s="8" t="s">
        <v>60</v>
      </c>
      <c r="D1100" s="21" t="n">
        <v>45796.5833333333</v>
      </c>
      <c r="E1100" s="21" t="n">
        <v>45806.4173611111</v>
      </c>
      <c r="F1100" s="22" t="n">
        <f aca="false">DATE(YEAR(E1100),MONTH(E1100),1)</f>
        <v>45778</v>
      </c>
      <c r="G1100" s="23" t="n">
        <v>114713</v>
      </c>
      <c r="H1100" s="8" t="s">
        <v>61</v>
      </c>
      <c r="I1100" s="24" t="n">
        <v>1070.18</v>
      </c>
      <c r="J1100" s="25" t="n">
        <f aca="false">Summary!$B$4</f>
        <v>1</v>
      </c>
      <c r="K1100" s="11" t="n">
        <f aca="false">I1100*J1100*IF(A1100="SILVER",Summary!$B$5,Summary!$B$6)</f>
        <v>107018</v>
      </c>
      <c r="L1100" s="26" t="n">
        <v>0.429</v>
      </c>
      <c r="M1100" s="27" t="n">
        <f aca="false">IF(K1100&gt;0,1,0)</f>
        <v>1</v>
      </c>
      <c r="N1100" s="11" t="n">
        <f aca="false">SUMIFS(K$2:K1100,A$2:A1100,A1100,B$2:B1100,B1100)</f>
        <v>1062830</v>
      </c>
      <c r="O1100" s="11" t="n">
        <f aca="false">MAX(0,_xlfn.MAXIFS(N$2:N1100,A$2:A1100,A1100,B$2:B1100,B1100))</f>
        <v>1117304</v>
      </c>
      <c r="P1100" s="11" t="n">
        <f aca="false">N1100-O1100</f>
        <v>-54474</v>
      </c>
    </row>
    <row r="1101" customFormat="false" ht="15" hidden="false" customHeight="false" outlineLevel="0" collapsed="false">
      <c r="A1101" s="8" t="s">
        <v>45</v>
      </c>
      <c r="B1101" s="8" t="s">
        <v>27</v>
      </c>
      <c r="C1101" s="8" t="s">
        <v>62</v>
      </c>
      <c r="D1101" s="21" t="n">
        <v>45806.4173611111</v>
      </c>
      <c r="E1101" s="21" t="n">
        <v>45810.6118055556</v>
      </c>
      <c r="F1101" s="22" t="n">
        <f aca="false">DATE(YEAR(E1101),MONTH(E1101),1)</f>
        <v>45809</v>
      </c>
      <c r="G1101" s="23" t="n">
        <v>115812</v>
      </c>
      <c r="H1101" s="8" t="s">
        <v>61</v>
      </c>
      <c r="I1101" s="24" t="n">
        <v>-1659.1</v>
      </c>
      <c r="J1101" s="25" t="n">
        <f aca="false">Summary!$B$4</f>
        <v>1</v>
      </c>
      <c r="K1101" s="11" t="n">
        <f aca="false">I1101*J1101*IF(A1101="SILVER",Summary!$B$5,Summary!$B$6)</f>
        <v>-165910</v>
      </c>
      <c r="L1101" s="26" t="n">
        <v>-1.06</v>
      </c>
      <c r="M1101" s="27" t="n">
        <f aca="false">IF(K1101&gt;0,1,0)</f>
        <v>0</v>
      </c>
      <c r="N1101" s="11" t="n">
        <f aca="false">SUMIFS(K$2:K1101,A$2:A1101,A1101,B$2:B1101,B1101)</f>
        <v>896920</v>
      </c>
      <c r="O1101" s="11" t="n">
        <f aca="false">MAX(0,_xlfn.MAXIFS(N$2:N1101,A$2:A1101,A1101,B$2:B1101,B1101))</f>
        <v>1117304</v>
      </c>
      <c r="P1101" s="11" t="n">
        <f aca="false">N1101-O1101</f>
        <v>-220384</v>
      </c>
    </row>
    <row r="1102" customFormat="false" ht="15" hidden="false" customHeight="false" outlineLevel="0" collapsed="false">
      <c r="A1102" s="8" t="s">
        <v>45</v>
      </c>
      <c r="B1102" s="8" t="s">
        <v>27</v>
      </c>
      <c r="C1102" s="8" t="s">
        <v>60</v>
      </c>
      <c r="D1102" s="21" t="n">
        <v>45810.6118055556</v>
      </c>
      <c r="E1102" s="21" t="n">
        <v>45814.7916666667</v>
      </c>
      <c r="F1102" s="22" t="n">
        <f aca="false">DATE(YEAR(E1102),MONTH(E1102),1)</f>
        <v>45809</v>
      </c>
      <c r="G1102" s="23" t="n">
        <v>117442</v>
      </c>
      <c r="H1102" s="8" t="s">
        <v>61</v>
      </c>
      <c r="I1102" s="24" t="n">
        <v>172.04</v>
      </c>
      <c r="J1102" s="25" t="n">
        <f aca="false">Summary!$B$4</f>
        <v>1</v>
      </c>
      <c r="K1102" s="11" t="n">
        <f aca="false">I1102*J1102*IF(A1102="SILVER",Summary!$B$5,Summary!$B$6)</f>
        <v>17204</v>
      </c>
      <c r="L1102" s="26" t="n">
        <v>0.092</v>
      </c>
      <c r="M1102" s="27" t="n">
        <f aca="false">IF(K1102&gt;0,1,0)</f>
        <v>1</v>
      </c>
      <c r="N1102" s="11" t="n">
        <f aca="false">SUMIFS(K$2:K1102,A$2:A1102,A1102,B$2:B1102,B1102)</f>
        <v>914124</v>
      </c>
      <c r="O1102" s="11" t="n">
        <f aca="false">MAX(0,_xlfn.MAXIFS(N$2:N1102,A$2:A1102,A1102,B$2:B1102,B1102))</f>
        <v>1117304</v>
      </c>
      <c r="P1102" s="11" t="n">
        <f aca="false">N1102-O1102</f>
        <v>-203180</v>
      </c>
    </row>
    <row r="1103" customFormat="false" ht="15" hidden="false" customHeight="false" outlineLevel="0" collapsed="false">
      <c r="A1103" s="8" t="s">
        <v>45</v>
      </c>
      <c r="B1103" s="8" t="s">
        <v>27</v>
      </c>
      <c r="C1103" s="8" t="s">
        <v>62</v>
      </c>
      <c r="D1103" s="21" t="n">
        <v>45814.7916666667</v>
      </c>
      <c r="E1103" s="21" t="n">
        <v>45820.6666666667</v>
      </c>
      <c r="F1103" s="22" t="n">
        <f aca="false">DATE(YEAR(E1103),MONTH(E1103),1)</f>
        <v>45809</v>
      </c>
      <c r="G1103" s="23" t="n">
        <v>117673</v>
      </c>
      <c r="H1103" s="8" t="s">
        <v>61</v>
      </c>
      <c r="I1103" s="24" t="n">
        <v>-489.6</v>
      </c>
      <c r="J1103" s="25" t="n">
        <f aca="false">Summary!$B$4</f>
        <v>1</v>
      </c>
      <c r="K1103" s="11" t="n">
        <f aca="false">I1103*J1103*IF(A1103="SILVER",Summary!$B$5,Summary!$B$6)</f>
        <v>-48960</v>
      </c>
      <c r="L1103" s="26" t="n">
        <v>-0.288</v>
      </c>
      <c r="M1103" s="27" t="n">
        <f aca="false">IF(K1103&gt;0,1,0)</f>
        <v>0</v>
      </c>
      <c r="N1103" s="11" t="n">
        <f aca="false">SUMIFS(K$2:K1103,A$2:A1103,A1103,B$2:B1103,B1103)</f>
        <v>865164</v>
      </c>
      <c r="O1103" s="11" t="n">
        <f aca="false">MAX(0,_xlfn.MAXIFS(N$2:N1103,A$2:A1103,A1103,B$2:B1103,B1103))</f>
        <v>1117304</v>
      </c>
      <c r="P1103" s="11" t="n">
        <f aca="false">N1103-O1103</f>
        <v>-252140</v>
      </c>
    </row>
    <row r="1104" customFormat="false" ht="15" hidden="false" customHeight="false" outlineLevel="0" collapsed="false">
      <c r="A1104" s="8" t="s">
        <v>45</v>
      </c>
      <c r="B1104" s="8" t="s">
        <v>27</v>
      </c>
      <c r="C1104" s="8" t="s">
        <v>60</v>
      </c>
      <c r="D1104" s="21" t="n">
        <v>45820.6666666667</v>
      </c>
      <c r="E1104" s="21" t="n">
        <v>45832.4166666667</v>
      </c>
      <c r="F1104" s="22" t="n">
        <f aca="false">DATE(YEAR(E1104),MONTH(E1104),1)</f>
        <v>45809</v>
      </c>
      <c r="G1104" s="23" t="n">
        <v>118133</v>
      </c>
      <c r="H1104" s="8" t="s">
        <v>61</v>
      </c>
      <c r="I1104" s="24" t="n">
        <v>-85.64</v>
      </c>
      <c r="J1104" s="25" t="n">
        <f aca="false">Summary!$B$4</f>
        <v>1</v>
      </c>
      <c r="K1104" s="11" t="n">
        <f aca="false">I1104*J1104*IF(A1104="SILVER",Summary!$B$5,Summary!$B$6)</f>
        <v>-8564</v>
      </c>
      <c r="L1104" s="26" t="n">
        <v>-0.042</v>
      </c>
      <c r="M1104" s="27" t="n">
        <f aca="false">IF(K1104&gt;0,1,0)</f>
        <v>0</v>
      </c>
      <c r="N1104" s="11" t="n">
        <f aca="false">SUMIFS(K$2:K1104,A$2:A1104,A1104,B$2:B1104,B1104)</f>
        <v>856600</v>
      </c>
      <c r="O1104" s="11" t="n">
        <f aca="false">MAX(0,_xlfn.MAXIFS(N$2:N1104,A$2:A1104,A1104,B$2:B1104,B1104))</f>
        <v>1117304</v>
      </c>
      <c r="P1104" s="11" t="n">
        <f aca="false">N1104-O1104</f>
        <v>-260704</v>
      </c>
    </row>
    <row r="1105" customFormat="false" ht="15" hidden="false" customHeight="false" outlineLevel="0" collapsed="false">
      <c r="A1105" s="8" t="s">
        <v>45</v>
      </c>
      <c r="B1105" s="8" t="s">
        <v>27</v>
      </c>
      <c r="C1105" s="8" t="s">
        <v>62</v>
      </c>
      <c r="D1105" s="21" t="n">
        <v>45832.4166666667</v>
      </c>
      <c r="E1105" s="21" t="n">
        <v>45839.5416666667</v>
      </c>
      <c r="F1105" s="22" t="n">
        <f aca="false">DATE(YEAR(E1105),MONTH(E1105),1)</f>
        <v>45839</v>
      </c>
      <c r="G1105" s="23" t="n">
        <v>118077</v>
      </c>
      <c r="H1105" s="8" t="s">
        <v>61</v>
      </c>
      <c r="I1105" s="24" t="n">
        <v>964.46</v>
      </c>
      <c r="J1105" s="25" t="n">
        <f aca="false">Summary!$B$4</f>
        <v>1</v>
      </c>
      <c r="K1105" s="11" t="n">
        <f aca="false">I1105*J1105*IF(A1105="SILVER",Summary!$B$5,Summary!$B$6)</f>
        <v>96446</v>
      </c>
      <c r="L1105" s="26" t="n">
        <v>0.52</v>
      </c>
      <c r="M1105" s="27" t="n">
        <f aca="false">IF(K1105&gt;0,1,0)</f>
        <v>1</v>
      </c>
      <c r="N1105" s="11" t="n">
        <f aca="false">SUMIFS(K$2:K1105,A$2:A1105,A1105,B$2:B1105,B1105)</f>
        <v>953046</v>
      </c>
      <c r="O1105" s="11" t="n">
        <f aca="false">MAX(0,_xlfn.MAXIFS(N$2:N1105,A$2:A1105,A1105,B$2:B1105,B1105))</f>
        <v>1117304</v>
      </c>
      <c r="P1105" s="11" t="n">
        <f aca="false">N1105-O1105</f>
        <v>-164258</v>
      </c>
    </row>
    <row r="1106" customFormat="false" ht="15" hidden="false" customHeight="false" outlineLevel="0" collapsed="false">
      <c r="A1106" s="8" t="s">
        <v>45</v>
      </c>
      <c r="B1106" s="8" t="s">
        <v>27</v>
      </c>
      <c r="C1106" s="8" t="s">
        <v>60</v>
      </c>
      <c r="D1106" s="21" t="n">
        <v>45839.5416666667</v>
      </c>
      <c r="E1106" s="21" t="n">
        <v>45845.4166666667</v>
      </c>
      <c r="F1106" s="22" t="n">
        <f aca="false">DATE(YEAR(E1106),MONTH(E1106),1)</f>
        <v>45839</v>
      </c>
      <c r="G1106" s="23" t="n">
        <v>117083</v>
      </c>
      <c r="H1106" s="8" t="s">
        <v>61</v>
      </c>
      <c r="I1106" s="24" t="n">
        <v>-766.36</v>
      </c>
      <c r="J1106" s="25" t="n">
        <f aca="false">Summary!$B$4</f>
        <v>1</v>
      </c>
      <c r="K1106" s="11" t="n">
        <f aca="false">I1106*J1106*IF(A1106="SILVER",Summary!$B$5,Summary!$B$6)</f>
        <v>-76636</v>
      </c>
      <c r="L1106" s="26" t="n">
        <v>-0.449</v>
      </c>
      <c r="M1106" s="27" t="n">
        <f aca="false">IF(K1106&gt;0,1,0)</f>
        <v>0</v>
      </c>
      <c r="N1106" s="11" t="n">
        <f aca="false">SUMIFS(K$2:K1106,A$2:A1106,A1106,B$2:B1106,B1106)</f>
        <v>876410</v>
      </c>
      <c r="O1106" s="11" t="n">
        <f aca="false">MAX(0,_xlfn.MAXIFS(N$2:N1106,A$2:A1106,A1106,B$2:B1106,B1106))</f>
        <v>1117304</v>
      </c>
      <c r="P1106" s="11" t="n">
        <f aca="false">N1106-O1106</f>
        <v>-240894</v>
      </c>
    </row>
    <row r="1107" customFormat="false" ht="15" hidden="false" customHeight="false" outlineLevel="0" collapsed="false">
      <c r="A1107" s="8" t="s">
        <v>45</v>
      </c>
      <c r="B1107" s="8" t="s">
        <v>27</v>
      </c>
      <c r="C1107" s="8" t="s">
        <v>62</v>
      </c>
      <c r="D1107" s="21" t="n">
        <v>45845.4166666667</v>
      </c>
      <c r="E1107" s="21" t="n">
        <v>45849.4166666667</v>
      </c>
      <c r="F1107" s="22" t="n">
        <f aca="false">DATE(YEAR(E1107),MONTH(E1107),1)</f>
        <v>45839</v>
      </c>
      <c r="G1107" s="23" t="n">
        <v>116346</v>
      </c>
      <c r="H1107" s="8" t="s">
        <v>61</v>
      </c>
      <c r="I1107" s="24" t="n">
        <v>-837.37</v>
      </c>
      <c r="J1107" s="25" t="n">
        <f aca="false">Summary!$B$4</f>
        <v>1</v>
      </c>
      <c r="K1107" s="11" t="n">
        <f aca="false">I1107*J1107*IF(A1107="SILVER",Summary!$B$5,Summary!$B$6)</f>
        <v>-83737</v>
      </c>
      <c r="L1107" s="26" t="n">
        <v>-0.709</v>
      </c>
      <c r="M1107" s="27" t="n">
        <f aca="false">IF(K1107&gt;0,1,0)</f>
        <v>0</v>
      </c>
      <c r="N1107" s="11" t="n">
        <f aca="false">SUMIFS(K$2:K1107,A$2:A1107,A1107,B$2:B1107,B1107)</f>
        <v>792673</v>
      </c>
      <c r="O1107" s="11" t="n">
        <f aca="false">MAX(0,_xlfn.MAXIFS(N$2:N1107,A$2:A1107,A1107,B$2:B1107,B1107))</f>
        <v>1117304</v>
      </c>
      <c r="P1107" s="11" t="n">
        <f aca="false">N1107-O1107</f>
        <v>-324631</v>
      </c>
    </row>
    <row r="1108" customFormat="false" ht="15" hidden="false" customHeight="false" outlineLevel="0" collapsed="false">
      <c r="A1108" s="8" t="s">
        <v>45</v>
      </c>
      <c r="B1108" s="8" t="s">
        <v>27</v>
      </c>
      <c r="C1108" s="8" t="s">
        <v>60</v>
      </c>
      <c r="D1108" s="21" t="n">
        <v>45849.4166666667</v>
      </c>
      <c r="E1108" s="21" t="n">
        <v>45855.7916666667</v>
      </c>
      <c r="F1108" s="22" t="n">
        <f aca="false">DATE(YEAR(E1108),MONTH(E1108),1)</f>
        <v>45839</v>
      </c>
      <c r="G1108" s="23" t="n">
        <v>117154</v>
      </c>
      <c r="H1108" s="8" t="s">
        <v>61</v>
      </c>
      <c r="I1108" s="24" t="n">
        <v>-280.43</v>
      </c>
      <c r="J1108" s="25" t="n">
        <f aca="false">Summary!$B$4</f>
        <v>1</v>
      </c>
      <c r="K1108" s="11" t="n">
        <f aca="false">I1108*J1108*IF(A1108="SILVER",Summary!$B$5,Summary!$B$6)</f>
        <v>-28043</v>
      </c>
      <c r="L1108" s="26" t="n">
        <v>-0.216</v>
      </c>
      <c r="M1108" s="27" t="n">
        <f aca="false">IF(K1108&gt;0,1,0)</f>
        <v>0</v>
      </c>
      <c r="N1108" s="11" t="n">
        <f aca="false">SUMIFS(K$2:K1108,A$2:A1108,A1108,B$2:B1108,B1108)</f>
        <v>764630</v>
      </c>
      <c r="O1108" s="11" t="n">
        <f aca="false">MAX(0,_xlfn.MAXIFS(N$2:N1108,A$2:A1108,A1108,B$2:B1108,B1108))</f>
        <v>1117304</v>
      </c>
      <c r="P1108" s="11" t="n">
        <f aca="false">N1108-O1108</f>
        <v>-352674</v>
      </c>
    </row>
    <row r="1109" customFormat="false" ht="15" hidden="false" customHeight="false" outlineLevel="0" collapsed="false">
      <c r="A1109" s="8" t="s">
        <v>45</v>
      </c>
      <c r="B1109" s="8" t="s">
        <v>27</v>
      </c>
      <c r="C1109" s="8" t="s">
        <v>62</v>
      </c>
      <c r="D1109" s="21" t="n">
        <v>45855.7916666667</v>
      </c>
      <c r="E1109" s="21" t="n">
        <v>45859.4583333333</v>
      </c>
      <c r="F1109" s="22" t="n">
        <f aca="false">DATE(YEAR(E1109),MONTH(E1109),1)</f>
        <v>45839</v>
      </c>
      <c r="G1109" s="23" t="n">
        <v>116903</v>
      </c>
      <c r="H1109" s="8" t="s">
        <v>61</v>
      </c>
      <c r="I1109" s="24" t="n">
        <v>-1495.55</v>
      </c>
      <c r="J1109" s="25" t="n">
        <f aca="false">Summary!$B$4</f>
        <v>1</v>
      </c>
      <c r="K1109" s="11" t="n">
        <f aca="false">I1109*J1109*IF(A1109="SILVER",Summary!$B$5,Summary!$B$6)</f>
        <v>-149555</v>
      </c>
      <c r="L1109" s="26" t="n">
        <v>-1.019</v>
      </c>
      <c r="M1109" s="27" t="n">
        <f aca="false">IF(K1109&gt;0,1,0)</f>
        <v>0</v>
      </c>
      <c r="N1109" s="11" t="n">
        <f aca="false">SUMIFS(K$2:K1109,A$2:A1109,A1109,B$2:B1109,B1109)</f>
        <v>615075</v>
      </c>
      <c r="O1109" s="11" t="n">
        <f aca="false">MAX(0,_xlfn.MAXIFS(N$2:N1109,A$2:A1109,A1109,B$2:B1109,B1109))</f>
        <v>1117304</v>
      </c>
      <c r="P1109" s="11" t="n">
        <f aca="false">N1109-O1109</f>
        <v>-502229</v>
      </c>
    </row>
    <row r="1110" customFormat="false" ht="15" hidden="false" customHeight="false" outlineLevel="0" collapsed="false">
      <c r="A1110" s="8" t="s">
        <v>45</v>
      </c>
      <c r="B1110" s="8" t="s">
        <v>27</v>
      </c>
      <c r="C1110" s="8" t="s">
        <v>60</v>
      </c>
      <c r="D1110" s="21" t="n">
        <v>45859.4583333333</v>
      </c>
      <c r="E1110" s="21" t="n">
        <v>45862.4166666667</v>
      </c>
      <c r="F1110" s="22" t="n">
        <f aca="false">DATE(YEAR(E1110),MONTH(E1110),1)</f>
        <v>45839</v>
      </c>
      <c r="G1110" s="23" t="n">
        <v>118369</v>
      </c>
      <c r="H1110" s="8" t="s">
        <v>61</v>
      </c>
      <c r="I1110" s="24" t="n">
        <v>529.25</v>
      </c>
      <c r="J1110" s="25" t="n">
        <f aca="false">Summary!$B$4</f>
        <v>1</v>
      </c>
      <c r="K1110" s="11" t="n">
        <f aca="false">I1110*J1110*IF(A1110="SILVER",Summary!$B$5,Summary!$B$6)</f>
        <v>52925</v>
      </c>
      <c r="L1110" s="26" t="n">
        <v>0.416</v>
      </c>
      <c r="M1110" s="27" t="n">
        <f aca="false">IF(K1110&gt;0,1,0)</f>
        <v>1</v>
      </c>
      <c r="N1110" s="11" t="n">
        <f aca="false">SUMIFS(K$2:K1110,A$2:A1110,A1110,B$2:B1110,B1110)</f>
        <v>668000</v>
      </c>
      <c r="O1110" s="11" t="n">
        <f aca="false">MAX(0,_xlfn.MAXIFS(N$2:N1110,A$2:A1110,A1110,B$2:B1110,B1110))</f>
        <v>1117304</v>
      </c>
      <c r="P1110" s="11" t="n">
        <f aca="false">N1110-O1110</f>
        <v>-449304</v>
      </c>
    </row>
    <row r="1111" customFormat="false" ht="15" hidden="false" customHeight="false" outlineLevel="0" collapsed="false">
      <c r="A1111" s="8" t="s">
        <v>45</v>
      </c>
      <c r="B1111" s="8" t="s">
        <v>27</v>
      </c>
      <c r="C1111" s="8" t="s">
        <v>62</v>
      </c>
      <c r="D1111" s="21" t="n">
        <v>45862.4166666667</v>
      </c>
      <c r="E1111" s="21" t="n">
        <v>45868.5854166667</v>
      </c>
      <c r="F1111" s="22" t="n">
        <f aca="false">DATE(YEAR(E1111),MONTH(E1111),1)</f>
        <v>45839</v>
      </c>
      <c r="G1111" s="23" t="n">
        <v>118928</v>
      </c>
      <c r="H1111" s="8" t="s">
        <v>61</v>
      </c>
      <c r="I1111" s="24" t="n">
        <v>330.23</v>
      </c>
      <c r="J1111" s="25" t="n">
        <f aca="false">Summary!$B$4</f>
        <v>1</v>
      </c>
      <c r="K1111" s="11" t="n">
        <f aca="false">I1111*J1111*IF(A1111="SILVER",Summary!$B$5,Summary!$B$6)</f>
        <v>33023</v>
      </c>
      <c r="L1111" s="26" t="n">
        <v>0.205</v>
      </c>
      <c r="M1111" s="27" t="n">
        <f aca="false">IF(K1111&gt;0,1,0)</f>
        <v>1</v>
      </c>
      <c r="N1111" s="11" t="n">
        <f aca="false">SUMIFS(K$2:K1111,A$2:A1111,A1111,B$2:B1111,B1111)</f>
        <v>701023</v>
      </c>
      <c r="O1111" s="11" t="n">
        <f aca="false">MAX(0,_xlfn.MAXIFS(N$2:N1111,A$2:A1111,A1111,B$2:B1111,B1111))</f>
        <v>1117304</v>
      </c>
      <c r="P1111" s="11" t="n">
        <f aca="false">N1111-O1111</f>
        <v>-416281</v>
      </c>
    </row>
    <row r="1112" customFormat="false" ht="15" hidden="false" customHeight="false" outlineLevel="0" collapsed="false">
      <c r="A1112" s="8" t="s">
        <v>45</v>
      </c>
      <c r="B1112" s="8" t="s">
        <v>27</v>
      </c>
      <c r="C1112" s="8" t="s">
        <v>60</v>
      </c>
      <c r="D1112" s="21" t="n">
        <v>45868.5854166667</v>
      </c>
      <c r="E1112" s="21" t="n">
        <v>45880.75</v>
      </c>
      <c r="F1112" s="22" t="n">
        <f aca="false">DATE(YEAR(E1112),MONTH(E1112),1)</f>
        <v>45870</v>
      </c>
      <c r="G1112" s="23" t="n">
        <v>118568</v>
      </c>
      <c r="H1112" s="8" t="s">
        <v>61</v>
      </c>
      <c r="I1112" s="24" t="n">
        <v>1574.1</v>
      </c>
      <c r="J1112" s="25" t="n">
        <f aca="false">Summary!$B$4</f>
        <v>1</v>
      </c>
      <c r="K1112" s="11" t="n">
        <f aca="false">I1112*J1112*IF(A1112="SILVER",Summary!$B$5,Summary!$B$6)</f>
        <v>157410</v>
      </c>
      <c r="L1112" s="26" t="n">
        <v>1.269</v>
      </c>
      <c r="M1112" s="27" t="n">
        <f aca="false">IF(K1112&gt;0,1,0)</f>
        <v>1</v>
      </c>
      <c r="N1112" s="11" t="n">
        <f aca="false">SUMIFS(K$2:K1112,A$2:A1112,A1112,B$2:B1112,B1112)</f>
        <v>858433</v>
      </c>
      <c r="O1112" s="11" t="n">
        <f aca="false">MAX(0,_xlfn.MAXIFS(N$2:N1112,A$2:A1112,A1112,B$2:B1112,B1112))</f>
        <v>1117304</v>
      </c>
      <c r="P1112" s="11" t="n">
        <f aca="false">N1112-O1112</f>
        <v>-258871</v>
      </c>
    </row>
    <row r="1113" customFormat="false" ht="15" hidden="false" customHeight="false" outlineLevel="0" collapsed="false">
      <c r="A1113" s="8" t="s">
        <v>45</v>
      </c>
      <c r="B1113" s="8" t="s">
        <v>27</v>
      </c>
      <c r="C1113" s="8" t="s">
        <v>62</v>
      </c>
      <c r="D1113" s="21" t="n">
        <v>45880.75</v>
      </c>
      <c r="E1113" s="21" t="n">
        <v>45891.8333333333</v>
      </c>
      <c r="F1113" s="22" t="n">
        <f aca="false">DATE(YEAR(E1113),MONTH(E1113),1)</f>
        <v>45870</v>
      </c>
      <c r="G1113" s="23" t="n">
        <v>120172</v>
      </c>
      <c r="H1113" s="8" t="s">
        <v>61</v>
      </c>
      <c r="I1113" s="24" t="n">
        <v>265.95</v>
      </c>
      <c r="J1113" s="25" t="n">
        <f aca="false">Summary!$B$4</f>
        <v>1</v>
      </c>
      <c r="K1113" s="11" t="n">
        <f aca="false">I1113*J1113*IF(A1113="SILVER",Summary!$B$5,Summary!$B$6)</f>
        <v>26595</v>
      </c>
      <c r="L1113" s="26" t="n">
        <v>0.136</v>
      </c>
      <c r="M1113" s="27" t="n">
        <f aca="false">IF(K1113&gt;0,1,0)</f>
        <v>1</v>
      </c>
      <c r="N1113" s="11" t="n">
        <f aca="false">SUMIFS(K$2:K1113,A$2:A1113,A1113,B$2:B1113,B1113)</f>
        <v>885028</v>
      </c>
      <c r="O1113" s="11" t="n">
        <f aca="false">MAX(0,_xlfn.MAXIFS(N$2:N1113,A$2:A1113,A1113,B$2:B1113,B1113))</f>
        <v>1117304</v>
      </c>
      <c r="P1113" s="11" t="n">
        <f aca="false">N1113-O1113</f>
        <v>-232276</v>
      </c>
    </row>
    <row r="1114" customFormat="false" ht="15" hidden="false" customHeight="false" outlineLevel="0" collapsed="false">
      <c r="A1114" s="8" t="s">
        <v>45</v>
      </c>
      <c r="B1114" s="8" t="s">
        <v>27</v>
      </c>
      <c r="C1114" s="8" t="s">
        <v>60</v>
      </c>
      <c r="D1114" s="21" t="n">
        <v>45891.8333333333</v>
      </c>
      <c r="E1114" s="21" t="n">
        <v>45918.5</v>
      </c>
      <c r="F1114" s="22" t="n">
        <f aca="false">DATE(YEAR(E1114),MONTH(E1114),1)</f>
        <v>45901</v>
      </c>
      <c r="G1114" s="23" t="n">
        <v>119846</v>
      </c>
      <c r="H1114" s="8" t="s">
        <v>61</v>
      </c>
      <c r="I1114" s="24" t="n">
        <v>8702.11</v>
      </c>
      <c r="J1114" s="25" t="n">
        <f aca="false">Summary!$B$4</f>
        <v>1</v>
      </c>
      <c r="K1114" s="11" t="n">
        <f aca="false">I1114*J1114*IF(A1114="SILVER",Summary!$B$5,Summary!$B$6)</f>
        <v>870211</v>
      </c>
      <c r="L1114" s="26" t="n">
        <v>5.412</v>
      </c>
      <c r="M1114" s="27" t="n">
        <f aca="false">IF(K1114&gt;0,1,0)</f>
        <v>1</v>
      </c>
      <c r="N1114" s="11" t="n">
        <f aca="false">SUMIFS(K$2:K1114,A$2:A1114,A1114,B$2:B1114,B1114)</f>
        <v>1755239</v>
      </c>
      <c r="O1114" s="11" t="n">
        <f aca="false">MAX(0,_xlfn.MAXIFS(N$2:N1114,A$2:A1114,A1114,B$2:B1114,B1114))</f>
        <v>1755239</v>
      </c>
      <c r="P1114" s="11" t="n">
        <f aca="false">N1114-O1114</f>
        <v>0</v>
      </c>
    </row>
    <row r="1115" customFormat="false" ht="15" hidden="false" customHeight="false" outlineLevel="0" collapsed="false">
      <c r="A1115" s="8" t="s">
        <v>45</v>
      </c>
      <c r="B1115" s="8" t="s">
        <v>27</v>
      </c>
      <c r="C1115" s="8" t="s">
        <v>62</v>
      </c>
      <c r="D1115" s="21" t="n">
        <v>45918.5</v>
      </c>
      <c r="E1115" s="21" t="n">
        <v>45922.4583333333</v>
      </c>
      <c r="F1115" s="22" t="n">
        <f aca="false">DATE(YEAR(E1115),MONTH(E1115),1)</f>
        <v>45901</v>
      </c>
      <c r="G1115" s="23" t="n">
        <v>128579</v>
      </c>
      <c r="H1115" s="8" t="s">
        <v>61</v>
      </c>
      <c r="I1115" s="24" t="n">
        <v>-1773.94</v>
      </c>
      <c r="J1115" s="25" t="n">
        <f aca="false">Summary!$B$4</f>
        <v>1</v>
      </c>
      <c r="K1115" s="11" t="n">
        <f aca="false">I1115*J1115*IF(A1115="SILVER",Summary!$B$5,Summary!$B$6)</f>
        <v>-177394</v>
      </c>
      <c r="L1115" s="26" t="n">
        <v>-1.001</v>
      </c>
      <c r="M1115" s="27" t="n">
        <f aca="false">IF(K1115&gt;0,1,0)</f>
        <v>0</v>
      </c>
      <c r="N1115" s="11" t="n">
        <f aca="false">SUMIFS(K$2:K1115,A$2:A1115,A1115,B$2:B1115,B1115)</f>
        <v>1577845</v>
      </c>
      <c r="O1115" s="11" t="n">
        <f aca="false">MAX(0,_xlfn.MAXIFS(N$2:N1115,A$2:A1115,A1115,B$2:B1115,B1115))</f>
        <v>1755239</v>
      </c>
      <c r="P1115" s="11" t="n">
        <f aca="false">N1115-O1115</f>
        <v>-177394</v>
      </c>
    </row>
    <row r="1116" customFormat="false" ht="15" hidden="false" customHeight="false" outlineLevel="0" collapsed="false">
      <c r="A1116" s="8" t="s">
        <v>45</v>
      </c>
      <c r="B1116" s="8" t="s">
        <v>27</v>
      </c>
      <c r="C1116" s="8" t="s">
        <v>60</v>
      </c>
      <c r="D1116" s="21" t="n">
        <v>45922.4583333333</v>
      </c>
      <c r="E1116" s="21" t="n">
        <v>45939.9583333333</v>
      </c>
      <c r="F1116" s="22" t="n">
        <f aca="false">DATE(YEAR(E1116),MONTH(E1116),1)</f>
        <v>45931</v>
      </c>
      <c r="G1116" s="23" t="n">
        <v>130321</v>
      </c>
      <c r="H1116" s="8" t="s">
        <v>61</v>
      </c>
      <c r="I1116" s="24" t="n">
        <v>8552.75</v>
      </c>
      <c r="J1116" s="25" t="n">
        <f aca="false">Summary!$B$4</f>
        <v>1</v>
      </c>
      <c r="K1116" s="11" t="n">
        <f aca="false">I1116*J1116*IF(A1116="SILVER",Summary!$B$5,Summary!$B$6)</f>
        <v>855275</v>
      </c>
      <c r="L1116" s="26" t="n">
        <v>5.253</v>
      </c>
      <c r="M1116" s="27" t="n">
        <f aca="false">IF(K1116&gt;0,1,0)</f>
        <v>1</v>
      </c>
      <c r="N1116" s="11" t="n">
        <f aca="false">SUMIFS(K$2:K1116,A$2:A1116,A1116,B$2:B1116,B1116)</f>
        <v>2433120</v>
      </c>
      <c r="O1116" s="11" t="n">
        <f aca="false">MAX(0,_xlfn.MAXIFS(N$2:N1116,A$2:A1116,A1116,B$2:B1116,B1116))</f>
        <v>2433120</v>
      </c>
      <c r="P1116" s="11" t="n">
        <f aca="false">N1116-O1116</f>
        <v>0</v>
      </c>
    </row>
    <row r="1117" customFormat="false" ht="15" hidden="false" customHeight="false" outlineLevel="0" collapsed="false">
      <c r="A1117" s="8" t="s">
        <v>45</v>
      </c>
      <c r="B1117" s="8" t="s">
        <v>27</v>
      </c>
      <c r="C1117" s="8" t="s">
        <v>62</v>
      </c>
      <c r="D1117" s="21" t="n">
        <v>45939.9583333333</v>
      </c>
      <c r="E1117" s="21" t="n">
        <v>45943.4583333333</v>
      </c>
      <c r="F1117" s="22" t="n">
        <f aca="false">DATE(YEAR(E1117),MONTH(E1117),1)</f>
        <v>45931</v>
      </c>
      <c r="G1117" s="23" t="n">
        <v>138941</v>
      </c>
      <c r="H1117" s="8" t="s">
        <v>61</v>
      </c>
      <c r="I1117" s="24" t="n">
        <v>-3158.44</v>
      </c>
      <c r="J1117" s="25" t="n">
        <f aca="false">Summary!$B$4</f>
        <v>1</v>
      </c>
      <c r="K1117" s="11" t="n">
        <f aca="false">I1117*J1117*IF(A1117="SILVER",Summary!$B$5,Summary!$B$6)</f>
        <v>-315844</v>
      </c>
      <c r="L1117" s="26" t="n">
        <v>-0.824</v>
      </c>
      <c r="M1117" s="27" t="n">
        <f aca="false">IF(K1117&gt;0,1,0)</f>
        <v>0</v>
      </c>
      <c r="N1117" s="11" t="n">
        <f aca="false">SUMIFS(K$2:K1117,A$2:A1117,A1117,B$2:B1117,B1117)</f>
        <v>2117276</v>
      </c>
      <c r="O1117" s="11" t="n">
        <f aca="false">MAX(0,_xlfn.MAXIFS(N$2:N1117,A$2:A1117,A1117,B$2:B1117,B1117))</f>
        <v>2433120</v>
      </c>
      <c r="P1117" s="11" t="n">
        <f aca="false">N1117-O1117</f>
        <v>-315844</v>
      </c>
    </row>
    <row r="1118" customFormat="false" ht="15" hidden="false" customHeight="false" outlineLevel="0" collapsed="false">
      <c r="A1118" s="8" t="s">
        <v>45</v>
      </c>
      <c r="B1118" s="8" t="s">
        <v>27</v>
      </c>
      <c r="C1118" s="8" t="s">
        <v>60</v>
      </c>
      <c r="D1118" s="21" t="n">
        <v>45943.4583333333</v>
      </c>
      <c r="E1118" s="21" t="n">
        <v>45947.8333333333</v>
      </c>
      <c r="F1118" s="22" t="n">
        <f aca="false">DATE(YEAR(E1118),MONTH(E1118),1)</f>
        <v>45931</v>
      </c>
      <c r="G1118" s="23" t="n">
        <v>142065</v>
      </c>
      <c r="H1118" s="8" t="s">
        <v>61</v>
      </c>
      <c r="I1118" s="24" t="n">
        <v>4430.8</v>
      </c>
      <c r="J1118" s="25" t="n">
        <f aca="false">Summary!$B$4</f>
        <v>1</v>
      </c>
      <c r="K1118" s="11" t="n">
        <f aca="false">I1118*J1118*IF(A1118="SILVER",Summary!$B$5,Summary!$B$6)</f>
        <v>443080</v>
      </c>
      <c r="L1118" s="26" t="n">
        <v>1.032</v>
      </c>
      <c r="M1118" s="27" t="n">
        <f aca="false">IF(K1118&gt;0,1,0)</f>
        <v>1</v>
      </c>
      <c r="N1118" s="11" t="n">
        <f aca="false">SUMIFS(K$2:K1118,A$2:A1118,A1118,B$2:B1118,B1118)</f>
        <v>2560356</v>
      </c>
      <c r="O1118" s="11" t="n">
        <f aca="false">MAX(0,_xlfn.MAXIFS(N$2:N1118,A$2:A1118,A1118,B$2:B1118,B1118))</f>
        <v>2560356</v>
      </c>
      <c r="P1118" s="11" t="n">
        <f aca="false">N1118-O1118</f>
        <v>0</v>
      </c>
    </row>
    <row r="1119" customFormat="false" ht="15" hidden="false" customHeight="false" outlineLevel="0" collapsed="false">
      <c r="A1119" s="8" t="s">
        <v>45</v>
      </c>
      <c r="B1119" s="8" t="s">
        <v>27</v>
      </c>
      <c r="C1119" s="8" t="s">
        <v>62</v>
      </c>
      <c r="D1119" s="21" t="n">
        <v>45947.8333333333</v>
      </c>
      <c r="E1119" s="21" t="n">
        <v>45971.5</v>
      </c>
      <c r="F1119" s="22" t="n">
        <f aca="false">DATE(YEAR(E1119),MONTH(E1119),1)</f>
        <v>45962</v>
      </c>
      <c r="G1119" s="23" t="n">
        <v>146531</v>
      </c>
      <c r="H1119" s="8" t="s">
        <v>61</v>
      </c>
      <c r="I1119" s="24" t="n">
        <v>5195.88</v>
      </c>
      <c r="J1119" s="25" t="n">
        <f aca="false">Summary!$B$4</f>
        <v>1</v>
      </c>
      <c r="K1119" s="11" t="n">
        <f aca="false">I1119*J1119*IF(A1119="SILVER",Summary!$B$5,Summary!$B$6)</f>
        <v>519588</v>
      </c>
      <c r="L1119" s="26" t="n">
        <v>0.938</v>
      </c>
      <c r="M1119" s="27" t="n">
        <f aca="false">IF(K1119&gt;0,1,0)</f>
        <v>1</v>
      </c>
      <c r="N1119" s="11" t="n">
        <f aca="false">SUMIFS(K$2:K1119,A$2:A1119,A1119,B$2:B1119,B1119)</f>
        <v>3079944</v>
      </c>
      <c r="O1119" s="11" t="n">
        <f aca="false">MAX(0,_xlfn.MAXIFS(N$2:N1119,A$2:A1119,A1119,B$2:B1119,B1119))</f>
        <v>3079944</v>
      </c>
      <c r="P1119" s="11" t="n">
        <f aca="false">N1119-O1119</f>
        <v>0</v>
      </c>
    </row>
    <row r="1120" customFormat="false" ht="15" hidden="false" customHeight="false" outlineLevel="0" collapsed="false">
      <c r="A1120" s="8" t="s">
        <v>45</v>
      </c>
      <c r="B1120" s="8" t="s">
        <v>27</v>
      </c>
      <c r="C1120" s="8" t="s">
        <v>60</v>
      </c>
      <c r="D1120" s="21" t="n">
        <v>45971.5</v>
      </c>
      <c r="E1120" s="21" t="n">
        <v>45975.75</v>
      </c>
      <c r="F1120" s="22" t="n">
        <f aca="false">DATE(YEAR(E1120),MONTH(E1120),1)</f>
        <v>45962</v>
      </c>
      <c r="G1120" s="23" t="n">
        <v>141300</v>
      </c>
      <c r="H1120" s="8" t="s">
        <v>61</v>
      </c>
      <c r="I1120" s="24" t="n">
        <v>1088.29</v>
      </c>
      <c r="J1120" s="25" t="n">
        <f aca="false">Summary!$B$4</f>
        <v>1</v>
      </c>
      <c r="K1120" s="11" t="n">
        <f aca="false">I1120*J1120*IF(A1120="SILVER",Summary!$B$5,Summary!$B$6)</f>
        <v>108829</v>
      </c>
      <c r="L1120" s="26" t="n">
        <v>0.38</v>
      </c>
      <c r="M1120" s="27" t="n">
        <f aca="false">IF(K1120&gt;0,1,0)</f>
        <v>1</v>
      </c>
      <c r="N1120" s="11" t="n">
        <f aca="false">SUMIFS(K$2:K1120,A$2:A1120,A1120,B$2:B1120,B1120)</f>
        <v>3188773</v>
      </c>
      <c r="O1120" s="11" t="n">
        <f aca="false">MAX(0,_xlfn.MAXIFS(N$2:N1120,A$2:A1120,A1120,B$2:B1120,B1120))</f>
        <v>3188773</v>
      </c>
      <c r="P1120" s="11" t="n">
        <f aca="false">N1120-O1120</f>
        <v>0</v>
      </c>
    </row>
    <row r="1121" customFormat="false" ht="15" hidden="false" customHeight="false" outlineLevel="0" collapsed="false">
      <c r="A1121" s="8" t="s">
        <v>45</v>
      </c>
      <c r="B1121" s="8" t="s">
        <v>27</v>
      </c>
      <c r="C1121" s="8" t="s">
        <v>62</v>
      </c>
      <c r="D1121" s="21" t="n">
        <v>45975.75</v>
      </c>
      <c r="E1121" s="21" t="n">
        <v>45986.4166666667</v>
      </c>
      <c r="F1121" s="22" t="n">
        <f aca="false">DATE(YEAR(E1121),MONTH(E1121),1)</f>
        <v>45962</v>
      </c>
      <c r="G1121" s="23" t="n">
        <v>142423</v>
      </c>
      <c r="H1121" s="8" t="s">
        <v>61</v>
      </c>
      <c r="I1121" s="24" t="n">
        <v>-1179.94</v>
      </c>
      <c r="J1121" s="25" t="n">
        <f aca="false">Summary!$B$4</f>
        <v>1</v>
      </c>
      <c r="K1121" s="11" t="n">
        <f aca="false">I1121*J1121*IF(A1121="SILVER",Summary!$B$5,Summary!$B$6)</f>
        <v>-117994</v>
      </c>
      <c r="L1121" s="26" t="n">
        <v>-0.284</v>
      </c>
      <c r="M1121" s="27" t="n">
        <f aca="false">IF(K1121&gt;0,1,0)</f>
        <v>0</v>
      </c>
      <c r="N1121" s="11" t="n">
        <f aca="false">SUMIFS(K$2:K1121,A$2:A1121,A1121,B$2:B1121,B1121)</f>
        <v>3070779</v>
      </c>
      <c r="O1121" s="11" t="n">
        <f aca="false">MAX(0,_xlfn.MAXIFS(N$2:N1121,A$2:A1121,A1121,B$2:B1121,B1121))</f>
        <v>3188773</v>
      </c>
      <c r="P1121" s="11" t="n">
        <f aca="false">N1121-O1121</f>
        <v>-117994</v>
      </c>
    </row>
    <row r="1122" customFormat="false" ht="15" hidden="false" customHeight="false" outlineLevel="0" collapsed="false">
      <c r="A1122" s="8" t="s">
        <v>45</v>
      </c>
      <c r="B1122" s="8" t="s">
        <v>27</v>
      </c>
      <c r="C1122" s="8" t="s">
        <v>60</v>
      </c>
      <c r="D1122" s="21" t="n">
        <v>45986.4166666667</v>
      </c>
      <c r="E1122" s="21" t="n">
        <v>46020.8333333333</v>
      </c>
      <c r="F1122" s="22" t="n">
        <f aca="false">DATE(YEAR(E1122),MONTH(E1122),1)</f>
        <v>45992</v>
      </c>
      <c r="G1122" s="23" t="n">
        <v>143568</v>
      </c>
      <c r="H1122" s="8" t="s">
        <v>61</v>
      </c>
      <c r="I1122" s="24" t="n">
        <v>9680.52</v>
      </c>
      <c r="J1122" s="25" t="n">
        <f aca="false">Summary!$B$4</f>
        <v>1</v>
      </c>
      <c r="K1122" s="11" t="n">
        <f aca="false">I1122*J1122*IF(A1122="SILVER",Summary!$B$5,Summary!$B$6)</f>
        <v>968052</v>
      </c>
      <c r="L1122" s="26" t="n">
        <v>2.94</v>
      </c>
      <c r="M1122" s="27" t="n">
        <f aca="false">IF(K1122&gt;0,1,0)</f>
        <v>1</v>
      </c>
      <c r="N1122" s="11" t="n">
        <f aca="false">SUMIFS(K$2:K1122,A$2:A1122,A1122,B$2:B1122,B1122)</f>
        <v>4038831</v>
      </c>
      <c r="O1122" s="11" t="n">
        <f aca="false">MAX(0,_xlfn.MAXIFS(N$2:N1122,A$2:A1122,A1122,B$2:B1122,B1122))</f>
        <v>4038831</v>
      </c>
      <c r="P1122" s="11" t="n">
        <f aca="false">N1122-O1122</f>
        <v>0</v>
      </c>
    </row>
    <row r="1123" customFormat="false" ht="15" hidden="false" customHeight="false" outlineLevel="0" collapsed="false">
      <c r="A1123" s="8" t="s">
        <v>45</v>
      </c>
      <c r="B1123" s="8" t="s">
        <v>27</v>
      </c>
      <c r="C1123" s="8" t="s">
        <v>62</v>
      </c>
      <c r="D1123" s="21" t="n">
        <v>46020.8333333333</v>
      </c>
      <c r="E1123" s="21" t="n">
        <v>46028.4166666667</v>
      </c>
      <c r="F1123" s="22" t="n">
        <f aca="false">DATE(YEAR(E1123),MONTH(E1123),1)</f>
        <v>46023</v>
      </c>
      <c r="G1123" s="23" t="n">
        <v>153322</v>
      </c>
      <c r="H1123" s="8" t="s">
        <v>61</v>
      </c>
      <c r="I1123" s="24" t="n">
        <v>-2160.5</v>
      </c>
      <c r="J1123" s="25" t="n">
        <f aca="false">Summary!$B$4</f>
        <v>1</v>
      </c>
      <c r="K1123" s="11" t="n">
        <f aca="false">I1123*J1123*IF(A1123="SILVER",Summary!$B$5,Summary!$B$6)</f>
        <v>-216050</v>
      </c>
      <c r="L1123" s="26" t="n">
        <v>-0.491</v>
      </c>
      <c r="M1123" s="27" t="n">
        <f aca="false">IF(K1123&gt;0,1,0)</f>
        <v>0</v>
      </c>
      <c r="N1123" s="11" t="n">
        <f aca="false">SUMIFS(K$2:K1123,A$2:A1123,A1123,B$2:B1123,B1123)</f>
        <v>3822781</v>
      </c>
      <c r="O1123" s="11" t="n">
        <f aca="false">MAX(0,_xlfn.MAXIFS(N$2:N1123,A$2:A1123,A1123,B$2:B1123,B1123))</f>
        <v>4038831</v>
      </c>
      <c r="P1123" s="11" t="n">
        <f aca="false">N1123-O1123</f>
        <v>-216050</v>
      </c>
    </row>
    <row r="1124" customFormat="false" ht="15" hidden="false" customHeight="false" outlineLevel="0" collapsed="false">
      <c r="A1124" s="8" t="s">
        <v>45</v>
      </c>
      <c r="B1124" s="8" t="s">
        <v>27</v>
      </c>
      <c r="C1124" s="8" t="s">
        <v>60</v>
      </c>
      <c r="D1124" s="21" t="n">
        <v>46028.4166666667</v>
      </c>
      <c r="E1124" s="21" t="n">
        <v>46044.4166666667</v>
      </c>
      <c r="F1124" s="22" t="n">
        <f aca="false">DATE(YEAR(E1124),MONTH(E1124),1)</f>
        <v>46023</v>
      </c>
      <c r="G1124" s="23" t="n">
        <v>155445</v>
      </c>
      <c r="H1124" s="8" t="s">
        <v>61</v>
      </c>
      <c r="I1124" s="24" t="n">
        <v>11104.18</v>
      </c>
      <c r="J1124" s="25" t="n">
        <f aca="false">Summary!$B$4</f>
        <v>1</v>
      </c>
      <c r="K1124" s="11" t="n">
        <f aca="false">I1124*J1124*IF(A1124="SILVER",Summary!$B$5,Summary!$B$6)</f>
        <v>1110418</v>
      </c>
      <c r="L1124" s="26" t="n">
        <v>3.772</v>
      </c>
      <c r="M1124" s="27" t="n">
        <f aca="false">IF(K1124&gt;0,1,0)</f>
        <v>1</v>
      </c>
      <c r="N1124" s="11" t="n">
        <f aca="false">SUMIFS(K$2:K1124,A$2:A1124,A1124,B$2:B1124,B1124)</f>
        <v>4933199</v>
      </c>
      <c r="O1124" s="11" t="n">
        <f aca="false">MAX(0,_xlfn.MAXIFS(N$2:N1124,A$2:A1124,A1124,B$2:B1124,B1124))</f>
        <v>4933199</v>
      </c>
      <c r="P1124" s="11" t="n">
        <f aca="false">N1124-O1124</f>
        <v>0</v>
      </c>
    </row>
    <row r="1125" customFormat="false" ht="15" hidden="false" customHeight="false" outlineLevel="0" collapsed="false">
      <c r="A1125" s="8" t="s">
        <v>45</v>
      </c>
      <c r="B1125" s="8" t="s">
        <v>27</v>
      </c>
      <c r="C1125" s="8" t="s">
        <v>62</v>
      </c>
      <c r="D1125" s="21" t="n">
        <v>46044.4166666667</v>
      </c>
      <c r="E1125" s="21" t="n">
        <v>46049.4166666667</v>
      </c>
      <c r="F1125" s="22" t="n">
        <f aca="false">DATE(YEAR(E1125),MONTH(E1125),1)</f>
        <v>46023</v>
      </c>
      <c r="G1125" s="23" t="n">
        <v>166588</v>
      </c>
      <c r="H1125" s="8" t="s">
        <v>61</v>
      </c>
      <c r="I1125" s="24" t="n">
        <v>-8802.81</v>
      </c>
      <c r="J1125" s="25" t="n">
        <f aca="false">Summary!$B$4</f>
        <v>1</v>
      </c>
      <c r="K1125" s="11" t="n">
        <f aca="false">I1125*J1125*IF(A1125="SILVER",Summary!$B$5,Summary!$B$6)</f>
        <v>-880281</v>
      </c>
      <c r="L1125" s="26" t="n">
        <v>-0.842</v>
      </c>
      <c r="M1125" s="27" t="n">
        <f aca="false">IF(K1125&gt;0,1,0)</f>
        <v>0</v>
      </c>
      <c r="N1125" s="11" t="n">
        <f aca="false">SUMIFS(K$2:K1125,A$2:A1125,A1125,B$2:B1125,B1125)</f>
        <v>4052918</v>
      </c>
      <c r="O1125" s="11" t="n">
        <f aca="false">MAX(0,_xlfn.MAXIFS(N$2:N1125,A$2:A1125,A1125,B$2:B1125,B1125))</f>
        <v>4933199</v>
      </c>
      <c r="P1125" s="11" t="n">
        <f aca="false">N1125-O1125</f>
        <v>-880281</v>
      </c>
    </row>
    <row r="1126" customFormat="false" ht="15" hidden="false" customHeight="false" outlineLevel="0" collapsed="false">
      <c r="A1126" s="8" t="s">
        <v>45</v>
      </c>
      <c r="B1126" s="8" t="s">
        <v>27</v>
      </c>
      <c r="C1126" s="8" t="s">
        <v>60</v>
      </c>
      <c r="D1126" s="21" t="n">
        <v>46049.4166666667</v>
      </c>
      <c r="E1126" s="21" t="n">
        <v>46051.875</v>
      </c>
      <c r="F1126" s="22" t="n">
        <f aca="false">DATE(YEAR(E1126),MONTH(E1126),1)</f>
        <v>46023</v>
      </c>
      <c r="G1126" s="23" t="n">
        <v>175350</v>
      </c>
      <c r="H1126" s="8" t="s">
        <v>61</v>
      </c>
      <c r="I1126" s="24" t="n">
        <v>832.09</v>
      </c>
      <c r="J1126" s="25" t="n">
        <f aca="false">Summary!$B$4</f>
        <v>1</v>
      </c>
      <c r="K1126" s="11" t="n">
        <f aca="false">I1126*J1126*IF(A1126="SILVER",Summary!$B$5,Summary!$B$6)</f>
        <v>83209</v>
      </c>
      <c r="L1126" s="26" t="n">
        <v>0.102</v>
      </c>
      <c r="M1126" s="27" t="n">
        <f aca="false">IF(K1126&gt;0,1,0)</f>
        <v>1</v>
      </c>
      <c r="N1126" s="11" t="n">
        <f aca="false">SUMIFS(K$2:K1126,A$2:A1126,A1126,B$2:B1126,B1126)</f>
        <v>4136127</v>
      </c>
      <c r="O1126" s="11" t="n">
        <f aca="false">MAX(0,_xlfn.MAXIFS(N$2:N1126,A$2:A1126,A1126,B$2:B1126,B1126))</f>
        <v>4933199</v>
      </c>
      <c r="P1126" s="11" t="n">
        <f aca="false">N1126-O1126</f>
        <v>-797072</v>
      </c>
    </row>
    <row r="1127" customFormat="false" ht="15" hidden="false" customHeight="false" outlineLevel="0" collapsed="false">
      <c r="A1127" s="8" t="s">
        <v>45</v>
      </c>
      <c r="B1127" s="8" t="s">
        <v>27</v>
      </c>
      <c r="C1127" s="8" t="s">
        <v>62</v>
      </c>
      <c r="D1127" s="21" t="n">
        <v>46051.875</v>
      </c>
      <c r="E1127" s="21" t="n">
        <v>46072.5416666667</v>
      </c>
      <c r="F1127" s="22" t="n">
        <f aca="false">DATE(YEAR(E1127),MONTH(E1127),1)</f>
        <v>46054</v>
      </c>
      <c r="G1127" s="23" t="n">
        <v>176224</v>
      </c>
      <c r="H1127" s="8" t="s">
        <v>61</v>
      </c>
      <c r="I1127" s="24" t="n">
        <v>11684.83</v>
      </c>
      <c r="J1127" s="25" t="n">
        <f aca="false">Summary!$B$4</f>
        <v>1</v>
      </c>
      <c r="K1127" s="11" t="n">
        <f aca="false">I1127*J1127*IF(A1127="SILVER",Summary!$B$5,Summary!$B$6)</f>
        <v>1168483</v>
      </c>
      <c r="L1127" s="26" t="n">
        <v>0.471</v>
      </c>
      <c r="M1127" s="27" t="n">
        <f aca="false">IF(K1127&gt;0,1,0)</f>
        <v>1</v>
      </c>
      <c r="N1127" s="11" t="n">
        <f aca="false">SUMIFS(K$2:K1127,A$2:A1127,A1127,B$2:B1127,B1127)</f>
        <v>5304610</v>
      </c>
      <c r="O1127" s="11" t="n">
        <f aca="false">MAX(0,_xlfn.MAXIFS(N$2:N1127,A$2:A1127,A1127,B$2:B1127,B1127))</f>
        <v>5304610</v>
      </c>
      <c r="P1127" s="11" t="n">
        <f aca="false">N1127-O1127</f>
        <v>0</v>
      </c>
    </row>
    <row r="1128" customFormat="false" ht="15" hidden="false" customHeight="false" outlineLevel="0" collapsed="false">
      <c r="A1128" s="8" t="s">
        <v>45</v>
      </c>
      <c r="B1128" s="8" t="s">
        <v>27</v>
      </c>
      <c r="C1128" s="8" t="s">
        <v>60</v>
      </c>
      <c r="D1128" s="21" t="n">
        <v>46072.5416666667</v>
      </c>
      <c r="E1128" s="21" t="n">
        <v>46084.75</v>
      </c>
      <c r="F1128" s="22" t="n">
        <f aca="false">DATE(YEAR(E1128),MONTH(E1128),1)</f>
        <v>46082</v>
      </c>
      <c r="G1128" s="23" t="n">
        <v>164456</v>
      </c>
      <c r="H1128" s="8" t="s">
        <v>61</v>
      </c>
      <c r="I1128" s="24" t="n">
        <v>7282.87</v>
      </c>
      <c r="J1128" s="25" t="n">
        <f aca="false">Summary!$B$4</f>
        <v>1</v>
      </c>
      <c r="K1128" s="11" t="n">
        <f aca="false">I1128*J1128*IF(A1128="SILVER",Summary!$B$5,Summary!$B$6)</f>
        <v>728287</v>
      </c>
      <c r="L1128" s="26" t="n">
        <v>1.479</v>
      </c>
      <c r="M1128" s="27" t="n">
        <f aca="false">IF(K1128&gt;0,1,0)</f>
        <v>1</v>
      </c>
      <c r="N1128" s="11" t="n">
        <f aca="false">SUMIFS(K$2:K1128,A$2:A1128,A1128,B$2:B1128,B1128)</f>
        <v>6032897</v>
      </c>
      <c r="O1128" s="11" t="n">
        <f aca="false">MAX(0,_xlfn.MAXIFS(N$2:N1128,A$2:A1128,A1128,B$2:B1128,B1128))</f>
        <v>6032897</v>
      </c>
      <c r="P1128" s="11" t="n">
        <f aca="false">N1128-O1128</f>
        <v>0</v>
      </c>
    </row>
    <row r="1129" customFormat="false" ht="15" hidden="false" customHeight="false" outlineLevel="0" collapsed="false">
      <c r="A1129" s="8" t="s">
        <v>45</v>
      </c>
      <c r="B1129" s="8" t="s">
        <v>27</v>
      </c>
      <c r="C1129" s="8" t="s">
        <v>62</v>
      </c>
      <c r="D1129" s="21" t="n">
        <v>46084.75</v>
      </c>
      <c r="E1129" s="21" t="n">
        <v>46106.4166666667</v>
      </c>
      <c r="F1129" s="22" t="n">
        <f aca="false">DATE(YEAR(E1129),MONTH(E1129),1)</f>
        <v>46082</v>
      </c>
      <c r="G1129" s="23" t="n">
        <v>171781</v>
      </c>
      <c r="H1129" s="8" t="s">
        <v>61</v>
      </c>
      <c r="I1129" s="24" t="n">
        <v>19952.14</v>
      </c>
      <c r="J1129" s="25" t="n">
        <f aca="false">Summary!$B$4</f>
        <v>1</v>
      </c>
      <c r="K1129" s="11" t="n">
        <f aca="false">I1129*J1129*IF(A1129="SILVER",Summary!$B$5,Summary!$B$6)</f>
        <v>1995214</v>
      </c>
      <c r="L1129" s="26" t="n">
        <v>3.432</v>
      </c>
      <c r="M1129" s="27" t="n">
        <f aca="false">IF(K1129&gt;0,1,0)</f>
        <v>1</v>
      </c>
      <c r="N1129" s="11" t="n">
        <f aca="false">SUMIFS(K$2:K1129,A$2:A1129,A1129,B$2:B1129,B1129)</f>
        <v>8028111</v>
      </c>
      <c r="O1129" s="11" t="n">
        <f aca="false">MAX(0,_xlfn.MAXIFS(N$2:N1129,A$2:A1129,A1129,B$2:B1129,B1129))</f>
        <v>8028111</v>
      </c>
      <c r="P1129" s="11" t="n">
        <f aca="false">N1129-O1129</f>
        <v>0</v>
      </c>
    </row>
    <row r="1130" customFormat="false" ht="15" hidden="false" customHeight="false" outlineLevel="0" collapsed="false">
      <c r="A1130" s="8" t="s">
        <v>45</v>
      </c>
      <c r="B1130" s="8" t="s">
        <v>27</v>
      </c>
      <c r="C1130" s="8" t="s">
        <v>60</v>
      </c>
      <c r="D1130" s="21" t="n">
        <v>46106.4166666667</v>
      </c>
      <c r="E1130" s="21" t="n">
        <v>46118.375</v>
      </c>
      <c r="F1130" s="22" t="n">
        <f aca="false">DATE(YEAR(E1130),MONTH(E1130),1)</f>
        <v>46113</v>
      </c>
      <c r="G1130" s="23" t="n">
        <v>151788</v>
      </c>
      <c r="H1130" s="8" t="s">
        <v>61</v>
      </c>
      <c r="I1130" s="24" t="n">
        <v>1235.88</v>
      </c>
      <c r="J1130" s="25" t="n">
        <f aca="false">Summary!$B$4</f>
        <v>1</v>
      </c>
      <c r="K1130" s="11" t="n">
        <f aca="false">I1130*J1130*IF(A1130="SILVER",Summary!$B$5,Summary!$B$6)</f>
        <v>123588</v>
      </c>
      <c r="L1130" s="26" t="n">
        <v>0.101</v>
      </c>
      <c r="M1130" s="27" t="n">
        <f aca="false">IF(K1130&gt;0,1,0)</f>
        <v>1</v>
      </c>
      <c r="N1130" s="11" t="n">
        <f aca="false">SUMIFS(K$2:K1130,A$2:A1130,A1130,B$2:B1130,B1130)</f>
        <v>8151699</v>
      </c>
      <c r="O1130" s="11" t="n">
        <f aca="false">MAX(0,_xlfn.MAXIFS(N$2:N1130,A$2:A1130,A1130,B$2:B1130,B1130))</f>
        <v>8151699</v>
      </c>
      <c r="P1130" s="11" t="n">
        <f aca="false">N1130-O1130</f>
        <v>0</v>
      </c>
    </row>
    <row r="1131" customFormat="false" ht="15" hidden="false" customHeight="false" outlineLevel="0" collapsed="false">
      <c r="A1131" s="8" t="s">
        <v>45</v>
      </c>
      <c r="B1131" s="8" t="s">
        <v>27</v>
      </c>
      <c r="C1131" s="8" t="s">
        <v>62</v>
      </c>
      <c r="D1131" s="21" t="n">
        <v>46118.375</v>
      </c>
      <c r="E1131" s="21" t="n">
        <v>46126.9583333333</v>
      </c>
      <c r="F1131" s="22" t="n">
        <f aca="false">DATE(YEAR(E1131),MONTH(E1131),1)</f>
        <v>46113</v>
      </c>
      <c r="G1131" s="23" t="n">
        <v>153102</v>
      </c>
      <c r="H1131" s="8" t="s">
        <v>61</v>
      </c>
      <c r="I1131" s="24" t="n">
        <v>-5751.02</v>
      </c>
      <c r="J1131" s="25" t="n">
        <f aca="false">Summary!$B$4</f>
        <v>1</v>
      </c>
      <c r="K1131" s="11" t="n">
        <f aca="false">I1131*J1131*IF(A1131="SILVER",Summary!$B$5,Summary!$B$6)</f>
        <v>-575102</v>
      </c>
      <c r="L1131" s="26" t="n">
        <v>-0.758</v>
      </c>
      <c r="M1131" s="27" t="n">
        <f aca="false">IF(K1131&gt;0,1,0)</f>
        <v>0</v>
      </c>
      <c r="N1131" s="11" t="n">
        <f aca="false">SUMIFS(K$2:K1131,A$2:A1131,A1131,B$2:B1131,B1131)</f>
        <v>7576597</v>
      </c>
      <c r="O1131" s="11" t="n">
        <f aca="false">MAX(0,_xlfn.MAXIFS(N$2:N1131,A$2:A1131,A1131,B$2:B1131,B1131))</f>
        <v>8151699</v>
      </c>
      <c r="P1131" s="11" t="n">
        <f aca="false">N1131-O1131</f>
        <v>-575102</v>
      </c>
    </row>
    <row r="1132" customFormat="false" ht="15" hidden="false" customHeight="false" outlineLevel="0" collapsed="false">
      <c r="A1132" s="8" t="s">
        <v>45</v>
      </c>
      <c r="B1132" s="8" t="s">
        <v>27</v>
      </c>
      <c r="C1132" s="8" t="s">
        <v>60</v>
      </c>
      <c r="D1132" s="21" t="n">
        <v>46126.9583333333</v>
      </c>
      <c r="E1132" s="21" t="n">
        <v>46133.9583333333</v>
      </c>
      <c r="F1132" s="22" t="n">
        <f aca="false">DATE(YEAR(E1132),MONTH(E1132),1)</f>
        <v>46113</v>
      </c>
      <c r="G1132" s="23" t="n">
        <v>158813</v>
      </c>
      <c r="H1132" s="8" t="s">
        <v>61</v>
      </c>
      <c r="I1132" s="24" t="n">
        <v>-3105.61</v>
      </c>
      <c r="J1132" s="25" t="n">
        <f aca="false">Summary!$B$4</f>
        <v>1</v>
      </c>
      <c r="K1132" s="11" t="n">
        <f aca="false">I1132*J1132*IF(A1132="SILVER",Summary!$B$5,Summary!$B$6)</f>
        <v>-310561</v>
      </c>
      <c r="L1132" s="26" t="n">
        <v>-0.809</v>
      </c>
      <c r="M1132" s="27" t="n">
        <f aca="false">IF(K1132&gt;0,1,0)</f>
        <v>0</v>
      </c>
      <c r="N1132" s="11" t="n">
        <f aca="false">SUMIFS(K$2:K1132,A$2:A1132,A1132,B$2:B1132,B1132)</f>
        <v>7266036</v>
      </c>
      <c r="O1132" s="11" t="n">
        <f aca="false">MAX(0,_xlfn.MAXIFS(N$2:N1132,A$2:A1132,A1132,B$2:B1132,B1132))</f>
        <v>8151699</v>
      </c>
      <c r="P1132" s="11" t="n">
        <f aca="false">N1132-O1132</f>
        <v>-885663</v>
      </c>
    </row>
    <row r="1133" customFormat="false" ht="15" hidden="false" customHeight="false" outlineLevel="0" collapsed="false">
      <c r="A1133" s="8" t="s">
        <v>45</v>
      </c>
      <c r="B1133" s="8" t="s">
        <v>27</v>
      </c>
      <c r="C1133" s="8" t="s">
        <v>62</v>
      </c>
      <c r="D1133" s="21" t="n">
        <v>46133.9583333333</v>
      </c>
      <c r="E1133" s="21" t="n">
        <v>46142.6666666667</v>
      </c>
      <c r="F1133" s="22" t="n">
        <f aca="false">DATE(YEAR(E1133),MONTH(E1133),1)</f>
        <v>46113</v>
      </c>
      <c r="G1133" s="23" t="n">
        <v>155748</v>
      </c>
      <c r="H1133" s="8" t="s">
        <v>61</v>
      </c>
      <c r="I1133" s="24" t="n">
        <v>-303.32</v>
      </c>
      <c r="J1133" s="25" t="n">
        <f aca="false">Summary!$B$4</f>
        <v>1</v>
      </c>
      <c r="K1133" s="11" t="n">
        <f aca="false">I1133*J1133*IF(A1133="SILVER",Summary!$B$5,Summary!$B$6)</f>
        <v>-30332</v>
      </c>
      <c r="L1133" s="26" t="n">
        <v>-0.086</v>
      </c>
      <c r="M1133" s="27" t="n">
        <f aca="false">IF(K1133&gt;0,1,0)</f>
        <v>0</v>
      </c>
      <c r="N1133" s="11" t="n">
        <f aca="false">SUMIFS(K$2:K1133,A$2:A1133,A1133,B$2:B1133,B1133)</f>
        <v>7235704</v>
      </c>
      <c r="O1133" s="11" t="n">
        <f aca="false">MAX(0,_xlfn.MAXIFS(N$2:N1133,A$2:A1133,A1133,B$2:B1133,B1133))</f>
        <v>8151699</v>
      </c>
      <c r="P1133" s="11" t="n">
        <f aca="false">N1133-O1133</f>
        <v>-915995</v>
      </c>
    </row>
    <row r="1134" customFormat="false" ht="15" hidden="false" customHeight="false" outlineLevel="0" collapsed="false">
      <c r="A1134" s="8" t="s">
        <v>45</v>
      </c>
      <c r="B1134" s="8" t="s">
        <v>27</v>
      </c>
      <c r="C1134" s="8" t="s">
        <v>60</v>
      </c>
      <c r="D1134" s="21" t="n">
        <v>46142.6666666667</v>
      </c>
      <c r="E1134" s="21" t="n">
        <v>46162.4166666667</v>
      </c>
      <c r="F1134" s="22" t="n">
        <f aca="false">DATE(YEAR(E1134),MONTH(E1134),1)</f>
        <v>46143</v>
      </c>
      <c r="G1134" s="23" t="n">
        <v>156011</v>
      </c>
      <c r="H1134" s="8" t="s">
        <v>61</v>
      </c>
      <c r="I1134" s="24" t="n">
        <v>6583</v>
      </c>
      <c r="J1134" s="25" t="n">
        <f aca="false">Summary!$B$4</f>
        <v>1</v>
      </c>
      <c r="K1134" s="11" t="n">
        <f aca="false">I1134*J1134*IF(A1134="SILVER",Summary!$B$5,Summary!$B$6)</f>
        <v>658300</v>
      </c>
      <c r="L1134" s="26" t="n">
        <v>1.853</v>
      </c>
      <c r="M1134" s="27" t="n">
        <f aca="false">IF(K1134&gt;0,1,0)</f>
        <v>1</v>
      </c>
      <c r="N1134" s="11" t="n">
        <f aca="false">SUMIFS(K$2:K1134,A$2:A1134,A1134,B$2:B1134,B1134)</f>
        <v>7894004</v>
      </c>
      <c r="O1134" s="11" t="n">
        <f aca="false">MAX(0,_xlfn.MAXIFS(N$2:N1134,A$2:A1134,A1134,B$2:B1134,B1134))</f>
        <v>8151699</v>
      </c>
      <c r="P1134" s="11" t="n">
        <f aca="false">N1134-O1134</f>
        <v>-257695</v>
      </c>
    </row>
    <row r="1135" customFormat="false" ht="15" hidden="false" customHeight="false" outlineLevel="0" collapsed="false">
      <c r="A1135" s="8" t="s">
        <v>45</v>
      </c>
      <c r="B1135" s="8" t="s">
        <v>27</v>
      </c>
      <c r="C1135" s="8" t="s">
        <v>62</v>
      </c>
      <c r="D1135" s="21" t="n">
        <v>46162.4166666667</v>
      </c>
      <c r="E1135" s="21" t="n">
        <v>46188.4166666667</v>
      </c>
      <c r="F1135" s="22" t="n">
        <f aca="false">DATE(YEAR(E1135),MONTH(E1135),1)</f>
        <v>46174</v>
      </c>
      <c r="G1135" s="23" t="n">
        <v>162635</v>
      </c>
      <c r="H1135" s="8" t="s">
        <v>61</v>
      </c>
      <c r="I1135" s="24" t="n">
        <v>6748.23</v>
      </c>
      <c r="J1135" s="25" t="n">
        <f aca="false">Summary!$B$4</f>
        <v>1</v>
      </c>
      <c r="K1135" s="11" t="n">
        <f aca="false">I1135*J1135*IF(A1135="SILVER",Summary!$B$5,Summary!$B$6)</f>
        <v>674823</v>
      </c>
      <c r="L1135" s="26" t="n">
        <v>1.787</v>
      </c>
      <c r="M1135" s="27" t="n">
        <f aca="false">IF(K1135&gt;0,1,0)</f>
        <v>1</v>
      </c>
      <c r="N1135" s="11" t="n">
        <f aca="false">SUMIFS(K$2:K1135,A$2:A1135,A1135,B$2:B1135,B1135)</f>
        <v>8568827</v>
      </c>
      <c r="O1135" s="11" t="n">
        <f aca="false">MAX(0,_xlfn.MAXIFS(N$2:N1135,A$2:A1135,A1135,B$2:B1135,B1135))</f>
        <v>8568827</v>
      </c>
      <c r="P1135" s="11" t="n">
        <f aca="false">N1135-O1135</f>
        <v>0</v>
      </c>
    </row>
    <row r="1136" customFormat="false" ht="15" hidden="false" customHeight="false" outlineLevel="0" collapsed="false">
      <c r="A1136" s="8" t="s">
        <v>45</v>
      </c>
      <c r="B1136" s="8" t="s">
        <v>27</v>
      </c>
      <c r="C1136" s="8" t="s">
        <v>60</v>
      </c>
      <c r="D1136" s="21" t="n">
        <v>46188.4166666667</v>
      </c>
      <c r="E1136" s="21" t="n">
        <v>46191.5833333333</v>
      </c>
      <c r="F1136" s="22" t="n">
        <f aca="false">DATE(YEAR(E1136),MONTH(E1136),1)</f>
        <v>46174</v>
      </c>
      <c r="G1136" s="23" t="n">
        <v>155805</v>
      </c>
      <c r="H1136" s="8" t="s">
        <v>61</v>
      </c>
      <c r="I1136" s="24" t="n">
        <v>-2321.4</v>
      </c>
      <c r="J1136" s="25" t="n">
        <f aca="false">Summary!$B$4</f>
        <v>1</v>
      </c>
      <c r="K1136" s="11" t="n">
        <f aca="false">I1136*J1136*IF(A1136="SILVER",Summary!$B$5,Summary!$B$6)</f>
        <v>-232140</v>
      </c>
      <c r="L1136" s="26" t="n">
        <v>-0.487</v>
      </c>
      <c r="M1136" s="27" t="n">
        <f aca="false">IF(K1136&gt;0,1,0)</f>
        <v>0</v>
      </c>
      <c r="N1136" s="11" t="n">
        <f aca="false">SUMIFS(K$2:K1136,A$2:A1136,A1136,B$2:B1136,B1136)</f>
        <v>8336687</v>
      </c>
      <c r="O1136" s="11" t="n">
        <f aca="false">MAX(0,_xlfn.MAXIFS(N$2:N1136,A$2:A1136,A1136,B$2:B1136,B1136))</f>
        <v>8568827</v>
      </c>
      <c r="P1136" s="11" t="n">
        <f aca="false">N1136-O1136</f>
        <v>-232140</v>
      </c>
    </row>
    <row r="1137" customFormat="false" ht="15" hidden="false" customHeight="false" outlineLevel="0" collapsed="false">
      <c r="A1137" s="8" t="s">
        <v>45</v>
      </c>
      <c r="B1137" s="8" t="s">
        <v>27</v>
      </c>
      <c r="C1137" s="8" t="s">
        <v>62</v>
      </c>
      <c r="D1137" s="21" t="n">
        <v>46191.5833333333</v>
      </c>
      <c r="E1137" s="21" t="n">
        <v>46204.8333333333</v>
      </c>
      <c r="F1137" s="22" t="n">
        <f aca="false">DATE(YEAR(E1137),MONTH(E1137),1)</f>
        <v>46204</v>
      </c>
      <c r="G1137" s="23" t="n">
        <v>153524</v>
      </c>
      <c r="H1137" s="8" t="s">
        <v>61</v>
      </c>
      <c r="I1137" s="24" t="n">
        <v>5817.41</v>
      </c>
      <c r="J1137" s="25" t="n">
        <f aca="false">Summary!$B$4</f>
        <v>1</v>
      </c>
      <c r="K1137" s="11" t="n">
        <f aca="false">I1137*J1137*IF(A1137="SILVER",Summary!$B$5,Summary!$B$6)</f>
        <v>581741</v>
      </c>
      <c r="L1137" s="26" t="n">
        <v>1.534</v>
      </c>
      <c r="M1137" s="27" t="n">
        <f aca="false">IF(K1137&gt;0,1,0)</f>
        <v>1</v>
      </c>
      <c r="N1137" s="11" t="n">
        <f aca="false">SUMIFS(K$2:K1137,A$2:A1137,A1137,B$2:B1137,B1137)</f>
        <v>8918428</v>
      </c>
      <c r="O1137" s="11" t="n">
        <f aca="false">MAX(0,_xlfn.MAXIFS(N$2:N1137,A$2:A1137,A1137,B$2:B1137,B1137))</f>
        <v>8918428</v>
      </c>
      <c r="P1137" s="11" t="n">
        <f aca="false">N1137-O1137</f>
        <v>0</v>
      </c>
    </row>
    <row r="1138" customFormat="false" ht="15" hidden="false" customHeight="false" outlineLevel="0" collapsed="false">
      <c r="A1138" s="8" t="s">
        <v>45</v>
      </c>
      <c r="B1138" s="8" t="s">
        <v>27</v>
      </c>
      <c r="C1138" s="8" t="s">
        <v>60</v>
      </c>
      <c r="D1138" s="21" t="n">
        <v>46204.8333333333</v>
      </c>
      <c r="E1138" s="21" t="n">
        <v>46211.625</v>
      </c>
      <c r="F1138" s="22" t="n">
        <f aca="false">DATE(YEAR(E1138),MONTH(E1138),1)</f>
        <v>46204</v>
      </c>
      <c r="G1138" s="23" t="n">
        <v>147667</v>
      </c>
      <c r="H1138" s="8" t="s">
        <v>61</v>
      </c>
      <c r="I1138" s="24" t="n">
        <v>-1821.83</v>
      </c>
      <c r="J1138" s="25" t="n">
        <f aca="false">Summary!$B$4</f>
        <v>1</v>
      </c>
      <c r="K1138" s="11" t="n">
        <f aca="false">I1138*J1138*IF(A1138="SILVER",Summary!$B$5,Summary!$B$6)</f>
        <v>-182183</v>
      </c>
      <c r="L1138" s="26" t="n">
        <v>-0.353</v>
      </c>
      <c r="M1138" s="27" t="n">
        <f aca="false">IF(K1138&gt;0,1,0)</f>
        <v>0</v>
      </c>
      <c r="N1138" s="11" t="n">
        <f aca="false">SUMIFS(K$2:K1138,A$2:A1138,A1138,B$2:B1138,B1138)</f>
        <v>8736245</v>
      </c>
      <c r="O1138" s="11" t="n">
        <f aca="false">MAX(0,_xlfn.MAXIFS(N$2:N1138,A$2:A1138,A1138,B$2:B1138,B1138))</f>
        <v>8918428</v>
      </c>
      <c r="P1138" s="11" t="n">
        <f aca="false">N1138-O1138</f>
        <v>-182183</v>
      </c>
    </row>
    <row r="1139" customFormat="false" ht="15" hidden="false" customHeight="false" outlineLevel="0" collapsed="false">
      <c r="A1139" s="8" t="s">
        <v>45</v>
      </c>
      <c r="B1139" s="8" t="s">
        <v>27</v>
      </c>
      <c r="C1139" s="8" t="s">
        <v>62</v>
      </c>
      <c r="D1139" s="21" t="n">
        <v>46211.625</v>
      </c>
      <c r="E1139" s="21" t="n">
        <v>46224.875</v>
      </c>
      <c r="F1139" s="22" t="n">
        <f aca="false">DATE(YEAR(E1139),MONTH(E1139),1)</f>
        <v>46204</v>
      </c>
      <c r="G1139" s="23" t="n">
        <v>145884</v>
      </c>
      <c r="H1139" s="8" t="s">
        <v>61</v>
      </c>
      <c r="I1139" s="24" t="n">
        <v>226.37</v>
      </c>
      <c r="J1139" s="25" t="n">
        <f aca="false">Summary!$B$4</f>
        <v>1</v>
      </c>
      <c r="K1139" s="11" t="n">
        <f aca="false">I1139*J1139*IF(A1139="SILVER",Summary!$B$5,Summary!$B$6)</f>
        <v>22637</v>
      </c>
      <c r="L1139" s="26" t="n">
        <v>0.061</v>
      </c>
      <c r="M1139" s="27" t="n">
        <f aca="false">IF(K1139&gt;0,1,0)</f>
        <v>1</v>
      </c>
      <c r="N1139" s="11" t="n">
        <f aca="false">SUMIFS(K$2:K1139,A$2:A1139,A1139,B$2:B1139,B1139)</f>
        <v>8758882</v>
      </c>
      <c r="O1139" s="11" t="n">
        <f aca="false">MAX(0,_xlfn.MAXIFS(N$2:N1139,A$2:A1139,A1139,B$2:B1139,B1139))</f>
        <v>8918428</v>
      </c>
      <c r="P1139" s="11" t="n">
        <f aca="false">N1139-O1139</f>
        <v>-159546</v>
      </c>
    </row>
    <row r="1140" customFormat="false" ht="15" hidden="false" customHeight="false" outlineLevel="0" collapsed="false">
      <c r="A1140" s="8" t="s">
        <v>45</v>
      </c>
      <c r="B1140" s="8" t="s">
        <v>27</v>
      </c>
      <c r="C1140" s="8" t="s">
        <v>60</v>
      </c>
      <c r="D1140" s="21" t="n">
        <v>46224.875</v>
      </c>
      <c r="E1140" s="21" t="n">
        <v>46226.7916666667</v>
      </c>
      <c r="F1140" s="22" t="n">
        <f aca="false">DATE(YEAR(E1140),MONTH(E1140),1)</f>
        <v>46204</v>
      </c>
      <c r="G1140" s="23" t="n">
        <v>145619</v>
      </c>
      <c r="H1140" s="8" t="s">
        <v>61</v>
      </c>
      <c r="I1140" s="24" t="n">
        <v>260.38</v>
      </c>
      <c r="J1140" s="25" t="n">
        <f aca="false">Summary!$B$4</f>
        <v>1</v>
      </c>
      <c r="K1140" s="11" t="n">
        <f aca="false">I1140*J1140*IF(A1140="SILVER",Summary!$B$5,Summary!$B$6)</f>
        <v>26038</v>
      </c>
      <c r="L1140" s="26" t="n">
        <v>0.103</v>
      </c>
      <c r="M1140" s="27" t="n">
        <f aca="false">IF(K1140&gt;0,1,0)</f>
        <v>1</v>
      </c>
      <c r="N1140" s="11" t="n">
        <f aca="false">SUMIFS(K$2:K1140,A$2:A1140,A1140,B$2:B1140,B1140)</f>
        <v>8784920</v>
      </c>
      <c r="O1140" s="11" t="n">
        <f aca="false">MAX(0,_xlfn.MAXIFS(N$2:N1140,A$2:A1140,A1140,B$2:B1140,B1140))</f>
        <v>8918428</v>
      </c>
      <c r="P1140" s="11" t="n">
        <f aca="false">N1140-O1140</f>
        <v>-133508</v>
      </c>
    </row>
    <row r="1141" customFormat="false" ht="15" hidden="false" customHeight="false" outlineLevel="0" collapsed="false">
      <c r="A1141" s="8" t="s">
        <v>45</v>
      </c>
      <c r="B1141" s="8" t="s">
        <v>27</v>
      </c>
      <c r="C1141" s="8" t="s">
        <v>62</v>
      </c>
      <c r="D1141" s="21" t="n">
        <v>46226.7916666667</v>
      </c>
      <c r="E1141" s="21" t="n">
        <v>46233.9166666667</v>
      </c>
      <c r="F1141" s="22" t="n">
        <f aca="false">DATE(YEAR(E1141),MONTH(E1141),1)</f>
        <v>46204</v>
      </c>
      <c r="G1141" s="23" t="n">
        <v>145918</v>
      </c>
      <c r="H1141" s="8" t="s">
        <v>61</v>
      </c>
      <c r="I1141" s="24" t="n">
        <v>-89.66</v>
      </c>
      <c r="J1141" s="25" t="n">
        <f aca="false">Summary!$B$4</f>
        <v>1</v>
      </c>
      <c r="K1141" s="11" t="n">
        <f aca="false">I1141*J1141*IF(A1141="SILVER",Summary!$B$5,Summary!$B$6)</f>
        <v>-8966</v>
      </c>
      <c r="L1141" s="26" t="n">
        <v>-0.035</v>
      </c>
      <c r="M1141" s="27" t="n">
        <f aca="false">IF(K1141&gt;0,1,0)</f>
        <v>0</v>
      </c>
      <c r="N1141" s="11" t="n">
        <f aca="false">SUMIFS(K$2:K1141,A$2:A1141,A1141,B$2:B1141,B1141)</f>
        <v>8775954</v>
      </c>
      <c r="O1141" s="11" t="n">
        <f aca="false">MAX(0,_xlfn.MAXIFS(N$2:N1141,A$2:A1141,A1141,B$2:B1141,B1141))</f>
        <v>8918428</v>
      </c>
      <c r="P1141" s="11" t="n">
        <f aca="false">N1141-O1141</f>
        <v>-142474</v>
      </c>
    </row>
    <row r="1142" customFormat="false" ht="15" hidden="false" customHeight="false" outlineLevel="0" collapsed="false">
      <c r="A1142" s="8" t="s">
        <v>45</v>
      </c>
      <c r="B1142" s="8" t="s">
        <v>27</v>
      </c>
      <c r="C1142" s="8" t="s">
        <v>60</v>
      </c>
      <c r="D1142" s="21" t="n">
        <v>46233.9166666667</v>
      </c>
      <c r="E1142" s="21" t="n">
        <v>46260.9583333333</v>
      </c>
      <c r="F1142" s="22" t="n">
        <f aca="false">DATE(YEAR(E1142),MONTH(E1142),1)</f>
        <v>46235</v>
      </c>
      <c r="G1142" s="23" t="n">
        <v>145969</v>
      </c>
      <c r="H1142" s="8" t="s">
        <v>61</v>
      </c>
      <c r="I1142" s="24" t="n">
        <v>14218.58</v>
      </c>
      <c r="J1142" s="25" t="n">
        <f aca="false">Summary!$B$4</f>
        <v>1</v>
      </c>
      <c r="K1142" s="11" t="n">
        <f aca="false">I1142*J1142*IF(A1142="SILVER",Summary!$B$5,Summary!$B$6)</f>
        <v>1421858</v>
      </c>
      <c r="L1142" s="26" t="n">
        <v>4.952</v>
      </c>
      <c r="M1142" s="27" t="n">
        <f aca="false">IF(K1142&gt;0,1,0)</f>
        <v>1</v>
      </c>
      <c r="N1142" s="11" t="n">
        <f aca="false">SUMIFS(K$2:K1142,A$2:A1142,A1142,B$2:B1142,B1142)</f>
        <v>10197812</v>
      </c>
      <c r="O1142" s="11" t="n">
        <f aca="false">MAX(0,_xlfn.MAXIFS(N$2:N1142,A$2:A1142,A1142,B$2:B1142,B1142))</f>
        <v>10197812</v>
      </c>
      <c r="P1142" s="11" t="n">
        <f aca="false">N1142-O1142</f>
        <v>0</v>
      </c>
    </row>
    <row r="1143" customFormat="false" ht="15" hidden="false" customHeight="false" outlineLevel="0" collapsed="false">
      <c r="A1143" s="8" t="s">
        <v>45</v>
      </c>
      <c r="B1143" s="8" t="s">
        <v>27</v>
      </c>
      <c r="C1143" s="8" t="s">
        <v>62</v>
      </c>
      <c r="D1143" s="21" t="n">
        <v>46260.9583333333</v>
      </c>
      <c r="E1143" s="21" t="n">
        <v>46268.7916666667</v>
      </c>
      <c r="F1143" s="22" t="n">
        <f aca="false">DATE(YEAR(E1143),MONTH(E1143),1)</f>
        <v>46266</v>
      </c>
      <c r="G1143" s="23" t="n">
        <v>160270</v>
      </c>
      <c r="H1143" s="8" t="s">
        <v>61</v>
      </c>
      <c r="I1143" s="24" t="n">
        <v>4794.43</v>
      </c>
      <c r="J1143" s="25" t="n">
        <f aca="false">Summary!$B$4</f>
        <v>1</v>
      </c>
      <c r="K1143" s="11" t="n">
        <f aca="false">I1143*J1143*IF(A1143="SILVER",Summary!$B$5,Summary!$B$6)</f>
        <v>479443</v>
      </c>
      <c r="L1143" s="26" t="n">
        <v>1.14</v>
      </c>
      <c r="M1143" s="27" t="n">
        <f aca="false">IF(K1143&gt;0,1,0)</f>
        <v>1</v>
      </c>
      <c r="N1143" s="11" t="n">
        <f aca="false">SUMIFS(K$2:K1143,A$2:A1143,A1143,B$2:B1143,B1143)</f>
        <v>10677255</v>
      </c>
      <c r="O1143" s="11" t="n">
        <f aca="false">MAX(0,_xlfn.MAXIFS(N$2:N1143,A$2:A1143,A1143,B$2:B1143,B1143))</f>
        <v>10677255</v>
      </c>
      <c r="P1143" s="11" t="n">
        <f aca="false">N1143-O1143</f>
        <v>0</v>
      </c>
    </row>
    <row r="1144" customFormat="false" ht="15" hidden="false" customHeight="false" outlineLevel="0" collapsed="false">
      <c r="A1144" s="8" t="s">
        <v>45</v>
      </c>
      <c r="B1144" s="8" t="s">
        <v>27</v>
      </c>
      <c r="C1144" s="8" t="s">
        <v>60</v>
      </c>
      <c r="D1144" s="21" t="n">
        <v>46268.7916666667</v>
      </c>
      <c r="E1144" s="21" t="n">
        <v>46279.75</v>
      </c>
      <c r="F1144" s="22" t="n">
        <f aca="false">DATE(YEAR(E1144),MONTH(E1144),1)</f>
        <v>46266</v>
      </c>
      <c r="G1144" s="23" t="n">
        <v>155434</v>
      </c>
      <c r="H1144" s="8" t="s">
        <v>61</v>
      </c>
      <c r="I1144" s="24" t="n">
        <v>-4899.6</v>
      </c>
      <c r="J1144" s="25" t="n">
        <f aca="false">Summary!$B$4</f>
        <v>1</v>
      </c>
      <c r="K1144" s="11" t="n">
        <f aca="false">I1144*J1144*IF(A1144="SILVER",Summary!$B$5,Summary!$B$6)</f>
        <v>-489960</v>
      </c>
      <c r="L1144" s="26" t="n">
        <v>-1.073</v>
      </c>
      <c r="M1144" s="27" t="n">
        <f aca="false">IF(K1144&gt;0,1,0)</f>
        <v>0</v>
      </c>
      <c r="N1144" s="11" t="n">
        <f aca="false">SUMIFS(K$2:K1144,A$2:A1144,A1144,B$2:B1144,B1144)</f>
        <v>10187295</v>
      </c>
      <c r="O1144" s="11" t="n">
        <f aca="false">MAX(0,_xlfn.MAXIFS(N$2:N1144,A$2:A1144,A1144,B$2:B1144,B1144))</f>
        <v>10677255</v>
      </c>
      <c r="P1144" s="11" t="n">
        <f aca="false">N1144-O1144</f>
        <v>-489960</v>
      </c>
    </row>
    <row r="1145" customFormat="false" ht="15" hidden="false" customHeight="false" outlineLevel="0" collapsed="false">
      <c r="A1145" s="8" t="s">
        <v>45</v>
      </c>
      <c r="B1145" s="8" t="s">
        <v>27</v>
      </c>
      <c r="C1145" s="8" t="s">
        <v>62</v>
      </c>
      <c r="D1145" s="21" t="n">
        <v>46279.75</v>
      </c>
      <c r="E1145" s="21" t="n">
        <v>46283.5</v>
      </c>
      <c r="F1145" s="22" t="n">
        <f aca="false">DATE(YEAR(E1145),MONTH(E1145),1)</f>
        <v>46266</v>
      </c>
      <c r="G1145" s="23" t="n">
        <v>150575</v>
      </c>
      <c r="H1145" s="8" t="s">
        <v>61</v>
      </c>
      <c r="I1145" s="24" t="n">
        <v>-3505.46</v>
      </c>
      <c r="J1145" s="25" t="n">
        <f aca="false">Summary!$B$4</f>
        <v>1</v>
      </c>
      <c r="K1145" s="11" t="n">
        <f aca="false">I1145*J1145*IF(A1145="SILVER",Summary!$B$5,Summary!$B$6)</f>
        <v>-350546</v>
      </c>
      <c r="L1145" s="26" t="n">
        <v>-0.805</v>
      </c>
      <c r="M1145" s="27" t="n">
        <f aca="false">IF(K1145&gt;0,1,0)</f>
        <v>0</v>
      </c>
      <c r="N1145" s="11" t="n">
        <f aca="false">SUMIFS(K$2:K1145,A$2:A1145,A1145,B$2:B1145,B1145)</f>
        <v>9836749</v>
      </c>
      <c r="O1145" s="11" t="n">
        <f aca="false">MAX(0,_xlfn.MAXIFS(N$2:N1145,A$2:A1145,A1145,B$2:B1145,B1145))</f>
        <v>10677255</v>
      </c>
      <c r="P1145" s="11" t="n">
        <f aca="false">N1145-O1145</f>
        <v>-840506</v>
      </c>
    </row>
    <row r="1146" customFormat="false" ht="15" hidden="false" customHeight="false" outlineLevel="0" collapsed="false">
      <c r="A1146" s="8" t="s">
        <v>45</v>
      </c>
      <c r="B1146" s="8" t="s">
        <v>27</v>
      </c>
      <c r="C1146" s="8" t="s">
        <v>60</v>
      </c>
      <c r="D1146" s="21" t="n">
        <v>46283.5</v>
      </c>
      <c r="E1146" s="21" t="n">
        <v>46288.9784722222</v>
      </c>
      <c r="F1146" s="22" t="n">
        <f aca="false">DATE(YEAR(E1146),MONTH(E1146),1)</f>
        <v>46266</v>
      </c>
      <c r="G1146" s="23" t="n">
        <v>154040</v>
      </c>
      <c r="H1146" s="8" t="s">
        <v>63</v>
      </c>
      <c r="I1146" s="24" t="n">
        <v>-2720.54</v>
      </c>
      <c r="J1146" s="25" t="n">
        <f aca="false">Summary!$B$4</f>
        <v>1</v>
      </c>
      <c r="K1146" s="11" t="n">
        <f aca="false">I1146*J1146*IF(A1146="SILVER",Summary!$B$5,Summary!$B$6)</f>
        <v>-272054</v>
      </c>
      <c r="L1146" s="26" t="n">
        <v>-0.667</v>
      </c>
      <c r="M1146" s="27" t="n">
        <f aca="false">IF(K1146&gt;0,1,0)</f>
        <v>0</v>
      </c>
      <c r="N1146" s="11" t="n">
        <f aca="false">SUMIFS(K$2:K1146,A$2:A1146,A1146,B$2:B1146,B1146)</f>
        <v>9564695</v>
      </c>
      <c r="O1146" s="11" t="n">
        <f aca="false">MAX(0,_xlfn.MAXIFS(N$2:N1146,A$2:A1146,A1146,B$2:B1146,B1146))</f>
        <v>10677255</v>
      </c>
      <c r="P1146" s="11" t="n">
        <f aca="false">N1146-O1146</f>
        <v>-1112560</v>
      </c>
    </row>
    <row r="1147" customFormat="false" ht="15" hidden="false" customHeight="false" outlineLevel="0" collapsed="false">
      <c r="A1147" s="8" t="s">
        <v>45</v>
      </c>
      <c r="B1147" s="8" t="s">
        <v>29</v>
      </c>
      <c r="C1147" s="8" t="s">
        <v>60</v>
      </c>
      <c r="D1147" s="21" t="n">
        <v>45707.5833333333</v>
      </c>
      <c r="E1147" s="21" t="n">
        <v>45713.9166666667</v>
      </c>
      <c r="F1147" s="22" t="n">
        <f aca="false">DATE(YEAR(E1147),MONTH(E1147),1)</f>
        <v>45689</v>
      </c>
      <c r="G1147" s="23" t="n">
        <v>106912</v>
      </c>
      <c r="H1147" s="8" t="s">
        <v>61</v>
      </c>
      <c r="I1147" s="24" t="n">
        <v>-1045.17</v>
      </c>
      <c r="J1147" s="25" t="n">
        <f aca="false">Summary!$B$4</f>
        <v>1</v>
      </c>
      <c r="K1147" s="11" t="n">
        <f aca="false">I1147*J1147*IF(A1147="SILVER",Summary!$B$5,Summary!$B$6)</f>
        <v>-104517</v>
      </c>
      <c r="L1147" s="26" t="n">
        <v>-0.914</v>
      </c>
      <c r="M1147" s="27" t="n">
        <f aca="false">IF(K1147&gt;0,1,0)</f>
        <v>0</v>
      </c>
      <c r="N1147" s="11" t="n">
        <f aca="false">SUMIFS(K$2:K1147,A$2:A1147,A1147,B$2:B1147,B1147)</f>
        <v>-104517</v>
      </c>
      <c r="O1147" s="11" t="n">
        <f aca="false">MAX(0,_xlfn.MAXIFS(N$2:N1147,A$2:A1147,A1147,B$2:B1147,B1147))</f>
        <v>0</v>
      </c>
      <c r="P1147" s="11" t="n">
        <f aca="false">N1147-O1147</f>
        <v>-104517</v>
      </c>
    </row>
    <row r="1148" customFormat="false" ht="15" hidden="false" customHeight="false" outlineLevel="0" collapsed="false">
      <c r="A1148" s="8" t="s">
        <v>45</v>
      </c>
      <c r="B1148" s="8" t="s">
        <v>29</v>
      </c>
      <c r="C1148" s="8" t="s">
        <v>60</v>
      </c>
      <c r="D1148" s="21" t="n">
        <v>45720.5416666667</v>
      </c>
      <c r="E1148" s="21" t="n">
        <v>45737.8333333333</v>
      </c>
      <c r="F1148" s="22" t="n">
        <f aca="false">DATE(YEAR(E1148),MONTH(E1148),1)</f>
        <v>45717</v>
      </c>
      <c r="G1148" s="23" t="n">
        <v>106237</v>
      </c>
      <c r="H1148" s="8" t="s">
        <v>61</v>
      </c>
      <c r="I1148" s="24" t="n">
        <v>1816.68</v>
      </c>
      <c r="J1148" s="25" t="n">
        <f aca="false">Summary!$B$4</f>
        <v>1</v>
      </c>
      <c r="K1148" s="11" t="n">
        <f aca="false">I1148*J1148*IF(A1148="SILVER",Summary!$B$5,Summary!$B$6)</f>
        <v>181668</v>
      </c>
      <c r="L1148" s="26" t="n">
        <v>1.27</v>
      </c>
      <c r="M1148" s="27" t="n">
        <f aca="false">IF(K1148&gt;0,1,0)</f>
        <v>1</v>
      </c>
      <c r="N1148" s="11" t="n">
        <f aca="false">SUMIFS(K$2:K1148,A$2:A1148,A1148,B$2:B1148,B1148)</f>
        <v>77151</v>
      </c>
      <c r="O1148" s="11" t="n">
        <f aca="false">MAX(0,_xlfn.MAXIFS(N$2:N1148,A$2:A1148,A1148,B$2:B1148,B1148))</f>
        <v>77151</v>
      </c>
      <c r="P1148" s="11" t="n">
        <f aca="false">N1148-O1148</f>
        <v>0</v>
      </c>
    </row>
    <row r="1149" customFormat="false" ht="15" hidden="false" customHeight="false" outlineLevel="0" collapsed="false">
      <c r="A1149" s="8" t="s">
        <v>45</v>
      </c>
      <c r="B1149" s="8" t="s">
        <v>29</v>
      </c>
      <c r="C1149" s="8" t="s">
        <v>60</v>
      </c>
      <c r="D1149" s="21" t="n">
        <v>45743.875</v>
      </c>
      <c r="E1149" s="21" t="n">
        <v>45750.7520833333</v>
      </c>
      <c r="F1149" s="22" t="n">
        <f aca="false">DATE(YEAR(E1149),MONTH(E1149),1)</f>
        <v>45748</v>
      </c>
      <c r="G1149" s="23" t="n">
        <v>109040</v>
      </c>
      <c r="H1149" s="8" t="s">
        <v>61</v>
      </c>
      <c r="I1149" s="24" t="n">
        <v>1074.18</v>
      </c>
      <c r="J1149" s="25" t="n">
        <f aca="false">Summary!$B$4</f>
        <v>1</v>
      </c>
      <c r="K1149" s="11" t="n">
        <f aca="false">I1149*J1149*IF(A1149="SILVER",Summary!$B$5,Summary!$B$6)</f>
        <v>107418</v>
      </c>
      <c r="L1149" s="26" t="n">
        <v>0.873</v>
      </c>
      <c r="M1149" s="27" t="n">
        <f aca="false">IF(K1149&gt;0,1,0)</f>
        <v>1</v>
      </c>
      <c r="N1149" s="11" t="n">
        <f aca="false">SUMIFS(K$2:K1149,A$2:A1149,A1149,B$2:B1149,B1149)</f>
        <v>184569</v>
      </c>
      <c r="O1149" s="11" t="n">
        <f aca="false">MAX(0,_xlfn.MAXIFS(N$2:N1149,A$2:A1149,A1149,B$2:B1149,B1149))</f>
        <v>184569</v>
      </c>
      <c r="P1149" s="11" t="n">
        <f aca="false">N1149-O1149</f>
        <v>0</v>
      </c>
    </row>
    <row r="1150" customFormat="false" ht="15" hidden="false" customHeight="false" outlineLevel="0" collapsed="false">
      <c r="A1150" s="8" t="s">
        <v>45</v>
      </c>
      <c r="B1150" s="8" t="s">
        <v>29</v>
      </c>
      <c r="C1150" s="8" t="s">
        <v>60</v>
      </c>
      <c r="D1150" s="21" t="n">
        <v>45756.7083333333</v>
      </c>
      <c r="E1150" s="21" t="n">
        <v>45770.4166666667</v>
      </c>
      <c r="F1150" s="22" t="n">
        <f aca="false">DATE(YEAR(E1150),MONTH(E1150),1)</f>
        <v>45748</v>
      </c>
      <c r="G1150" s="23" t="n">
        <v>111112</v>
      </c>
      <c r="H1150" s="8" t="s">
        <v>61</v>
      </c>
      <c r="I1150" s="24" t="n">
        <v>5836.42</v>
      </c>
      <c r="J1150" s="25" t="n">
        <f aca="false">Summary!$B$4</f>
        <v>1</v>
      </c>
      <c r="K1150" s="11" t="n">
        <f aca="false">I1150*J1150*IF(A1150="SILVER",Summary!$B$5,Summary!$B$6)</f>
        <v>583642</v>
      </c>
      <c r="L1150" s="26" t="n">
        <v>2.001</v>
      </c>
      <c r="M1150" s="27" t="n">
        <f aca="false">IF(K1150&gt;0,1,0)</f>
        <v>1</v>
      </c>
      <c r="N1150" s="11" t="n">
        <f aca="false">SUMIFS(K$2:K1150,A$2:A1150,A1150,B$2:B1150,B1150)</f>
        <v>768211</v>
      </c>
      <c r="O1150" s="11" t="n">
        <f aca="false">MAX(0,_xlfn.MAXIFS(N$2:N1150,A$2:A1150,A1150,B$2:B1150,B1150))</f>
        <v>768211</v>
      </c>
      <c r="P1150" s="11" t="n">
        <f aca="false">N1150-O1150</f>
        <v>0</v>
      </c>
    </row>
    <row r="1151" customFormat="false" ht="15" hidden="false" customHeight="false" outlineLevel="0" collapsed="false">
      <c r="A1151" s="8" t="s">
        <v>45</v>
      </c>
      <c r="B1151" s="8" t="s">
        <v>29</v>
      </c>
      <c r="C1151" s="8" t="s">
        <v>60</v>
      </c>
      <c r="D1151" s="21" t="n">
        <v>45783.4166666667</v>
      </c>
      <c r="E1151" s="21" t="n">
        <v>45789.4166666667</v>
      </c>
      <c r="F1151" s="22" t="n">
        <f aca="false">DATE(YEAR(E1151),MONTH(E1151),1)</f>
        <v>45778</v>
      </c>
      <c r="G1151" s="23" t="n">
        <v>117070</v>
      </c>
      <c r="H1151" s="8" t="s">
        <v>61</v>
      </c>
      <c r="I1151" s="24" t="n">
        <v>-1924.99</v>
      </c>
      <c r="J1151" s="25" t="n">
        <f aca="false">Summary!$B$4</f>
        <v>1</v>
      </c>
      <c r="K1151" s="11" t="n">
        <f aca="false">I1151*J1151*IF(A1151="SILVER",Summary!$B$5,Summary!$B$6)</f>
        <v>-192499</v>
      </c>
      <c r="L1151" s="26" t="n">
        <v>-0.71</v>
      </c>
      <c r="M1151" s="27" t="n">
        <f aca="false">IF(K1151&gt;0,1,0)</f>
        <v>0</v>
      </c>
      <c r="N1151" s="11" t="n">
        <f aca="false">SUMIFS(K$2:K1151,A$2:A1151,A1151,B$2:B1151,B1151)</f>
        <v>575712</v>
      </c>
      <c r="O1151" s="11" t="n">
        <f aca="false">MAX(0,_xlfn.MAXIFS(N$2:N1151,A$2:A1151,A1151,B$2:B1151,B1151))</f>
        <v>768211</v>
      </c>
      <c r="P1151" s="11" t="n">
        <f aca="false">N1151-O1151</f>
        <v>-192499</v>
      </c>
    </row>
    <row r="1152" customFormat="false" ht="15" hidden="false" customHeight="false" outlineLevel="0" collapsed="false">
      <c r="A1152" s="8" t="s">
        <v>45</v>
      </c>
      <c r="B1152" s="8" t="s">
        <v>29</v>
      </c>
      <c r="C1152" s="8" t="s">
        <v>60</v>
      </c>
      <c r="D1152" s="21" t="n">
        <v>45796.5833333333</v>
      </c>
      <c r="E1152" s="21" t="n">
        <v>45806.4173611111</v>
      </c>
      <c r="F1152" s="22" t="n">
        <f aca="false">DATE(YEAR(E1152),MONTH(E1152),1)</f>
        <v>45778</v>
      </c>
      <c r="G1152" s="23" t="n">
        <v>114713</v>
      </c>
      <c r="H1152" s="8" t="s">
        <v>61</v>
      </c>
      <c r="I1152" s="24" t="n">
        <v>1070.18</v>
      </c>
      <c r="J1152" s="25" t="n">
        <f aca="false">Summary!$B$4</f>
        <v>1</v>
      </c>
      <c r="K1152" s="11" t="n">
        <f aca="false">I1152*J1152*IF(A1152="SILVER",Summary!$B$5,Summary!$B$6)</f>
        <v>107018</v>
      </c>
      <c r="L1152" s="26" t="n">
        <v>0.429</v>
      </c>
      <c r="M1152" s="27" t="n">
        <f aca="false">IF(K1152&gt;0,1,0)</f>
        <v>1</v>
      </c>
      <c r="N1152" s="11" t="n">
        <f aca="false">SUMIFS(K$2:K1152,A$2:A1152,A1152,B$2:B1152,B1152)</f>
        <v>682730</v>
      </c>
      <c r="O1152" s="11" t="n">
        <f aca="false">MAX(0,_xlfn.MAXIFS(N$2:N1152,A$2:A1152,A1152,B$2:B1152,B1152))</f>
        <v>768211</v>
      </c>
      <c r="P1152" s="11" t="n">
        <f aca="false">N1152-O1152</f>
        <v>-85481</v>
      </c>
    </row>
    <row r="1153" customFormat="false" ht="15" hidden="false" customHeight="false" outlineLevel="0" collapsed="false">
      <c r="A1153" s="8" t="s">
        <v>45</v>
      </c>
      <c r="B1153" s="8" t="s">
        <v>29</v>
      </c>
      <c r="C1153" s="8" t="s">
        <v>60</v>
      </c>
      <c r="D1153" s="21" t="n">
        <v>45810.6118055556</v>
      </c>
      <c r="E1153" s="21" t="n">
        <v>45814.7916666667</v>
      </c>
      <c r="F1153" s="22" t="n">
        <f aca="false">DATE(YEAR(E1153),MONTH(E1153),1)</f>
        <v>45809</v>
      </c>
      <c r="G1153" s="23" t="n">
        <v>117442</v>
      </c>
      <c r="H1153" s="8" t="s">
        <v>61</v>
      </c>
      <c r="I1153" s="24" t="n">
        <v>172.04</v>
      </c>
      <c r="J1153" s="25" t="n">
        <f aca="false">Summary!$B$4</f>
        <v>1</v>
      </c>
      <c r="K1153" s="11" t="n">
        <f aca="false">I1153*J1153*IF(A1153="SILVER",Summary!$B$5,Summary!$B$6)</f>
        <v>17204</v>
      </c>
      <c r="L1153" s="26" t="n">
        <v>0.092</v>
      </c>
      <c r="M1153" s="27" t="n">
        <f aca="false">IF(K1153&gt;0,1,0)</f>
        <v>1</v>
      </c>
      <c r="N1153" s="11" t="n">
        <f aca="false">SUMIFS(K$2:K1153,A$2:A1153,A1153,B$2:B1153,B1153)</f>
        <v>699934</v>
      </c>
      <c r="O1153" s="11" t="n">
        <f aca="false">MAX(0,_xlfn.MAXIFS(N$2:N1153,A$2:A1153,A1153,B$2:B1153,B1153))</f>
        <v>768211</v>
      </c>
      <c r="P1153" s="11" t="n">
        <f aca="false">N1153-O1153</f>
        <v>-68277</v>
      </c>
    </row>
    <row r="1154" customFormat="false" ht="15" hidden="false" customHeight="false" outlineLevel="0" collapsed="false">
      <c r="A1154" s="8" t="s">
        <v>45</v>
      </c>
      <c r="B1154" s="8" t="s">
        <v>29</v>
      </c>
      <c r="C1154" s="8" t="s">
        <v>60</v>
      </c>
      <c r="D1154" s="21" t="n">
        <v>45820.6666666667</v>
      </c>
      <c r="E1154" s="21" t="n">
        <v>45832.4166666667</v>
      </c>
      <c r="F1154" s="22" t="n">
        <f aca="false">DATE(YEAR(E1154),MONTH(E1154),1)</f>
        <v>45809</v>
      </c>
      <c r="G1154" s="23" t="n">
        <v>118133</v>
      </c>
      <c r="H1154" s="8" t="s">
        <v>61</v>
      </c>
      <c r="I1154" s="24" t="n">
        <v>-85.64</v>
      </c>
      <c r="J1154" s="25" t="n">
        <f aca="false">Summary!$B$4</f>
        <v>1</v>
      </c>
      <c r="K1154" s="11" t="n">
        <f aca="false">I1154*J1154*IF(A1154="SILVER",Summary!$B$5,Summary!$B$6)</f>
        <v>-8564</v>
      </c>
      <c r="L1154" s="26" t="n">
        <v>-0.042</v>
      </c>
      <c r="M1154" s="27" t="n">
        <f aca="false">IF(K1154&gt;0,1,0)</f>
        <v>0</v>
      </c>
      <c r="N1154" s="11" t="n">
        <f aca="false">SUMIFS(K$2:K1154,A$2:A1154,A1154,B$2:B1154,B1154)</f>
        <v>691370</v>
      </c>
      <c r="O1154" s="11" t="n">
        <f aca="false">MAX(0,_xlfn.MAXIFS(N$2:N1154,A$2:A1154,A1154,B$2:B1154,B1154))</f>
        <v>768211</v>
      </c>
      <c r="P1154" s="11" t="n">
        <f aca="false">N1154-O1154</f>
        <v>-76841</v>
      </c>
    </row>
    <row r="1155" customFormat="false" ht="15" hidden="false" customHeight="false" outlineLevel="0" collapsed="false">
      <c r="A1155" s="8" t="s">
        <v>45</v>
      </c>
      <c r="B1155" s="8" t="s">
        <v>29</v>
      </c>
      <c r="C1155" s="8" t="s">
        <v>60</v>
      </c>
      <c r="D1155" s="21" t="n">
        <v>45839.5416666667</v>
      </c>
      <c r="E1155" s="21" t="n">
        <v>45845.4166666667</v>
      </c>
      <c r="F1155" s="22" t="n">
        <f aca="false">DATE(YEAR(E1155),MONTH(E1155),1)</f>
        <v>45839</v>
      </c>
      <c r="G1155" s="23" t="n">
        <v>117083</v>
      </c>
      <c r="H1155" s="8" t="s">
        <v>61</v>
      </c>
      <c r="I1155" s="24" t="n">
        <v>-766.36</v>
      </c>
      <c r="J1155" s="25" t="n">
        <f aca="false">Summary!$B$4</f>
        <v>1</v>
      </c>
      <c r="K1155" s="11" t="n">
        <f aca="false">I1155*J1155*IF(A1155="SILVER",Summary!$B$5,Summary!$B$6)</f>
        <v>-76636</v>
      </c>
      <c r="L1155" s="26" t="n">
        <v>-0.449</v>
      </c>
      <c r="M1155" s="27" t="n">
        <f aca="false">IF(K1155&gt;0,1,0)</f>
        <v>0</v>
      </c>
      <c r="N1155" s="11" t="n">
        <f aca="false">SUMIFS(K$2:K1155,A$2:A1155,A1155,B$2:B1155,B1155)</f>
        <v>614734</v>
      </c>
      <c r="O1155" s="11" t="n">
        <f aca="false">MAX(0,_xlfn.MAXIFS(N$2:N1155,A$2:A1155,A1155,B$2:B1155,B1155))</f>
        <v>768211</v>
      </c>
      <c r="P1155" s="11" t="n">
        <f aca="false">N1155-O1155</f>
        <v>-153477</v>
      </c>
    </row>
    <row r="1156" customFormat="false" ht="15" hidden="false" customHeight="false" outlineLevel="0" collapsed="false">
      <c r="A1156" s="8" t="s">
        <v>45</v>
      </c>
      <c r="B1156" s="8" t="s">
        <v>29</v>
      </c>
      <c r="C1156" s="8" t="s">
        <v>60</v>
      </c>
      <c r="D1156" s="21" t="n">
        <v>45849.4166666667</v>
      </c>
      <c r="E1156" s="21" t="n">
        <v>45855.7916666667</v>
      </c>
      <c r="F1156" s="22" t="n">
        <f aca="false">DATE(YEAR(E1156),MONTH(E1156),1)</f>
        <v>45839</v>
      </c>
      <c r="G1156" s="23" t="n">
        <v>117154</v>
      </c>
      <c r="H1156" s="8" t="s">
        <v>61</v>
      </c>
      <c r="I1156" s="24" t="n">
        <v>-280.43</v>
      </c>
      <c r="J1156" s="25" t="n">
        <f aca="false">Summary!$B$4</f>
        <v>1</v>
      </c>
      <c r="K1156" s="11" t="n">
        <f aca="false">I1156*J1156*IF(A1156="SILVER",Summary!$B$5,Summary!$B$6)</f>
        <v>-28043</v>
      </c>
      <c r="L1156" s="26" t="n">
        <v>-0.216</v>
      </c>
      <c r="M1156" s="27" t="n">
        <f aca="false">IF(K1156&gt;0,1,0)</f>
        <v>0</v>
      </c>
      <c r="N1156" s="11" t="n">
        <f aca="false">SUMIFS(K$2:K1156,A$2:A1156,A1156,B$2:B1156,B1156)</f>
        <v>586691</v>
      </c>
      <c r="O1156" s="11" t="n">
        <f aca="false">MAX(0,_xlfn.MAXIFS(N$2:N1156,A$2:A1156,A1156,B$2:B1156,B1156))</f>
        <v>768211</v>
      </c>
      <c r="P1156" s="11" t="n">
        <f aca="false">N1156-O1156</f>
        <v>-181520</v>
      </c>
    </row>
    <row r="1157" customFormat="false" ht="15" hidden="false" customHeight="false" outlineLevel="0" collapsed="false">
      <c r="A1157" s="8" t="s">
        <v>45</v>
      </c>
      <c r="B1157" s="8" t="s">
        <v>29</v>
      </c>
      <c r="C1157" s="8" t="s">
        <v>60</v>
      </c>
      <c r="D1157" s="21" t="n">
        <v>45859.4583333333</v>
      </c>
      <c r="E1157" s="21" t="n">
        <v>45862.4166666667</v>
      </c>
      <c r="F1157" s="22" t="n">
        <f aca="false">DATE(YEAR(E1157),MONTH(E1157),1)</f>
        <v>45839</v>
      </c>
      <c r="G1157" s="23" t="n">
        <v>118369</v>
      </c>
      <c r="H1157" s="8" t="s">
        <v>61</v>
      </c>
      <c r="I1157" s="24" t="n">
        <v>529.25</v>
      </c>
      <c r="J1157" s="25" t="n">
        <f aca="false">Summary!$B$4</f>
        <v>1</v>
      </c>
      <c r="K1157" s="11" t="n">
        <f aca="false">I1157*J1157*IF(A1157="SILVER",Summary!$B$5,Summary!$B$6)</f>
        <v>52925</v>
      </c>
      <c r="L1157" s="26" t="n">
        <v>0.416</v>
      </c>
      <c r="M1157" s="27" t="n">
        <f aca="false">IF(K1157&gt;0,1,0)</f>
        <v>1</v>
      </c>
      <c r="N1157" s="11" t="n">
        <f aca="false">SUMIFS(K$2:K1157,A$2:A1157,A1157,B$2:B1157,B1157)</f>
        <v>639616</v>
      </c>
      <c r="O1157" s="11" t="n">
        <f aca="false">MAX(0,_xlfn.MAXIFS(N$2:N1157,A$2:A1157,A1157,B$2:B1157,B1157))</f>
        <v>768211</v>
      </c>
      <c r="P1157" s="11" t="n">
        <f aca="false">N1157-O1157</f>
        <v>-128595</v>
      </c>
    </row>
    <row r="1158" customFormat="false" ht="15" hidden="false" customHeight="false" outlineLevel="0" collapsed="false">
      <c r="A1158" s="8" t="s">
        <v>45</v>
      </c>
      <c r="B1158" s="8" t="s">
        <v>29</v>
      </c>
      <c r="C1158" s="8" t="s">
        <v>60</v>
      </c>
      <c r="D1158" s="21" t="n">
        <v>45868.5854166667</v>
      </c>
      <c r="E1158" s="21" t="n">
        <v>45880.75</v>
      </c>
      <c r="F1158" s="22" t="n">
        <f aca="false">DATE(YEAR(E1158),MONTH(E1158),1)</f>
        <v>45870</v>
      </c>
      <c r="G1158" s="23" t="n">
        <v>118568</v>
      </c>
      <c r="H1158" s="8" t="s">
        <v>61</v>
      </c>
      <c r="I1158" s="24" t="n">
        <v>1574.1</v>
      </c>
      <c r="J1158" s="25" t="n">
        <f aca="false">Summary!$B$4</f>
        <v>1</v>
      </c>
      <c r="K1158" s="11" t="n">
        <f aca="false">I1158*J1158*IF(A1158="SILVER",Summary!$B$5,Summary!$B$6)</f>
        <v>157410</v>
      </c>
      <c r="L1158" s="26" t="n">
        <v>1.269</v>
      </c>
      <c r="M1158" s="27" t="n">
        <f aca="false">IF(K1158&gt;0,1,0)</f>
        <v>1</v>
      </c>
      <c r="N1158" s="11" t="n">
        <f aca="false">SUMIFS(K$2:K1158,A$2:A1158,A1158,B$2:B1158,B1158)</f>
        <v>797026</v>
      </c>
      <c r="O1158" s="11" t="n">
        <f aca="false">MAX(0,_xlfn.MAXIFS(N$2:N1158,A$2:A1158,A1158,B$2:B1158,B1158))</f>
        <v>797026</v>
      </c>
      <c r="P1158" s="11" t="n">
        <f aca="false">N1158-O1158</f>
        <v>0</v>
      </c>
    </row>
    <row r="1159" customFormat="false" ht="15" hidden="false" customHeight="false" outlineLevel="0" collapsed="false">
      <c r="A1159" s="8" t="s">
        <v>45</v>
      </c>
      <c r="B1159" s="8" t="s">
        <v>29</v>
      </c>
      <c r="C1159" s="8" t="s">
        <v>60</v>
      </c>
      <c r="D1159" s="21" t="n">
        <v>45891.8333333333</v>
      </c>
      <c r="E1159" s="21" t="n">
        <v>45918.5</v>
      </c>
      <c r="F1159" s="22" t="n">
        <f aca="false">DATE(YEAR(E1159),MONTH(E1159),1)</f>
        <v>45901</v>
      </c>
      <c r="G1159" s="23" t="n">
        <v>119846</v>
      </c>
      <c r="H1159" s="8" t="s">
        <v>61</v>
      </c>
      <c r="I1159" s="24" t="n">
        <v>8702.11</v>
      </c>
      <c r="J1159" s="25" t="n">
        <f aca="false">Summary!$B$4</f>
        <v>1</v>
      </c>
      <c r="K1159" s="11" t="n">
        <f aca="false">I1159*J1159*IF(A1159="SILVER",Summary!$B$5,Summary!$B$6)</f>
        <v>870211</v>
      </c>
      <c r="L1159" s="26" t="n">
        <v>5.412</v>
      </c>
      <c r="M1159" s="27" t="n">
        <f aca="false">IF(K1159&gt;0,1,0)</f>
        <v>1</v>
      </c>
      <c r="N1159" s="11" t="n">
        <f aca="false">SUMIFS(K$2:K1159,A$2:A1159,A1159,B$2:B1159,B1159)</f>
        <v>1667237</v>
      </c>
      <c r="O1159" s="11" t="n">
        <f aca="false">MAX(0,_xlfn.MAXIFS(N$2:N1159,A$2:A1159,A1159,B$2:B1159,B1159))</f>
        <v>1667237</v>
      </c>
      <c r="P1159" s="11" t="n">
        <f aca="false">N1159-O1159</f>
        <v>0</v>
      </c>
    </row>
    <row r="1160" customFormat="false" ht="15" hidden="false" customHeight="false" outlineLevel="0" collapsed="false">
      <c r="A1160" s="8" t="s">
        <v>45</v>
      </c>
      <c r="B1160" s="8" t="s">
        <v>29</v>
      </c>
      <c r="C1160" s="8" t="s">
        <v>60</v>
      </c>
      <c r="D1160" s="21" t="n">
        <v>45922.4583333333</v>
      </c>
      <c r="E1160" s="21" t="n">
        <v>45939.9583333333</v>
      </c>
      <c r="F1160" s="22" t="n">
        <f aca="false">DATE(YEAR(E1160),MONTH(E1160),1)</f>
        <v>45931</v>
      </c>
      <c r="G1160" s="23" t="n">
        <v>130321</v>
      </c>
      <c r="H1160" s="8" t="s">
        <v>61</v>
      </c>
      <c r="I1160" s="24" t="n">
        <v>8552.75</v>
      </c>
      <c r="J1160" s="25" t="n">
        <f aca="false">Summary!$B$4</f>
        <v>1</v>
      </c>
      <c r="K1160" s="11" t="n">
        <f aca="false">I1160*J1160*IF(A1160="SILVER",Summary!$B$5,Summary!$B$6)</f>
        <v>855275</v>
      </c>
      <c r="L1160" s="26" t="n">
        <v>5.253</v>
      </c>
      <c r="M1160" s="27" t="n">
        <f aca="false">IF(K1160&gt;0,1,0)</f>
        <v>1</v>
      </c>
      <c r="N1160" s="11" t="n">
        <f aca="false">SUMIFS(K$2:K1160,A$2:A1160,A1160,B$2:B1160,B1160)</f>
        <v>2522512</v>
      </c>
      <c r="O1160" s="11" t="n">
        <f aca="false">MAX(0,_xlfn.MAXIFS(N$2:N1160,A$2:A1160,A1160,B$2:B1160,B1160))</f>
        <v>2522512</v>
      </c>
      <c r="P1160" s="11" t="n">
        <f aca="false">N1160-O1160</f>
        <v>0</v>
      </c>
    </row>
    <row r="1161" customFormat="false" ht="15" hidden="false" customHeight="false" outlineLevel="0" collapsed="false">
      <c r="A1161" s="8" t="s">
        <v>45</v>
      </c>
      <c r="B1161" s="8" t="s">
        <v>29</v>
      </c>
      <c r="C1161" s="8" t="s">
        <v>60</v>
      </c>
      <c r="D1161" s="21" t="n">
        <v>45943.4583333333</v>
      </c>
      <c r="E1161" s="21" t="n">
        <v>45947.8333333333</v>
      </c>
      <c r="F1161" s="22" t="n">
        <f aca="false">DATE(YEAR(E1161),MONTH(E1161),1)</f>
        <v>45931</v>
      </c>
      <c r="G1161" s="23" t="n">
        <v>142065</v>
      </c>
      <c r="H1161" s="8" t="s">
        <v>61</v>
      </c>
      <c r="I1161" s="24" t="n">
        <v>4430.8</v>
      </c>
      <c r="J1161" s="25" t="n">
        <f aca="false">Summary!$B$4</f>
        <v>1</v>
      </c>
      <c r="K1161" s="11" t="n">
        <f aca="false">I1161*J1161*IF(A1161="SILVER",Summary!$B$5,Summary!$B$6)</f>
        <v>443080</v>
      </c>
      <c r="L1161" s="26" t="n">
        <v>1.032</v>
      </c>
      <c r="M1161" s="27" t="n">
        <f aca="false">IF(K1161&gt;0,1,0)</f>
        <v>1</v>
      </c>
      <c r="N1161" s="11" t="n">
        <f aca="false">SUMIFS(K$2:K1161,A$2:A1161,A1161,B$2:B1161,B1161)</f>
        <v>2965592</v>
      </c>
      <c r="O1161" s="11" t="n">
        <f aca="false">MAX(0,_xlfn.MAXIFS(N$2:N1161,A$2:A1161,A1161,B$2:B1161,B1161))</f>
        <v>2965592</v>
      </c>
      <c r="P1161" s="11" t="n">
        <f aca="false">N1161-O1161</f>
        <v>0</v>
      </c>
    </row>
    <row r="1162" customFormat="false" ht="15" hidden="false" customHeight="false" outlineLevel="0" collapsed="false">
      <c r="A1162" s="8" t="s">
        <v>45</v>
      </c>
      <c r="B1162" s="8" t="s">
        <v>29</v>
      </c>
      <c r="C1162" s="8" t="s">
        <v>60</v>
      </c>
      <c r="D1162" s="21" t="n">
        <v>45971.5</v>
      </c>
      <c r="E1162" s="21" t="n">
        <v>45975.75</v>
      </c>
      <c r="F1162" s="22" t="n">
        <f aca="false">DATE(YEAR(E1162),MONTH(E1162),1)</f>
        <v>45962</v>
      </c>
      <c r="G1162" s="23" t="n">
        <v>141300</v>
      </c>
      <c r="H1162" s="8" t="s">
        <v>61</v>
      </c>
      <c r="I1162" s="24" t="n">
        <v>1088.29</v>
      </c>
      <c r="J1162" s="25" t="n">
        <f aca="false">Summary!$B$4</f>
        <v>1</v>
      </c>
      <c r="K1162" s="11" t="n">
        <f aca="false">I1162*J1162*IF(A1162="SILVER",Summary!$B$5,Summary!$B$6)</f>
        <v>108829</v>
      </c>
      <c r="L1162" s="26" t="n">
        <v>0.38</v>
      </c>
      <c r="M1162" s="27" t="n">
        <f aca="false">IF(K1162&gt;0,1,0)</f>
        <v>1</v>
      </c>
      <c r="N1162" s="11" t="n">
        <f aca="false">SUMIFS(K$2:K1162,A$2:A1162,A1162,B$2:B1162,B1162)</f>
        <v>3074421</v>
      </c>
      <c r="O1162" s="11" t="n">
        <f aca="false">MAX(0,_xlfn.MAXIFS(N$2:N1162,A$2:A1162,A1162,B$2:B1162,B1162))</f>
        <v>3074421</v>
      </c>
      <c r="P1162" s="11" t="n">
        <f aca="false">N1162-O1162</f>
        <v>0</v>
      </c>
    </row>
    <row r="1163" customFormat="false" ht="15" hidden="false" customHeight="false" outlineLevel="0" collapsed="false">
      <c r="A1163" s="8" t="s">
        <v>45</v>
      </c>
      <c r="B1163" s="8" t="s">
        <v>29</v>
      </c>
      <c r="C1163" s="8" t="s">
        <v>60</v>
      </c>
      <c r="D1163" s="21" t="n">
        <v>45986.4166666667</v>
      </c>
      <c r="E1163" s="21" t="n">
        <v>46020.8333333333</v>
      </c>
      <c r="F1163" s="22" t="n">
        <f aca="false">DATE(YEAR(E1163),MONTH(E1163),1)</f>
        <v>45992</v>
      </c>
      <c r="G1163" s="23" t="n">
        <v>143568</v>
      </c>
      <c r="H1163" s="8" t="s">
        <v>61</v>
      </c>
      <c r="I1163" s="24" t="n">
        <v>9680.52</v>
      </c>
      <c r="J1163" s="25" t="n">
        <f aca="false">Summary!$B$4</f>
        <v>1</v>
      </c>
      <c r="K1163" s="11" t="n">
        <f aca="false">I1163*J1163*IF(A1163="SILVER",Summary!$B$5,Summary!$B$6)</f>
        <v>968052</v>
      </c>
      <c r="L1163" s="26" t="n">
        <v>2.94</v>
      </c>
      <c r="M1163" s="27" t="n">
        <f aca="false">IF(K1163&gt;0,1,0)</f>
        <v>1</v>
      </c>
      <c r="N1163" s="11" t="n">
        <f aca="false">SUMIFS(K$2:K1163,A$2:A1163,A1163,B$2:B1163,B1163)</f>
        <v>4042473</v>
      </c>
      <c r="O1163" s="11" t="n">
        <f aca="false">MAX(0,_xlfn.MAXIFS(N$2:N1163,A$2:A1163,A1163,B$2:B1163,B1163))</f>
        <v>4042473</v>
      </c>
      <c r="P1163" s="11" t="n">
        <f aca="false">N1163-O1163</f>
        <v>0</v>
      </c>
    </row>
    <row r="1164" customFormat="false" ht="15" hidden="false" customHeight="false" outlineLevel="0" collapsed="false">
      <c r="A1164" s="8" t="s">
        <v>45</v>
      </c>
      <c r="B1164" s="8" t="s">
        <v>29</v>
      </c>
      <c r="C1164" s="8" t="s">
        <v>60</v>
      </c>
      <c r="D1164" s="21" t="n">
        <v>46028.4166666667</v>
      </c>
      <c r="E1164" s="21" t="n">
        <v>46044.4166666667</v>
      </c>
      <c r="F1164" s="22" t="n">
        <f aca="false">DATE(YEAR(E1164),MONTH(E1164),1)</f>
        <v>46023</v>
      </c>
      <c r="G1164" s="23" t="n">
        <v>155445</v>
      </c>
      <c r="H1164" s="8" t="s">
        <v>61</v>
      </c>
      <c r="I1164" s="24" t="n">
        <v>11104.18</v>
      </c>
      <c r="J1164" s="25" t="n">
        <f aca="false">Summary!$B$4</f>
        <v>1</v>
      </c>
      <c r="K1164" s="11" t="n">
        <f aca="false">I1164*J1164*IF(A1164="SILVER",Summary!$B$5,Summary!$B$6)</f>
        <v>1110418</v>
      </c>
      <c r="L1164" s="26" t="n">
        <v>3.772</v>
      </c>
      <c r="M1164" s="27" t="n">
        <f aca="false">IF(K1164&gt;0,1,0)</f>
        <v>1</v>
      </c>
      <c r="N1164" s="11" t="n">
        <f aca="false">SUMIFS(K$2:K1164,A$2:A1164,A1164,B$2:B1164,B1164)</f>
        <v>5152891</v>
      </c>
      <c r="O1164" s="11" t="n">
        <f aca="false">MAX(0,_xlfn.MAXIFS(N$2:N1164,A$2:A1164,A1164,B$2:B1164,B1164))</f>
        <v>5152891</v>
      </c>
      <c r="P1164" s="11" t="n">
        <f aca="false">N1164-O1164</f>
        <v>0</v>
      </c>
    </row>
    <row r="1165" customFormat="false" ht="15" hidden="false" customHeight="false" outlineLevel="0" collapsed="false">
      <c r="A1165" s="8" t="s">
        <v>45</v>
      </c>
      <c r="B1165" s="8" t="s">
        <v>29</v>
      </c>
      <c r="C1165" s="8" t="s">
        <v>60</v>
      </c>
      <c r="D1165" s="21" t="n">
        <v>46049.4166666667</v>
      </c>
      <c r="E1165" s="21" t="n">
        <v>46051.875</v>
      </c>
      <c r="F1165" s="22" t="n">
        <f aca="false">DATE(YEAR(E1165),MONTH(E1165),1)</f>
        <v>46023</v>
      </c>
      <c r="G1165" s="23" t="n">
        <v>175350</v>
      </c>
      <c r="H1165" s="8" t="s">
        <v>61</v>
      </c>
      <c r="I1165" s="24" t="n">
        <v>832.09</v>
      </c>
      <c r="J1165" s="25" t="n">
        <f aca="false">Summary!$B$4</f>
        <v>1</v>
      </c>
      <c r="K1165" s="11" t="n">
        <f aca="false">I1165*J1165*IF(A1165="SILVER",Summary!$B$5,Summary!$B$6)</f>
        <v>83209</v>
      </c>
      <c r="L1165" s="26" t="n">
        <v>0.102</v>
      </c>
      <c r="M1165" s="27" t="n">
        <f aca="false">IF(K1165&gt;0,1,0)</f>
        <v>1</v>
      </c>
      <c r="N1165" s="11" t="n">
        <f aca="false">SUMIFS(K$2:K1165,A$2:A1165,A1165,B$2:B1165,B1165)</f>
        <v>5236100</v>
      </c>
      <c r="O1165" s="11" t="n">
        <f aca="false">MAX(0,_xlfn.MAXIFS(N$2:N1165,A$2:A1165,A1165,B$2:B1165,B1165))</f>
        <v>5236100</v>
      </c>
      <c r="P1165" s="11" t="n">
        <f aca="false">N1165-O1165</f>
        <v>0</v>
      </c>
    </row>
    <row r="1166" customFormat="false" ht="15" hidden="false" customHeight="false" outlineLevel="0" collapsed="false">
      <c r="A1166" s="8" t="s">
        <v>45</v>
      </c>
      <c r="B1166" s="8" t="s">
        <v>29</v>
      </c>
      <c r="C1166" s="8" t="s">
        <v>62</v>
      </c>
      <c r="D1166" s="21" t="n">
        <v>46084.75</v>
      </c>
      <c r="E1166" s="21" t="n">
        <v>46106.4166666667</v>
      </c>
      <c r="F1166" s="22" t="n">
        <f aca="false">DATE(YEAR(E1166),MONTH(E1166),1)</f>
        <v>46082</v>
      </c>
      <c r="G1166" s="23" t="n">
        <v>171781</v>
      </c>
      <c r="H1166" s="8" t="s">
        <v>61</v>
      </c>
      <c r="I1166" s="24" t="n">
        <v>19952.14</v>
      </c>
      <c r="J1166" s="25" t="n">
        <f aca="false">Summary!$B$4</f>
        <v>1</v>
      </c>
      <c r="K1166" s="11" t="n">
        <f aca="false">I1166*J1166*IF(A1166="SILVER",Summary!$B$5,Summary!$B$6)</f>
        <v>1995214</v>
      </c>
      <c r="L1166" s="26" t="n">
        <v>3.432</v>
      </c>
      <c r="M1166" s="27" t="n">
        <f aca="false">IF(K1166&gt;0,1,0)</f>
        <v>1</v>
      </c>
      <c r="N1166" s="11" t="n">
        <f aca="false">SUMIFS(K$2:K1166,A$2:A1166,A1166,B$2:B1166,B1166)</f>
        <v>7231314</v>
      </c>
      <c r="O1166" s="11" t="n">
        <f aca="false">MAX(0,_xlfn.MAXIFS(N$2:N1166,A$2:A1166,A1166,B$2:B1166,B1166))</f>
        <v>7231314</v>
      </c>
      <c r="P1166" s="11" t="n">
        <f aca="false">N1166-O1166</f>
        <v>0</v>
      </c>
    </row>
    <row r="1167" customFormat="false" ht="15" hidden="false" customHeight="false" outlineLevel="0" collapsed="false">
      <c r="A1167" s="8" t="s">
        <v>45</v>
      </c>
      <c r="B1167" s="8" t="s">
        <v>29</v>
      </c>
      <c r="C1167" s="8" t="s">
        <v>62</v>
      </c>
      <c r="D1167" s="21" t="n">
        <v>46118.375</v>
      </c>
      <c r="E1167" s="21" t="n">
        <v>46126.9583333333</v>
      </c>
      <c r="F1167" s="22" t="n">
        <f aca="false">DATE(YEAR(E1167),MONTH(E1167),1)</f>
        <v>46113</v>
      </c>
      <c r="G1167" s="23" t="n">
        <v>153102</v>
      </c>
      <c r="H1167" s="8" t="s">
        <v>61</v>
      </c>
      <c r="I1167" s="24" t="n">
        <v>-5751.02</v>
      </c>
      <c r="J1167" s="25" t="n">
        <f aca="false">Summary!$B$4</f>
        <v>1</v>
      </c>
      <c r="K1167" s="11" t="n">
        <f aca="false">I1167*J1167*IF(A1167="SILVER",Summary!$B$5,Summary!$B$6)</f>
        <v>-575102</v>
      </c>
      <c r="L1167" s="26" t="n">
        <v>-0.758</v>
      </c>
      <c r="M1167" s="27" t="n">
        <f aca="false">IF(K1167&gt;0,1,0)</f>
        <v>0</v>
      </c>
      <c r="N1167" s="11" t="n">
        <f aca="false">SUMIFS(K$2:K1167,A$2:A1167,A1167,B$2:B1167,B1167)</f>
        <v>6656212</v>
      </c>
      <c r="O1167" s="11" t="n">
        <f aca="false">MAX(0,_xlfn.MAXIFS(N$2:N1167,A$2:A1167,A1167,B$2:B1167,B1167))</f>
        <v>7231314</v>
      </c>
      <c r="P1167" s="11" t="n">
        <f aca="false">N1167-O1167</f>
        <v>-575102</v>
      </c>
    </row>
    <row r="1168" customFormat="false" ht="15" hidden="false" customHeight="false" outlineLevel="0" collapsed="false">
      <c r="A1168" s="8" t="s">
        <v>45</v>
      </c>
      <c r="B1168" s="8" t="s">
        <v>29</v>
      </c>
      <c r="C1168" s="8" t="s">
        <v>62</v>
      </c>
      <c r="D1168" s="21" t="n">
        <v>46133.9583333333</v>
      </c>
      <c r="E1168" s="21" t="n">
        <v>46142.6666666667</v>
      </c>
      <c r="F1168" s="22" t="n">
        <f aca="false">DATE(YEAR(E1168),MONTH(E1168),1)</f>
        <v>46113</v>
      </c>
      <c r="G1168" s="23" t="n">
        <v>155748</v>
      </c>
      <c r="H1168" s="8" t="s">
        <v>61</v>
      </c>
      <c r="I1168" s="24" t="n">
        <v>-303.32</v>
      </c>
      <c r="J1168" s="25" t="n">
        <f aca="false">Summary!$B$4</f>
        <v>1</v>
      </c>
      <c r="K1168" s="11" t="n">
        <f aca="false">I1168*J1168*IF(A1168="SILVER",Summary!$B$5,Summary!$B$6)</f>
        <v>-30332</v>
      </c>
      <c r="L1168" s="26" t="n">
        <v>-0.086</v>
      </c>
      <c r="M1168" s="27" t="n">
        <f aca="false">IF(K1168&gt;0,1,0)</f>
        <v>0</v>
      </c>
      <c r="N1168" s="11" t="n">
        <f aca="false">SUMIFS(K$2:K1168,A$2:A1168,A1168,B$2:B1168,B1168)</f>
        <v>6625880</v>
      </c>
      <c r="O1168" s="11" t="n">
        <f aca="false">MAX(0,_xlfn.MAXIFS(N$2:N1168,A$2:A1168,A1168,B$2:B1168,B1168))</f>
        <v>7231314</v>
      </c>
      <c r="P1168" s="11" t="n">
        <f aca="false">N1168-O1168</f>
        <v>-605434</v>
      </c>
    </row>
    <row r="1169" customFormat="false" ht="15" hidden="false" customHeight="false" outlineLevel="0" collapsed="false">
      <c r="A1169" s="8" t="s">
        <v>45</v>
      </c>
      <c r="B1169" s="8" t="s">
        <v>29</v>
      </c>
      <c r="C1169" s="8" t="s">
        <v>62</v>
      </c>
      <c r="D1169" s="21" t="n">
        <v>46162.4166666667</v>
      </c>
      <c r="E1169" s="21" t="n">
        <v>46188.4166666667</v>
      </c>
      <c r="F1169" s="22" t="n">
        <f aca="false">DATE(YEAR(E1169),MONTH(E1169),1)</f>
        <v>46174</v>
      </c>
      <c r="G1169" s="23" t="n">
        <v>162635</v>
      </c>
      <c r="H1169" s="8" t="s">
        <v>61</v>
      </c>
      <c r="I1169" s="24" t="n">
        <v>6748.23</v>
      </c>
      <c r="J1169" s="25" t="n">
        <f aca="false">Summary!$B$4</f>
        <v>1</v>
      </c>
      <c r="K1169" s="11" t="n">
        <f aca="false">I1169*J1169*IF(A1169="SILVER",Summary!$B$5,Summary!$B$6)</f>
        <v>674823</v>
      </c>
      <c r="L1169" s="26" t="n">
        <v>1.787</v>
      </c>
      <c r="M1169" s="27" t="n">
        <f aca="false">IF(K1169&gt;0,1,0)</f>
        <v>1</v>
      </c>
      <c r="N1169" s="11" t="n">
        <f aca="false">SUMIFS(K$2:K1169,A$2:A1169,A1169,B$2:B1169,B1169)</f>
        <v>7300703</v>
      </c>
      <c r="O1169" s="11" t="n">
        <f aca="false">MAX(0,_xlfn.MAXIFS(N$2:N1169,A$2:A1169,A1169,B$2:B1169,B1169))</f>
        <v>7300703</v>
      </c>
      <c r="P1169" s="11" t="n">
        <f aca="false">N1169-O1169</f>
        <v>0</v>
      </c>
    </row>
    <row r="1170" customFormat="false" ht="15" hidden="false" customHeight="false" outlineLevel="0" collapsed="false">
      <c r="A1170" s="8" t="s">
        <v>45</v>
      </c>
      <c r="B1170" s="8" t="s">
        <v>29</v>
      </c>
      <c r="C1170" s="8" t="s">
        <v>62</v>
      </c>
      <c r="D1170" s="21" t="n">
        <v>46191.5833333333</v>
      </c>
      <c r="E1170" s="21" t="n">
        <v>46204.8333333333</v>
      </c>
      <c r="F1170" s="22" t="n">
        <f aca="false">DATE(YEAR(E1170),MONTH(E1170),1)</f>
        <v>46204</v>
      </c>
      <c r="G1170" s="23" t="n">
        <v>153524</v>
      </c>
      <c r="H1170" s="8" t="s">
        <v>61</v>
      </c>
      <c r="I1170" s="24" t="n">
        <v>5817.41</v>
      </c>
      <c r="J1170" s="25" t="n">
        <f aca="false">Summary!$B$4</f>
        <v>1</v>
      </c>
      <c r="K1170" s="11" t="n">
        <f aca="false">I1170*J1170*IF(A1170="SILVER",Summary!$B$5,Summary!$B$6)</f>
        <v>581741</v>
      </c>
      <c r="L1170" s="26" t="n">
        <v>1.534</v>
      </c>
      <c r="M1170" s="27" t="n">
        <f aca="false">IF(K1170&gt;0,1,0)</f>
        <v>1</v>
      </c>
      <c r="N1170" s="11" t="n">
        <f aca="false">SUMIFS(K$2:K1170,A$2:A1170,A1170,B$2:B1170,B1170)</f>
        <v>7882444</v>
      </c>
      <c r="O1170" s="11" t="n">
        <f aca="false">MAX(0,_xlfn.MAXIFS(N$2:N1170,A$2:A1170,A1170,B$2:B1170,B1170))</f>
        <v>7882444</v>
      </c>
      <c r="P1170" s="11" t="n">
        <f aca="false">N1170-O1170</f>
        <v>0</v>
      </c>
    </row>
    <row r="1171" customFormat="false" ht="15" hidden="false" customHeight="false" outlineLevel="0" collapsed="false">
      <c r="A1171" s="8" t="s">
        <v>45</v>
      </c>
      <c r="B1171" s="8" t="s">
        <v>29</v>
      </c>
      <c r="C1171" s="8" t="s">
        <v>62</v>
      </c>
      <c r="D1171" s="21" t="n">
        <v>46211.625</v>
      </c>
      <c r="E1171" s="21" t="n">
        <v>46224.875</v>
      </c>
      <c r="F1171" s="22" t="n">
        <f aca="false">DATE(YEAR(E1171),MONTH(E1171),1)</f>
        <v>46204</v>
      </c>
      <c r="G1171" s="23" t="n">
        <v>145884</v>
      </c>
      <c r="H1171" s="8" t="s">
        <v>61</v>
      </c>
      <c r="I1171" s="24" t="n">
        <v>226.37</v>
      </c>
      <c r="J1171" s="25" t="n">
        <f aca="false">Summary!$B$4</f>
        <v>1</v>
      </c>
      <c r="K1171" s="11" t="n">
        <f aca="false">I1171*J1171*IF(A1171="SILVER",Summary!$B$5,Summary!$B$6)</f>
        <v>22637</v>
      </c>
      <c r="L1171" s="26" t="n">
        <v>0.061</v>
      </c>
      <c r="M1171" s="27" t="n">
        <f aca="false">IF(K1171&gt;0,1,0)</f>
        <v>1</v>
      </c>
      <c r="N1171" s="11" t="n">
        <f aca="false">SUMIFS(K$2:K1171,A$2:A1171,A1171,B$2:B1171,B1171)</f>
        <v>7905081</v>
      </c>
      <c r="O1171" s="11" t="n">
        <f aca="false">MAX(0,_xlfn.MAXIFS(N$2:N1171,A$2:A1171,A1171,B$2:B1171,B1171))</f>
        <v>7905081</v>
      </c>
      <c r="P1171" s="11" t="n">
        <f aca="false">N1171-O1171</f>
        <v>0</v>
      </c>
    </row>
    <row r="1172" customFormat="false" ht="15" hidden="false" customHeight="false" outlineLevel="0" collapsed="false">
      <c r="A1172" s="8" t="s">
        <v>45</v>
      </c>
      <c r="B1172" s="8" t="s">
        <v>29</v>
      </c>
      <c r="C1172" s="8" t="s">
        <v>62</v>
      </c>
      <c r="D1172" s="21" t="n">
        <v>46226.7916666667</v>
      </c>
      <c r="E1172" s="21" t="n">
        <v>46233.9166666667</v>
      </c>
      <c r="F1172" s="22" t="n">
        <f aca="false">DATE(YEAR(E1172),MONTH(E1172),1)</f>
        <v>46204</v>
      </c>
      <c r="G1172" s="23" t="n">
        <v>145918</v>
      </c>
      <c r="H1172" s="8" t="s">
        <v>61</v>
      </c>
      <c r="I1172" s="24" t="n">
        <v>-89.66</v>
      </c>
      <c r="J1172" s="25" t="n">
        <f aca="false">Summary!$B$4</f>
        <v>1</v>
      </c>
      <c r="K1172" s="11" t="n">
        <f aca="false">I1172*J1172*IF(A1172="SILVER",Summary!$B$5,Summary!$B$6)</f>
        <v>-8966</v>
      </c>
      <c r="L1172" s="26" t="n">
        <v>-0.035</v>
      </c>
      <c r="M1172" s="27" t="n">
        <f aca="false">IF(K1172&gt;0,1,0)</f>
        <v>0</v>
      </c>
      <c r="N1172" s="11" t="n">
        <f aca="false">SUMIFS(K$2:K1172,A$2:A1172,A1172,B$2:B1172,B1172)</f>
        <v>7896115</v>
      </c>
      <c r="O1172" s="11" t="n">
        <f aca="false">MAX(0,_xlfn.MAXIFS(N$2:N1172,A$2:A1172,A1172,B$2:B1172,B1172))</f>
        <v>7905081</v>
      </c>
      <c r="P1172" s="11" t="n">
        <f aca="false">N1172-O1172</f>
        <v>-8966</v>
      </c>
    </row>
    <row r="1173" customFormat="false" ht="15" hidden="false" customHeight="false" outlineLevel="0" collapsed="false">
      <c r="A1173" s="8" t="s">
        <v>45</v>
      </c>
      <c r="B1173" s="8" t="s">
        <v>29</v>
      </c>
      <c r="C1173" s="8" t="s">
        <v>60</v>
      </c>
      <c r="D1173" s="21" t="n">
        <v>46268.7916666667</v>
      </c>
      <c r="E1173" s="21" t="n">
        <v>46279.75</v>
      </c>
      <c r="F1173" s="22" t="n">
        <f aca="false">DATE(YEAR(E1173),MONTH(E1173),1)</f>
        <v>46266</v>
      </c>
      <c r="G1173" s="23" t="n">
        <v>155434</v>
      </c>
      <c r="H1173" s="8" t="s">
        <v>61</v>
      </c>
      <c r="I1173" s="24" t="n">
        <v>-4899.6</v>
      </c>
      <c r="J1173" s="25" t="n">
        <f aca="false">Summary!$B$4</f>
        <v>1</v>
      </c>
      <c r="K1173" s="11" t="n">
        <f aca="false">I1173*J1173*IF(A1173="SILVER",Summary!$B$5,Summary!$B$6)</f>
        <v>-489960</v>
      </c>
      <c r="L1173" s="26" t="n">
        <v>-1.073</v>
      </c>
      <c r="M1173" s="27" t="n">
        <f aca="false">IF(K1173&gt;0,1,0)</f>
        <v>0</v>
      </c>
      <c r="N1173" s="11" t="n">
        <f aca="false">SUMIFS(K$2:K1173,A$2:A1173,A1173,B$2:B1173,B1173)</f>
        <v>7406155</v>
      </c>
      <c r="O1173" s="11" t="n">
        <f aca="false">MAX(0,_xlfn.MAXIFS(N$2:N1173,A$2:A1173,A1173,B$2:B1173,B1173))</f>
        <v>7905081</v>
      </c>
      <c r="P1173" s="11" t="n">
        <f aca="false">N1173-O1173</f>
        <v>-498926</v>
      </c>
    </row>
    <row r="1174" customFormat="false" ht="15" hidden="false" customHeight="false" outlineLevel="0" collapsed="false">
      <c r="A1174" s="8" t="s">
        <v>45</v>
      </c>
      <c r="B1174" s="8" t="s">
        <v>29</v>
      </c>
      <c r="C1174" s="8" t="s">
        <v>60</v>
      </c>
      <c r="D1174" s="21" t="n">
        <v>46283.5</v>
      </c>
      <c r="E1174" s="21" t="n">
        <v>46288.9784722222</v>
      </c>
      <c r="F1174" s="22" t="n">
        <f aca="false">DATE(YEAR(E1174),MONTH(E1174),1)</f>
        <v>46266</v>
      </c>
      <c r="G1174" s="23" t="n">
        <v>154040</v>
      </c>
      <c r="H1174" s="8" t="s">
        <v>63</v>
      </c>
      <c r="I1174" s="24" t="n">
        <v>-2720.54</v>
      </c>
      <c r="J1174" s="25" t="n">
        <f aca="false">Summary!$B$4</f>
        <v>1</v>
      </c>
      <c r="K1174" s="11" t="n">
        <f aca="false">I1174*J1174*IF(A1174="SILVER",Summary!$B$5,Summary!$B$6)</f>
        <v>-272054</v>
      </c>
      <c r="L1174" s="26" t="n">
        <v>-0.667</v>
      </c>
      <c r="M1174" s="27" t="n">
        <f aca="false">IF(K1174&gt;0,1,0)</f>
        <v>0</v>
      </c>
      <c r="N1174" s="11" t="n">
        <f aca="false">SUMIFS(K$2:K1174,A$2:A1174,A1174,B$2:B1174,B1174)</f>
        <v>7134101</v>
      </c>
      <c r="O1174" s="11" t="n">
        <f aca="false">MAX(0,_xlfn.MAXIFS(N$2:N1174,A$2:A1174,A1174,B$2:B1174,B1174))</f>
        <v>7905081</v>
      </c>
      <c r="P1174" s="11" t="n">
        <f aca="false">N1174-O1174</f>
        <v>-770980</v>
      </c>
    </row>
    <row r="1175" customFormat="false" ht="15" hidden="false" customHeight="false" outlineLevel="0" collapsed="false">
      <c r="A1175" s="8" t="s">
        <v>45</v>
      </c>
      <c r="B1175" s="8" t="s">
        <v>31</v>
      </c>
      <c r="C1175" s="8" t="s">
        <v>60</v>
      </c>
      <c r="D1175" s="21" t="n">
        <v>45707.5833333333</v>
      </c>
      <c r="E1175" s="21" t="n">
        <v>45713.9166666667</v>
      </c>
      <c r="F1175" s="22" t="n">
        <f aca="false">DATE(YEAR(E1175),MONTH(E1175),1)</f>
        <v>45689</v>
      </c>
      <c r="G1175" s="23" t="n">
        <v>106912</v>
      </c>
      <c r="H1175" s="8" t="s">
        <v>61</v>
      </c>
      <c r="I1175" s="24" t="n">
        <v>-1045.17</v>
      </c>
      <c r="J1175" s="25" t="n">
        <f aca="false">Summary!$B$4</f>
        <v>1</v>
      </c>
      <c r="K1175" s="11" t="n">
        <f aca="false">I1175*J1175*IF(A1175="SILVER",Summary!$B$5,Summary!$B$6)</f>
        <v>-104517</v>
      </c>
      <c r="L1175" s="26" t="n">
        <v>-0.914</v>
      </c>
      <c r="M1175" s="27" t="n">
        <f aca="false">IF(K1175&gt;0,1,0)</f>
        <v>0</v>
      </c>
      <c r="N1175" s="11" t="n">
        <f aca="false">SUMIFS(K$2:K1175,A$2:A1175,A1175,B$2:B1175,B1175)</f>
        <v>-104517</v>
      </c>
      <c r="O1175" s="11" t="n">
        <f aca="false">MAX(0,_xlfn.MAXIFS(N$2:N1175,A$2:A1175,A1175,B$2:B1175,B1175))</f>
        <v>0</v>
      </c>
      <c r="P1175" s="11" t="n">
        <f aca="false">N1175-O1175</f>
        <v>-104517</v>
      </c>
    </row>
    <row r="1176" customFormat="false" ht="15" hidden="false" customHeight="false" outlineLevel="0" collapsed="false">
      <c r="A1176" s="8" t="s">
        <v>45</v>
      </c>
      <c r="B1176" s="8" t="s">
        <v>31</v>
      </c>
      <c r="C1176" s="8" t="s">
        <v>60</v>
      </c>
      <c r="D1176" s="21" t="n">
        <v>45720.5416666667</v>
      </c>
      <c r="E1176" s="21" t="n">
        <v>45737.8333333333</v>
      </c>
      <c r="F1176" s="22" t="n">
        <f aca="false">DATE(YEAR(E1176),MONTH(E1176),1)</f>
        <v>45717</v>
      </c>
      <c r="G1176" s="23" t="n">
        <v>106237</v>
      </c>
      <c r="H1176" s="8" t="s">
        <v>61</v>
      </c>
      <c r="I1176" s="24" t="n">
        <v>1816.68</v>
      </c>
      <c r="J1176" s="25" t="n">
        <f aca="false">Summary!$B$4</f>
        <v>1</v>
      </c>
      <c r="K1176" s="11" t="n">
        <f aca="false">I1176*J1176*IF(A1176="SILVER",Summary!$B$5,Summary!$B$6)</f>
        <v>181668</v>
      </c>
      <c r="L1176" s="26" t="n">
        <v>1.27</v>
      </c>
      <c r="M1176" s="27" t="n">
        <f aca="false">IF(K1176&gt;0,1,0)</f>
        <v>1</v>
      </c>
      <c r="N1176" s="11" t="n">
        <f aca="false">SUMIFS(K$2:K1176,A$2:A1176,A1176,B$2:B1176,B1176)</f>
        <v>77151</v>
      </c>
      <c r="O1176" s="11" t="n">
        <f aca="false">MAX(0,_xlfn.MAXIFS(N$2:N1176,A$2:A1176,A1176,B$2:B1176,B1176))</f>
        <v>77151</v>
      </c>
      <c r="P1176" s="11" t="n">
        <f aca="false">N1176-O1176</f>
        <v>0</v>
      </c>
    </row>
    <row r="1177" customFormat="false" ht="15" hidden="false" customHeight="false" outlineLevel="0" collapsed="false">
      <c r="A1177" s="8" t="s">
        <v>45</v>
      </c>
      <c r="B1177" s="8" t="s">
        <v>31</v>
      </c>
      <c r="C1177" s="8" t="s">
        <v>60</v>
      </c>
      <c r="D1177" s="21" t="n">
        <v>45743.875</v>
      </c>
      <c r="E1177" s="21" t="n">
        <v>45750.7520833333</v>
      </c>
      <c r="F1177" s="22" t="n">
        <f aca="false">DATE(YEAR(E1177),MONTH(E1177),1)</f>
        <v>45748</v>
      </c>
      <c r="G1177" s="23" t="n">
        <v>109040</v>
      </c>
      <c r="H1177" s="8" t="s">
        <v>61</v>
      </c>
      <c r="I1177" s="24" t="n">
        <v>1074.18</v>
      </c>
      <c r="J1177" s="25" t="n">
        <f aca="false">Summary!$B$4</f>
        <v>1</v>
      </c>
      <c r="K1177" s="11" t="n">
        <f aca="false">I1177*J1177*IF(A1177="SILVER",Summary!$B$5,Summary!$B$6)</f>
        <v>107418</v>
      </c>
      <c r="L1177" s="26" t="n">
        <v>0.873</v>
      </c>
      <c r="M1177" s="27" t="n">
        <f aca="false">IF(K1177&gt;0,1,0)</f>
        <v>1</v>
      </c>
      <c r="N1177" s="11" t="n">
        <f aca="false">SUMIFS(K$2:K1177,A$2:A1177,A1177,B$2:B1177,B1177)</f>
        <v>184569</v>
      </c>
      <c r="O1177" s="11" t="n">
        <f aca="false">MAX(0,_xlfn.MAXIFS(N$2:N1177,A$2:A1177,A1177,B$2:B1177,B1177))</f>
        <v>184569</v>
      </c>
      <c r="P1177" s="11" t="n">
        <f aca="false">N1177-O1177</f>
        <v>0</v>
      </c>
    </row>
    <row r="1178" customFormat="false" ht="15" hidden="false" customHeight="false" outlineLevel="0" collapsed="false">
      <c r="A1178" s="8" t="s">
        <v>45</v>
      </c>
      <c r="B1178" s="8" t="s">
        <v>31</v>
      </c>
      <c r="C1178" s="8" t="s">
        <v>60</v>
      </c>
      <c r="D1178" s="21" t="n">
        <v>45756.7083333333</v>
      </c>
      <c r="E1178" s="21" t="n">
        <v>45770.4166666667</v>
      </c>
      <c r="F1178" s="22" t="n">
        <f aca="false">DATE(YEAR(E1178),MONTH(E1178),1)</f>
        <v>45748</v>
      </c>
      <c r="G1178" s="23" t="n">
        <v>111112</v>
      </c>
      <c r="H1178" s="8" t="s">
        <v>61</v>
      </c>
      <c r="I1178" s="24" t="n">
        <v>5836.42</v>
      </c>
      <c r="J1178" s="25" t="n">
        <f aca="false">Summary!$B$4</f>
        <v>1</v>
      </c>
      <c r="K1178" s="11" t="n">
        <f aca="false">I1178*J1178*IF(A1178="SILVER",Summary!$B$5,Summary!$B$6)</f>
        <v>583642</v>
      </c>
      <c r="L1178" s="26" t="n">
        <v>2.001</v>
      </c>
      <c r="M1178" s="27" t="n">
        <f aca="false">IF(K1178&gt;0,1,0)</f>
        <v>1</v>
      </c>
      <c r="N1178" s="11" t="n">
        <f aca="false">SUMIFS(K$2:K1178,A$2:A1178,A1178,B$2:B1178,B1178)</f>
        <v>768211</v>
      </c>
      <c r="O1178" s="11" t="n">
        <f aca="false">MAX(0,_xlfn.MAXIFS(N$2:N1178,A$2:A1178,A1178,B$2:B1178,B1178))</f>
        <v>768211</v>
      </c>
      <c r="P1178" s="11" t="n">
        <f aca="false">N1178-O1178</f>
        <v>0</v>
      </c>
    </row>
    <row r="1179" customFormat="false" ht="15" hidden="false" customHeight="false" outlineLevel="0" collapsed="false">
      <c r="A1179" s="8" t="s">
        <v>45</v>
      </c>
      <c r="B1179" s="8" t="s">
        <v>31</v>
      </c>
      <c r="C1179" s="8" t="s">
        <v>60</v>
      </c>
      <c r="D1179" s="21" t="n">
        <v>45783.4166666667</v>
      </c>
      <c r="E1179" s="21" t="n">
        <v>45785.4791666667</v>
      </c>
      <c r="F1179" s="22" t="n">
        <f aca="false">DATE(YEAR(E1179),MONTH(E1179),1)</f>
        <v>45778</v>
      </c>
      <c r="G1179" s="23" t="n">
        <v>117070</v>
      </c>
      <c r="H1179" s="8" t="s">
        <v>64</v>
      </c>
      <c r="I1179" s="24" t="n">
        <v>191.82</v>
      </c>
      <c r="J1179" s="25" t="n">
        <f aca="false">Summary!$B$4</f>
        <v>1</v>
      </c>
      <c r="K1179" s="11" t="n">
        <f aca="false">I1179*J1179*IF(A1179="SILVER",Summary!$B$5,Summary!$B$6)</f>
        <v>19182</v>
      </c>
      <c r="L1179" s="26" t="n">
        <v>0.071</v>
      </c>
      <c r="M1179" s="27" t="n">
        <f aca="false">IF(K1179&gt;0,1,0)</f>
        <v>1</v>
      </c>
      <c r="N1179" s="11" t="n">
        <f aca="false">SUMIFS(K$2:K1179,A$2:A1179,A1179,B$2:B1179,B1179)</f>
        <v>787393</v>
      </c>
      <c r="O1179" s="11" t="n">
        <f aca="false">MAX(0,_xlfn.MAXIFS(N$2:N1179,A$2:A1179,A1179,B$2:B1179,B1179))</f>
        <v>787393</v>
      </c>
      <c r="P1179" s="11" t="n">
        <f aca="false">N1179-O1179</f>
        <v>0</v>
      </c>
    </row>
    <row r="1180" customFormat="false" ht="15" hidden="false" customHeight="false" outlineLevel="0" collapsed="false">
      <c r="A1180" s="8" t="s">
        <v>45</v>
      </c>
      <c r="B1180" s="8" t="s">
        <v>31</v>
      </c>
      <c r="C1180" s="8" t="s">
        <v>60</v>
      </c>
      <c r="D1180" s="21" t="n">
        <v>45796.5833333333</v>
      </c>
      <c r="E1180" s="21" t="n">
        <v>45806.4173611111</v>
      </c>
      <c r="F1180" s="22" t="n">
        <f aca="false">DATE(YEAR(E1180),MONTH(E1180),1)</f>
        <v>45778</v>
      </c>
      <c r="G1180" s="23" t="n">
        <v>114713</v>
      </c>
      <c r="H1180" s="8" t="s">
        <v>61</v>
      </c>
      <c r="I1180" s="24" t="n">
        <v>1070.18</v>
      </c>
      <c r="J1180" s="25" t="n">
        <f aca="false">Summary!$B$4</f>
        <v>1</v>
      </c>
      <c r="K1180" s="11" t="n">
        <f aca="false">I1180*J1180*IF(A1180="SILVER",Summary!$B$5,Summary!$B$6)</f>
        <v>107018</v>
      </c>
      <c r="L1180" s="26" t="n">
        <v>0.429</v>
      </c>
      <c r="M1180" s="27" t="n">
        <f aca="false">IF(K1180&gt;0,1,0)</f>
        <v>1</v>
      </c>
      <c r="N1180" s="11" t="n">
        <f aca="false">SUMIFS(K$2:K1180,A$2:A1180,A1180,B$2:B1180,B1180)</f>
        <v>894411</v>
      </c>
      <c r="O1180" s="11" t="n">
        <f aca="false">MAX(0,_xlfn.MAXIFS(N$2:N1180,A$2:A1180,A1180,B$2:B1180,B1180))</f>
        <v>894411</v>
      </c>
      <c r="P1180" s="11" t="n">
        <f aca="false">N1180-O1180</f>
        <v>0</v>
      </c>
    </row>
    <row r="1181" customFormat="false" ht="15" hidden="false" customHeight="false" outlineLevel="0" collapsed="false">
      <c r="A1181" s="8" t="s">
        <v>45</v>
      </c>
      <c r="B1181" s="8" t="s">
        <v>31</v>
      </c>
      <c r="C1181" s="8" t="s">
        <v>60</v>
      </c>
      <c r="D1181" s="21" t="n">
        <v>45810.6118055556</v>
      </c>
      <c r="E1181" s="21" t="n">
        <v>45814.75625</v>
      </c>
      <c r="F1181" s="22" t="n">
        <f aca="false">DATE(YEAR(E1181),MONTH(E1181),1)</f>
        <v>45809</v>
      </c>
      <c r="G1181" s="23" t="n">
        <v>117442</v>
      </c>
      <c r="H1181" s="8" t="s">
        <v>64</v>
      </c>
      <c r="I1181" s="24" t="n">
        <v>128.12</v>
      </c>
      <c r="J1181" s="25" t="n">
        <f aca="false">Summary!$B$4</f>
        <v>1</v>
      </c>
      <c r="K1181" s="11" t="n">
        <f aca="false">I1181*J1181*IF(A1181="SILVER",Summary!$B$5,Summary!$B$6)</f>
        <v>12812</v>
      </c>
      <c r="L1181" s="26" t="n">
        <v>0.068</v>
      </c>
      <c r="M1181" s="27" t="n">
        <f aca="false">IF(K1181&gt;0,1,0)</f>
        <v>1</v>
      </c>
      <c r="N1181" s="11" t="n">
        <f aca="false">SUMIFS(K$2:K1181,A$2:A1181,A1181,B$2:B1181,B1181)</f>
        <v>907223</v>
      </c>
      <c r="O1181" s="11" t="n">
        <f aca="false">MAX(0,_xlfn.MAXIFS(N$2:N1181,A$2:A1181,A1181,B$2:B1181,B1181))</f>
        <v>907223</v>
      </c>
      <c r="P1181" s="11" t="n">
        <f aca="false">N1181-O1181</f>
        <v>0</v>
      </c>
    </row>
    <row r="1182" customFormat="false" ht="15" hidden="false" customHeight="false" outlineLevel="0" collapsed="false">
      <c r="A1182" s="8" t="s">
        <v>45</v>
      </c>
      <c r="B1182" s="8" t="s">
        <v>31</v>
      </c>
      <c r="C1182" s="8" t="s">
        <v>60</v>
      </c>
      <c r="D1182" s="21" t="n">
        <v>45820.6666666667</v>
      </c>
      <c r="E1182" s="21" t="n">
        <v>45828.5090277778</v>
      </c>
      <c r="F1182" s="22" t="n">
        <f aca="false">DATE(YEAR(E1182),MONTH(E1182),1)</f>
        <v>45809</v>
      </c>
      <c r="G1182" s="23" t="n">
        <v>118133</v>
      </c>
      <c r="H1182" s="8" t="s">
        <v>64</v>
      </c>
      <c r="I1182" s="24" t="n">
        <v>172.14</v>
      </c>
      <c r="J1182" s="25" t="n">
        <f aca="false">Summary!$B$4</f>
        <v>1</v>
      </c>
      <c r="K1182" s="11" t="n">
        <f aca="false">I1182*J1182*IF(A1182="SILVER",Summary!$B$5,Summary!$B$6)</f>
        <v>17214</v>
      </c>
      <c r="L1182" s="26" t="n">
        <v>0.085</v>
      </c>
      <c r="M1182" s="27" t="n">
        <f aca="false">IF(K1182&gt;0,1,0)</f>
        <v>1</v>
      </c>
      <c r="N1182" s="11" t="n">
        <f aca="false">SUMIFS(K$2:K1182,A$2:A1182,A1182,B$2:B1182,B1182)</f>
        <v>924437</v>
      </c>
      <c r="O1182" s="11" t="n">
        <f aca="false">MAX(0,_xlfn.MAXIFS(N$2:N1182,A$2:A1182,A1182,B$2:B1182,B1182))</f>
        <v>924437</v>
      </c>
      <c r="P1182" s="11" t="n">
        <f aca="false">N1182-O1182</f>
        <v>0</v>
      </c>
    </row>
    <row r="1183" customFormat="false" ht="15" hidden="false" customHeight="false" outlineLevel="0" collapsed="false">
      <c r="A1183" s="8" t="s">
        <v>45</v>
      </c>
      <c r="B1183" s="8" t="s">
        <v>31</v>
      </c>
      <c r="C1183" s="8" t="s">
        <v>60</v>
      </c>
      <c r="D1183" s="21" t="n">
        <v>45839.5416666667</v>
      </c>
      <c r="E1183" s="21" t="n">
        <v>45845.4166666667</v>
      </c>
      <c r="F1183" s="22" t="n">
        <f aca="false">DATE(YEAR(E1183),MONTH(E1183),1)</f>
        <v>45839</v>
      </c>
      <c r="G1183" s="23" t="n">
        <v>117083</v>
      </c>
      <c r="H1183" s="8" t="s">
        <v>61</v>
      </c>
      <c r="I1183" s="24" t="n">
        <v>-766.36</v>
      </c>
      <c r="J1183" s="25" t="n">
        <f aca="false">Summary!$B$4</f>
        <v>1</v>
      </c>
      <c r="K1183" s="11" t="n">
        <f aca="false">I1183*J1183*IF(A1183="SILVER",Summary!$B$5,Summary!$B$6)</f>
        <v>-76636</v>
      </c>
      <c r="L1183" s="26" t="n">
        <v>-0.449</v>
      </c>
      <c r="M1183" s="27" t="n">
        <f aca="false">IF(K1183&gt;0,1,0)</f>
        <v>0</v>
      </c>
      <c r="N1183" s="11" t="n">
        <f aca="false">SUMIFS(K$2:K1183,A$2:A1183,A1183,B$2:B1183,B1183)</f>
        <v>847801</v>
      </c>
      <c r="O1183" s="11" t="n">
        <f aca="false">MAX(0,_xlfn.MAXIFS(N$2:N1183,A$2:A1183,A1183,B$2:B1183,B1183))</f>
        <v>924437</v>
      </c>
      <c r="P1183" s="11" t="n">
        <f aca="false">N1183-O1183</f>
        <v>-76636</v>
      </c>
    </row>
    <row r="1184" customFormat="false" ht="15" hidden="false" customHeight="false" outlineLevel="0" collapsed="false">
      <c r="A1184" s="8" t="s">
        <v>45</v>
      </c>
      <c r="B1184" s="8" t="s">
        <v>31</v>
      </c>
      <c r="C1184" s="8" t="s">
        <v>60</v>
      </c>
      <c r="D1184" s="21" t="n">
        <v>45849.4166666667</v>
      </c>
      <c r="E1184" s="21" t="n">
        <v>45853.7888888889</v>
      </c>
      <c r="F1184" s="22" t="n">
        <f aca="false">DATE(YEAR(E1184),MONTH(E1184),1)</f>
        <v>45839</v>
      </c>
      <c r="G1184" s="23" t="n">
        <v>117154</v>
      </c>
      <c r="H1184" s="8" t="s">
        <v>64</v>
      </c>
      <c r="I1184" s="24" t="n">
        <v>100.5</v>
      </c>
      <c r="J1184" s="25" t="n">
        <f aca="false">Summary!$B$4</f>
        <v>1</v>
      </c>
      <c r="K1184" s="11" t="n">
        <f aca="false">I1184*J1184*IF(A1184="SILVER",Summary!$B$5,Summary!$B$6)</f>
        <v>10050</v>
      </c>
      <c r="L1184" s="26" t="n">
        <v>0.077</v>
      </c>
      <c r="M1184" s="27" t="n">
        <f aca="false">IF(K1184&gt;0,1,0)</f>
        <v>1</v>
      </c>
      <c r="N1184" s="11" t="n">
        <f aca="false">SUMIFS(K$2:K1184,A$2:A1184,A1184,B$2:B1184,B1184)</f>
        <v>857851</v>
      </c>
      <c r="O1184" s="11" t="n">
        <f aca="false">MAX(0,_xlfn.MAXIFS(N$2:N1184,A$2:A1184,A1184,B$2:B1184,B1184))</f>
        <v>924437</v>
      </c>
      <c r="P1184" s="11" t="n">
        <f aca="false">N1184-O1184</f>
        <v>-66586</v>
      </c>
    </row>
    <row r="1185" customFormat="false" ht="15" hidden="false" customHeight="false" outlineLevel="0" collapsed="false">
      <c r="A1185" s="8" t="s">
        <v>45</v>
      </c>
      <c r="B1185" s="8" t="s">
        <v>31</v>
      </c>
      <c r="C1185" s="8" t="s">
        <v>60</v>
      </c>
      <c r="D1185" s="21" t="n">
        <v>45859.4583333333</v>
      </c>
      <c r="E1185" s="21" t="n">
        <v>45862.4166666667</v>
      </c>
      <c r="F1185" s="22" t="n">
        <f aca="false">DATE(YEAR(E1185),MONTH(E1185),1)</f>
        <v>45839</v>
      </c>
      <c r="G1185" s="23" t="n">
        <v>118369</v>
      </c>
      <c r="H1185" s="8" t="s">
        <v>61</v>
      </c>
      <c r="I1185" s="24" t="n">
        <v>529.25</v>
      </c>
      <c r="J1185" s="25" t="n">
        <f aca="false">Summary!$B$4</f>
        <v>1</v>
      </c>
      <c r="K1185" s="11" t="n">
        <f aca="false">I1185*J1185*IF(A1185="SILVER",Summary!$B$5,Summary!$B$6)</f>
        <v>52925</v>
      </c>
      <c r="L1185" s="26" t="n">
        <v>0.416</v>
      </c>
      <c r="M1185" s="27" t="n">
        <f aca="false">IF(K1185&gt;0,1,0)</f>
        <v>1</v>
      </c>
      <c r="N1185" s="11" t="n">
        <f aca="false">SUMIFS(K$2:K1185,A$2:A1185,A1185,B$2:B1185,B1185)</f>
        <v>910776</v>
      </c>
      <c r="O1185" s="11" t="n">
        <f aca="false">MAX(0,_xlfn.MAXIFS(N$2:N1185,A$2:A1185,A1185,B$2:B1185,B1185))</f>
        <v>924437</v>
      </c>
      <c r="P1185" s="11" t="n">
        <f aca="false">N1185-O1185</f>
        <v>-13661</v>
      </c>
    </row>
    <row r="1186" customFormat="false" ht="15" hidden="false" customHeight="false" outlineLevel="0" collapsed="false">
      <c r="A1186" s="8" t="s">
        <v>45</v>
      </c>
      <c r="B1186" s="8" t="s">
        <v>31</v>
      </c>
      <c r="C1186" s="8" t="s">
        <v>60</v>
      </c>
      <c r="D1186" s="21" t="n">
        <v>45868.5854166667</v>
      </c>
      <c r="E1186" s="21" t="n">
        <v>45880.75</v>
      </c>
      <c r="F1186" s="22" t="n">
        <f aca="false">DATE(YEAR(E1186),MONTH(E1186),1)</f>
        <v>45870</v>
      </c>
      <c r="G1186" s="23" t="n">
        <v>118568</v>
      </c>
      <c r="H1186" s="8" t="s">
        <v>61</v>
      </c>
      <c r="I1186" s="24" t="n">
        <v>1574.1</v>
      </c>
      <c r="J1186" s="25" t="n">
        <f aca="false">Summary!$B$4</f>
        <v>1</v>
      </c>
      <c r="K1186" s="11" t="n">
        <f aca="false">I1186*J1186*IF(A1186="SILVER",Summary!$B$5,Summary!$B$6)</f>
        <v>157410</v>
      </c>
      <c r="L1186" s="26" t="n">
        <v>1.269</v>
      </c>
      <c r="M1186" s="27" t="n">
        <f aca="false">IF(K1186&gt;0,1,0)</f>
        <v>1</v>
      </c>
      <c r="N1186" s="11" t="n">
        <f aca="false">SUMIFS(K$2:K1186,A$2:A1186,A1186,B$2:B1186,B1186)</f>
        <v>1068186</v>
      </c>
      <c r="O1186" s="11" t="n">
        <f aca="false">MAX(0,_xlfn.MAXIFS(N$2:N1186,A$2:A1186,A1186,B$2:B1186,B1186))</f>
        <v>1068186</v>
      </c>
      <c r="P1186" s="11" t="n">
        <f aca="false">N1186-O1186</f>
        <v>0</v>
      </c>
    </row>
    <row r="1187" customFormat="false" ht="15" hidden="false" customHeight="false" outlineLevel="0" collapsed="false">
      <c r="A1187" s="8" t="s">
        <v>45</v>
      </c>
      <c r="B1187" s="8" t="s">
        <v>31</v>
      </c>
      <c r="C1187" s="8" t="s">
        <v>60</v>
      </c>
      <c r="D1187" s="21" t="n">
        <v>45891.8333333333</v>
      </c>
      <c r="E1187" s="21" t="n">
        <v>45918.5</v>
      </c>
      <c r="F1187" s="22" t="n">
        <f aca="false">DATE(YEAR(E1187),MONTH(E1187),1)</f>
        <v>45901</v>
      </c>
      <c r="G1187" s="23" t="n">
        <v>119846</v>
      </c>
      <c r="H1187" s="8" t="s">
        <v>61</v>
      </c>
      <c r="I1187" s="24" t="n">
        <v>8702.11</v>
      </c>
      <c r="J1187" s="25" t="n">
        <f aca="false">Summary!$B$4</f>
        <v>1</v>
      </c>
      <c r="K1187" s="11" t="n">
        <f aca="false">I1187*J1187*IF(A1187="SILVER",Summary!$B$5,Summary!$B$6)</f>
        <v>870211</v>
      </c>
      <c r="L1187" s="26" t="n">
        <v>5.412</v>
      </c>
      <c r="M1187" s="27" t="n">
        <f aca="false">IF(K1187&gt;0,1,0)</f>
        <v>1</v>
      </c>
      <c r="N1187" s="11" t="n">
        <f aca="false">SUMIFS(K$2:K1187,A$2:A1187,A1187,B$2:B1187,B1187)</f>
        <v>1938397</v>
      </c>
      <c r="O1187" s="11" t="n">
        <f aca="false">MAX(0,_xlfn.MAXIFS(N$2:N1187,A$2:A1187,A1187,B$2:B1187,B1187))</f>
        <v>1938397</v>
      </c>
      <c r="P1187" s="11" t="n">
        <f aca="false">N1187-O1187</f>
        <v>0</v>
      </c>
    </row>
    <row r="1188" customFormat="false" ht="15" hidden="false" customHeight="false" outlineLevel="0" collapsed="false">
      <c r="A1188" s="8" t="s">
        <v>45</v>
      </c>
      <c r="B1188" s="8" t="s">
        <v>31</v>
      </c>
      <c r="C1188" s="8" t="s">
        <v>60</v>
      </c>
      <c r="D1188" s="21" t="n">
        <v>45922.4583333333</v>
      </c>
      <c r="E1188" s="21" t="n">
        <v>45939.9583333333</v>
      </c>
      <c r="F1188" s="22" t="n">
        <f aca="false">DATE(YEAR(E1188),MONTH(E1188),1)</f>
        <v>45931</v>
      </c>
      <c r="G1188" s="23" t="n">
        <v>130321</v>
      </c>
      <c r="H1188" s="8" t="s">
        <v>61</v>
      </c>
      <c r="I1188" s="24" t="n">
        <v>8552.75</v>
      </c>
      <c r="J1188" s="25" t="n">
        <f aca="false">Summary!$B$4</f>
        <v>1</v>
      </c>
      <c r="K1188" s="11" t="n">
        <f aca="false">I1188*J1188*IF(A1188="SILVER",Summary!$B$5,Summary!$B$6)</f>
        <v>855275</v>
      </c>
      <c r="L1188" s="26" t="n">
        <v>5.253</v>
      </c>
      <c r="M1188" s="27" t="n">
        <f aca="false">IF(K1188&gt;0,1,0)</f>
        <v>1</v>
      </c>
      <c r="N1188" s="11" t="n">
        <f aca="false">SUMIFS(K$2:K1188,A$2:A1188,A1188,B$2:B1188,B1188)</f>
        <v>2793672</v>
      </c>
      <c r="O1188" s="11" t="n">
        <f aca="false">MAX(0,_xlfn.MAXIFS(N$2:N1188,A$2:A1188,A1188,B$2:B1188,B1188))</f>
        <v>2793672</v>
      </c>
      <c r="P1188" s="11" t="n">
        <f aca="false">N1188-O1188</f>
        <v>0</v>
      </c>
    </row>
    <row r="1189" customFormat="false" ht="15" hidden="false" customHeight="false" outlineLevel="0" collapsed="false">
      <c r="A1189" s="8" t="s">
        <v>45</v>
      </c>
      <c r="B1189" s="8" t="s">
        <v>31</v>
      </c>
      <c r="C1189" s="8" t="s">
        <v>60</v>
      </c>
      <c r="D1189" s="21" t="n">
        <v>45943.4583333333</v>
      </c>
      <c r="E1189" s="21" t="n">
        <v>45947.8333333333</v>
      </c>
      <c r="F1189" s="22" t="n">
        <f aca="false">DATE(YEAR(E1189),MONTH(E1189),1)</f>
        <v>45931</v>
      </c>
      <c r="G1189" s="23" t="n">
        <v>142065</v>
      </c>
      <c r="H1189" s="8" t="s">
        <v>61</v>
      </c>
      <c r="I1189" s="24" t="n">
        <v>4430.8</v>
      </c>
      <c r="J1189" s="25" t="n">
        <f aca="false">Summary!$B$4</f>
        <v>1</v>
      </c>
      <c r="K1189" s="11" t="n">
        <f aca="false">I1189*J1189*IF(A1189="SILVER",Summary!$B$5,Summary!$B$6)</f>
        <v>443080</v>
      </c>
      <c r="L1189" s="26" t="n">
        <v>1.032</v>
      </c>
      <c r="M1189" s="27" t="n">
        <f aca="false">IF(K1189&gt;0,1,0)</f>
        <v>1</v>
      </c>
      <c r="N1189" s="11" t="n">
        <f aca="false">SUMIFS(K$2:K1189,A$2:A1189,A1189,B$2:B1189,B1189)</f>
        <v>3236752</v>
      </c>
      <c r="O1189" s="11" t="n">
        <f aca="false">MAX(0,_xlfn.MAXIFS(N$2:N1189,A$2:A1189,A1189,B$2:B1189,B1189))</f>
        <v>3236752</v>
      </c>
      <c r="P1189" s="11" t="n">
        <f aca="false">N1189-O1189</f>
        <v>0</v>
      </c>
    </row>
    <row r="1190" customFormat="false" ht="15" hidden="false" customHeight="false" outlineLevel="0" collapsed="false">
      <c r="A1190" s="8" t="s">
        <v>45</v>
      </c>
      <c r="B1190" s="8" t="s">
        <v>31</v>
      </c>
      <c r="C1190" s="8" t="s">
        <v>60</v>
      </c>
      <c r="D1190" s="21" t="n">
        <v>45971.5</v>
      </c>
      <c r="E1190" s="21" t="n">
        <v>45975.75</v>
      </c>
      <c r="F1190" s="22" t="n">
        <f aca="false">DATE(YEAR(E1190),MONTH(E1190),1)</f>
        <v>45962</v>
      </c>
      <c r="G1190" s="23" t="n">
        <v>141300</v>
      </c>
      <c r="H1190" s="8" t="s">
        <v>61</v>
      </c>
      <c r="I1190" s="24" t="n">
        <v>1088.29</v>
      </c>
      <c r="J1190" s="25" t="n">
        <f aca="false">Summary!$B$4</f>
        <v>1</v>
      </c>
      <c r="K1190" s="11" t="n">
        <f aca="false">I1190*J1190*IF(A1190="SILVER",Summary!$B$5,Summary!$B$6)</f>
        <v>108829</v>
      </c>
      <c r="L1190" s="26" t="n">
        <v>0.38</v>
      </c>
      <c r="M1190" s="27" t="n">
        <f aca="false">IF(K1190&gt;0,1,0)</f>
        <v>1</v>
      </c>
      <c r="N1190" s="11" t="n">
        <f aca="false">SUMIFS(K$2:K1190,A$2:A1190,A1190,B$2:B1190,B1190)</f>
        <v>3345581</v>
      </c>
      <c r="O1190" s="11" t="n">
        <f aca="false">MAX(0,_xlfn.MAXIFS(N$2:N1190,A$2:A1190,A1190,B$2:B1190,B1190))</f>
        <v>3345581</v>
      </c>
      <c r="P1190" s="11" t="n">
        <f aca="false">N1190-O1190</f>
        <v>0</v>
      </c>
    </row>
    <row r="1191" customFormat="false" ht="15" hidden="false" customHeight="false" outlineLevel="0" collapsed="false">
      <c r="A1191" s="8" t="s">
        <v>45</v>
      </c>
      <c r="B1191" s="8" t="s">
        <v>31</v>
      </c>
      <c r="C1191" s="8" t="s">
        <v>60</v>
      </c>
      <c r="D1191" s="21" t="n">
        <v>45986.4166666667</v>
      </c>
      <c r="E1191" s="21" t="n">
        <v>46020.8333333333</v>
      </c>
      <c r="F1191" s="22" t="n">
        <f aca="false">DATE(YEAR(E1191),MONTH(E1191),1)</f>
        <v>45992</v>
      </c>
      <c r="G1191" s="23" t="n">
        <v>143568</v>
      </c>
      <c r="H1191" s="8" t="s">
        <v>61</v>
      </c>
      <c r="I1191" s="24" t="n">
        <v>9680.52</v>
      </c>
      <c r="J1191" s="25" t="n">
        <f aca="false">Summary!$B$4</f>
        <v>1</v>
      </c>
      <c r="K1191" s="11" t="n">
        <f aca="false">I1191*J1191*IF(A1191="SILVER",Summary!$B$5,Summary!$B$6)</f>
        <v>968052</v>
      </c>
      <c r="L1191" s="26" t="n">
        <v>2.94</v>
      </c>
      <c r="M1191" s="27" t="n">
        <f aca="false">IF(K1191&gt;0,1,0)</f>
        <v>1</v>
      </c>
      <c r="N1191" s="11" t="n">
        <f aca="false">SUMIFS(K$2:K1191,A$2:A1191,A1191,B$2:B1191,B1191)</f>
        <v>4313633</v>
      </c>
      <c r="O1191" s="11" t="n">
        <f aca="false">MAX(0,_xlfn.MAXIFS(N$2:N1191,A$2:A1191,A1191,B$2:B1191,B1191))</f>
        <v>4313633</v>
      </c>
      <c r="P1191" s="11" t="n">
        <f aca="false">N1191-O1191</f>
        <v>0</v>
      </c>
    </row>
    <row r="1192" customFormat="false" ht="15" hidden="false" customHeight="false" outlineLevel="0" collapsed="false">
      <c r="A1192" s="8" t="s">
        <v>45</v>
      </c>
      <c r="B1192" s="8" t="s">
        <v>31</v>
      </c>
      <c r="C1192" s="8" t="s">
        <v>60</v>
      </c>
      <c r="D1192" s="21" t="n">
        <v>46028.4166666667</v>
      </c>
      <c r="E1192" s="21" t="n">
        <v>46044.4166666667</v>
      </c>
      <c r="F1192" s="22" t="n">
        <f aca="false">DATE(YEAR(E1192),MONTH(E1192),1)</f>
        <v>46023</v>
      </c>
      <c r="G1192" s="23" t="n">
        <v>155445</v>
      </c>
      <c r="H1192" s="8" t="s">
        <v>61</v>
      </c>
      <c r="I1192" s="24" t="n">
        <v>11104.18</v>
      </c>
      <c r="J1192" s="25" t="n">
        <f aca="false">Summary!$B$4</f>
        <v>1</v>
      </c>
      <c r="K1192" s="11" t="n">
        <f aca="false">I1192*J1192*IF(A1192="SILVER",Summary!$B$5,Summary!$B$6)</f>
        <v>1110418</v>
      </c>
      <c r="L1192" s="26" t="n">
        <v>3.772</v>
      </c>
      <c r="M1192" s="27" t="n">
        <f aca="false">IF(K1192&gt;0,1,0)</f>
        <v>1</v>
      </c>
      <c r="N1192" s="11" t="n">
        <f aca="false">SUMIFS(K$2:K1192,A$2:A1192,A1192,B$2:B1192,B1192)</f>
        <v>5424051</v>
      </c>
      <c r="O1192" s="11" t="n">
        <f aca="false">MAX(0,_xlfn.MAXIFS(N$2:N1192,A$2:A1192,A1192,B$2:B1192,B1192))</f>
        <v>5424051</v>
      </c>
      <c r="P1192" s="11" t="n">
        <f aca="false">N1192-O1192</f>
        <v>0</v>
      </c>
    </row>
    <row r="1193" customFormat="false" ht="15" hidden="false" customHeight="false" outlineLevel="0" collapsed="false">
      <c r="A1193" s="8" t="s">
        <v>45</v>
      </c>
      <c r="B1193" s="8" t="s">
        <v>31</v>
      </c>
      <c r="C1193" s="8" t="s">
        <v>60</v>
      </c>
      <c r="D1193" s="21" t="n">
        <v>46049.4166666667</v>
      </c>
      <c r="E1193" s="21" t="n">
        <v>46051.8659722222</v>
      </c>
      <c r="F1193" s="22" t="n">
        <f aca="false">DATE(YEAR(E1193),MONTH(E1193),1)</f>
        <v>46023</v>
      </c>
      <c r="G1193" s="23" t="n">
        <v>175350</v>
      </c>
      <c r="H1193" s="8" t="s">
        <v>64</v>
      </c>
      <c r="I1193" s="24" t="n">
        <v>773.19</v>
      </c>
      <c r="J1193" s="25" t="n">
        <f aca="false">Summary!$B$4</f>
        <v>1</v>
      </c>
      <c r="K1193" s="11" t="n">
        <f aca="false">I1193*J1193*IF(A1193="SILVER",Summary!$B$5,Summary!$B$6)</f>
        <v>77319</v>
      </c>
      <c r="L1193" s="26" t="n">
        <v>0.095</v>
      </c>
      <c r="M1193" s="27" t="n">
        <f aca="false">IF(K1193&gt;0,1,0)</f>
        <v>1</v>
      </c>
      <c r="N1193" s="11" t="n">
        <f aca="false">SUMIFS(K$2:K1193,A$2:A1193,A1193,B$2:B1193,B1193)</f>
        <v>5501370</v>
      </c>
      <c r="O1193" s="11" t="n">
        <f aca="false">MAX(0,_xlfn.MAXIFS(N$2:N1193,A$2:A1193,A1193,B$2:B1193,B1193))</f>
        <v>5501370</v>
      </c>
      <c r="P1193" s="11" t="n">
        <f aca="false">N1193-O1193</f>
        <v>0</v>
      </c>
    </row>
    <row r="1194" customFormat="false" ht="15" hidden="false" customHeight="false" outlineLevel="0" collapsed="false">
      <c r="A1194" s="8" t="s">
        <v>45</v>
      </c>
      <c r="B1194" s="8" t="s">
        <v>31</v>
      </c>
      <c r="C1194" s="8" t="s">
        <v>62</v>
      </c>
      <c r="D1194" s="21" t="n">
        <v>46084.75</v>
      </c>
      <c r="E1194" s="21" t="n">
        <v>46085.3909722222</v>
      </c>
      <c r="F1194" s="22" t="n">
        <f aca="false">DATE(YEAR(E1194),MONTH(E1194),1)</f>
        <v>46082</v>
      </c>
      <c r="G1194" s="23" t="n">
        <v>171781</v>
      </c>
      <c r="H1194" s="8" t="s">
        <v>64</v>
      </c>
      <c r="I1194" s="24" t="n">
        <v>538.57</v>
      </c>
      <c r="J1194" s="25" t="n">
        <f aca="false">Summary!$B$4</f>
        <v>1</v>
      </c>
      <c r="K1194" s="11" t="n">
        <f aca="false">I1194*J1194*IF(A1194="SILVER",Summary!$B$5,Summary!$B$6)</f>
        <v>53857</v>
      </c>
      <c r="L1194" s="26" t="n">
        <v>0.093</v>
      </c>
      <c r="M1194" s="27" t="n">
        <f aca="false">IF(K1194&gt;0,1,0)</f>
        <v>1</v>
      </c>
      <c r="N1194" s="11" t="n">
        <f aca="false">SUMIFS(K$2:K1194,A$2:A1194,A1194,B$2:B1194,B1194)</f>
        <v>5555227</v>
      </c>
      <c r="O1194" s="11" t="n">
        <f aca="false">MAX(0,_xlfn.MAXIFS(N$2:N1194,A$2:A1194,A1194,B$2:B1194,B1194))</f>
        <v>5555227</v>
      </c>
      <c r="P1194" s="11" t="n">
        <f aca="false">N1194-O1194</f>
        <v>0</v>
      </c>
    </row>
    <row r="1195" customFormat="false" ht="15" hidden="false" customHeight="false" outlineLevel="0" collapsed="false">
      <c r="A1195" s="8" t="s">
        <v>45</v>
      </c>
      <c r="B1195" s="8" t="s">
        <v>31</v>
      </c>
      <c r="C1195" s="8" t="s">
        <v>62</v>
      </c>
      <c r="D1195" s="21" t="n">
        <v>46118.375</v>
      </c>
      <c r="E1195" s="21" t="n">
        <v>46126.9583333333</v>
      </c>
      <c r="F1195" s="22" t="n">
        <f aca="false">DATE(YEAR(E1195),MONTH(E1195),1)</f>
        <v>46113</v>
      </c>
      <c r="G1195" s="23" t="n">
        <v>153102</v>
      </c>
      <c r="H1195" s="8" t="s">
        <v>61</v>
      </c>
      <c r="I1195" s="24" t="n">
        <v>-5751.02</v>
      </c>
      <c r="J1195" s="25" t="n">
        <f aca="false">Summary!$B$4</f>
        <v>1</v>
      </c>
      <c r="K1195" s="11" t="n">
        <f aca="false">I1195*J1195*IF(A1195="SILVER",Summary!$B$5,Summary!$B$6)</f>
        <v>-575102</v>
      </c>
      <c r="L1195" s="26" t="n">
        <v>-0.758</v>
      </c>
      <c r="M1195" s="27" t="n">
        <f aca="false">IF(K1195&gt;0,1,0)</f>
        <v>0</v>
      </c>
      <c r="N1195" s="11" t="n">
        <f aca="false">SUMIFS(K$2:K1195,A$2:A1195,A1195,B$2:B1195,B1195)</f>
        <v>4980125</v>
      </c>
      <c r="O1195" s="11" t="n">
        <f aca="false">MAX(0,_xlfn.MAXIFS(N$2:N1195,A$2:A1195,A1195,B$2:B1195,B1195))</f>
        <v>5555227</v>
      </c>
      <c r="P1195" s="11" t="n">
        <f aca="false">N1195-O1195</f>
        <v>-575102</v>
      </c>
    </row>
    <row r="1196" customFormat="false" ht="15" hidden="false" customHeight="false" outlineLevel="0" collapsed="false">
      <c r="A1196" s="8" t="s">
        <v>45</v>
      </c>
      <c r="B1196" s="8" t="s">
        <v>31</v>
      </c>
      <c r="C1196" s="8" t="s">
        <v>62</v>
      </c>
      <c r="D1196" s="21" t="n">
        <v>46133.9583333333</v>
      </c>
      <c r="E1196" s="21" t="n">
        <v>46141.375</v>
      </c>
      <c r="F1196" s="22" t="n">
        <f aca="false">DATE(YEAR(E1196),MONTH(E1196),1)</f>
        <v>46113</v>
      </c>
      <c r="G1196" s="23" t="n">
        <v>155748</v>
      </c>
      <c r="H1196" s="8" t="s">
        <v>64</v>
      </c>
      <c r="I1196" s="24" t="n">
        <v>310.82</v>
      </c>
      <c r="J1196" s="25" t="n">
        <f aca="false">Summary!$B$4</f>
        <v>1</v>
      </c>
      <c r="K1196" s="11" t="n">
        <f aca="false">I1196*J1196*IF(A1196="SILVER",Summary!$B$5,Summary!$B$6)</f>
        <v>31082</v>
      </c>
      <c r="L1196" s="26" t="n">
        <v>0.089</v>
      </c>
      <c r="M1196" s="27" t="n">
        <f aca="false">IF(K1196&gt;0,1,0)</f>
        <v>1</v>
      </c>
      <c r="N1196" s="11" t="n">
        <f aca="false">SUMIFS(K$2:K1196,A$2:A1196,A1196,B$2:B1196,B1196)</f>
        <v>5011207</v>
      </c>
      <c r="O1196" s="11" t="n">
        <f aca="false">MAX(0,_xlfn.MAXIFS(N$2:N1196,A$2:A1196,A1196,B$2:B1196,B1196))</f>
        <v>5555227</v>
      </c>
      <c r="P1196" s="11" t="n">
        <f aca="false">N1196-O1196</f>
        <v>-544020</v>
      </c>
    </row>
    <row r="1197" customFormat="false" ht="15" hidden="false" customHeight="false" outlineLevel="0" collapsed="false">
      <c r="A1197" s="8" t="s">
        <v>45</v>
      </c>
      <c r="B1197" s="8" t="s">
        <v>31</v>
      </c>
      <c r="C1197" s="8" t="s">
        <v>62</v>
      </c>
      <c r="D1197" s="21" t="n">
        <v>46162.4166666667</v>
      </c>
      <c r="E1197" s="21" t="n">
        <v>46188.4166666667</v>
      </c>
      <c r="F1197" s="22" t="n">
        <f aca="false">DATE(YEAR(E1197),MONTH(E1197),1)</f>
        <v>46174</v>
      </c>
      <c r="G1197" s="23" t="n">
        <v>162635</v>
      </c>
      <c r="H1197" s="8" t="s">
        <v>61</v>
      </c>
      <c r="I1197" s="24" t="n">
        <v>6748.23</v>
      </c>
      <c r="J1197" s="25" t="n">
        <f aca="false">Summary!$B$4</f>
        <v>1</v>
      </c>
      <c r="K1197" s="11" t="n">
        <f aca="false">I1197*J1197*IF(A1197="SILVER",Summary!$B$5,Summary!$B$6)</f>
        <v>674823</v>
      </c>
      <c r="L1197" s="26" t="n">
        <v>1.787</v>
      </c>
      <c r="M1197" s="27" t="n">
        <f aca="false">IF(K1197&gt;0,1,0)</f>
        <v>1</v>
      </c>
      <c r="N1197" s="11" t="n">
        <f aca="false">SUMIFS(K$2:K1197,A$2:A1197,A1197,B$2:B1197,B1197)</f>
        <v>5686030</v>
      </c>
      <c r="O1197" s="11" t="n">
        <f aca="false">MAX(0,_xlfn.MAXIFS(N$2:N1197,A$2:A1197,A1197,B$2:B1197,B1197))</f>
        <v>5686030</v>
      </c>
      <c r="P1197" s="11" t="n">
        <f aca="false">N1197-O1197</f>
        <v>0</v>
      </c>
    </row>
    <row r="1198" customFormat="false" ht="15" hidden="false" customHeight="false" outlineLevel="0" collapsed="false">
      <c r="A1198" s="8" t="s">
        <v>45</v>
      </c>
      <c r="B1198" s="8" t="s">
        <v>31</v>
      </c>
      <c r="C1198" s="8" t="s">
        <v>62</v>
      </c>
      <c r="D1198" s="21" t="n">
        <v>46191.5833333333</v>
      </c>
      <c r="E1198" s="21" t="n">
        <v>46204.8333333333</v>
      </c>
      <c r="F1198" s="22" t="n">
        <f aca="false">DATE(YEAR(E1198),MONTH(E1198),1)</f>
        <v>46204</v>
      </c>
      <c r="G1198" s="23" t="n">
        <v>153524</v>
      </c>
      <c r="H1198" s="8" t="s">
        <v>61</v>
      </c>
      <c r="I1198" s="24" t="n">
        <v>5817.41</v>
      </c>
      <c r="J1198" s="25" t="n">
        <f aca="false">Summary!$B$4</f>
        <v>1</v>
      </c>
      <c r="K1198" s="11" t="n">
        <f aca="false">I1198*J1198*IF(A1198="SILVER",Summary!$B$5,Summary!$B$6)</f>
        <v>581741</v>
      </c>
      <c r="L1198" s="26" t="n">
        <v>1.534</v>
      </c>
      <c r="M1198" s="27" t="n">
        <f aca="false">IF(K1198&gt;0,1,0)</f>
        <v>1</v>
      </c>
      <c r="N1198" s="11" t="n">
        <f aca="false">SUMIFS(K$2:K1198,A$2:A1198,A1198,B$2:B1198,B1198)</f>
        <v>6267771</v>
      </c>
      <c r="O1198" s="11" t="n">
        <f aca="false">MAX(0,_xlfn.MAXIFS(N$2:N1198,A$2:A1198,A1198,B$2:B1198,B1198))</f>
        <v>6267771</v>
      </c>
      <c r="P1198" s="11" t="n">
        <f aca="false">N1198-O1198</f>
        <v>0</v>
      </c>
    </row>
    <row r="1199" customFormat="false" ht="15" hidden="false" customHeight="false" outlineLevel="0" collapsed="false">
      <c r="A1199" s="8" t="s">
        <v>45</v>
      </c>
      <c r="B1199" s="8" t="s">
        <v>31</v>
      </c>
      <c r="C1199" s="8" t="s">
        <v>62</v>
      </c>
      <c r="D1199" s="21" t="n">
        <v>46211.625</v>
      </c>
      <c r="E1199" s="21" t="n">
        <v>46217.7506944445</v>
      </c>
      <c r="F1199" s="22" t="n">
        <f aca="false">DATE(YEAR(E1199),MONTH(E1199),1)</f>
        <v>46204</v>
      </c>
      <c r="G1199" s="23" t="n">
        <v>145884</v>
      </c>
      <c r="H1199" s="8" t="s">
        <v>64</v>
      </c>
      <c r="I1199" s="24" t="n">
        <v>331.37</v>
      </c>
      <c r="J1199" s="25" t="n">
        <f aca="false">Summary!$B$4</f>
        <v>1</v>
      </c>
      <c r="K1199" s="11" t="n">
        <f aca="false">I1199*J1199*IF(A1199="SILVER",Summary!$B$5,Summary!$B$6)</f>
        <v>33137</v>
      </c>
      <c r="L1199" s="26" t="n">
        <v>0.09</v>
      </c>
      <c r="M1199" s="27" t="n">
        <f aca="false">IF(K1199&gt;0,1,0)</f>
        <v>1</v>
      </c>
      <c r="N1199" s="11" t="n">
        <f aca="false">SUMIFS(K$2:K1199,A$2:A1199,A1199,B$2:B1199,B1199)</f>
        <v>6300908</v>
      </c>
      <c r="O1199" s="11" t="n">
        <f aca="false">MAX(0,_xlfn.MAXIFS(N$2:N1199,A$2:A1199,A1199,B$2:B1199,B1199))</f>
        <v>6300908</v>
      </c>
      <c r="P1199" s="11" t="n">
        <f aca="false">N1199-O1199</f>
        <v>0</v>
      </c>
    </row>
    <row r="1200" customFormat="false" ht="15" hidden="false" customHeight="false" outlineLevel="0" collapsed="false">
      <c r="A1200" s="8" t="s">
        <v>45</v>
      </c>
      <c r="B1200" s="8" t="s">
        <v>31</v>
      </c>
      <c r="C1200" s="8" t="s">
        <v>62</v>
      </c>
      <c r="D1200" s="21" t="n">
        <v>46226.7916666667</v>
      </c>
      <c r="E1200" s="21" t="n">
        <v>46227.5916666667</v>
      </c>
      <c r="F1200" s="22" t="n">
        <f aca="false">DATE(YEAR(E1200),MONTH(E1200),1)</f>
        <v>46204</v>
      </c>
      <c r="G1200" s="23" t="n">
        <v>145918</v>
      </c>
      <c r="H1200" s="8" t="s">
        <v>64</v>
      </c>
      <c r="I1200" s="24" t="n">
        <v>220.67</v>
      </c>
      <c r="J1200" s="25" t="n">
        <f aca="false">Summary!$B$4</f>
        <v>1</v>
      </c>
      <c r="K1200" s="11" t="n">
        <f aca="false">I1200*J1200*IF(A1200="SILVER",Summary!$B$5,Summary!$B$6)</f>
        <v>22067</v>
      </c>
      <c r="L1200" s="26" t="n">
        <v>0.085</v>
      </c>
      <c r="M1200" s="27" t="n">
        <f aca="false">IF(K1200&gt;0,1,0)</f>
        <v>1</v>
      </c>
      <c r="N1200" s="11" t="n">
        <f aca="false">SUMIFS(K$2:K1200,A$2:A1200,A1200,B$2:B1200,B1200)</f>
        <v>6322975</v>
      </c>
      <c r="O1200" s="11" t="n">
        <f aca="false">MAX(0,_xlfn.MAXIFS(N$2:N1200,A$2:A1200,A1200,B$2:B1200,B1200))</f>
        <v>6322975</v>
      </c>
      <c r="P1200" s="11" t="n">
        <f aca="false">N1200-O1200</f>
        <v>0</v>
      </c>
    </row>
    <row r="1201" customFormat="false" ht="15" hidden="false" customHeight="false" outlineLevel="0" collapsed="false">
      <c r="A1201" s="8" t="s">
        <v>45</v>
      </c>
      <c r="B1201" s="8" t="s">
        <v>31</v>
      </c>
      <c r="C1201" s="8" t="s">
        <v>60</v>
      </c>
      <c r="D1201" s="21" t="n">
        <v>46268.7916666667</v>
      </c>
      <c r="E1201" s="21" t="n">
        <v>46279.75</v>
      </c>
      <c r="F1201" s="22" t="n">
        <f aca="false">DATE(YEAR(E1201),MONTH(E1201),1)</f>
        <v>46266</v>
      </c>
      <c r="G1201" s="23" t="n">
        <v>155434</v>
      </c>
      <c r="H1201" s="8" t="s">
        <v>61</v>
      </c>
      <c r="I1201" s="24" t="n">
        <v>-4899.6</v>
      </c>
      <c r="J1201" s="25" t="n">
        <f aca="false">Summary!$B$4</f>
        <v>1</v>
      </c>
      <c r="K1201" s="11" t="n">
        <f aca="false">I1201*J1201*IF(A1201="SILVER",Summary!$B$5,Summary!$B$6)</f>
        <v>-489960</v>
      </c>
      <c r="L1201" s="26" t="n">
        <v>-1.073</v>
      </c>
      <c r="M1201" s="27" t="n">
        <f aca="false">IF(K1201&gt;0,1,0)</f>
        <v>0</v>
      </c>
      <c r="N1201" s="11" t="n">
        <f aca="false">SUMIFS(K$2:K1201,A$2:A1201,A1201,B$2:B1201,B1201)</f>
        <v>5833015</v>
      </c>
      <c r="O1201" s="11" t="n">
        <f aca="false">MAX(0,_xlfn.MAXIFS(N$2:N1201,A$2:A1201,A1201,B$2:B1201,B1201))</f>
        <v>6322975</v>
      </c>
      <c r="P1201" s="11" t="n">
        <f aca="false">N1201-O1201</f>
        <v>-489960</v>
      </c>
    </row>
    <row r="1202" customFormat="false" ht="15" hidden="false" customHeight="false" outlineLevel="0" collapsed="false">
      <c r="A1202" s="8" t="s">
        <v>45</v>
      </c>
      <c r="B1202" s="8" t="s">
        <v>31</v>
      </c>
      <c r="C1202" s="8" t="s">
        <v>60</v>
      </c>
      <c r="D1202" s="21" t="n">
        <v>46283.5</v>
      </c>
      <c r="E1202" s="21" t="n">
        <v>46288.9784722222</v>
      </c>
      <c r="F1202" s="22" t="n">
        <f aca="false">DATE(YEAR(E1202),MONTH(E1202),1)</f>
        <v>46266</v>
      </c>
      <c r="G1202" s="23" t="n">
        <v>154040</v>
      </c>
      <c r="H1202" s="8" t="s">
        <v>63</v>
      </c>
      <c r="I1202" s="24" t="n">
        <v>-2720.54</v>
      </c>
      <c r="J1202" s="25" t="n">
        <f aca="false">Summary!$B$4</f>
        <v>1</v>
      </c>
      <c r="K1202" s="11" t="n">
        <f aca="false">I1202*J1202*IF(A1202="SILVER",Summary!$B$5,Summary!$B$6)</f>
        <v>-272054</v>
      </c>
      <c r="L1202" s="26" t="n">
        <v>-0.667</v>
      </c>
      <c r="M1202" s="27" t="n">
        <f aca="false">IF(K1202&gt;0,1,0)</f>
        <v>0</v>
      </c>
      <c r="N1202" s="11" t="n">
        <f aca="false">SUMIFS(K$2:K1202,A$2:A1202,A1202,B$2:B1202,B1202)</f>
        <v>5560961</v>
      </c>
      <c r="O1202" s="11" t="n">
        <f aca="false">MAX(0,_xlfn.MAXIFS(N$2:N1202,A$2:A1202,A1202,B$2:B1202,B1202))</f>
        <v>6322975</v>
      </c>
      <c r="P1202" s="11" t="n">
        <f aca="false">N1202-O1202</f>
        <v>-762014</v>
      </c>
    </row>
    <row r="1203" customFormat="false" ht="15" hidden="false" customHeight="false" outlineLevel="0" collapsed="false">
      <c r="A1203" s="8" t="s">
        <v>45</v>
      </c>
      <c r="B1203" s="8" t="s">
        <v>33</v>
      </c>
      <c r="C1203" s="8" t="s">
        <v>60</v>
      </c>
      <c r="D1203" s="21" t="n">
        <v>45707.625</v>
      </c>
      <c r="E1203" s="21" t="n">
        <v>45713.9166666667</v>
      </c>
      <c r="F1203" s="22" t="n">
        <f aca="false">DATE(YEAR(E1203),MONTH(E1203),1)</f>
        <v>45689</v>
      </c>
      <c r="G1203" s="23" t="n">
        <v>107037</v>
      </c>
      <c r="H1203" s="8" t="s">
        <v>61</v>
      </c>
      <c r="I1203" s="24" t="n">
        <v>-1170.18</v>
      </c>
      <c r="J1203" s="25" t="n">
        <f aca="false">Summary!$B$4</f>
        <v>1</v>
      </c>
      <c r="K1203" s="11" t="n">
        <f aca="false">I1203*J1203*IF(A1203="SILVER",Summary!$B$5,Summary!$B$6)</f>
        <v>-117018</v>
      </c>
      <c r="L1203" s="26" t="n">
        <v>-1.003</v>
      </c>
      <c r="M1203" s="27" t="n">
        <f aca="false">IF(K1203&gt;0,1,0)</f>
        <v>0</v>
      </c>
      <c r="N1203" s="11" t="n">
        <f aca="false">SUMIFS(K$2:K1203,A$2:A1203,A1203,B$2:B1203,B1203)</f>
        <v>-117018</v>
      </c>
      <c r="O1203" s="11" t="n">
        <f aca="false">MAX(0,_xlfn.MAXIFS(N$2:N1203,A$2:A1203,A1203,B$2:B1203,B1203))</f>
        <v>0</v>
      </c>
      <c r="P1203" s="11" t="n">
        <f aca="false">N1203-O1203</f>
        <v>-117018</v>
      </c>
    </row>
    <row r="1204" customFormat="false" ht="15" hidden="false" customHeight="false" outlineLevel="0" collapsed="false">
      <c r="A1204" s="8" t="s">
        <v>45</v>
      </c>
      <c r="B1204" s="8" t="s">
        <v>33</v>
      </c>
      <c r="C1204" s="8" t="s">
        <v>60</v>
      </c>
      <c r="D1204" s="21" t="n">
        <v>45720.5833333333</v>
      </c>
      <c r="E1204" s="21" t="n">
        <v>45737.8333333333</v>
      </c>
      <c r="F1204" s="22" t="n">
        <f aca="false">DATE(YEAR(E1204),MONTH(E1204),1)</f>
        <v>45717</v>
      </c>
      <c r="G1204" s="23" t="n">
        <v>106664</v>
      </c>
      <c r="H1204" s="8" t="s">
        <v>61</v>
      </c>
      <c r="I1204" s="24" t="n">
        <v>1389.64</v>
      </c>
      <c r="J1204" s="25" t="n">
        <f aca="false">Summary!$B$4</f>
        <v>1</v>
      </c>
      <c r="K1204" s="11" t="n">
        <f aca="false">I1204*J1204*IF(A1204="SILVER",Summary!$B$5,Summary!$B$6)</f>
        <v>138964</v>
      </c>
      <c r="L1204" s="26" t="n">
        <v>0.867</v>
      </c>
      <c r="M1204" s="27" t="n">
        <f aca="false">IF(K1204&gt;0,1,0)</f>
        <v>1</v>
      </c>
      <c r="N1204" s="11" t="n">
        <f aca="false">SUMIFS(K$2:K1204,A$2:A1204,A1204,B$2:B1204,B1204)</f>
        <v>21946</v>
      </c>
      <c r="O1204" s="11" t="n">
        <f aca="false">MAX(0,_xlfn.MAXIFS(N$2:N1204,A$2:A1204,A1204,B$2:B1204,B1204))</f>
        <v>21946</v>
      </c>
      <c r="P1204" s="11" t="n">
        <f aca="false">N1204-O1204</f>
        <v>0</v>
      </c>
    </row>
    <row r="1205" customFormat="false" ht="15" hidden="false" customHeight="false" outlineLevel="0" collapsed="false">
      <c r="A1205" s="8" t="s">
        <v>45</v>
      </c>
      <c r="B1205" s="8" t="s">
        <v>33</v>
      </c>
      <c r="C1205" s="8" t="s">
        <v>60</v>
      </c>
      <c r="D1205" s="21" t="n">
        <v>45783.4583333333</v>
      </c>
      <c r="E1205" s="21" t="n">
        <v>45785.4784722222</v>
      </c>
      <c r="F1205" s="22" t="n">
        <f aca="false">DATE(YEAR(E1205),MONTH(E1205),1)</f>
        <v>45778</v>
      </c>
      <c r="G1205" s="23" t="n">
        <v>117143</v>
      </c>
      <c r="H1205" s="8" t="s">
        <v>64</v>
      </c>
      <c r="I1205" s="24" t="n">
        <v>207.41</v>
      </c>
      <c r="J1205" s="25" t="n">
        <f aca="false">Summary!$B$4</f>
        <v>1</v>
      </c>
      <c r="K1205" s="11" t="n">
        <f aca="false">I1205*J1205*IF(A1205="SILVER",Summary!$B$5,Summary!$B$6)</f>
        <v>20741</v>
      </c>
      <c r="L1205" s="26" t="n">
        <v>0.088</v>
      </c>
      <c r="M1205" s="27" t="n">
        <f aca="false">IF(K1205&gt;0,1,0)</f>
        <v>1</v>
      </c>
      <c r="N1205" s="11" t="n">
        <f aca="false">SUMIFS(K$2:K1205,A$2:A1205,A1205,B$2:B1205,B1205)</f>
        <v>42687</v>
      </c>
      <c r="O1205" s="11" t="n">
        <f aca="false">MAX(0,_xlfn.MAXIFS(N$2:N1205,A$2:A1205,A1205,B$2:B1205,B1205))</f>
        <v>42687</v>
      </c>
      <c r="P1205" s="11" t="n">
        <f aca="false">N1205-O1205</f>
        <v>0</v>
      </c>
    </row>
    <row r="1206" customFormat="false" ht="15" hidden="false" customHeight="false" outlineLevel="0" collapsed="false">
      <c r="A1206" s="8" t="s">
        <v>45</v>
      </c>
      <c r="B1206" s="8" t="s">
        <v>33</v>
      </c>
      <c r="C1206" s="8" t="s">
        <v>60</v>
      </c>
      <c r="D1206" s="21" t="n">
        <v>45796.625</v>
      </c>
      <c r="E1206" s="21" t="n">
        <v>45806.4173611111</v>
      </c>
      <c r="F1206" s="22" t="n">
        <f aca="false">DATE(YEAR(E1206),MONTH(E1206),1)</f>
        <v>45778</v>
      </c>
      <c r="G1206" s="23" t="n">
        <v>114770</v>
      </c>
      <c r="H1206" s="8" t="s">
        <v>61</v>
      </c>
      <c r="I1206" s="24" t="n">
        <v>1013.18</v>
      </c>
      <c r="J1206" s="25" t="n">
        <f aca="false">Summary!$B$4</f>
        <v>1</v>
      </c>
      <c r="K1206" s="11" t="n">
        <f aca="false">I1206*J1206*IF(A1206="SILVER",Summary!$B$5,Summary!$B$6)</f>
        <v>101318</v>
      </c>
      <c r="L1206" s="26" t="n">
        <v>0.423</v>
      </c>
      <c r="M1206" s="27" t="n">
        <f aca="false">IF(K1206&gt;0,1,0)</f>
        <v>1</v>
      </c>
      <c r="N1206" s="11" t="n">
        <f aca="false">SUMIFS(K$2:K1206,A$2:A1206,A1206,B$2:B1206,B1206)</f>
        <v>144005</v>
      </c>
      <c r="O1206" s="11" t="n">
        <f aca="false">MAX(0,_xlfn.MAXIFS(N$2:N1206,A$2:A1206,A1206,B$2:B1206,B1206))</f>
        <v>144005</v>
      </c>
      <c r="P1206" s="11" t="n">
        <f aca="false">N1206-O1206</f>
        <v>0</v>
      </c>
    </row>
    <row r="1207" customFormat="false" ht="15" hidden="false" customHeight="false" outlineLevel="0" collapsed="false">
      <c r="A1207" s="8" t="s">
        <v>45</v>
      </c>
      <c r="B1207" s="8" t="s">
        <v>33</v>
      </c>
      <c r="C1207" s="8" t="s">
        <v>60</v>
      </c>
      <c r="D1207" s="21" t="n">
        <v>45820.7083333333</v>
      </c>
      <c r="E1207" s="21" t="n">
        <v>45828.5090277778</v>
      </c>
      <c r="F1207" s="22" t="n">
        <f aca="false">DATE(YEAR(E1207),MONTH(E1207),1)</f>
        <v>45809</v>
      </c>
      <c r="G1207" s="23" t="n">
        <v>118168</v>
      </c>
      <c r="H1207" s="8" t="s">
        <v>64</v>
      </c>
      <c r="I1207" s="24" t="n">
        <v>157.54</v>
      </c>
      <c r="J1207" s="25" t="n">
        <f aca="false">Summary!$B$4</f>
        <v>1</v>
      </c>
      <c r="K1207" s="11" t="n">
        <f aca="false">I1207*J1207*IF(A1207="SILVER",Summary!$B$5,Summary!$B$6)</f>
        <v>15754</v>
      </c>
      <c r="L1207" s="26" t="n">
        <v>0.084</v>
      </c>
      <c r="M1207" s="27" t="n">
        <f aca="false">IF(K1207&gt;0,1,0)</f>
        <v>1</v>
      </c>
      <c r="N1207" s="11" t="n">
        <f aca="false">SUMIFS(K$2:K1207,A$2:A1207,A1207,B$2:B1207,B1207)</f>
        <v>159759</v>
      </c>
      <c r="O1207" s="11" t="n">
        <f aca="false">MAX(0,_xlfn.MAXIFS(N$2:N1207,A$2:A1207,A1207,B$2:B1207,B1207))</f>
        <v>159759</v>
      </c>
      <c r="P1207" s="11" t="n">
        <f aca="false">N1207-O1207</f>
        <v>0</v>
      </c>
    </row>
    <row r="1208" customFormat="false" ht="15" hidden="false" customHeight="false" outlineLevel="0" collapsed="false">
      <c r="A1208" s="8" t="s">
        <v>45</v>
      </c>
      <c r="B1208" s="8" t="s">
        <v>33</v>
      </c>
      <c r="C1208" s="8" t="s">
        <v>60</v>
      </c>
      <c r="D1208" s="21" t="n">
        <v>45849.4583333333</v>
      </c>
      <c r="E1208" s="21" t="n">
        <v>45852.8402777778</v>
      </c>
      <c r="F1208" s="22" t="n">
        <f aca="false">DATE(YEAR(E1208),MONTH(E1208),1)</f>
        <v>45839</v>
      </c>
      <c r="G1208" s="23" t="n">
        <v>117411</v>
      </c>
      <c r="H1208" s="8" t="s">
        <v>64</v>
      </c>
      <c r="I1208" s="24" t="n">
        <v>118.06</v>
      </c>
      <c r="J1208" s="25" t="n">
        <f aca="false">Summary!$B$4</f>
        <v>1</v>
      </c>
      <c r="K1208" s="11" t="n">
        <f aca="false">I1208*J1208*IF(A1208="SILVER",Summary!$B$5,Summary!$B$6)</f>
        <v>11806</v>
      </c>
      <c r="L1208" s="26" t="n">
        <v>0.08</v>
      </c>
      <c r="M1208" s="27" t="n">
        <f aca="false">IF(K1208&gt;0,1,0)</f>
        <v>1</v>
      </c>
      <c r="N1208" s="11" t="n">
        <f aca="false">SUMIFS(K$2:K1208,A$2:A1208,A1208,B$2:B1208,B1208)</f>
        <v>171565</v>
      </c>
      <c r="O1208" s="11" t="n">
        <f aca="false">MAX(0,_xlfn.MAXIFS(N$2:N1208,A$2:A1208,A1208,B$2:B1208,B1208))</f>
        <v>171565</v>
      </c>
      <c r="P1208" s="11" t="n">
        <f aca="false">N1208-O1208</f>
        <v>0</v>
      </c>
    </row>
    <row r="1209" customFormat="false" ht="15" hidden="false" customHeight="false" outlineLevel="0" collapsed="false">
      <c r="A1209" s="8" t="s">
        <v>45</v>
      </c>
      <c r="B1209" s="8" t="s">
        <v>33</v>
      </c>
      <c r="C1209" s="8" t="s">
        <v>60</v>
      </c>
      <c r="D1209" s="21" t="n">
        <v>45859.5</v>
      </c>
      <c r="E1209" s="21" t="n">
        <v>45862.4166666667</v>
      </c>
      <c r="F1209" s="22" t="n">
        <f aca="false">DATE(YEAR(E1209),MONTH(E1209),1)</f>
        <v>45839</v>
      </c>
      <c r="G1209" s="23" t="n">
        <v>118432</v>
      </c>
      <c r="H1209" s="8" t="s">
        <v>61</v>
      </c>
      <c r="I1209" s="24" t="n">
        <v>466.25</v>
      </c>
      <c r="J1209" s="25" t="n">
        <f aca="false">Summary!$B$4</f>
        <v>1</v>
      </c>
      <c r="K1209" s="11" t="n">
        <f aca="false">I1209*J1209*IF(A1209="SILVER",Summary!$B$5,Summary!$B$6)</f>
        <v>46625</v>
      </c>
      <c r="L1209" s="26" t="n">
        <v>0.403</v>
      </c>
      <c r="M1209" s="27" t="n">
        <f aca="false">IF(K1209&gt;0,1,0)</f>
        <v>1</v>
      </c>
      <c r="N1209" s="11" t="n">
        <f aca="false">SUMIFS(K$2:K1209,A$2:A1209,A1209,B$2:B1209,B1209)</f>
        <v>218190</v>
      </c>
      <c r="O1209" s="11" t="n">
        <f aca="false">MAX(0,_xlfn.MAXIFS(N$2:N1209,A$2:A1209,A1209,B$2:B1209,B1209))</f>
        <v>218190</v>
      </c>
      <c r="P1209" s="11" t="n">
        <f aca="false">N1209-O1209</f>
        <v>0</v>
      </c>
    </row>
    <row r="1210" customFormat="false" ht="15" hidden="false" customHeight="false" outlineLevel="0" collapsed="false">
      <c r="A1210" s="8" t="s">
        <v>45</v>
      </c>
      <c r="B1210" s="8" t="s">
        <v>33</v>
      </c>
      <c r="C1210" s="8" t="s">
        <v>60</v>
      </c>
      <c r="D1210" s="21" t="n">
        <v>45868.625</v>
      </c>
      <c r="E1210" s="21" t="n">
        <v>45880.75</v>
      </c>
      <c r="F1210" s="22" t="n">
        <f aca="false">DATE(YEAR(E1210),MONTH(E1210),1)</f>
        <v>45870</v>
      </c>
      <c r="G1210" s="23" t="n">
        <v>118663</v>
      </c>
      <c r="H1210" s="8" t="s">
        <v>61</v>
      </c>
      <c r="I1210" s="24" t="n">
        <v>1479.09</v>
      </c>
      <c r="J1210" s="25" t="n">
        <f aca="false">Summary!$B$4</f>
        <v>1</v>
      </c>
      <c r="K1210" s="11" t="n">
        <f aca="false">I1210*J1210*IF(A1210="SILVER",Summary!$B$5,Summary!$B$6)</f>
        <v>147909</v>
      </c>
      <c r="L1210" s="26" t="n">
        <v>1.108</v>
      </c>
      <c r="M1210" s="27" t="n">
        <f aca="false">IF(K1210&gt;0,1,0)</f>
        <v>1</v>
      </c>
      <c r="N1210" s="11" t="n">
        <f aca="false">SUMIFS(K$2:K1210,A$2:A1210,A1210,B$2:B1210,B1210)</f>
        <v>366099</v>
      </c>
      <c r="O1210" s="11" t="n">
        <f aca="false">MAX(0,_xlfn.MAXIFS(N$2:N1210,A$2:A1210,A1210,B$2:B1210,B1210))</f>
        <v>366099</v>
      </c>
      <c r="P1210" s="11" t="n">
        <f aca="false">N1210-O1210</f>
        <v>0</v>
      </c>
    </row>
    <row r="1211" customFormat="false" ht="15" hidden="false" customHeight="false" outlineLevel="0" collapsed="false">
      <c r="A1211" s="8" t="s">
        <v>45</v>
      </c>
      <c r="B1211" s="8" t="s">
        <v>33</v>
      </c>
      <c r="C1211" s="8" t="s">
        <v>60</v>
      </c>
      <c r="D1211" s="21" t="n">
        <v>45891.875</v>
      </c>
      <c r="E1211" s="21" t="n">
        <v>45918.5</v>
      </c>
      <c r="F1211" s="22" t="n">
        <f aca="false">DATE(YEAR(E1211),MONTH(E1211),1)</f>
        <v>45901</v>
      </c>
      <c r="G1211" s="23" t="n">
        <v>120164</v>
      </c>
      <c r="H1211" s="8" t="s">
        <v>61</v>
      </c>
      <c r="I1211" s="24" t="n">
        <v>8384.08</v>
      </c>
      <c r="J1211" s="25" t="n">
        <f aca="false">Summary!$B$4</f>
        <v>1</v>
      </c>
      <c r="K1211" s="11" t="n">
        <f aca="false">I1211*J1211*IF(A1211="SILVER",Summary!$B$5,Summary!$B$6)</f>
        <v>838408</v>
      </c>
      <c r="L1211" s="26" t="n">
        <v>5.983</v>
      </c>
      <c r="M1211" s="27" t="n">
        <f aca="false">IF(K1211&gt;0,1,0)</f>
        <v>1</v>
      </c>
      <c r="N1211" s="11" t="n">
        <f aca="false">SUMIFS(K$2:K1211,A$2:A1211,A1211,B$2:B1211,B1211)</f>
        <v>1204507</v>
      </c>
      <c r="O1211" s="11" t="n">
        <f aca="false">MAX(0,_xlfn.MAXIFS(N$2:N1211,A$2:A1211,A1211,B$2:B1211,B1211))</f>
        <v>1204507</v>
      </c>
      <c r="P1211" s="11" t="n">
        <f aca="false">N1211-O1211</f>
        <v>0</v>
      </c>
    </row>
    <row r="1212" customFormat="false" ht="15" hidden="false" customHeight="false" outlineLevel="0" collapsed="false">
      <c r="A1212" s="8" t="s">
        <v>45</v>
      </c>
      <c r="B1212" s="8" t="s">
        <v>33</v>
      </c>
      <c r="C1212" s="8" t="s">
        <v>60</v>
      </c>
      <c r="D1212" s="21" t="n">
        <v>45922.5</v>
      </c>
      <c r="E1212" s="21" t="n">
        <v>45939.9583333333</v>
      </c>
      <c r="F1212" s="22" t="n">
        <f aca="false">DATE(YEAR(E1212),MONTH(E1212),1)</f>
        <v>45931</v>
      </c>
      <c r="G1212" s="23" t="n">
        <v>130596</v>
      </c>
      <c r="H1212" s="8" t="s">
        <v>61</v>
      </c>
      <c r="I1212" s="24" t="n">
        <v>8277.72</v>
      </c>
      <c r="J1212" s="25" t="n">
        <f aca="false">Summary!$B$4</f>
        <v>1</v>
      </c>
      <c r="K1212" s="11" t="n">
        <f aca="false">I1212*J1212*IF(A1212="SILVER",Summary!$B$5,Summary!$B$6)</f>
        <v>827772</v>
      </c>
      <c r="L1212" s="26" t="n">
        <v>4.689</v>
      </c>
      <c r="M1212" s="27" t="n">
        <f aca="false">IF(K1212&gt;0,1,0)</f>
        <v>1</v>
      </c>
      <c r="N1212" s="11" t="n">
        <f aca="false">SUMIFS(K$2:K1212,A$2:A1212,A1212,B$2:B1212,B1212)</f>
        <v>2032279</v>
      </c>
      <c r="O1212" s="11" t="n">
        <f aca="false">MAX(0,_xlfn.MAXIFS(N$2:N1212,A$2:A1212,A1212,B$2:B1212,B1212))</f>
        <v>2032279</v>
      </c>
      <c r="P1212" s="11" t="n">
        <f aca="false">N1212-O1212</f>
        <v>0</v>
      </c>
    </row>
    <row r="1213" customFormat="false" ht="15" hidden="false" customHeight="false" outlineLevel="0" collapsed="false">
      <c r="A1213" s="8" t="s">
        <v>45</v>
      </c>
      <c r="B1213" s="8" t="s">
        <v>33</v>
      </c>
      <c r="C1213" s="8" t="s">
        <v>60</v>
      </c>
      <c r="D1213" s="21" t="n">
        <v>45971.5416666667</v>
      </c>
      <c r="E1213" s="21" t="n">
        <v>45975.75</v>
      </c>
      <c r="F1213" s="22" t="n">
        <f aca="false">DATE(YEAR(E1213),MONTH(E1213),1)</f>
        <v>45962</v>
      </c>
      <c r="G1213" s="23" t="n">
        <v>141355</v>
      </c>
      <c r="H1213" s="8" t="s">
        <v>61</v>
      </c>
      <c r="I1213" s="24" t="n">
        <v>1033.28</v>
      </c>
      <c r="J1213" s="25" t="n">
        <f aca="false">Summary!$B$4</f>
        <v>1</v>
      </c>
      <c r="K1213" s="11" t="n">
        <f aca="false">I1213*J1213*IF(A1213="SILVER",Summary!$B$5,Summary!$B$6)</f>
        <v>103328</v>
      </c>
      <c r="L1213" s="26" t="n">
        <v>0.394</v>
      </c>
      <c r="M1213" s="27" t="n">
        <f aca="false">IF(K1213&gt;0,1,0)</f>
        <v>1</v>
      </c>
      <c r="N1213" s="11" t="n">
        <f aca="false">SUMIFS(K$2:K1213,A$2:A1213,A1213,B$2:B1213,B1213)</f>
        <v>2135607</v>
      </c>
      <c r="O1213" s="11" t="n">
        <f aca="false">MAX(0,_xlfn.MAXIFS(N$2:N1213,A$2:A1213,A1213,B$2:B1213,B1213))</f>
        <v>2135607</v>
      </c>
      <c r="P1213" s="11" t="n">
        <f aca="false">N1213-O1213</f>
        <v>0</v>
      </c>
    </row>
    <row r="1214" customFormat="false" ht="15" hidden="false" customHeight="false" outlineLevel="0" collapsed="false">
      <c r="A1214" s="8" t="s">
        <v>45</v>
      </c>
      <c r="B1214" s="8" t="s">
        <v>33</v>
      </c>
      <c r="C1214" s="8" t="s">
        <v>60</v>
      </c>
      <c r="D1214" s="21" t="n">
        <v>46028.4583333333</v>
      </c>
      <c r="E1214" s="21" t="n">
        <v>46044.4166666667</v>
      </c>
      <c r="F1214" s="22" t="n">
        <f aca="false">DATE(YEAR(E1214),MONTH(E1214),1)</f>
        <v>46023</v>
      </c>
      <c r="G1214" s="23" t="n">
        <v>155576</v>
      </c>
      <c r="H1214" s="8" t="s">
        <v>61</v>
      </c>
      <c r="I1214" s="24" t="n">
        <v>10973.17</v>
      </c>
      <c r="J1214" s="25" t="n">
        <f aca="false">Summary!$B$4</f>
        <v>1</v>
      </c>
      <c r="K1214" s="11" t="n">
        <f aca="false">I1214*J1214*IF(A1214="SILVER",Summary!$B$5,Summary!$B$6)</f>
        <v>1097317</v>
      </c>
      <c r="L1214" s="26" t="n">
        <v>3.612</v>
      </c>
      <c r="M1214" s="27" t="n">
        <f aca="false">IF(K1214&gt;0,1,0)</f>
        <v>1</v>
      </c>
      <c r="N1214" s="11" t="n">
        <f aca="false">SUMIFS(K$2:K1214,A$2:A1214,A1214,B$2:B1214,B1214)</f>
        <v>3232924</v>
      </c>
      <c r="O1214" s="11" t="n">
        <f aca="false">MAX(0,_xlfn.MAXIFS(N$2:N1214,A$2:A1214,A1214,B$2:B1214,B1214))</f>
        <v>3232924</v>
      </c>
      <c r="P1214" s="11" t="n">
        <f aca="false">N1214-O1214</f>
        <v>0</v>
      </c>
    </row>
    <row r="1215" customFormat="false" ht="15" hidden="false" customHeight="false" outlineLevel="0" collapsed="false">
      <c r="A1215" s="8" t="s">
        <v>45</v>
      </c>
      <c r="B1215" s="8" t="s">
        <v>33</v>
      </c>
      <c r="C1215" s="8" t="s">
        <v>62</v>
      </c>
      <c r="D1215" s="21" t="n">
        <v>46084.7916666667</v>
      </c>
      <c r="E1215" s="21" t="n">
        <v>46085.375</v>
      </c>
      <c r="F1215" s="22" t="n">
        <f aca="false">DATE(YEAR(E1215),MONTH(E1215),1)</f>
        <v>46082</v>
      </c>
      <c r="G1215" s="23" t="n">
        <v>171063</v>
      </c>
      <c r="H1215" s="8" t="s">
        <v>64</v>
      </c>
      <c r="I1215" s="24" t="n">
        <v>254.3</v>
      </c>
      <c r="J1215" s="25" t="n">
        <f aca="false">Summary!$B$4</f>
        <v>1</v>
      </c>
      <c r="K1215" s="11" t="n">
        <f aca="false">I1215*J1215*IF(A1215="SILVER",Summary!$B$5,Summary!$B$6)</f>
        <v>25430</v>
      </c>
      <c r="L1215" s="26" t="n">
        <v>0.039</v>
      </c>
      <c r="M1215" s="27" t="n">
        <f aca="false">IF(K1215&gt;0,1,0)</f>
        <v>1</v>
      </c>
      <c r="N1215" s="11" t="n">
        <f aca="false">SUMIFS(K$2:K1215,A$2:A1215,A1215,B$2:B1215,B1215)</f>
        <v>3258354</v>
      </c>
      <c r="O1215" s="11" t="n">
        <f aca="false">MAX(0,_xlfn.MAXIFS(N$2:N1215,A$2:A1215,A1215,B$2:B1215,B1215))</f>
        <v>3258354</v>
      </c>
      <c r="P1215" s="11" t="n">
        <f aca="false">N1215-O1215</f>
        <v>0</v>
      </c>
    </row>
    <row r="1216" customFormat="false" ht="15" hidden="false" customHeight="false" outlineLevel="0" collapsed="false">
      <c r="A1216" s="8" t="s">
        <v>45</v>
      </c>
      <c r="B1216" s="8" t="s">
        <v>33</v>
      </c>
      <c r="C1216" s="8" t="s">
        <v>62</v>
      </c>
      <c r="D1216" s="21" t="n">
        <v>46162.4583333333</v>
      </c>
      <c r="E1216" s="21" t="n">
        <v>46188.4166666667</v>
      </c>
      <c r="F1216" s="22" t="n">
        <f aca="false">DATE(YEAR(E1216),MONTH(E1216),1)</f>
        <v>46174</v>
      </c>
      <c r="G1216" s="23" t="n">
        <v>162620</v>
      </c>
      <c r="H1216" s="8" t="s">
        <v>61</v>
      </c>
      <c r="I1216" s="24" t="n">
        <v>6733.23</v>
      </c>
      <c r="J1216" s="25" t="n">
        <f aca="false">Summary!$B$4</f>
        <v>1</v>
      </c>
      <c r="K1216" s="11" t="n">
        <f aca="false">I1216*J1216*IF(A1216="SILVER",Summary!$B$5,Summary!$B$6)</f>
        <v>673323</v>
      </c>
      <c r="L1216" s="26" t="n">
        <v>1.908</v>
      </c>
      <c r="M1216" s="27" t="n">
        <f aca="false">IF(K1216&gt;0,1,0)</f>
        <v>1</v>
      </c>
      <c r="N1216" s="11" t="n">
        <f aca="false">SUMIFS(K$2:K1216,A$2:A1216,A1216,B$2:B1216,B1216)</f>
        <v>3931677</v>
      </c>
      <c r="O1216" s="11" t="n">
        <f aca="false">MAX(0,_xlfn.MAXIFS(N$2:N1216,A$2:A1216,A1216,B$2:B1216,B1216))</f>
        <v>3931677</v>
      </c>
      <c r="P1216" s="11" t="n">
        <f aca="false">N1216-O1216</f>
        <v>0</v>
      </c>
    </row>
    <row r="1217" customFormat="false" ht="15" hidden="false" customHeight="false" outlineLevel="0" collapsed="false">
      <c r="A1217" s="8" t="s">
        <v>45</v>
      </c>
      <c r="B1217" s="8" t="s">
        <v>33</v>
      </c>
      <c r="C1217" s="8" t="s">
        <v>62</v>
      </c>
      <c r="D1217" s="21" t="n">
        <v>46191.625</v>
      </c>
      <c r="E1217" s="21" t="n">
        <v>46204.8333333333</v>
      </c>
      <c r="F1217" s="22" t="n">
        <f aca="false">DATE(YEAR(E1217),MONTH(E1217),1)</f>
        <v>46204</v>
      </c>
      <c r="G1217" s="23" t="n">
        <v>153156</v>
      </c>
      <c r="H1217" s="8" t="s">
        <v>61</v>
      </c>
      <c r="I1217" s="24" t="n">
        <v>5449.44</v>
      </c>
      <c r="J1217" s="25" t="n">
        <f aca="false">Summary!$B$4</f>
        <v>1</v>
      </c>
      <c r="K1217" s="11" t="n">
        <f aca="false">I1217*J1217*IF(A1217="SILVER",Summary!$B$5,Summary!$B$6)</f>
        <v>544944</v>
      </c>
      <c r="L1217" s="26" t="n">
        <v>1.516</v>
      </c>
      <c r="M1217" s="27" t="n">
        <f aca="false">IF(K1217&gt;0,1,0)</f>
        <v>1</v>
      </c>
      <c r="N1217" s="11" t="n">
        <f aca="false">SUMIFS(K$2:K1217,A$2:A1217,A1217,B$2:B1217,B1217)</f>
        <v>4476621</v>
      </c>
      <c r="O1217" s="11" t="n">
        <f aca="false">MAX(0,_xlfn.MAXIFS(N$2:N1217,A$2:A1217,A1217,B$2:B1217,B1217))</f>
        <v>4476621</v>
      </c>
      <c r="P1217" s="11" t="n">
        <f aca="false">N1217-O1217</f>
        <v>0</v>
      </c>
    </row>
    <row r="1218" customFormat="false" ht="15" hidden="false" customHeight="false" outlineLevel="0" collapsed="false">
      <c r="A1218" s="8" t="s">
        <v>45</v>
      </c>
      <c r="B1218" s="8" t="s">
        <v>33</v>
      </c>
      <c r="C1218" s="8" t="s">
        <v>62</v>
      </c>
      <c r="D1218" s="21" t="n">
        <v>46211.6673611111</v>
      </c>
      <c r="E1218" s="21" t="n">
        <v>46217.7506944445</v>
      </c>
      <c r="F1218" s="22" t="n">
        <f aca="false">DATE(YEAR(E1218),MONTH(E1218),1)</f>
        <v>46204</v>
      </c>
      <c r="G1218" s="23" t="n">
        <v>145784</v>
      </c>
      <c r="H1218" s="8" t="s">
        <v>64</v>
      </c>
      <c r="I1218" s="24" t="n">
        <v>292.37</v>
      </c>
      <c r="J1218" s="25" t="n">
        <f aca="false">Summary!$B$4</f>
        <v>1</v>
      </c>
      <c r="K1218" s="11" t="n">
        <f aca="false">I1218*J1218*IF(A1218="SILVER",Summary!$B$5,Summary!$B$6)</f>
        <v>29237</v>
      </c>
      <c r="L1218" s="26" t="n">
        <v>0.088</v>
      </c>
      <c r="M1218" s="27" t="n">
        <f aca="false">IF(K1218&gt;0,1,0)</f>
        <v>1</v>
      </c>
      <c r="N1218" s="11" t="n">
        <f aca="false">SUMIFS(K$2:K1218,A$2:A1218,A1218,B$2:B1218,B1218)</f>
        <v>4505858</v>
      </c>
      <c r="O1218" s="11" t="n">
        <f aca="false">MAX(0,_xlfn.MAXIFS(N$2:N1218,A$2:A1218,A1218,B$2:B1218,B1218))</f>
        <v>4505858</v>
      </c>
      <c r="P1218" s="11" t="n">
        <f aca="false">N1218-O1218</f>
        <v>0</v>
      </c>
    </row>
    <row r="1219" customFormat="false" ht="15" hidden="false" customHeight="false" outlineLevel="0" collapsed="false">
      <c r="A1219" s="8" t="s">
        <v>45</v>
      </c>
      <c r="B1219" s="8" t="s">
        <v>33</v>
      </c>
      <c r="C1219" s="8" t="s">
        <v>62</v>
      </c>
      <c r="D1219" s="21" t="n">
        <v>46226.8333333333</v>
      </c>
      <c r="E1219" s="21" t="n">
        <v>46233.6645833333</v>
      </c>
      <c r="F1219" s="22" t="n">
        <f aca="false">DATE(YEAR(E1219),MONTH(E1219),1)</f>
        <v>46204</v>
      </c>
      <c r="G1219" s="23" t="n">
        <v>145671</v>
      </c>
      <c r="H1219" s="8" t="s">
        <v>64</v>
      </c>
      <c r="I1219" s="24" t="n">
        <v>237.7</v>
      </c>
      <c r="J1219" s="25" t="n">
        <f aca="false">Summary!$B$4</f>
        <v>1</v>
      </c>
      <c r="K1219" s="11" t="n">
        <f aca="false">I1219*J1219*IF(A1219="SILVER",Summary!$B$5,Summary!$B$6)</f>
        <v>23770</v>
      </c>
      <c r="L1219" s="26" t="n">
        <v>0.086</v>
      </c>
      <c r="M1219" s="27" t="n">
        <f aca="false">IF(K1219&gt;0,1,0)</f>
        <v>1</v>
      </c>
      <c r="N1219" s="11" t="n">
        <f aca="false">SUMIFS(K$2:K1219,A$2:A1219,A1219,B$2:B1219,B1219)</f>
        <v>4529628</v>
      </c>
      <c r="O1219" s="11" t="n">
        <f aca="false">MAX(0,_xlfn.MAXIFS(N$2:N1219,A$2:A1219,A1219,B$2:B1219,B1219))</f>
        <v>4529628</v>
      </c>
      <c r="P1219" s="11" t="n">
        <f aca="false">N1219-O1219</f>
        <v>0</v>
      </c>
    </row>
    <row r="1220" customFormat="false" ht="15" hidden="false" customHeight="false" outlineLevel="0" collapsed="false">
      <c r="A1220" s="8" t="s">
        <v>45</v>
      </c>
      <c r="B1220" s="8" t="s">
        <v>33</v>
      </c>
      <c r="C1220" s="8" t="s">
        <v>60</v>
      </c>
      <c r="D1220" s="21" t="n">
        <v>46283.5416666667</v>
      </c>
      <c r="E1220" s="21" t="n">
        <v>46288.9784722222</v>
      </c>
      <c r="F1220" s="22" t="n">
        <f aca="false">DATE(YEAR(E1220),MONTH(E1220),1)</f>
        <v>46266</v>
      </c>
      <c r="G1220" s="23" t="n">
        <v>154270</v>
      </c>
      <c r="H1220" s="8" t="s">
        <v>63</v>
      </c>
      <c r="I1220" s="24" t="n">
        <v>-2950.56</v>
      </c>
      <c r="J1220" s="25" t="n">
        <f aca="false">Summary!$B$4</f>
        <v>1</v>
      </c>
      <c r="K1220" s="11" t="n">
        <f aca="false">I1220*J1220*IF(A1220="SILVER",Summary!$B$5,Summary!$B$6)</f>
        <v>-295056</v>
      </c>
      <c r="L1220" s="26" t="n">
        <v>-0.791</v>
      </c>
      <c r="M1220" s="27" t="n">
        <f aca="false">IF(K1220&gt;0,1,0)</f>
        <v>0</v>
      </c>
      <c r="N1220" s="11" t="n">
        <f aca="false">SUMIFS(K$2:K1220,A$2:A1220,A1220,B$2:B1220,B1220)</f>
        <v>4234572</v>
      </c>
      <c r="O1220" s="11" t="n">
        <f aca="false">MAX(0,_xlfn.MAXIFS(N$2:N1220,A$2:A1220,A1220,B$2:B1220,B1220))</f>
        <v>4529628</v>
      </c>
      <c r="P1220" s="11" t="n">
        <f aca="false">N1220-O1220</f>
        <v>-295056</v>
      </c>
    </row>
    <row r="1221" customFormat="false" ht="15" hidden="false" customHeight="false" outlineLevel="0" collapsed="false">
      <c r="A1221" s="8" t="s">
        <v>45</v>
      </c>
      <c r="B1221" s="8" t="s">
        <v>35</v>
      </c>
      <c r="C1221" s="8" t="s">
        <v>60</v>
      </c>
      <c r="D1221" s="21" t="n">
        <v>45701.4166666667</v>
      </c>
      <c r="E1221" s="21" t="n">
        <v>45702.875</v>
      </c>
      <c r="F1221" s="22" t="n">
        <f aca="false">DATE(YEAR(E1221),MONTH(E1221),1)</f>
        <v>45689</v>
      </c>
      <c r="G1221" s="23" t="n">
        <v>106410</v>
      </c>
      <c r="H1221" s="8" t="s">
        <v>61</v>
      </c>
      <c r="I1221" s="24" t="n">
        <v>-896.08</v>
      </c>
      <c r="J1221" s="25" t="n">
        <f aca="false">Summary!$B$4</f>
        <v>1</v>
      </c>
      <c r="K1221" s="11" t="n">
        <f aca="false">I1221*J1221*IF(A1221="SILVER",Summary!$B$5,Summary!$B$6)</f>
        <v>-89608</v>
      </c>
      <c r="L1221" s="26" t="n">
        <v>-0.786</v>
      </c>
      <c r="M1221" s="27" t="n">
        <f aca="false">IF(K1221&gt;0,1,0)</f>
        <v>0</v>
      </c>
      <c r="N1221" s="11" t="n">
        <f aca="false">SUMIFS(K$2:K1221,A$2:A1221,A1221,B$2:B1221,B1221)</f>
        <v>-89608</v>
      </c>
      <c r="O1221" s="11" t="n">
        <f aca="false">MAX(0,_xlfn.MAXIFS(N$2:N1221,A$2:A1221,A1221,B$2:B1221,B1221))</f>
        <v>0</v>
      </c>
      <c r="P1221" s="11" t="n">
        <f aca="false">N1221-O1221</f>
        <v>-89608</v>
      </c>
    </row>
    <row r="1222" customFormat="false" ht="15" hidden="false" customHeight="false" outlineLevel="0" collapsed="false">
      <c r="A1222" s="8" t="s">
        <v>45</v>
      </c>
      <c r="B1222" s="8" t="s">
        <v>35</v>
      </c>
      <c r="C1222" s="8" t="s">
        <v>60</v>
      </c>
      <c r="D1222" s="21" t="n">
        <v>45706.8333333333</v>
      </c>
      <c r="E1222" s="21" t="n">
        <v>45707.9854166667</v>
      </c>
      <c r="F1222" s="22" t="n">
        <f aca="false">DATE(YEAR(E1222),MONTH(E1222),1)</f>
        <v>45689</v>
      </c>
      <c r="G1222" s="23" t="n">
        <v>106372</v>
      </c>
      <c r="H1222" s="8" t="s">
        <v>64</v>
      </c>
      <c r="I1222" s="24" t="n">
        <v>55.99</v>
      </c>
      <c r="J1222" s="25" t="n">
        <f aca="false">Summary!$B$4</f>
        <v>1</v>
      </c>
      <c r="K1222" s="11" t="n">
        <f aca="false">I1222*J1222*IF(A1222="SILVER",Summary!$B$5,Summary!$B$6)</f>
        <v>5599</v>
      </c>
      <c r="L1222" s="26" t="n">
        <v>0.067</v>
      </c>
      <c r="M1222" s="27" t="n">
        <f aca="false">IF(K1222&gt;0,1,0)</f>
        <v>1</v>
      </c>
      <c r="N1222" s="11" t="n">
        <f aca="false">SUMIFS(K$2:K1222,A$2:A1222,A1222,B$2:B1222,B1222)</f>
        <v>-84009</v>
      </c>
      <c r="O1222" s="11" t="n">
        <f aca="false">MAX(0,_xlfn.MAXIFS(N$2:N1222,A$2:A1222,A1222,B$2:B1222,B1222))</f>
        <v>0</v>
      </c>
      <c r="P1222" s="11" t="n">
        <f aca="false">N1222-O1222</f>
        <v>-84009</v>
      </c>
    </row>
    <row r="1223" customFormat="false" ht="15" hidden="false" customHeight="false" outlineLevel="0" collapsed="false">
      <c r="A1223" s="8" t="s">
        <v>45</v>
      </c>
      <c r="B1223" s="8" t="s">
        <v>35</v>
      </c>
      <c r="C1223" s="8" t="s">
        <v>60</v>
      </c>
      <c r="D1223" s="21" t="n">
        <v>45719.875</v>
      </c>
      <c r="E1223" s="21" t="n">
        <v>45721.8055555556</v>
      </c>
      <c r="F1223" s="22" t="n">
        <f aca="false">DATE(YEAR(E1223),MONTH(E1223),1)</f>
        <v>45717</v>
      </c>
      <c r="G1223" s="23" t="n">
        <v>105861</v>
      </c>
      <c r="H1223" s="8" t="s">
        <v>64</v>
      </c>
      <c r="I1223" s="24" t="n">
        <v>83.56</v>
      </c>
      <c r="J1223" s="25" t="n">
        <f aca="false">Summary!$B$4</f>
        <v>1</v>
      </c>
      <c r="K1223" s="11" t="n">
        <f aca="false">I1223*J1223*IF(A1223="SILVER",Summary!$B$5,Summary!$B$6)</f>
        <v>8356</v>
      </c>
      <c r="L1223" s="26" t="n">
        <v>0.076</v>
      </c>
      <c r="M1223" s="27" t="n">
        <f aca="false">IF(K1223&gt;0,1,0)</f>
        <v>1</v>
      </c>
      <c r="N1223" s="11" t="n">
        <f aca="false">SUMIFS(K$2:K1223,A$2:A1223,A1223,B$2:B1223,B1223)</f>
        <v>-75653</v>
      </c>
      <c r="O1223" s="11" t="n">
        <f aca="false">MAX(0,_xlfn.MAXIFS(N$2:N1223,A$2:A1223,A1223,B$2:B1223,B1223))</f>
        <v>0</v>
      </c>
      <c r="P1223" s="11" t="n">
        <f aca="false">N1223-O1223</f>
        <v>-75653</v>
      </c>
    </row>
    <row r="1224" customFormat="false" ht="15" hidden="false" customHeight="false" outlineLevel="0" collapsed="false">
      <c r="A1224" s="8" t="s">
        <v>45</v>
      </c>
      <c r="B1224" s="8" t="s">
        <v>35</v>
      </c>
      <c r="C1224" s="8" t="s">
        <v>60</v>
      </c>
      <c r="D1224" s="21" t="n">
        <v>45743.4166666667</v>
      </c>
      <c r="E1224" s="21" t="n">
        <v>45750.6861111111</v>
      </c>
      <c r="F1224" s="22" t="n">
        <f aca="false">DATE(YEAR(E1224),MONTH(E1224),1)</f>
        <v>45748</v>
      </c>
      <c r="G1224" s="23" t="n">
        <v>108663</v>
      </c>
      <c r="H1224" s="8" t="s">
        <v>61</v>
      </c>
      <c r="I1224" s="24" t="n">
        <v>1771.18</v>
      </c>
      <c r="J1224" s="25" t="n">
        <f aca="false">Summary!$B$4</f>
        <v>1</v>
      </c>
      <c r="K1224" s="11" t="n">
        <f aca="false">I1224*J1224*IF(A1224="SILVER",Summary!$B$5,Summary!$B$6)</f>
        <v>177118</v>
      </c>
      <c r="L1224" s="26" t="n">
        <v>2.017</v>
      </c>
      <c r="M1224" s="27" t="n">
        <f aca="false">IF(K1224&gt;0,1,0)</f>
        <v>1</v>
      </c>
      <c r="N1224" s="11" t="n">
        <f aca="false">SUMIFS(K$2:K1224,A$2:A1224,A1224,B$2:B1224,B1224)</f>
        <v>101465</v>
      </c>
      <c r="O1224" s="11" t="n">
        <f aca="false">MAX(0,_xlfn.MAXIFS(N$2:N1224,A$2:A1224,A1224,B$2:B1224,B1224))</f>
        <v>101465</v>
      </c>
      <c r="P1224" s="11" t="n">
        <f aca="false">N1224-O1224</f>
        <v>0</v>
      </c>
    </row>
    <row r="1225" customFormat="false" ht="15" hidden="false" customHeight="false" outlineLevel="0" collapsed="false">
      <c r="A1225" s="8" t="s">
        <v>45</v>
      </c>
      <c r="B1225" s="8" t="s">
        <v>35</v>
      </c>
      <c r="C1225" s="8" t="s">
        <v>60</v>
      </c>
      <c r="D1225" s="21" t="n">
        <v>45756.5</v>
      </c>
      <c r="E1225" s="21" t="n">
        <v>45764.875</v>
      </c>
      <c r="F1225" s="22" t="n">
        <f aca="false">DATE(YEAR(E1225),MONTH(E1225),1)</f>
        <v>45748</v>
      </c>
      <c r="G1225" s="23" t="n">
        <v>110226</v>
      </c>
      <c r="H1225" s="8" t="s">
        <v>61</v>
      </c>
      <c r="I1225" s="24" t="n">
        <v>5457.64</v>
      </c>
      <c r="J1225" s="25" t="n">
        <f aca="false">Summary!$B$4</f>
        <v>1</v>
      </c>
      <c r="K1225" s="11" t="n">
        <f aca="false">I1225*J1225*IF(A1225="SILVER",Summary!$B$5,Summary!$B$6)</f>
        <v>545764</v>
      </c>
      <c r="L1225" s="26" t="n">
        <v>2.773</v>
      </c>
      <c r="M1225" s="27" t="n">
        <f aca="false">IF(K1225&gt;0,1,0)</f>
        <v>1</v>
      </c>
      <c r="N1225" s="11" t="n">
        <f aca="false">SUMIFS(K$2:K1225,A$2:A1225,A1225,B$2:B1225,B1225)</f>
        <v>647229</v>
      </c>
      <c r="O1225" s="11" t="n">
        <f aca="false">MAX(0,_xlfn.MAXIFS(N$2:N1225,A$2:A1225,A1225,B$2:B1225,B1225))</f>
        <v>647229</v>
      </c>
      <c r="P1225" s="11" t="n">
        <f aca="false">N1225-O1225</f>
        <v>0</v>
      </c>
    </row>
    <row r="1226" customFormat="false" ht="15" hidden="false" customHeight="false" outlineLevel="0" collapsed="false">
      <c r="A1226" s="8" t="s">
        <v>45</v>
      </c>
      <c r="B1226" s="8" t="s">
        <v>35</v>
      </c>
      <c r="C1226" s="8" t="s">
        <v>60</v>
      </c>
      <c r="D1226" s="21" t="n">
        <v>45768.4166666667</v>
      </c>
      <c r="E1226" s="21" t="n">
        <v>45769.9166666667</v>
      </c>
      <c r="F1226" s="22" t="n">
        <f aca="false">DATE(YEAR(E1226),MONTH(E1226),1)</f>
        <v>45748</v>
      </c>
      <c r="G1226" s="23" t="n">
        <v>117619</v>
      </c>
      <c r="H1226" s="8" t="s">
        <v>61</v>
      </c>
      <c r="I1226" s="24" t="n">
        <v>404.67</v>
      </c>
      <c r="J1226" s="25" t="n">
        <f aca="false">Summary!$B$4</f>
        <v>1</v>
      </c>
      <c r="K1226" s="11" t="n">
        <f aca="false">I1226*J1226*IF(A1226="SILVER",Summary!$B$5,Summary!$B$6)</f>
        <v>40467</v>
      </c>
      <c r="L1226" s="26" t="n">
        <v>0.263</v>
      </c>
      <c r="M1226" s="27" t="n">
        <f aca="false">IF(K1226&gt;0,1,0)</f>
        <v>1</v>
      </c>
      <c r="N1226" s="11" t="n">
        <f aca="false">SUMIFS(K$2:K1226,A$2:A1226,A1226,B$2:B1226,B1226)</f>
        <v>687696</v>
      </c>
      <c r="O1226" s="11" t="n">
        <f aca="false">MAX(0,_xlfn.MAXIFS(N$2:N1226,A$2:A1226,A1226,B$2:B1226,B1226))</f>
        <v>687696</v>
      </c>
      <c r="P1226" s="11" t="n">
        <f aca="false">N1226-O1226</f>
        <v>0</v>
      </c>
    </row>
    <row r="1227" customFormat="false" ht="15" hidden="false" customHeight="false" outlineLevel="0" collapsed="false">
      <c r="A1227" s="8" t="s">
        <v>45</v>
      </c>
      <c r="B1227" s="8" t="s">
        <v>35</v>
      </c>
      <c r="C1227" s="8" t="s">
        <v>60</v>
      </c>
      <c r="D1227" s="21" t="n">
        <v>45775.9583333333</v>
      </c>
      <c r="E1227" s="21" t="n">
        <v>45777.5833333333</v>
      </c>
      <c r="F1227" s="22" t="n">
        <f aca="false">DATE(YEAR(E1227),MONTH(E1227),1)</f>
        <v>45748</v>
      </c>
      <c r="G1227" s="23" t="n">
        <v>117102</v>
      </c>
      <c r="H1227" s="8" t="s">
        <v>61</v>
      </c>
      <c r="I1227" s="24" t="n">
        <v>-1659.03</v>
      </c>
      <c r="J1227" s="25" t="n">
        <f aca="false">Summary!$B$4</f>
        <v>1</v>
      </c>
      <c r="K1227" s="11" t="n">
        <f aca="false">I1227*J1227*IF(A1227="SILVER",Summary!$B$5,Summary!$B$6)</f>
        <v>-165903</v>
      </c>
      <c r="L1227" s="26" t="n">
        <v>-0.953</v>
      </c>
      <c r="M1227" s="27" t="n">
        <f aca="false">IF(K1227&gt;0,1,0)</f>
        <v>0</v>
      </c>
      <c r="N1227" s="11" t="n">
        <f aca="false">SUMIFS(K$2:K1227,A$2:A1227,A1227,B$2:B1227,B1227)</f>
        <v>521793</v>
      </c>
      <c r="O1227" s="11" t="n">
        <f aca="false">MAX(0,_xlfn.MAXIFS(N$2:N1227,A$2:A1227,A1227,B$2:B1227,B1227))</f>
        <v>687696</v>
      </c>
      <c r="P1227" s="11" t="n">
        <f aca="false">N1227-O1227</f>
        <v>-165903</v>
      </c>
    </row>
    <row r="1228" customFormat="false" ht="15" hidden="false" customHeight="false" outlineLevel="0" collapsed="false">
      <c r="A1228" s="8" t="s">
        <v>45</v>
      </c>
      <c r="B1228" s="8" t="s">
        <v>35</v>
      </c>
      <c r="C1228" s="8" t="s">
        <v>60</v>
      </c>
      <c r="D1228" s="21" t="n">
        <v>45782.625</v>
      </c>
      <c r="E1228" s="21" t="n">
        <v>45785.5</v>
      </c>
      <c r="F1228" s="22" t="n">
        <f aca="false">DATE(YEAR(E1228),MONTH(E1228),1)</f>
        <v>45778</v>
      </c>
      <c r="G1228" s="23" t="n">
        <v>115542</v>
      </c>
      <c r="H1228" s="8" t="s">
        <v>61</v>
      </c>
      <c r="I1228" s="24" t="n">
        <v>1472.98</v>
      </c>
      <c r="J1228" s="25" t="n">
        <f aca="false">Summary!$B$4</f>
        <v>1</v>
      </c>
      <c r="K1228" s="11" t="n">
        <f aca="false">I1228*J1228*IF(A1228="SILVER",Summary!$B$5,Summary!$B$6)</f>
        <v>147298</v>
      </c>
      <c r="L1228" s="26" t="n">
        <v>0.675</v>
      </c>
      <c r="M1228" s="27" t="n">
        <f aca="false">IF(K1228&gt;0,1,0)</f>
        <v>1</v>
      </c>
      <c r="N1228" s="11" t="n">
        <f aca="false">SUMIFS(K$2:K1228,A$2:A1228,A1228,B$2:B1228,B1228)</f>
        <v>669091</v>
      </c>
      <c r="O1228" s="11" t="n">
        <f aca="false">MAX(0,_xlfn.MAXIFS(N$2:N1228,A$2:A1228,A1228,B$2:B1228,B1228))</f>
        <v>687696</v>
      </c>
      <c r="P1228" s="11" t="n">
        <f aca="false">N1228-O1228</f>
        <v>-18605</v>
      </c>
    </row>
    <row r="1229" customFormat="false" ht="15" hidden="false" customHeight="false" outlineLevel="0" collapsed="false">
      <c r="A1229" s="8" t="s">
        <v>45</v>
      </c>
      <c r="B1229" s="8" t="s">
        <v>35</v>
      </c>
      <c r="C1229" s="8" t="s">
        <v>60</v>
      </c>
      <c r="D1229" s="21" t="n">
        <v>45792.8333333333</v>
      </c>
      <c r="E1229" s="21" t="n">
        <v>45796.3993055556</v>
      </c>
      <c r="F1229" s="22" t="n">
        <f aca="false">DATE(YEAR(E1229),MONTH(E1229),1)</f>
        <v>45778</v>
      </c>
      <c r="G1229" s="23" t="n">
        <v>113948</v>
      </c>
      <c r="H1229" s="8" t="s">
        <v>64</v>
      </c>
      <c r="I1229" s="24" t="n">
        <v>149.3</v>
      </c>
      <c r="J1229" s="25" t="n">
        <f aca="false">Summary!$B$4</f>
        <v>1</v>
      </c>
      <c r="K1229" s="11" t="n">
        <f aca="false">I1229*J1229*IF(A1229="SILVER",Summary!$B$5,Summary!$B$6)</f>
        <v>14930</v>
      </c>
      <c r="L1229" s="26" t="n">
        <v>0.084</v>
      </c>
      <c r="M1229" s="27" t="n">
        <f aca="false">IF(K1229&gt;0,1,0)</f>
        <v>1</v>
      </c>
      <c r="N1229" s="11" t="n">
        <f aca="false">SUMIFS(K$2:K1229,A$2:A1229,A1229,B$2:B1229,B1229)</f>
        <v>684021</v>
      </c>
      <c r="O1229" s="11" t="n">
        <f aca="false">MAX(0,_xlfn.MAXIFS(N$2:N1229,A$2:A1229,A1229,B$2:B1229,B1229))</f>
        <v>687696</v>
      </c>
      <c r="P1229" s="11" t="n">
        <f aca="false">N1229-O1229</f>
        <v>-3675</v>
      </c>
    </row>
    <row r="1230" customFormat="false" ht="15" hidden="false" customHeight="false" outlineLevel="0" collapsed="false">
      <c r="A1230" s="8" t="s">
        <v>45</v>
      </c>
      <c r="B1230" s="8" t="s">
        <v>35</v>
      </c>
      <c r="C1230" s="8" t="s">
        <v>60</v>
      </c>
      <c r="D1230" s="21" t="n">
        <v>45806.9166666667</v>
      </c>
      <c r="E1230" s="21" t="n">
        <v>45813.9520833333</v>
      </c>
      <c r="F1230" s="22" t="n">
        <f aca="false">DATE(YEAR(E1230),MONTH(E1230),1)</f>
        <v>45809</v>
      </c>
      <c r="G1230" s="23" t="n">
        <v>116759</v>
      </c>
      <c r="H1230" s="8" t="s">
        <v>61</v>
      </c>
      <c r="I1230" s="24" t="n">
        <v>1343.78</v>
      </c>
      <c r="J1230" s="25" t="n">
        <f aca="false">Summary!$B$4</f>
        <v>1</v>
      </c>
      <c r="K1230" s="11" t="n">
        <f aca="false">I1230*J1230*IF(A1230="SILVER",Summary!$B$5,Summary!$B$6)</f>
        <v>134378</v>
      </c>
      <c r="L1230" s="26" t="n">
        <v>1.325</v>
      </c>
      <c r="M1230" s="27" t="n">
        <f aca="false">IF(K1230&gt;0,1,0)</f>
        <v>1</v>
      </c>
      <c r="N1230" s="11" t="n">
        <f aca="false">SUMIFS(K$2:K1230,A$2:A1230,A1230,B$2:B1230,B1230)</f>
        <v>818399</v>
      </c>
      <c r="O1230" s="11" t="n">
        <f aca="false">MAX(0,_xlfn.MAXIFS(N$2:N1230,A$2:A1230,A1230,B$2:B1230,B1230))</f>
        <v>818399</v>
      </c>
      <c r="P1230" s="11" t="n">
        <f aca="false">N1230-O1230</f>
        <v>0</v>
      </c>
    </row>
    <row r="1231" customFormat="false" ht="15" hidden="false" customHeight="false" outlineLevel="0" collapsed="false">
      <c r="A1231" s="8" t="s">
        <v>45</v>
      </c>
      <c r="B1231" s="8" t="s">
        <v>35</v>
      </c>
      <c r="C1231" s="8" t="s">
        <v>60</v>
      </c>
      <c r="D1231" s="21" t="n">
        <v>45820.4166666667</v>
      </c>
      <c r="E1231" s="21" t="n">
        <v>45824.8333333333</v>
      </c>
      <c r="F1231" s="22" t="n">
        <f aca="false">DATE(YEAR(E1231),MONTH(E1231),1)</f>
        <v>45809</v>
      </c>
      <c r="G1231" s="23" t="n">
        <v>117884</v>
      </c>
      <c r="H1231" s="8" t="s">
        <v>61</v>
      </c>
      <c r="I1231" s="24" t="n">
        <v>839.31</v>
      </c>
      <c r="J1231" s="25" t="n">
        <f aca="false">Summary!$B$4</f>
        <v>1</v>
      </c>
      <c r="K1231" s="11" t="n">
        <f aca="false">I1231*J1231*IF(A1231="SILVER",Summary!$B$5,Summary!$B$6)</f>
        <v>83931</v>
      </c>
      <c r="L1231" s="26" t="n">
        <v>0.607</v>
      </c>
      <c r="M1231" s="27" t="n">
        <f aca="false">IF(K1231&gt;0,1,0)</f>
        <v>1</v>
      </c>
      <c r="N1231" s="11" t="n">
        <f aca="false">SUMIFS(K$2:K1231,A$2:A1231,A1231,B$2:B1231,B1231)</f>
        <v>902330</v>
      </c>
      <c r="O1231" s="11" t="n">
        <f aca="false">MAX(0,_xlfn.MAXIFS(N$2:N1231,A$2:A1231,A1231,B$2:B1231,B1231))</f>
        <v>902330</v>
      </c>
      <c r="P1231" s="11" t="n">
        <f aca="false">N1231-O1231</f>
        <v>0</v>
      </c>
    </row>
    <row r="1232" customFormat="false" ht="15" hidden="false" customHeight="false" outlineLevel="0" collapsed="false">
      <c r="A1232" s="8" t="s">
        <v>45</v>
      </c>
      <c r="B1232" s="8" t="s">
        <v>35</v>
      </c>
      <c r="C1232" s="8" t="s">
        <v>60</v>
      </c>
      <c r="D1232" s="21" t="n">
        <v>45831.875</v>
      </c>
      <c r="E1232" s="21" t="n">
        <v>45832.4166666667</v>
      </c>
      <c r="F1232" s="22" t="n">
        <f aca="false">DATE(YEAR(E1232),MONTH(E1232),1)</f>
        <v>45809</v>
      </c>
      <c r="G1232" s="23" t="n">
        <v>119574</v>
      </c>
      <c r="H1232" s="8" t="s">
        <v>61</v>
      </c>
      <c r="I1232" s="24" t="n">
        <v>-1526.78</v>
      </c>
      <c r="J1232" s="25" t="n">
        <f aca="false">Summary!$B$4</f>
        <v>1</v>
      </c>
      <c r="K1232" s="11" t="n">
        <f aca="false">I1232*J1232*IF(A1232="SILVER",Summary!$B$5,Summary!$B$6)</f>
        <v>-152678</v>
      </c>
      <c r="L1232" s="26" t="n">
        <v>-1.313</v>
      </c>
      <c r="M1232" s="27" t="n">
        <f aca="false">IF(K1232&gt;0,1,0)</f>
        <v>0</v>
      </c>
      <c r="N1232" s="11" t="n">
        <f aca="false">SUMIFS(K$2:K1232,A$2:A1232,A1232,B$2:B1232,B1232)</f>
        <v>749652</v>
      </c>
      <c r="O1232" s="11" t="n">
        <f aca="false">MAX(0,_xlfn.MAXIFS(N$2:N1232,A$2:A1232,A1232,B$2:B1232,B1232))</f>
        <v>902330</v>
      </c>
      <c r="P1232" s="11" t="n">
        <f aca="false">N1232-O1232</f>
        <v>-152678</v>
      </c>
    </row>
    <row r="1233" customFormat="false" ht="15" hidden="false" customHeight="false" outlineLevel="0" collapsed="false">
      <c r="A1233" s="8" t="s">
        <v>45</v>
      </c>
      <c r="B1233" s="8" t="s">
        <v>35</v>
      </c>
      <c r="C1233" s="8" t="s">
        <v>60</v>
      </c>
      <c r="D1233" s="21" t="n">
        <v>45839.4166666667</v>
      </c>
      <c r="E1233" s="21" t="n">
        <v>45841.7513888889</v>
      </c>
      <c r="F1233" s="22" t="n">
        <f aca="false">DATE(YEAR(E1233),MONTH(E1233),1)</f>
        <v>45839</v>
      </c>
      <c r="G1233" s="23" t="n">
        <v>116692</v>
      </c>
      <c r="H1233" s="8" t="s">
        <v>64</v>
      </c>
      <c r="I1233" s="24" t="n">
        <v>89.79</v>
      </c>
      <c r="J1233" s="25" t="n">
        <f aca="false">Summary!$B$4</f>
        <v>1</v>
      </c>
      <c r="K1233" s="11" t="n">
        <f aca="false">I1233*J1233*IF(A1233="SILVER",Summary!$B$5,Summary!$B$6)</f>
        <v>8979</v>
      </c>
      <c r="L1233" s="26" t="n">
        <v>0.075</v>
      </c>
      <c r="M1233" s="27" t="n">
        <f aca="false">IF(K1233&gt;0,1,0)</f>
        <v>1</v>
      </c>
      <c r="N1233" s="11" t="n">
        <f aca="false">SUMIFS(K$2:K1233,A$2:A1233,A1233,B$2:B1233,B1233)</f>
        <v>758631</v>
      </c>
      <c r="O1233" s="11" t="n">
        <f aca="false">MAX(0,_xlfn.MAXIFS(N$2:N1233,A$2:A1233,A1233,B$2:B1233,B1233))</f>
        <v>902330</v>
      </c>
      <c r="P1233" s="11" t="n">
        <f aca="false">N1233-O1233</f>
        <v>-143699</v>
      </c>
    </row>
    <row r="1234" customFormat="false" ht="15" hidden="false" customHeight="false" outlineLevel="0" collapsed="false">
      <c r="A1234" s="8" t="s">
        <v>45</v>
      </c>
      <c r="B1234" s="8" t="s">
        <v>35</v>
      </c>
      <c r="C1234" s="8" t="s">
        <v>60</v>
      </c>
      <c r="D1234" s="21" t="n">
        <v>45845.9583333333</v>
      </c>
      <c r="E1234" s="21" t="n">
        <v>45846.8333333333</v>
      </c>
      <c r="F1234" s="22" t="n">
        <f aca="false">DATE(YEAR(E1234),MONTH(E1234),1)</f>
        <v>45839</v>
      </c>
      <c r="G1234" s="23" t="n">
        <v>117172</v>
      </c>
      <c r="H1234" s="8" t="s">
        <v>61</v>
      </c>
      <c r="I1234" s="24" t="n">
        <v>-872.37</v>
      </c>
      <c r="J1234" s="25" t="n">
        <f aca="false">Summary!$B$4</f>
        <v>1</v>
      </c>
      <c r="K1234" s="11" t="n">
        <f aca="false">I1234*J1234*IF(A1234="SILVER",Summary!$B$5,Summary!$B$6)</f>
        <v>-87237</v>
      </c>
      <c r="L1234" s="26" t="n">
        <v>-0.924</v>
      </c>
      <c r="M1234" s="27" t="n">
        <f aca="false">IF(K1234&gt;0,1,0)</f>
        <v>0</v>
      </c>
      <c r="N1234" s="11" t="n">
        <f aca="false">SUMIFS(K$2:K1234,A$2:A1234,A1234,B$2:B1234,B1234)</f>
        <v>671394</v>
      </c>
      <c r="O1234" s="11" t="n">
        <f aca="false">MAX(0,_xlfn.MAXIFS(N$2:N1234,A$2:A1234,A1234,B$2:B1234,B1234))</f>
        <v>902330</v>
      </c>
      <c r="P1234" s="11" t="n">
        <f aca="false">N1234-O1234</f>
        <v>-230936</v>
      </c>
    </row>
    <row r="1235" customFormat="false" ht="15" hidden="false" customHeight="false" outlineLevel="0" collapsed="false">
      <c r="A1235" s="8" t="s">
        <v>45</v>
      </c>
      <c r="B1235" s="8" t="s">
        <v>35</v>
      </c>
      <c r="C1235" s="8" t="s">
        <v>60</v>
      </c>
      <c r="D1235" s="21" t="n">
        <v>45848.5416666667</v>
      </c>
      <c r="E1235" s="21" t="n">
        <v>45853.7916666667</v>
      </c>
      <c r="F1235" s="22" t="n">
        <f aca="false">DATE(YEAR(E1235),MONTH(E1235),1)</f>
        <v>45839</v>
      </c>
      <c r="G1235" s="23" t="n">
        <v>116693</v>
      </c>
      <c r="H1235" s="8" t="s">
        <v>61</v>
      </c>
      <c r="I1235" s="24" t="n">
        <v>563.58</v>
      </c>
      <c r="J1235" s="25" t="n">
        <f aca="false">Summary!$B$4</f>
        <v>1</v>
      </c>
      <c r="K1235" s="11" t="n">
        <f aca="false">I1235*J1235*IF(A1235="SILVER",Summary!$B$5,Summary!$B$6)</f>
        <v>56358</v>
      </c>
      <c r="L1235" s="26" t="n">
        <v>0.684</v>
      </c>
      <c r="M1235" s="27" t="n">
        <f aca="false">IF(K1235&gt;0,1,0)</f>
        <v>1</v>
      </c>
      <c r="N1235" s="11" t="n">
        <f aca="false">SUMIFS(K$2:K1235,A$2:A1235,A1235,B$2:B1235,B1235)</f>
        <v>727752</v>
      </c>
      <c r="O1235" s="11" t="n">
        <f aca="false">MAX(0,_xlfn.MAXIFS(N$2:N1235,A$2:A1235,A1235,B$2:B1235,B1235))</f>
        <v>902330</v>
      </c>
      <c r="P1235" s="11" t="n">
        <f aca="false">N1235-O1235</f>
        <v>-174578</v>
      </c>
    </row>
    <row r="1236" customFormat="false" ht="15" hidden="false" customHeight="false" outlineLevel="0" collapsed="false">
      <c r="A1236" s="8" t="s">
        <v>45</v>
      </c>
      <c r="B1236" s="8" t="s">
        <v>35</v>
      </c>
      <c r="C1236" s="8" t="s">
        <v>60</v>
      </c>
      <c r="D1236" s="21" t="n">
        <v>45856.75</v>
      </c>
      <c r="E1236" s="21" t="n">
        <v>45861.9166666667</v>
      </c>
      <c r="F1236" s="22" t="n">
        <f aca="false">DATE(YEAR(E1236),MONTH(E1236),1)</f>
        <v>45839</v>
      </c>
      <c r="G1236" s="23" t="n">
        <v>117985</v>
      </c>
      <c r="H1236" s="8" t="s">
        <v>61</v>
      </c>
      <c r="I1236" s="24" t="n">
        <v>1168.26</v>
      </c>
      <c r="J1236" s="25" t="n">
        <f aca="false">Summary!$B$4</f>
        <v>1</v>
      </c>
      <c r="K1236" s="11" t="n">
        <f aca="false">I1236*J1236*IF(A1236="SILVER",Summary!$B$5,Summary!$B$6)</f>
        <v>116826</v>
      </c>
      <c r="L1236" s="26" t="n">
        <v>1.353</v>
      </c>
      <c r="M1236" s="27" t="n">
        <f aca="false">IF(K1236&gt;0,1,0)</f>
        <v>1</v>
      </c>
      <c r="N1236" s="11" t="n">
        <f aca="false">SUMIFS(K$2:K1236,A$2:A1236,A1236,B$2:B1236,B1236)</f>
        <v>844578</v>
      </c>
      <c r="O1236" s="11" t="n">
        <f aca="false">MAX(0,_xlfn.MAXIFS(N$2:N1236,A$2:A1236,A1236,B$2:B1236,B1236))</f>
        <v>902330</v>
      </c>
      <c r="P1236" s="11" t="n">
        <f aca="false">N1236-O1236</f>
        <v>-57752</v>
      </c>
    </row>
    <row r="1237" customFormat="false" ht="15" hidden="false" customHeight="false" outlineLevel="0" collapsed="false">
      <c r="A1237" s="8" t="s">
        <v>45</v>
      </c>
      <c r="B1237" s="8" t="s">
        <v>35</v>
      </c>
      <c r="C1237" s="8" t="s">
        <v>60</v>
      </c>
      <c r="D1237" s="21" t="n">
        <v>45868.375</v>
      </c>
      <c r="E1237" s="21" t="n">
        <v>45870.4194444444</v>
      </c>
      <c r="F1237" s="22" t="n">
        <f aca="false">DATE(YEAR(E1237),MONTH(E1237),1)</f>
        <v>45870</v>
      </c>
      <c r="G1237" s="23" t="n">
        <v>118403</v>
      </c>
      <c r="H1237" s="8" t="s">
        <v>61</v>
      </c>
      <c r="I1237" s="24" t="n">
        <v>-829.6</v>
      </c>
      <c r="J1237" s="25" t="n">
        <f aca="false">Summary!$B$4</f>
        <v>1</v>
      </c>
      <c r="K1237" s="11" t="n">
        <f aca="false">I1237*J1237*IF(A1237="SILVER",Summary!$B$5,Summary!$B$6)</f>
        <v>-82960</v>
      </c>
      <c r="L1237" s="26" t="n">
        <v>-0.739</v>
      </c>
      <c r="M1237" s="27" t="n">
        <f aca="false">IF(K1237&gt;0,1,0)</f>
        <v>0</v>
      </c>
      <c r="N1237" s="11" t="n">
        <f aca="false">SUMIFS(K$2:K1237,A$2:A1237,A1237,B$2:B1237,B1237)</f>
        <v>761618</v>
      </c>
      <c r="O1237" s="11" t="n">
        <f aca="false">MAX(0,_xlfn.MAXIFS(N$2:N1237,A$2:A1237,A1237,B$2:B1237,B1237))</f>
        <v>902330</v>
      </c>
      <c r="P1237" s="11" t="n">
        <f aca="false">N1237-O1237</f>
        <v>-140712</v>
      </c>
    </row>
    <row r="1238" customFormat="false" ht="15" hidden="false" customHeight="false" outlineLevel="0" collapsed="false">
      <c r="A1238" s="8" t="s">
        <v>45</v>
      </c>
      <c r="B1238" s="8" t="s">
        <v>35</v>
      </c>
      <c r="C1238" s="8" t="s">
        <v>60</v>
      </c>
      <c r="D1238" s="21" t="n">
        <v>45870.8340277778</v>
      </c>
      <c r="E1238" s="21" t="n">
        <v>45874.7201388889</v>
      </c>
      <c r="F1238" s="22" t="n">
        <f aca="false">DATE(YEAR(E1238),MONTH(E1238),1)</f>
        <v>45870</v>
      </c>
      <c r="G1238" s="23" t="n">
        <v>118943</v>
      </c>
      <c r="H1238" s="8" t="s">
        <v>61</v>
      </c>
      <c r="I1238" s="24" t="n">
        <v>885.14</v>
      </c>
      <c r="J1238" s="25" t="n">
        <f aca="false">Summary!$B$4</f>
        <v>1</v>
      </c>
      <c r="K1238" s="11" t="n">
        <f aca="false">I1238*J1238*IF(A1238="SILVER",Summary!$B$5,Summary!$B$6)</f>
        <v>88514</v>
      </c>
      <c r="L1238" s="26" t="n">
        <v>0.634</v>
      </c>
      <c r="M1238" s="27" t="n">
        <f aca="false">IF(K1238&gt;0,1,0)</f>
        <v>1</v>
      </c>
      <c r="N1238" s="11" t="n">
        <f aca="false">SUMIFS(K$2:K1238,A$2:A1238,A1238,B$2:B1238,B1238)</f>
        <v>850132</v>
      </c>
      <c r="O1238" s="11" t="n">
        <f aca="false">MAX(0,_xlfn.MAXIFS(N$2:N1238,A$2:A1238,A1238,B$2:B1238,B1238))</f>
        <v>902330</v>
      </c>
      <c r="P1238" s="11" t="n">
        <f aca="false">N1238-O1238</f>
        <v>-52198</v>
      </c>
    </row>
    <row r="1239" customFormat="false" ht="15" hidden="false" customHeight="false" outlineLevel="0" collapsed="false">
      <c r="A1239" s="8" t="s">
        <v>45</v>
      </c>
      <c r="B1239" s="8" t="s">
        <v>35</v>
      </c>
      <c r="C1239" s="8" t="s">
        <v>60</v>
      </c>
      <c r="D1239" s="21" t="n">
        <v>45874.9048611111</v>
      </c>
      <c r="E1239" s="21" t="n">
        <v>45880.3784722222</v>
      </c>
      <c r="F1239" s="22" t="n">
        <f aca="false">DATE(YEAR(E1239),MONTH(E1239),1)</f>
        <v>45870</v>
      </c>
      <c r="G1239" s="23" t="n">
        <v>120704</v>
      </c>
      <c r="H1239" s="8" t="s">
        <v>64</v>
      </c>
      <c r="I1239" s="24" t="n">
        <v>96.01</v>
      </c>
      <c r="J1239" s="25" t="n">
        <f aca="false">Summary!$B$4</f>
        <v>1</v>
      </c>
      <c r="K1239" s="11" t="n">
        <f aca="false">I1239*J1239*IF(A1239="SILVER",Summary!$B$5,Summary!$B$6)</f>
        <v>9601</v>
      </c>
      <c r="L1239" s="26" t="n">
        <v>0.076</v>
      </c>
      <c r="M1239" s="27" t="n">
        <f aca="false">IF(K1239&gt;0,1,0)</f>
        <v>1</v>
      </c>
      <c r="N1239" s="11" t="n">
        <f aca="false">SUMIFS(K$2:K1239,A$2:A1239,A1239,B$2:B1239,B1239)</f>
        <v>859733</v>
      </c>
      <c r="O1239" s="11" t="n">
        <f aca="false">MAX(0,_xlfn.MAXIFS(N$2:N1239,A$2:A1239,A1239,B$2:B1239,B1239))</f>
        <v>902330</v>
      </c>
      <c r="P1239" s="11" t="n">
        <f aca="false">N1239-O1239</f>
        <v>-42597</v>
      </c>
    </row>
    <row r="1240" customFormat="false" ht="15" hidden="false" customHeight="false" outlineLevel="0" collapsed="false">
      <c r="A1240" s="8" t="s">
        <v>45</v>
      </c>
      <c r="B1240" s="8" t="s">
        <v>35</v>
      </c>
      <c r="C1240" s="8" t="s">
        <v>60</v>
      </c>
      <c r="D1240" s="21" t="n">
        <v>45890.7916666667</v>
      </c>
      <c r="E1240" s="21" t="n">
        <v>45904.4166666667</v>
      </c>
      <c r="F1240" s="22" t="n">
        <f aca="false">DATE(YEAR(E1240),MONTH(E1240),1)</f>
        <v>45901</v>
      </c>
      <c r="G1240" s="23" t="n">
        <v>119234</v>
      </c>
      <c r="H1240" s="8" t="s">
        <v>61</v>
      </c>
      <c r="I1240" s="24" t="n">
        <v>6458.46</v>
      </c>
      <c r="J1240" s="25" t="n">
        <f aca="false">Summary!$B$4</f>
        <v>1</v>
      </c>
      <c r="K1240" s="11" t="n">
        <f aca="false">I1240*J1240*IF(A1240="SILVER",Summary!$B$5,Summary!$B$6)</f>
        <v>645846</v>
      </c>
      <c r="L1240" s="26" t="n">
        <v>7.68</v>
      </c>
      <c r="M1240" s="27" t="n">
        <f aca="false">IF(K1240&gt;0,1,0)</f>
        <v>1</v>
      </c>
      <c r="N1240" s="11" t="n">
        <f aca="false">SUMIFS(K$2:K1240,A$2:A1240,A1240,B$2:B1240,B1240)</f>
        <v>1505579</v>
      </c>
      <c r="O1240" s="11" t="n">
        <f aca="false">MAX(0,_xlfn.MAXIFS(N$2:N1240,A$2:A1240,A1240,B$2:B1240,B1240))</f>
        <v>1505579</v>
      </c>
      <c r="P1240" s="11" t="n">
        <f aca="false">N1240-O1240</f>
        <v>0</v>
      </c>
    </row>
    <row r="1241" customFormat="false" ht="15" hidden="false" customHeight="false" outlineLevel="0" collapsed="false">
      <c r="A1241" s="8" t="s">
        <v>45</v>
      </c>
      <c r="B1241" s="8" t="s">
        <v>35</v>
      </c>
      <c r="C1241" s="8" t="s">
        <v>60</v>
      </c>
      <c r="D1241" s="21" t="n">
        <v>45905.7916666667</v>
      </c>
      <c r="E1241" s="21" t="n">
        <v>45917.5</v>
      </c>
      <c r="F1241" s="22" t="n">
        <f aca="false">DATE(YEAR(E1241),MONTH(E1241),1)</f>
        <v>45901</v>
      </c>
      <c r="G1241" s="23" t="n">
        <v>127127</v>
      </c>
      <c r="H1241" s="8" t="s">
        <v>61</v>
      </c>
      <c r="I1241" s="24" t="n">
        <v>2148.31</v>
      </c>
      <c r="J1241" s="25" t="n">
        <f aca="false">Summary!$B$4</f>
        <v>1</v>
      </c>
      <c r="K1241" s="11" t="n">
        <f aca="false">I1241*J1241*IF(A1241="SILVER",Summary!$B$5,Summary!$B$6)</f>
        <v>214831</v>
      </c>
      <c r="L1241" s="26" t="n">
        <v>1.621</v>
      </c>
      <c r="M1241" s="27" t="n">
        <f aca="false">IF(K1241&gt;0,1,0)</f>
        <v>1</v>
      </c>
      <c r="N1241" s="11" t="n">
        <f aca="false">SUMIFS(K$2:K1241,A$2:A1241,A1241,B$2:B1241,B1241)</f>
        <v>1720410</v>
      </c>
      <c r="O1241" s="11" t="n">
        <f aca="false">MAX(0,_xlfn.MAXIFS(N$2:N1241,A$2:A1241,A1241,B$2:B1241,B1241))</f>
        <v>1720410</v>
      </c>
      <c r="P1241" s="11" t="n">
        <f aca="false">N1241-O1241</f>
        <v>0</v>
      </c>
    </row>
    <row r="1242" customFormat="false" ht="15" hidden="false" customHeight="false" outlineLevel="0" collapsed="false">
      <c r="A1242" s="8" t="s">
        <v>45</v>
      </c>
      <c r="B1242" s="8" t="s">
        <v>35</v>
      </c>
      <c r="C1242" s="8" t="s">
        <v>60</v>
      </c>
      <c r="D1242" s="21" t="n">
        <v>45922.4166666667</v>
      </c>
      <c r="E1242" s="21" t="n">
        <v>45924.9166666667</v>
      </c>
      <c r="F1242" s="22" t="n">
        <f aca="false">DATE(YEAR(E1242),MONTH(E1242),1)</f>
        <v>45901</v>
      </c>
      <c r="G1242" s="23" t="n">
        <v>130227</v>
      </c>
      <c r="H1242" s="8" t="s">
        <v>61</v>
      </c>
      <c r="I1242" s="24" t="n">
        <v>2271.68</v>
      </c>
      <c r="J1242" s="25" t="n">
        <f aca="false">Summary!$B$4</f>
        <v>1</v>
      </c>
      <c r="K1242" s="11" t="n">
        <f aca="false">I1242*J1242*IF(A1242="SILVER",Summary!$B$5,Summary!$B$6)</f>
        <v>227168</v>
      </c>
      <c r="L1242" s="26" t="n">
        <v>1.959</v>
      </c>
      <c r="M1242" s="27" t="n">
        <f aca="false">IF(K1242&gt;0,1,0)</f>
        <v>1</v>
      </c>
      <c r="N1242" s="11" t="n">
        <f aca="false">SUMIFS(K$2:K1242,A$2:A1242,A1242,B$2:B1242,B1242)</f>
        <v>1947578</v>
      </c>
      <c r="O1242" s="11" t="n">
        <f aca="false">MAX(0,_xlfn.MAXIFS(N$2:N1242,A$2:A1242,A1242,B$2:B1242,B1242))</f>
        <v>1947578</v>
      </c>
      <c r="P1242" s="11" t="n">
        <f aca="false">N1242-O1242</f>
        <v>0</v>
      </c>
    </row>
    <row r="1243" customFormat="false" ht="15" hidden="false" customHeight="false" outlineLevel="0" collapsed="false">
      <c r="A1243" s="8" t="s">
        <v>45</v>
      </c>
      <c r="B1243" s="8" t="s">
        <v>35</v>
      </c>
      <c r="C1243" s="8" t="s">
        <v>60</v>
      </c>
      <c r="D1243" s="21" t="n">
        <v>45926.8333333333</v>
      </c>
      <c r="E1243" s="21" t="n">
        <v>45930.6326388889</v>
      </c>
      <c r="F1243" s="22" t="n">
        <f aca="false">DATE(YEAR(E1243),MONTH(E1243),1)</f>
        <v>45901</v>
      </c>
      <c r="G1243" s="23" t="n">
        <v>133507</v>
      </c>
      <c r="H1243" s="8" t="s">
        <v>61</v>
      </c>
      <c r="I1243" s="24" t="n">
        <v>1226.13</v>
      </c>
      <c r="J1243" s="25" t="n">
        <f aca="false">Summary!$B$4</f>
        <v>1</v>
      </c>
      <c r="K1243" s="11" t="n">
        <f aca="false">I1243*J1243*IF(A1243="SILVER",Summary!$B$5,Summary!$B$6)</f>
        <v>122613</v>
      </c>
      <c r="L1243" s="26" t="n">
        <v>0.784</v>
      </c>
      <c r="M1243" s="27" t="n">
        <f aca="false">IF(K1243&gt;0,1,0)</f>
        <v>1</v>
      </c>
      <c r="N1243" s="11" t="n">
        <f aca="false">SUMIFS(K$2:K1243,A$2:A1243,A1243,B$2:B1243,B1243)</f>
        <v>2070191</v>
      </c>
      <c r="O1243" s="11" t="n">
        <f aca="false">MAX(0,_xlfn.MAXIFS(N$2:N1243,A$2:A1243,A1243,B$2:B1243,B1243))</f>
        <v>2070191</v>
      </c>
      <c r="P1243" s="11" t="n">
        <f aca="false">N1243-O1243</f>
        <v>0</v>
      </c>
    </row>
    <row r="1244" customFormat="false" ht="15" hidden="false" customHeight="false" outlineLevel="0" collapsed="false">
      <c r="A1244" s="8" t="s">
        <v>45</v>
      </c>
      <c r="B1244" s="8" t="s">
        <v>35</v>
      </c>
      <c r="C1244" s="8" t="s">
        <v>60</v>
      </c>
      <c r="D1244" s="21" t="n">
        <v>45931.4298611111</v>
      </c>
      <c r="E1244" s="21" t="n">
        <v>45939.9583333333</v>
      </c>
      <c r="F1244" s="22" t="n">
        <f aca="false">DATE(YEAR(E1244),MONTH(E1244),1)</f>
        <v>45931</v>
      </c>
      <c r="G1244" s="23" t="n">
        <v>136485</v>
      </c>
      <c r="H1244" s="8" t="s">
        <v>61</v>
      </c>
      <c r="I1244" s="24" t="n">
        <v>2388.13</v>
      </c>
      <c r="J1244" s="25" t="n">
        <f aca="false">Summary!$B$4</f>
        <v>1</v>
      </c>
      <c r="K1244" s="11" t="n">
        <f aca="false">I1244*J1244*IF(A1244="SILVER",Summary!$B$5,Summary!$B$6)</f>
        <v>238813</v>
      </c>
      <c r="L1244" s="26" t="n">
        <v>1.703</v>
      </c>
      <c r="M1244" s="27" t="n">
        <f aca="false">IF(K1244&gt;0,1,0)</f>
        <v>1</v>
      </c>
      <c r="N1244" s="11" t="n">
        <f aca="false">SUMIFS(K$2:K1244,A$2:A1244,A1244,B$2:B1244,B1244)</f>
        <v>2309004</v>
      </c>
      <c r="O1244" s="11" t="n">
        <f aca="false">MAX(0,_xlfn.MAXIFS(N$2:N1244,A$2:A1244,A1244,B$2:B1244,B1244))</f>
        <v>2309004</v>
      </c>
      <c r="P1244" s="11" t="n">
        <f aca="false">N1244-O1244</f>
        <v>0</v>
      </c>
    </row>
    <row r="1245" customFormat="false" ht="15" hidden="false" customHeight="false" outlineLevel="0" collapsed="false">
      <c r="A1245" s="8" t="s">
        <v>45</v>
      </c>
      <c r="B1245" s="8" t="s">
        <v>35</v>
      </c>
      <c r="C1245" s="8" t="s">
        <v>60</v>
      </c>
      <c r="D1245" s="21" t="n">
        <v>45943.4166666667</v>
      </c>
      <c r="E1245" s="21" t="n">
        <v>45947.8333333333</v>
      </c>
      <c r="F1245" s="22" t="n">
        <f aca="false">DATE(YEAR(E1245),MONTH(E1245),1)</f>
        <v>45931</v>
      </c>
      <c r="G1245" s="23" t="n">
        <v>141599</v>
      </c>
      <c r="H1245" s="8" t="s">
        <v>61</v>
      </c>
      <c r="I1245" s="24" t="n">
        <v>4896.85</v>
      </c>
      <c r="J1245" s="25" t="n">
        <f aca="false">Summary!$B$4</f>
        <v>1</v>
      </c>
      <c r="K1245" s="11" t="n">
        <f aca="false">I1245*J1245*IF(A1245="SILVER",Summary!$B$5,Summary!$B$6)</f>
        <v>489685</v>
      </c>
      <c r="L1245" s="26" t="n">
        <v>1.818</v>
      </c>
      <c r="M1245" s="27" t="n">
        <f aca="false">IF(K1245&gt;0,1,0)</f>
        <v>1</v>
      </c>
      <c r="N1245" s="11" t="n">
        <f aca="false">SUMIFS(K$2:K1245,A$2:A1245,A1245,B$2:B1245,B1245)</f>
        <v>2798689</v>
      </c>
      <c r="O1245" s="11" t="n">
        <f aca="false">MAX(0,_xlfn.MAXIFS(N$2:N1245,A$2:A1245,A1245,B$2:B1245,B1245))</f>
        <v>2798689</v>
      </c>
      <c r="P1245" s="11" t="n">
        <f aca="false">N1245-O1245</f>
        <v>0</v>
      </c>
    </row>
    <row r="1246" customFormat="false" ht="15" hidden="false" customHeight="false" outlineLevel="0" collapsed="false">
      <c r="A1246" s="8" t="s">
        <v>45</v>
      </c>
      <c r="B1246" s="8" t="s">
        <v>35</v>
      </c>
      <c r="C1246" s="8" t="s">
        <v>60</v>
      </c>
      <c r="D1246" s="21" t="n">
        <v>45950.875</v>
      </c>
      <c r="E1246" s="21" t="n">
        <v>45952.75</v>
      </c>
      <c r="F1246" s="22" t="n">
        <f aca="false">DATE(YEAR(E1246),MONTH(E1246),1)</f>
        <v>45931</v>
      </c>
      <c r="G1246" s="23" t="n">
        <v>148676</v>
      </c>
      <c r="H1246" s="8" t="s">
        <v>61</v>
      </c>
      <c r="I1246" s="24" t="n">
        <v>-9051.17</v>
      </c>
      <c r="J1246" s="25" t="n">
        <f aca="false">Summary!$B$4</f>
        <v>1</v>
      </c>
      <c r="K1246" s="11" t="n">
        <f aca="false">I1246*J1246*IF(A1246="SILVER",Summary!$B$5,Summary!$B$6)</f>
        <v>-905117</v>
      </c>
      <c r="L1246" s="26" t="n">
        <v>-2.386</v>
      </c>
      <c r="M1246" s="27" t="n">
        <f aca="false">IF(K1246&gt;0,1,0)</f>
        <v>0</v>
      </c>
      <c r="N1246" s="11" t="n">
        <f aca="false">SUMIFS(K$2:K1246,A$2:A1246,A1246,B$2:B1246,B1246)</f>
        <v>1893572</v>
      </c>
      <c r="O1246" s="11" t="n">
        <f aca="false">MAX(0,_xlfn.MAXIFS(N$2:N1246,A$2:A1246,A1246,B$2:B1246,B1246))</f>
        <v>2798689</v>
      </c>
      <c r="P1246" s="11" t="n">
        <f aca="false">N1246-O1246</f>
        <v>-905117</v>
      </c>
    </row>
    <row r="1247" customFormat="false" ht="15" hidden="false" customHeight="false" outlineLevel="0" collapsed="false">
      <c r="A1247" s="8" t="s">
        <v>45</v>
      </c>
      <c r="B1247" s="8" t="s">
        <v>35</v>
      </c>
      <c r="C1247" s="8" t="s">
        <v>62</v>
      </c>
      <c r="D1247" s="21" t="n">
        <v>45965.875</v>
      </c>
      <c r="E1247" s="21" t="n">
        <v>45971.4166666667</v>
      </c>
      <c r="F1247" s="22" t="n">
        <f aca="false">DATE(YEAR(E1247),MONTH(E1247),1)</f>
        <v>45962</v>
      </c>
      <c r="G1247" s="23" t="n">
        <v>138068</v>
      </c>
      <c r="H1247" s="8" t="s">
        <v>61</v>
      </c>
      <c r="I1247" s="24" t="n">
        <v>-2731.22</v>
      </c>
      <c r="J1247" s="25" t="n">
        <f aca="false">Summary!$B$4</f>
        <v>1</v>
      </c>
      <c r="K1247" s="11" t="n">
        <f aca="false">I1247*J1247*IF(A1247="SILVER",Summary!$B$5,Summary!$B$6)</f>
        <v>-273122</v>
      </c>
      <c r="L1247" s="26" t="n">
        <v>-1.417</v>
      </c>
      <c r="M1247" s="27" t="n">
        <f aca="false">IF(K1247&gt;0,1,0)</f>
        <v>0</v>
      </c>
      <c r="N1247" s="11" t="n">
        <f aca="false">SUMIFS(K$2:K1247,A$2:A1247,A1247,B$2:B1247,B1247)</f>
        <v>1620450</v>
      </c>
      <c r="O1247" s="11" t="n">
        <f aca="false">MAX(0,_xlfn.MAXIFS(N$2:N1247,A$2:A1247,A1247,B$2:B1247,B1247))</f>
        <v>2798689</v>
      </c>
      <c r="P1247" s="11" t="n">
        <f aca="false">N1247-O1247</f>
        <v>-1178239</v>
      </c>
    </row>
    <row r="1248" customFormat="false" ht="15" hidden="false" customHeight="false" outlineLevel="0" collapsed="false">
      <c r="A1248" s="8" t="s">
        <v>45</v>
      </c>
      <c r="B1248" s="8" t="s">
        <v>35</v>
      </c>
      <c r="C1248" s="8" t="s">
        <v>62</v>
      </c>
      <c r="D1248" s="21" t="n">
        <v>45975.5416666667</v>
      </c>
      <c r="E1248" s="21" t="n">
        <v>45980.6666666667</v>
      </c>
      <c r="F1248" s="22" t="n">
        <f aca="false">DATE(YEAR(E1248),MONTH(E1248),1)</f>
        <v>45962</v>
      </c>
      <c r="G1248" s="23" t="n">
        <v>143953</v>
      </c>
      <c r="H1248" s="8" t="s">
        <v>61</v>
      </c>
      <c r="I1248" s="24" t="n">
        <v>1686.04</v>
      </c>
      <c r="J1248" s="25" t="n">
        <f aca="false">Summary!$B$4</f>
        <v>1</v>
      </c>
      <c r="K1248" s="11" t="n">
        <f aca="false">I1248*J1248*IF(A1248="SILVER",Summary!$B$5,Summary!$B$6)</f>
        <v>168604</v>
      </c>
      <c r="L1248" s="26" t="n">
        <v>0.721</v>
      </c>
      <c r="M1248" s="27" t="n">
        <f aca="false">IF(K1248&gt;0,1,0)</f>
        <v>1</v>
      </c>
      <c r="N1248" s="11" t="n">
        <f aca="false">SUMIFS(K$2:K1248,A$2:A1248,A1248,B$2:B1248,B1248)</f>
        <v>1789054</v>
      </c>
      <c r="O1248" s="11" t="n">
        <f aca="false">MAX(0,_xlfn.MAXIFS(N$2:N1248,A$2:A1248,A1248,B$2:B1248,B1248))</f>
        <v>2798689</v>
      </c>
      <c r="P1248" s="11" t="n">
        <f aca="false">N1248-O1248</f>
        <v>-1009635</v>
      </c>
    </row>
    <row r="1249" customFormat="false" ht="15" hidden="false" customHeight="false" outlineLevel="0" collapsed="false">
      <c r="A1249" s="8" t="s">
        <v>45</v>
      </c>
      <c r="B1249" s="8" t="s">
        <v>35</v>
      </c>
      <c r="C1249" s="8" t="s">
        <v>62</v>
      </c>
      <c r="D1249" s="21" t="n">
        <v>45982.5</v>
      </c>
      <c r="E1249" s="21" t="n">
        <v>45982.9583333333</v>
      </c>
      <c r="F1249" s="22" t="n">
        <f aca="false">DATE(YEAR(E1249),MONTH(E1249),1)</f>
        <v>45962</v>
      </c>
      <c r="G1249" s="23" t="n">
        <v>140071</v>
      </c>
      <c r="H1249" s="8" t="s">
        <v>61</v>
      </c>
      <c r="I1249" s="24" t="n">
        <v>-2460.59</v>
      </c>
      <c r="J1249" s="25" t="n">
        <f aca="false">Summary!$B$4</f>
        <v>1</v>
      </c>
      <c r="K1249" s="11" t="n">
        <f aca="false">I1249*J1249*IF(A1249="SILVER",Summary!$B$5,Summary!$B$6)</f>
        <v>-246059</v>
      </c>
      <c r="L1249" s="26" t="n">
        <v>-0.9</v>
      </c>
      <c r="M1249" s="27" t="n">
        <f aca="false">IF(K1249&gt;0,1,0)</f>
        <v>0</v>
      </c>
      <c r="N1249" s="11" t="n">
        <f aca="false">SUMIFS(K$2:K1249,A$2:A1249,A1249,B$2:B1249,B1249)</f>
        <v>1542995</v>
      </c>
      <c r="O1249" s="11" t="n">
        <f aca="false">MAX(0,_xlfn.MAXIFS(N$2:N1249,A$2:A1249,A1249,B$2:B1249,B1249))</f>
        <v>2798689</v>
      </c>
      <c r="P1249" s="11" t="n">
        <f aca="false">N1249-O1249</f>
        <v>-1255694</v>
      </c>
    </row>
    <row r="1250" customFormat="false" ht="15" hidden="false" customHeight="false" outlineLevel="0" collapsed="false">
      <c r="A1250" s="8" t="s">
        <v>45</v>
      </c>
      <c r="B1250" s="8" t="s">
        <v>35</v>
      </c>
      <c r="C1250" s="8" t="s">
        <v>62</v>
      </c>
      <c r="D1250" s="21" t="n">
        <v>45994.3777777778</v>
      </c>
      <c r="E1250" s="21" t="n">
        <v>45995.3993055556</v>
      </c>
      <c r="F1250" s="22" t="n">
        <f aca="false">DATE(YEAR(E1250),MONTH(E1250),1)</f>
        <v>45992</v>
      </c>
      <c r="G1250" s="23" t="n">
        <v>146440</v>
      </c>
      <c r="H1250" s="8" t="s">
        <v>64</v>
      </c>
      <c r="I1250" s="24" t="n">
        <v>-115.48</v>
      </c>
      <c r="J1250" s="25" t="n">
        <f aca="false">Summary!$B$4</f>
        <v>1</v>
      </c>
      <c r="K1250" s="11" t="n">
        <f aca="false">I1250*J1250*IF(A1250="SILVER",Summary!$B$5,Summary!$B$6)</f>
        <v>-11548</v>
      </c>
      <c r="L1250" s="26" t="n">
        <v>-11.067</v>
      </c>
      <c r="M1250" s="27" t="n">
        <f aca="false">IF(K1250&gt;0,1,0)</f>
        <v>0</v>
      </c>
      <c r="N1250" s="11" t="n">
        <f aca="false">SUMIFS(K$2:K1250,A$2:A1250,A1250,B$2:B1250,B1250)</f>
        <v>1531447</v>
      </c>
      <c r="O1250" s="11" t="n">
        <f aca="false">MAX(0,_xlfn.MAXIFS(N$2:N1250,A$2:A1250,A1250,B$2:B1250,B1250))</f>
        <v>2798689</v>
      </c>
      <c r="P1250" s="11" t="n">
        <f aca="false">N1250-O1250</f>
        <v>-1267242</v>
      </c>
    </row>
    <row r="1251" customFormat="false" ht="15" hidden="false" customHeight="false" outlineLevel="0" collapsed="false">
      <c r="A1251" s="8" t="s">
        <v>45</v>
      </c>
      <c r="B1251" s="8" t="s">
        <v>35</v>
      </c>
      <c r="C1251" s="8" t="s">
        <v>60</v>
      </c>
      <c r="D1251" s="21" t="n">
        <v>46002.5</v>
      </c>
      <c r="E1251" s="21" t="n">
        <v>46003.9166666667</v>
      </c>
      <c r="F1251" s="22" t="n">
        <f aca="false">DATE(YEAR(E1251),MONTH(E1251),1)</f>
        <v>45992</v>
      </c>
      <c r="G1251" s="23" t="n">
        <v>147558</v>
      </c>
      <c r="H1251" s="8" t="s">
        <v>61</v>
      </c>
      <c r="I1251" s="24" t="n">
        <v>2612.6</v>
      </c>
      <c r="J1251" s="25" t="n">
        <f aca="false">Summary!$B$4</f>
        <v>1</v>
      </c>
      <c r="K1251" s="11" t="n">
        <f aca="false">I1251*J1251*IF(A1251="SILVER",Summary!$B$5,Summary!$B$6)</f>
        <v>261260</v>
      </c>
      <c r="L1251" s="26" t="n">
        <v>1.96</v>
      </c>
      <c r="M1251" s="27" t="n">
        <f aca="false">IF(K1251&gt;0,1,0)</f>
        <v>1</v>
      </c>
      <c r="N1251" s="11" t="n">
        <f aca="false">SUMIFS(K$2:K1251,A$2:A1251,A1251,B$2:B1251,B1251)</f>
        <v>1792707</v>
      </c>
      <c r="O1251" s="11" t="n">
        <f aca="false">MAX(0,_xlfn.MAXIFS(N$2:N1251,A$2:A1251,A1251,B$2:B1251,B1251))</f>
        <v>2798689</v>
      </c>
      <c r="P1251" s="11" t="n">
        <f aca="false">N1251-O1251</f>
        <v>-1005982</v>
      </c>
    </row>
    <row r="1252" customFormat="false" ht="15" hidden="false" customHeight="false" outlineLevel="0" collapsed="false">
      <c r="A1252" s="8" t="s">
        <v>45</v>
      </c>
      <c r="B1252" s="8" t="s">
        <v>35</v>
      </c>
      <c r="C1252" s="8" t="s">
        <v>60</v>
      </c>
      <c r="D1252" s="21" t="n">
        <v>46006.5</v>
      </c>
      <c r="E1252" s="21" t="n">
        <v>46020.5416666667</v>
      </c>
      <c r="F1252" s="22" t="n">
        <f aca="false">DATE(YEAR(E1252),MONTH(E1252),1)</f>
        <v>45992</v>
      </c>
      <c r="G1252" s="23" t="n">
        <v>152296</v>
      </c>
      <c r="H1252" s="8" t="s">
        <v>61</v>
      </c>
      <c r="I1252" s="24" t="n">
        <v>2933.63</v>
      </c>
      <c r="J1252" s="25" t="n">
        <f aca="false">Summary!$B$4</f>
        <v>1</v>
      </c>
      <c r="K1252" s="11" t="n">
        <f aca="false">I1252*J1252*IF(A1252="SILVER",Summary!$B$5,Summary!$B$6)</f>
        <v>293363</v>
      </c>
      <c r="L1252" s="26" t="n">
        <v>1.132</v>
      </c>
      <c r="M1252" s="27" t="n">
        <f aca="false">IF(K1252&gt;0,1,0)</f>
        <v>1</v>
      </c>
      <c r="N1252" s="11" t="n">
        <f aca="false">SUMIFS(K$2:K1252,A$2:A1252,A1252,B$2:B1252,B1252)</f>
        <v>2086070</v>
      </c>
      <c r="O1252" s="11" t="n">
        <f aca="false">MAX(0,_xlfn.MAXIFS(N$2:N1252,A$2:A1252,A1252,B$2:B1252,B1252))</f>
        <v>2798689</v>
      </c>
      <c r="P1252" s="11" t="n">
        <f aca="false">N1252-O1252</f>
        <v>-712619</v>
      </c>
    </row>
    <row r="1253" customFormat="false" ht="15" hidden="false" customHeight="false" outlineLevel="0" collapsed="false">
      <c r="A1253" s="8" t="s">
        <v>45</v>
      </c>
      <c r="B1253" s="8" t="s">
        <v>35</v>
      </c>
      <c r="C1253" s="8" t="s">
        <v>60</v>
      </c>
      <c r="D1253" s="21" t="n">
        <v>46027.5</v>
      </c>
      <c r="E1253" s="21" t="n">
        <v>46029.4708333333</v>
      </c>
      <c r="F1253" s="22" t="n">
        <f aca="false">DATE(YEAR(E1253),MONTH(E1253),1)</f>
        <v>46023</v>
      </c>
      <c r="G1253" s="23" t="n">
        <v>154626</v>
      </c>
      <c r="H1253" s="8" t="s">
        <v>64</v>
      </c>
      <c r="I1253" s="24" t="n">
        <v>200.03</v>
      </c>
      <c r="J1253" s="25" t="n">
        <f aca="false">Summary!$B$4</f>
        <v>1</v>
      </c>
      <c r="K1253" s="11" t="n">
        <f aca="false">I1253*J1253*IF(A1253="SILVER",Summary!$B$5,Summary!$B$6)</f>
        <v>20003</v>
      </c>
      <c r="L1253" s="26" t="n">
        <v>0.084</v>
      </c>
      <c r="M1253" s="27" t="n">
        <f aca="false">IF(K1253&gt;0,1,0)</f>
        <v>1</v>
      </c>
      <c r="N1253" s="11" t="n">
        <f aca="false">SUMIFS(K$2:K1253,A$2:A1253,A1253,B$2:B1253,B1253)</f>
        <v>2106073</v>
      </c>
      <c r="O1253" s="11" t="n">
        <f aca="false">MAX(0,_xlfn.MAXIFS(N$2:N1253,A$2:A1253,A1253,B$2:B1253,B1253))</f>
        <v>2798689</v>
      </c>
      <c r="P1253" s="11" t="n">
        <f aca="false">N1253-O1253</f>
        <v>-692616</v>
      </c>
    </row>
    <row r="1254" customFormat="false" ht="15" hidden="false" customHeight="false" outlineLevel="0" collapsed="false">
      <c r="A1254" s="8" t="s">
        <v>45</v>
      </c>
      <c r="B1254" s="8" t="s">
        <v>35</v>
      </c>
      <c r="C1254" s="8" t="s">
        <v>60</v>
      </c>
      <c r="D1254" s="21" t="n">
        <v>46031.5</v>
      </c>
      <c r="E1254" s="21" t="n">
        <v>46043.875</v>
      </c>
      <c r="F1254" s="22" t="n">
        <f aca="false">DATE(YEAR(E1254),MONTH(E1254),1)</f>
        <v>46023</v>
      </c>
      <c r="G1254" s="23" t="n">
        <v>155371</v>
      </c>
      <c r="H1254" s="8" t="s">
        <v>61</v>
      </c>
      <c r="I1254" s="24" t="n">
        <v>15211.79</v>
      </c>
      <c r="J1254" s="25" t="n">
        <f aca="false">Summary!$B$4</f>
        <v>1</v>
      </c>
      <c r="K1254" s="11" t="n">
        <f aca="false">I1254*J1254*IF(A1254="SILVER",Summary!$B$5,Summary!$B$6)</f>
        <v>1521179</v>
      </c>
      <c r="L1254" s="26" t="n">
        <v>8.422</v>
      </c>
      <c r="M1254" s="27" t="n">
        <f aca="false">IF(K1254&gt;0,1,0)</f>
        <v>1</v>
      </c>
      <c r="N1254" s="11" t="n">
        <f aca="false">SUMIFS(K$2:K1254,A$2:A1254,A1254,B$2:B1254,B1254)</f>
        <v>3627252</v>
      </c>
      <c r="O1254" s="11" t="n">
        <f aca="false">MAX(0,_xlfn.MAXIFS(N$2:N1254,A$2:A1254,A1254,B$2:B1254,B1254))</f>
        <v>3627252</v>
      </c>
      <c r="P1254" s="11" t="n">
        <f aca="false">N1254-O1254</f>
        <v>0</v>
      </c>
    </row>
    <row r="1255" customFormat="false" ht="15" hidden="false" customHeight="false" outlineLevel="0" collapsed="false">
      <c r="A1255" s="8" t="s">
        <v>45</v>
      </c>
      <c r="B1255" s="8" t="s">
        <v>35</v>
      </c>
      <c r="C1255" s="8" t="s">
        <v>60</v>
      </c>
      <c r="D1255" s="21" t="n">
        <v>46045.375</v>
      </c>
      <c r="E1255" s="21" t="n">
        <v>46051.8659722222</v>
      </c>
      <c r="F1255" s="22" t="n">
        <f aca="false">DATE(YEAR(E1255),MONTH(E1255),1)</f>
        <v>46023</v>
      </c>
      <c r="G1255" s="23" t="n">
        <v>175810</v>
      </c>
      <c r="H1255" s="8" t="s">
        <v>64</v>
      </c>
      <c r="I1255" s="24" t="n">
        <v>837.35</v>
      </c>
      <c r="J1255" s="25" t="n">
        <f aca="false">Summary!$B$4</f>
        <v>1</v>
      </c>
      <c r="K1255" s="11" t="n">
        <f aca="false">I1255*J1255*IF(A1255="SILVER",Summary!$B$5,Summary!$B$6)</f>
        <v>83735</v>
      </c>
      <c r="L1255" s="26" t="n">
        <v>0.095</v>
      </c>
      <c r="M1255" s="27" t="n">
        <f aca="false">IF(K1255&gt;0,1,0)</f>
        <v>1</v>
      </c>
      <c r="N1255" s="11" t="n">
        <f aca="false">SUMIFS(K$2:K1255,A$2:A1255,A1255,B$2:B1255,B1255)</f>
        <v>3710987</v>
      </c>
      <c r="O1255" s="11" t="n">
        <f aca="false">MAX(0,_xlfn.MAXIFS(N$2:N1255,A$2:A1255,A1255,B$2:B1255,B1255))</f>
        <v>3710987</v>
      </c>
      <c r="P1255" s="11" t="n">
        <f aca="false">N1255-O1255</f>
        <v>0</v>
      </c>
    </row>
    <row r="1256" customFormat="false" ht="15" hidden="false" customHeight="false" outlineLevel="0" collapsed="false">
      <c r="A1256" s="8" t="s">
        <v>45</v>
      </c>
      <c r="B1256" s="8" t="s">
        <v>35</v>
      </c>
      <c r="C1256" s="8" t="s">
        <v>62</v>
      </c>
      <c r="D1256" s="21" t="n">
        <v>46065.9166666667</v>
      </c>
      <c r="E1256" s="21" t="n">
        <v>46071.875</v>
      </c>
      <c r="F1256" s="22" t="n">
        <f aca="false">DATE(YEAR(E1256),MONTH(E1256),1)</f>
        <v>46054</v>
      </c>
      <c r="G1256" s="23" t="n">
        <v>159927</v>
      </c>
      <c r="H1256" s="8" t="s">
        <v>61</v>
      </c>
      <c r="I1256" s="24" t="n">
        <v>-3464.98</v>
      </c>
      <c r="J1256" s="25" t="n">
        <f aca="false">Summary!$B$4</f>
        <v>1</v>
      </c>
      <c r="K1256" s="11" t="n">
        <f aca="false">I1256*J1256*IF(A1256="SILVER",Summary!$B$5,Summary!$B$6)</f>
        <v>-346498</v>
      </c>
      <c r="L1256" s="26" t="n">
        <v>-0.481</v>
      </c>
      <c r="M1256" s="27" t="n">
        <f aca="false">IF(K1256&gt;0,1,0)</f>
        <v>0</v>
      </c>
      <c r="N1256" s="11" t="n">
        <f aca="false">SUMIFS(K$2:K1256,A$2:A1256,A1256,B$2:B1256,B1256)</f>
        <v>3364489</v>
      </c>
      <c r="O1256" s="11" t="n">
        <f aca="false">MAX(0,_xlfn.MAXIFS(N$2:N1256,A$2:A1256,A1256,B$2:B1256,B1256))</f>
        <v>3710987</v>
      </c>
      <c r="P1256" s="11" t="n">
        <f aca="false">N1256-O1256</f>
        <v>-346498</v>
      </c>
    </row>
    <row r="1257" customFormat="false" ht="15" hidden="false" customHeight="false" outlineLevel="0" collapsed="false">
      <c r="A1257" s="8" t="s">
        <v>45</v>
      </c>
      <c r="B1257" s="8" t="s">
        <v>35</v>
      </c>
      <c r="C1257" s="8" t="s">
        <v>62</v>
      </c>
      <c r="D1257" s="21" t="n">
        <v>46084.75</v>
      </c>
      <c r="E1257" s="21" t="n">
        <v>46085.6576388889</v>
      </c>
      <c r="F1257" s="22" t="n">
        <f aca="false">DATE(YEAR(E1257),MONTH(E1257),1)</f>
        <v>46082</v>
      </c>
      <c r="G1257" s="23" t="n">
        <v>171781</v>
      </c>
      <c r="H1257" s="8" t="s">
        <v>64</v>
      </c>
      <c r="I1257" s="24" t="n">
        <v>268.77</v>
      </c>
      <c r="J1257" s="25" t="n">
        <f aca="false">Summary!$B$4</f>
        <v>1</v>
      </c>
      <c r="K1257" s="11" t="n">
        <f aca="false">I1257*J1257*IF(A1257="SILVER",Summary!$B$5,Summary!$B$6)</f>
        <v>26877</v>
      </c>
      <c r="L1257" s="26" t="n">
        <v>0.086</v>
      </c>
      <c r="M1257" s="27" t="n">
        <f aca="false">IF(K1257&gt;0,1,0)</f>
        <v>1</v>
      </c>
      <c r="N1257" s="11" t="n">
        <f aca="false">SUMIFS(K$2:K1257,A$2:A1257,A1257,B$2:B1257,B1257)</f>
        <v>3391366</v>
      </c>
      <c r="O1257" s="11" t="n">
        <f aca="false">MAX(0,_xlfn.MAXIFS(N$2:N1257,A$2:A1257,A1257,B$2:B1257,B1257))</f>
        <v>3710987</v>
      </c>
      <c r="P1257" s="11" t="n">
        <f aca="false">N1257-O1257</f>
        <v>-319621</v>
      </c>
    </row>
    <row r="1258" customFormat="false" ht="15" hidden="false" customHeight="false" outlineLevel="0" collapsed="false">
      <c r="A1258" s="8" t="s">
        <v>45</v>
      </c>
      <c r="B1258" s="8" t="s">
        <v>35</v>
      </c>
      <c r="C1258" s="8" t="s">
        <v>62</v>
      </c>
      <c r="D1258" s="21" t="n">
        <v>46094.375</v>
      </c>
      <c r="E1258" s="21" t="n">
        <v>46094.7284722222</v>
      </c>
      <c r="F1258" s="22" t="n">
        <f aca="false">DATE(YEAR(E1258),MONTH(E1258),1)</f>
        <v>46082</v>
      </c>
      <c r="G1258" s="23" t="n">
        <v>167752</v>
      </c>
      <c r="H1258" s="8" t="s">
        <v>64</v>
      </c>
      <c r="I1258" s="24" t="n">
        <v>191.74</v>
      </c>
      <c r="J1258" s="25" t="n">
        <f aca="false">Summary!$B$4</f>
        <v>1</v>
      </c>
      <c r="K1258" s="11" t="n">
        <f aca="false">I1258*J1258*IF(A1258="SILVER",Summary!$B$5,Summary!$B$6)</f>
        <v>19174</v>
      </c>
      <c r="L1258" s="26" t="n">
        <v>0.082</v>
      </c>
      <c r="M1258" s="27" t="n">
        <f aca="false">IF(K1258&gt;0,1,0)</f>
        <v>1</v>
      </c>
      <c r="N1258" s="11" t="n">
        <f aca="false">SUMIFS(K$2:K1258,A$2:A1258,A1258,B$2:B1258,B1258)</f>
        <v>3410540</v>
      </c>
      <c r="O1258" s="11" t="n">
        <f aca="false">MAX(0,_xlfn.MAXIFS(N$2:N1258,A$2:A1258,A1258,B$2:B1258,B1258))</f>
        <v>3710987</v>
      </c>
      <c r="P1258" s="11" t="n">
        <f aca="false">N1258-O1258</f>
        <v>-300447</v>
      </c>
    </row>
    <row r="1259" customFormat="false" ht="15" hidden="false" customHeight="false" outlineLevel="0" collapsed="false">
      <c r="A1259" s="8" t="s">
        <v>45</v>
      </c>
      <c r="B1259" s="8" t="s">
        <v>35</v>
      </c>
      <c r="C1259" s="8" t="s">
        <v>62</v>
      </c>
      <c r="D1259" s="21" t="n">
        <v>46104.4166666667</v>
      </c>
      <c r="E1259" s="21" t="n">
        <v>46104.6916666667</v>
      </c>
      <c r="F1259" s="22" t="n">
        <f aca="false">DATE(YEAR(E1259),MONTH(E1259),1)</f>
        <v>46082</v>
      </c>
      <c r="G1259" s="23" t="n">
        <v>145176</v>
      </c>
      <c r="H1259" s="8" t="s">
        <v>64</v>
      </c>
      <c r="I1259" s="24" t="n">
        <v>708.42</v>
      </c>
      <c r="J1259" s="25" t="n">
        <f aca="false">Summary!$B$4</f>
        <v>1</v>
      </c>
      <c r="K1259" s="11" t="n">
        <f aca="false">I1259*J1259*IF(A1259="SILVER",Summary!$B$5,Summary!$B$6)</f>
        <v>70842</v>
      </c>
      <c r="L1259" s="26" t="n">
        <v>0.095</v>
      </c>
      <c r="M1259" s="27" t="n">
        <f aca="false">IF(K1259&gt;0,1,0)</f>
        <v>1</v>
      </c>
      <c r="N1259" s="11" t="n">
        <f aca="false">SUMIFS(K$2:K1259,A$2:A1259,A1259,B$2:B1259,B1259)</f>
        <v>3481382</v>
      </c>
      <c r="O1259" s="11" t="n">
        <f aca="false">MAX(0,_xlfn.MAXIFS(N$2:N1259,A$2:A1259,A1259,B$2:B1259,B1259))</f>
        <v>3710987</v>
      </c>
      <c r="P1259" s="11" t="n">
        <f aca="false">N1259-O1259</f>
        <v>-229605</v>
      </c>
    </row>
    <row r="1260" customFormat="false" ht="15" hidden="false" customHeight="false" outlineLevel="0" collapsed="false">
      <c r="A1260" s="8" t="s">
        <v>45</v>
      </c>
      <c r="B1260" s="8" t="s">
        <v>35</v>
      </c>
      <c r="C1260" s="8" t="s">
        <v>62</v>
      </c>
      <c r="D1260" s="21" t="n">
        <v>46114.4506944444</v>
      </c>
      <c r="E1260" s="21" t="n">
        <v>46118.5645833333</v>
      </c>
      <c r="F1260" s="22" t="n">
        <f aca="false">DATE(YEAR(E1260),MONTH(E1260),1)</f>
        <v>46113</v>
      </c>
      <c r="G1260" s="23" t="n">
        <v>155504</v>
      </c>
      <c r="H1260" s="8" t="s">
        <v>64</v>
      </c>
      <c r="I1260" s="24" t="n">
        <v>221.96</v>
      </c>
      <c r="J1260" s="25" t="n">
        <f aca="false">Summary!$B$4</f>
        <v>1</v>
      </c>
      <c r="K1260" s="11" t="n">
        <f aca="false">I1260*J1260*IF(A1260="SILVER",Summary!$B$5,Summary!$B$6)</f>
        <v>22196</v>
      </c>
      <c r="L1260" s="26" t="n">
        <v>0.073</v>
      </c>
      <c r="M1260" s="27" t="n">
        <f aca="false">IF(K1260&gt;0,1,0)</f>
        <v>1</v>
      </c>
      <c r="N1260" s="11" t="n">
        <f aca="false">SUMIFS(K$2:K1260,A$2:A1260,A1260,B$2:B1260,B1260)</f>
        <v>3503578</v>
      </c>
      <c r="O1260" s="11" t="n">
        <f aca="false">MAX(0,_xlfn.MAXIFS(N$2:N1260,A$2:A1260,A1260,B$2:B1260,B1260))</f>
        <v>3710987</v>
      </c>
      <c r="P1260" s="11" t="n">
        <f aca="false">N1260-O1260</f>
        <v>-207409</v>
      </c>
    </row>
    <row r="1261" customFormat="false" ht="15" hidden="false" customHeight="false" outlineLevel="0" collapsed="false">
      <c r="A1261" s="8" t="s">
        <v>45</v>
      </c>
      <c r="B1261" s="8" t="s">
        <v>35</v>
      </c>
      <c r="C1261" s="8" t="s">
        <v>62</v>
      </c>
      <c r="D1261" s="21" t="n">
        <v>46129.5</v>
      </c>
      <c r="E1261" s="21" t="n">
        <v>46129.7916666667</v>
      </c>
      <c r="F1261" s="22" t="n">
        <f aca="false">DATE(YEAR(E1261),MONTH(E1261),1)</f>
        <v>46113</v>
      </c>
      <c r="G1261" s="23" t="n">
        <v>156875</v>
      </c>
      <c r="H1261" s="8" t="s">
        <v>61</v>
      </c>
      <c r="I1261" s="24" t="n">
        <v>-2179.74</v>
      </c>
      <c r="J1261" s="25" t="n">
        <f aca="false">Summary!$B$4</f>
        <v>1</v>
      </c>
      <c r="K1261" s="11" t="n">
        <f aca="false">I1261*J1261*IF(A1261="SILVER",Summary!$B$5,Summary!$B$6)</f>
        <v>-217974</v>
      </c>
      <c r="L1261" s="26" t="n">
        <v>-0.977</v>
      </c>
      <c r="M1261" s="27" t="n">
        <f aca="false">IF(K1261&gt;0,1,0)</f>
        <v>0</v>
      </c>
      <c r="N1261" s="11" t="n">
        <f aca="false">SUMIFS(K$2:K1261,A$2:A1261,A1261,B$2:B1261,B1261)</f>
        <v>3285604</v>
      </c>
      <c r="O1261" s="11" t="n">
        <f aca="false">MAX(0,_xlfn.MAXIFS(N$2:N1261,A$2:A1261,A1261,B$2:B1261,B1261))</f>
        <v>3710987</v>
      </c>
      <c r="P1261" s="11" t="n">
        <f aca="false">N1261-O1261</f>
        <v>-425383</v>
      </c>
    </row>
    <row r="1262" customFormat="false" ht="15" hidden="false" customHeight="false" outlineLevel="0" collapsed="false">
      <c r="A1262" s="8" t="s">
        <v>45</v>
      </c>
      <c r="B1262" s="8" t="s">
        <v>35</v>
      </c>
      <c r="C1262" s="8" t="s">
        <v>62</v>
      </c>
      <c r="D1262" s="21" t="n">
        <v>46133.875</v>
      </c>
      <c r="E1262" s="21" t="n">
        <v>46134.375</v>
      </c>
      <c r="F1262" s="22" t="n">
        <f aca="false">DATE(YEAR(E1262),MONTH(E1262),1)</f>
        <v>46113</v>
      </c>
      <c r="G1262" s="23" t="n">
        <v>156825</v>
      </c>
      <c r="H1262" s="8" t="s">
        <v>64</v>
      </c>
      <c r="I1262" s="24" t="n">
        <v>-805.57</v>
      </c>
      <c r="J1262" s="25" t="n">
        <f aca="false">Summary!$B$4</f>
        <v>1</v>
      </c>
      <c r="K1262" s="11" t="n">
        <f aca="false">I1262*J1262*IF(A1262="SILVER",Summary!$B$5,Summary!$B$6)</f>
        <v>-80557</v>
      </c>
      <c r="L1262" s="26" t="n">
        <v>-0.375</v>
      </c>
      <c r="M1262" s="27" t="n">
        <f aca="false">IF(K1262&gt;0,1,0)</f>
        <v>0</v>
      </c>
      <c r="N1262" s="11" t="n">
        <f aca="false">SUMIFS(K$2:K1262,A$2:A1262,A1262,B$2:B1262,B1262)</f>
        <v>3205047</v>
      </c>
      <c r="O1262" s="11" t="n">
        <f aca="false">MAX(0,_xlfn.MAXIFS(N$2:N1262,A$2:A1262,A1262,B$2:B1262,B1262))</f>
        <v>3710987</v>
      </c>
      <c r="P1262" s="11" t="n">
        <f aca="false">N1262-O1262</f>
        <v>-505940</v>
      </c>
    </row>
    <row r="1263" customFormat="false" ht="15" hidden="false" customHeight="false" outlineLevel="0" collapsed="false">
      <c r="A1263" s="8" t="s">
        <v>45</v>
      </c>
      <c r="B1263" s="8" t="s">
        <v>35</v>
      </c>
      <c r="C1263" s="8" t="s">
        <v>62</v>
      </c>
      <c r="D1263" s="21" t="n">
        <v>46146.6666666667</v>
      </c>
      <c r="E1263" s="21" t="n">
        <v>46148.4166666667</v>
      </c>
      <c r="F1263" s="22" t="n">
        <f aca="false">DATE(YEAR(E1263),MONTH(E1263),1)</f>
        <v>46143</v>
      </c>
      <c r="G1263" s="23" t="n">
        <v>153637</v>
      </c>
      <c r="H1263" s="8" t="s">
        <v>61</v>
      </c>
      <c r="I1263" s="24" t="n">
        <v>-2625.13</v>
      </c>
      <c r="J1263" s="25" t="n">
        <f aca="false">Summary!$B$4</f>
        <v>1</v>
      </c>
      <c r="K1263" s="11" t="n">
        <f aca="false">I1263*J1263*IF(A1263="SILVER",Summary!$B$5,Summary!$B$6)</f>
        <v>-262513</v>
      </c>
      <c r="L1263" s="26" t="n">
        <v>-1</v>
      </c>
      <c r="M1263" s="27" t="n">
        <f aca="false">IF(K1263&gt;0,1,0)</f>
        <v>0</v>
      </c>
      <c r="N1263" s="11" t="n">
        <f aca="false">SUMIFS(K$2:K1263,A$2:A1263,A1263,B$2:B1263,B1263)</f>
        <v>2942534</v>
      </c>
      <c r="O1263" s="11" t="n">
        <f aca="false">MAX(0,_xlfn.MAXIFS(N$2:N1263,A$2:A1263,A1263,B$2:B1263,B1263))</f>
        <v>3710987</v>
      </c>
      <c r="P1263" s="11" t="n">
        <f aca="false">N1263-O1263</f>
        <v>-768453</v>
      </c>
    </row>
    <row r="1264" customFormat="false" ht="15" hidden="false" customHeight="false" outlineLevel="0" collapsed="false">
      <c r="A1264" s="8" t="s">
        <v>45</v>
      </c>
      <c r="B1264" s="8" t="s">
        <v>35</v>
      </c>
      <c r="C1264" s="8" t="s">
        <v>60</v>
      </c>
      <c r="D1264" s="21" t="n">
        <v>46170.9166666667</v>
      </c>
      <c r="E1264" s="21" t="n">
        <v>46174.5868055556</v>
      </c>
      <c r="F1264" s="22" t="n">
        <f aca="false">DATE(YEAR(E1264),MONTH(E1264),1)</f>
        <v>46174</v>
      </c>
      <c r="G1264" s="23" t="n">
        <v>161012</v>
      </c>
      <c r="H1264" s="8" t="s">
        <v>61</v>
      </c>
      <c r="I1264" s="24" t="n">
        <v>-2398.11</v>
      </c>
      <c r="J1264" s="25" t="n">
        <f aca="false">Summary!$B$4</f>
        <v>1</v>
      </c>
      <c r="K1264" s="11" t="n">
        <f aca="false">I1264*J1264*IF(A1264="SILVER",Summary!$B$5,Summary!$B$6)</f>
        <v>-239811</v>
      </c>
      <c r="L1264" s="26" t="n">
        <v>-0.869</v>
      </c>
      <c r="M1264" s="27" t="n">
        <f aca="false">IF(K1264&gt;0,1,0)</f>
        <v>0</v>
      </c>
      <c r="N1264" s="11" t="n">
        <f aca="false">SUMIFS(K$2:K1264,A$2:A1264,A1264,B$2:B1264,B1264)</f>
        <v>2702723</v>
      </c>
      <c r="O1264" s="11" t="n">
        <f aca="false">MAX(0,_xlfn.MAXIFS(N$2:N1264,A$2:A1264,A1264,B$2:B1264,B1264))</f>
        <v>3710987</v>
      </c>
      <c r="P1264" s="11" t="n">
        <f aca="false">N1264-O1264</f>
        <v>-1008264</v>
      </c>
    </row>
    <row r="1265" customFormat="false" ht="15" hidden="false" customHeight="false" outlineLevel="0" collapsed="false">
      <c r="A1265" s="8" t="s">
        <v>45</v>
      </c>
      <c r="B1265" s="8" t="s">
        <v>35</v>
      </c>
      <c r="C1265" s="8" t="s">
        <v>60</v>
      </c>
      <c r="D1265" s="21" t="n">
        <v>46175.5583333333</v>
      </c>
      <c r="E1265" s="21" t="n">
        <v>46178.625</v>
      </c>
      <c r="F1265" s="22" t="n">
        <f aca="false">DATE(YEAR(E1265),MONTH(E1265),1)</f>
        <v>46174</v>
      </c>
      <c r="G1265" s="23" t="n">
        <v>160132</v>
      </c>
      <c r="H1265" s="8" t="s">
        <v>61</v>
      </c>
      <c r="I1265" s="24" t="n">
        <v>-1918.03</v>
      </c>
      <c r="J1265" s="25" t="n">
        <f aca="false">Summary!$B$4</f>
        <v>1</v>
      </c>
      <c r="K1265" s="11" t="n">
        <f aca="false">I1265*J1265*IF(A1265="SILVER",Summary!$B$5,Summary!$B$6)</f>
        <v>-191803</v>
      </c>
      <c r="L1265" s="26" t="n">
        <v>-0.88</v>
      </c>
      <c r="M1265" s="27" t="n">
        <f aca="false">IF(K1265&gt;0,1,0)</f>
        <v>0</v>
      </c>
      <c r="N1265" s="11" t="n">
        <f aca="false">SUMIFS(K$2:K1265,A$2:A1265,A1265,B$2:B1265,B1265)</f>
        <v>2510920</v>
      </c>
      <c r="O1265" s="11" t="n">
        <f aca="false">MAX(0,_xlfn.MAXIFS(N$2:N1265,A$2:A1265,A1265,B$2:B1265,B1265))</f>
        <v>3710987</v>
      </c>
      <c r="P1265" s="11" t="n">
        <f aca="false">N1265-O1265</f>
        <v>-1200067</v>
      </c>
    </row>
    <row r="1266" customFormat="false" ht="15" hidden="false" customHeight="false" outlineLevel="0" collapsed="false">
      <c r="A1266" s="8" t="s">
        <v>45</v>
      </c>
      <c r="B1266" s="8" t="s">
        <v>35</v>
      </c>
      <c r="C1266" s="8" t="s">
        <v>62</v>
      </c>
      <c r="D1266" s="21" t="n">
        <v>46191.5006944445</v>
      </c>
      <c r="E1266" s="21" t="n">
        <v>46195.6666666667</v>
      </c>
      <c r="F1266" s="22" t="n">
        <f aca="false">DATE(YEAR(E1266),MONTH(E1266),1)</f>
        <v>46174</v>
      </c>
      <c r="G1266" s="23" t="n">
        <v>154219</v>
      </c>
      <c r="H1266" s="8" t="s">
        <v>61</v>
      </c>
      <c r="I1266" s="24" t="n">
        <v>2424.93</v>
      </c>
      <c r="J1266" s="25" t="n">
        <f aca="false">Summary!$B$4</f>
        <v>1</v>
      </c>
      <c r="K1266" s="11" t="n">
        <f aca="false">I1266*J1266*IF(A1266="SILVER",Summary!$B$5,Summary!$B$6)</f>
        <v>242493</v>
      </c>
      <c r="L1266" s="26" t="n">
        <v>0.951</v>
      </c>
      <c r="M1266" s="27" t="n">
        <f aca="false">IF(K1266&gt;0,1,0)</f>
        <v>1</v>
      </c>
      <c r="N1266" s="11" t="n">
        <f aca="false">SUMIFS(K$2:K1266,A$2:A1266,A1266,B$2:B1266,B1266)</f>
        <v>2753413</v>
      </c>
      <c r="O1266" s="11" t="n">
        <f aca="false">MAX(0,_xlfn.MAXIFS(N$2:N1266,A$2:A1266,A1266,B$2:B1266,B1266))</f>
        <v>3710987</v>
      </c>
      <c r="P1266" s="11" t="n">
        <f aca="false">N1266-O1266</f>
        <v>-957574</v>
      </c>
    </row>
    <row r="1267" customFormat="false" ht="15" hidden="false" customHeight="false" outlineLevel="0" collapsed="false">
      <c r="A1267" s="8" t="s">
        <v>45</v>
      </c>
      <c r="B1267" s="8" t="s">
        <v>35</v>
      </c>
      <c r="C1267" s="8" t="s">
        <v>62</v>
      </c>
      <c r="D1267" s="21" t="n">
        <v>46196.5</v>
      </c>
      <c r="E1267" s="21" t="n">
        <v>46204.7916666667</v>
      </c>
      <c r="F1267" s="22" t="n">
        <f aca="false">DATE(YEAR(E1267),MONTH(E1267),1)</f>
        <v>46204</v>
      </c>
      <c r="G1267" s="23" t="n">
        <v>148839</v>
      </c>
      <c r="H1267" s="8" t="s">
        <v>61</v>
      </c>
      <c r="I1267" s="24" t="n">
        <v>2609.02</v>
      </c>
      <c r="J1267" s="25" t="n">
        <f aca="false">Summary!$B$4</f>
        <v>1</v>
      </c>
      <c r="K1267" s="11" t="n">
        <f aca="false">I1267*J1267*IF(A1267="SILVER",Summary!$B$5,Summary!$B$6)</f>
        <v>260902</v>
      </c>
      <c r="L1267" s="26" t="n">
        <v>0.943</v>
      </c>
      <c r="M1267" s="27" t="n">
        <f aca="false">IF(K1267&gt;0,1,0)</f>
        <v>1</v>
      </c>
      <c r="N1267" s="11" t="n">
        <f aca="false">SUMIFS(K$2:K1267,A$2:A1267,A1267,B$2:B1267,B1267)</f>
        <v>3014315</v>
      </c>
      <c r="O1267" s="11" t="n">
        <f aca="false">MAX(0,_xlfn.MAXIFS(N$2:N1267,A$2:A1267,A1267,B$2:B1267,B1267))</f>
        <v>3710987</v>
      </c>
      <c r="P1267" s="11" t="n">
        <f aca="false">N1267-O1267</f>
        <v>-696672</v>
      </c>
    </row>
    <row r="1268" customFormat="false" ht="15" hidden="false" customHeight="false" outlineLevel="0" collapsed="false">
      <c r="A1268" s="8" t="s">
        <v>45</v>
      </c>
      <c r="B1268" s="8" t="s">
        <v>35</v>
      </c>
      <c r="C1268" s="8" t="s">
        <v>62</v>
      </c>
      <c r="D1268" s="21" t="n">
        <v>46210.625</v>
      </c>
      <c r="E1268" s="21" t="n">
        <v>46212.5548611111</v>
      </c>
      <c r="F1268" s="22" t="n">
        <f aca="false">DATE(YEAR(E1268),MONTH(E1268),1)</f>
        <v>46204</v>
      </c>
      <c r="G1268" s="23" t="n">
        <v>147678</v>
      </c>
      <c r="H1268" s="8" t="s">
        <v>64</v>
      </c>
      <c r="I1268" s="24" t="n">
        <v>182</v>
      </c>
      <c r="J1268" s="25" t="n">
        <f aca="false">Summary!$B$4</f>
        <v>1</v>
      </c>
      <c r="K1268" s="11" t="n">
        <f aca="false">I1268*J1268*IF(A1268="SILVER",Summary!$B$5,Summary!$B$6)</f>
        <v>18200</v>
      </c>
      <c r="L1268" s="26" t="n">
        <v>0.082</v>
      </c>
      <c r="M1268" s="27" t="n">
        <f aca="false">IF(K1268&gt;0,1,0)</f>
        <v>1</v>
      </c>
      <c r="N1268" s="11" t="n">
        <f aca="false">SUMIFS(K$2:K1268,A$2:A1268,A1268,B$2:B1268,B1268)</f>
        <v>3032515</v>
      </c>
      <c r="O1268" s="11" t="n">
        <f aca="false">MAX(0,_xlfn.MAXIFS(N$2:N1268,A$2:A1268,A1268,B$2:B1268,B1268))</f>
        <v>3710987</v>
      </c>
      <c r="P1268" s="11" t="n">
        <f aca="false">N1268-O1268</f>
        <v>-678472</v>
      </c>
    </row>
    <row r="1269" customFormat="false" ht="15" hidden="false" customHeight="false" outlineLevel="0" collapsed="false">
      <c r="A1269" s="8" t="s">
        <v>45</v>
      </c>
      <c r="B1269" s="8" t="s">
        <v>35</v>
      </c>
      <c r="C1269" s="8" t="s">
        <v>62</v>
      </c>
      <c r="D1269" s="21" t="n">
        <v>46216.4173611111</v>
      </c>
      <c r="E1269" s="21" t="n">
        <v>46217.75</v>
      </c>
      <c r="F1269" s="22" t="n">
        <f aca="false">DATE(YEAR(E1269),MONTH(E1269),1)</f>
        <v>46204</v>
      </c>
      <c r="G1269" s="23" t="n">
        <v>144749</v>
      </c>
      <c r="H1269" s="8" t="s">
        <v>64</v>
      </c>
      <c r="I1269" s="24" t="n">
        <v>174.2</v>
      </c>
      <c r="J1269" s="25" t="n">
        <f aca="false">Summary!$B$4</f>
        <v>1</v>
      </c>
      <c r="K1269" s="11" t="n">
        <f aca="false">I1269*J1269*IF(A1269="SILVER",Summary!$B$5,Summary!$B$6)</f>
        <v>17420</v>
      </c>
      <c r="L1269" s="26" t="n">
        <v>0.082</v>
      </c>
      <c r="M1269" s="27" t="n">
        <f aca="false">IF(K1269&gt;0,1,0)</f>
        <v>1</v>
      </c>
      <c r="N1269" s="11" t="n">
        <f aca="false">SUMIFS(K$2:K1269,A$2:A1269,A1269,B$2:B1269,B1269)</f>
        <v>3049935</v>
      </c>
      <c r="O1269" s="11" t="n">
        <f aca="false">MAX(0,_xlfn.MAXIFS(N$2:N1269,A$2:A1269,A1269,B$2:B1269,B1269))</f>
        <v>3710987</v>
      </c>
      <c r="P1269" s="11" t="n">
        <f aca="false">N1269-O1269</f>
        <v>-661052</v>
      </c>
    </row>
    <row r="1270" customFormat="false" ht="15" hidden="false" customHeight="false" outlineLevel="0" collapsed="false">
      <c r="A1270" s="8" t="s">
        <v>45</v>
      </c>
      <c r="B1270" s="8" t="s">
        <v>35</v>
      </c>
      <c r="C1270" s="8" t="s">
        <v>62</v>
      </c>
      <c r="D1270" s="21" t="n">
        <v>46219.9166666667</v>
      </c>
      <c r="E1270" s="21" t="n">
        <v>46224.4166666667</v>
      </c>
      <c r="F1270" s="22" t="n">
        <f aca="false">DATE(YEAR(E1270),MONTH(E1270),1)</f>
        <v>46204</v>
      </c>
      <c r="G1270" s="23" t="n">
        <v>142949</v>
      </c>
      <c r="H1270" s="8" t="s">
        <v>61</v>
      </c>
      <c r="I1270" s="24" t="n">
        <v>-2028.26</v>
      </c>
      <c r="J1270" s="25" t="n">
        <f aca="false">Summary!$B$4</f>
        <v>1</v>
      </c>
      <c r="K1270" s="11" t="n">
        <f aca="false">I1270*J1270*IF(A1270="SILVER",Summary!$B$5,Summary!$B$6)</f>
        <v>-202826</v>
      </c>
      <c r="L1270" s="26" t="n">
        <v>-0.849</v>
      </c>
      <c r="M1270" s="27" t="n">
        <f aca="false">IF(K1270&gt;0,1,0)</f>
        <v>0</v>
      </c>
      <c r="N1270" s="11" t="n">
        <f aca="false">SUMIFS(K$2:K1270,A$2:A1270,A1270,B$2:B1270,B1270)</f>
        <v>2847109</v>
      </c>
      <c r="O1270" s="11" t="n">
        <f aca="false">MAX(0,_xlfn.MAXIFS(N$2:N1270,A$2:A1270,A1270,B$2:B1270,B1270))</f>
        <v>3710987</v>
      </c>
      <c r="P1270" s="11" t="n">
        <f aca="false">N1270-O1270</f>
        <v>-863878</v>
      </c>
    </row>
    <row r="1271" customFormat="false" ht="15" hidden="false" customHeight="false" outlineLevel="0" collapsed="false">
      <c r="A1271" s="8" t="s">
        <v>45</v>
      </c>
      <c r="B1271" s="8" t="s">
        <v>35</v>
      </c>
      <c r="C1271" s="8" t="s">
        <v>62</v>
      </c>
      <c r="D1271" s="21" t="n">
        <v>46226.625</v>
      </c>
      <c r="E1271" s="21" t="n">
        <v>46230.3909722222</v>
      </c>
      <c r="F1271" s="22" t="n">
        <f aca="false">DATE(YEAR(E1271),MONTH(E1271),1)</f>
        <v>46204</v>
      </c>
      <c r="G1271" s="23" t="n">
        <v>146780</v>
      </c>
      <c r="H1271" s="8" t="s">
        <v>64</v>
      </c>
      <c r="I1271" s="24" t="n">
        <v>138.19</v>
      </c>
      <c r="J1271" s="25" t="n">
        <f aca="false">Summary!$B$4</f>
        <v>1</v>
      </c>
      <c r="K1271" s="11" t="n">
        <f aca="false">I1271*J1271*IF(A1271="SILVER",Summary!$B$5,Summary!$B$6)</f>
        <v>13819</v>
      </c>
      <c r="L1271" s="26" t="n">
        <v>0.077</v>
      </c>
      <c r="M1271" s="27" t="n">
        <f aca="false">IF(K1271&gt;0,1,0)</f>
        <v>1</v>
      </c>
      <c r="N1271" s="11" t="n">
        <f aca="false">SUMIFS(K$2:K1271,A$2:A1271,A1271,B$2:B1271,B1271)</f>
        <v>2860928</v>
      </c>
      <c r="O1271" s="11" t="n">
        <f aca="false">MAX(0,_xlfn.MAXIFS(N$2:N1271,A$2:A1271,A1271,B$2:B1271,B1271))</f>
        <v>3710987</v>
      </c>
      <c r="P1271" s="11" t="n">
        <f aca="false">N1271-O1271</f>
        <v>-850059</v>
      </c>
    </row>
    <row r="1272" customFormat="false" ht="15" hidden="false" customHeight="false" outlineLevel="0" collapsed="false">
      <c r="A1272" s="8" t="s">
        <v>45</v>
      </c>
      <c r="B1272" s="8" t="s">
        <v>35</v>
      </c>
      <c r="C1272" s="8" t="s">
        <v>62</v>
      </c>
      <c r="D1272" s="21" t="n">
        <v>46231.4166666667</v>
      </c>
      <c r="E1272" s="21" t="n">
        <v>46232.9423611111</v>
      </c>
      <c r="F1272" s="22" t="n">
        <f aca="false">DATE(YEAR(E1272),MONTH(E1272),1)</f>
        <v>46204</v>
      </c>
      <c r="G1272" s="23" t="n">
        <v>144489</v>
      </c>
      <c r="H1272" s="8" t="s">
        <v>64</v>
      </c>
      <c r="I1272" s="24" t="n">
        <v>166.95</v>
      </c>
      <c r="J1272" s="25" t="n">
        <f aca="false">Summary!$B$4</f>
        <v>1</v>
      </c>
      <c r="K1272" s="11" t="n">
        <f aca="false">I1272*J1272*IF(A1272="SILVER",Summary!$B$5,Summary!$B$6)</f>
        <v>16695</v>
      </c>
      <c r="L1272" s="26" t="n">
        <v>0.081</v>
      </c>
      <c r="M1272" s="27" t="n">
        <f aca="false">IF(K1272&gt;0,1,0)</f>
        <v>1</v>
      </c>
      <c r="N1272" s="11" t="n">
        <f aca="false">SUMIFS(K$2:K1272,A$2:A1272,A1272,B$2:B1272,B1272)</f>
        <v>2877623</v>
      </c>
      <c r="O1272" s="11" t="n">
        <f aca="false">MAX(0,_xlfn.MAXIFS(N$2:N1272,A$2:A1272,A1272,B$2:B1272,B1272))</f>
        <v>3710987</v>
      </c>
      <c r="P1272" s="11" t="n">
        <f aca="false">N1272-O1272</f>
        <v>-833364</v>
      </c>
    </row>
    <row r="1273" customFormat="false" ht="15" hidden="false" customHeight="false" outlineLevel="0" collapsed="false">
      <c r="A1273" s="8" t="s">
        <v>45</v>
      </c>
      <c r="B1273" s="8" t="s">
        <v>35</v>
      </c>
      <c r="C1273" s="8" t="s">
        <v>62</v>
      </c>
      <c r="D1273" s="21" t="n">
        <v>46237.7993055556</v>
      </c>
      <c r="E1273" s="21" t="n">
        <v>46239.3930555556</v>
      </c>
      <c r="F1273" s="22" t="n">
        <f aca="false">DATE(YEAR(E1273),MONTH(E1273),1)</f>
        <v>46235</v>
      </c>
      <c r="G1273" s="23" t="n">
        <v>143630</v>
      </c>
      <c r="H1273" s="8" t="s">
        <v>61</v>
      </c>
      <c r="I1273" s="24" t="n">
        <v>-2585.39</v>
      </c>
      <c r="J1273" s="25" t="n">
        <f aca="false">Summary!$B$4</f>
        <v>1</v>
      </c>
      <c r="K1273" s="11" t="n">
        <f aca="false">I1273*J1273*IF(A1273="SILVER",Summary!$B$5,Summary!$B$6)</f>
        <v>-258539</v>
      </c>
      <c r="L1273" s="26" t="n">
        <v>-1.37</v>
      </c>
      <c r="M1273" s="27" t="n">
        <f aca="false">IF(K1273&gt;0,1,0)</f>
        <v>0</v>
      </c>
      <c r="N1273" s="11" t="n">
        <f aca="false">SUMIFS(K$2:K1273,A$2:A1273,A1273,B$2:B1273,B1273)</f>
        <v>2619084</v>
      </c>
      <c r="O1273" s="11" t="n">
        <f aca="false">MAX(0,_xlfn.MAXIFS(N$2:N1273,A$2:A1273,A1273,B$2:B1273,B1273))</f>
        <v>3710987</v>
      </c>
      <c r="P1273" s="11" t="n">
        <f aca="false">N1273-O1273</f>
        <v>-1091903</v>
      </c>
    </row>
    <row r="1274" customFormat="false" ht="15" hidden="false" customHeight="false" outlineLevel="0" collapsed="false">
      <c r="A1274" s="8" t="s">
        <v>45</v>
      </c>
      <c r="B1274" s="8" t="s">
        <v>35</v>
      </c>
      <c r="C1274" s="8" t="s">
        <v>60</v>
      </c>
      <c r="D1274" s="21" t="n">
        <v>46248.8333333333</v>
      </c>
      <c r="E1274" s="21" t="n">
        <v>46251.3756944445</v>
      </c>
      <c r="F1274" s="22" t="n">
        <f aca="false">DATE(YEAR(E1274),MONTH(E1274),1)</f>
        <v>46235</v>
      </c>
      <c r="G1274" s="23" t="n">
        <v>154700</v>
      </c>
      <c r="H1274" s="8" t="s">
        <v>64</v>
      </c>
      <c r="I1274" s="24" t="n">
        <v>159.03</v>
      </c>
      <c r="J1274" s="25" t="n">
        <f aca="false">Summary!$B$4</f>
        <v>1</v>
      </c>
      <c r="K1274" s="11" t="n">
        <f aca="false">I1274*J1274*IF(A1274="SILVER",Summary!$B$5,Summary!$B$6)</f>
        <v>15903</v>
      </c>
      <c r="L1274" s="26" t="n">
        <v>0.069</v>
      </c>
      <c r="M1274" s="27" t="n">
        <f aca="false">IF(K1274&gt;0,1,0)</f>
        <v>1</v>
      </c>
      <c r="N1274" s="11" t="n">
        <f aca="false">SUMIFS(K$2:K1274,A$2:A1274,A1274,B$2:B1274,B1274)</f>
        <v>2634987</v>
      </c>
      <c r="O1274" s="11" t="n">
        <f aca="false">MAX(0,_xlfn.MAXIFS(N$2:N1274,A$2:A1274,A1274,B$2:B1274,B1274))</f>
        <v>3710987</v>
      </c>
      <c r="P1274" s="11" t="n">
        <f aca="false">N1274-O1274</f>
        <v>-1076000</v>
      </c>
    </row>
    <row r="1275" customFormat="false" ht="15" hidden="false" customHeight="false" outlineLevel="0" collapsed="false">
      <c r="A1275" s="8" t="s">
        <v>45</v>
      </c>
      <c r="B1275" s="8" t="s">
        <v>35</v>
      </c>
      <c r="C1275" s="8" t="s">
        <v>60</v>
      </c>
      <c r="D1275" s="21" t="n">
        <v>46253.7916666667</v>
      </c>
      <c r="E1275" s="21" t="n">
        <v>46260.7916666667</v>
      </c>
      <c r="F1275" s="22" t="n">
        <f aca="false">DATE(YEAR(E1275),MONTH(E1275),1)</f>
        <v>46235</v>
      </c>
      <c r="G1275" s="23" t="n">
        <v>157121</v>
      </c>
      <c r="H1275" s="8" t="s">
        <v>61</v>
      </c>
      <c r="I1275" s="24" t="n">
        <v>4739.11</v>
      </c>
      <c r="J1275" s="25" t="n">
        <f aca="false">Summary!$B$4</f>
        <v>1</v>
      </c>
      <c r="K1275" s="11" t="n">
        <f aca="false">I1275*J1275*IF(A1275="SILVER",Summary!$B$5,Summary!$B$6)</f>
        <v>473911</v>
      </c>
      <c r="L1275" s="26" t="n">
        <v>1.371</v>
      </c>
      <c r="M1275" s="27" t="n">
        <f aca="false">IF(K1275&gt;0,1,0)</f>
        <v>1</v>
      </c>
      <c r="N1275" s="11" t="n">
        <f aca="false">SUMIFS(K$2:K1275,A$2:A1275,A1275,B$2:B1275,B1275)</f>
        <v>3108898</v>
      </c>
      <c r="O1275" s="11" t="n">
        <f aca="false">MAX(0,_xlfn.MAXIFS(N$2:N1275,A$2:A1275,A1275,B$2:B1275,B1275))</f>
        <v>3710987</v>
      </c>
      <c r="P1275" s="11" t="n">
        <f aca="false">N1275-O1275</f>
        <v>-602089</v>
      </c>
    </row>
    <row r="1276" customFormat="false" ht="15" hidden="false" customHeight="false" outlineLevel="0" collapsed="false">
      <c r="A1276" s="8" t="s">
        <v>45</v>
      </c>
      <c r="B1276" s="8" t="s">
        <v>35</v>
      </c>
      <c r="C1276" s="8" t="s">
        <v>62</v>
      </c>
      <c r="D1276" s="21" t="n">
        <v>46269.7916666667</v>
      </c>
      <c r="E1276" s="21" t="n">
        <v>46276.4694444445</v>
      </c>
      <c r="F1276" s="22" t="n">
        <f aca="false">DATE(YEAR(E1276),MONTH(E1276),1)</f>
        <v>46266</v>
      </c>
      <c r="G1276" s="23" t="n">
        <v>152540</v>
      </c>
      <c r="H1276" s="8" t="s">
        <v>64</v>
      </c>
      <c r="I1276" s="24" t="n">
        <v>323.17</v>
      </c>
      <c r="J1276" s="25" t="n">
        <f aca="false">Summary!$B$4</f>
        <v>1</v>
      </c>
      <c r="K1276" s="11" t="n">
        <f aca="false">I1276*J1276*IF(A1276="SILVER",Summary!$B$5,Summary!$B$6)</f>
        <v>32317</v>
      </c>
      <c r="L1276" s="26" t="n">
        <v>0.089</v>
      </c>
      <c r="M1276" s="27" t="n">
        <f aca="false">IF(K1276&gt;0,1,0)</f>
        <v>1</v>
      </c>
      <c r="N1276" s="11" t="n">
        <f aca="false">SUMIFS(K$2:K1276,A$2:A1276,A1276,B$2:B1276,B1276)</f>
        <v>3141215</v>
      </c>
      <c r="O1276" s="11" t="n">
        <f aca="false">MAX(0,_xlfn.MAXIFS(N$2:N1276,A$2:A1276,A1276,B$2:B1276,B1276))</f>
        <v>3710987</v>
      </c>
      <c r="P1276" s="11" t="n">
        <f aca="false">N1276-O1276</f>
        <v>-569772</v>
      </c>
    </row>
    <row r="1277" customFormat="false" ht="15" hidden="false" customHeight="false" outlineLevel="0" collapsed="false">
      <c r="A1277" s="8" t="s">
        <v>45</v>
      </c>
      <c r="B1277" s="8" t="s">
        <v>35</v>
      </c>
      <c r="C1277" s="8" t="s">
        <v>62</v>
      </c>
      <c r="D1277" s="21" t="n">
        <v>46287.5833333333</v>
      </c>
      <c r="E1277" s="21" t="n">
        <v>46288.9784722222</v>
      </c>
      <c r="F1277" s="22" t="n">
        <f aca="false">DATE(YEAR(E1277),MONTH(E1277),1)</f>
        <v>46266</v>
      </c>
      <c r="G1277" s="23" t="n">
        <v>151850</v>
      </c>
      <c r="H1277" s="8" t="s">
        <v>63</v>
      </c>
      <c r="I1277" s="24" t="n">
        <v>449.67</v>
      </c>
      <c r="J1277" s="25" t="n">
        <f aca="false">Summary!$B$4</f>
        <v>1</v>
      </c>
      <c r="K1277" s="11" t="n">
        <f aca="false">I1277*J1277*IF(A1277="SILVER",Summary!$B$5,Summary!$B$6)</f>
        <v>44967</v>
      </c>
      <c r="L1277" s="26" t="n">
        <v>0.198</v>
      </c>
      <c r="M1277" s="27" t="n">
        <f aca="false">IF(K1277&gt;0,1,0)</f>
        <v>1</v>
      </c>
      <c r="N1277" s="11" t="n">
        <f aca="false">SUMIFS(K$2:K1277,A$2:A1277,A1277,B$2:B1277,B1277)</f>
        <v>3186182</v>
      </c>
      <c r="O1277" s="11" t="n">
        <f aca="false">MAX(0,_xlfn.MAXIFS(N$2:N1277,A$2:A1277,A1277,B$2:B1277,B1277))</f>
        <v>3710987</v>
      </c>
      <c r="P1277" s="11" t="n">
        <f aca="false">N1277-O1277</f>
        <v>-524805</v>
      </c>
    </row>
    <row r="1278" customFormat="false" ht="15" hidden="false" customHeight="false" outlineLevel="0" collapsed="false">
      <c r="A1278" s="8" t="s">
        <v>45</v>
      </c>
      <c r="B1278" s="8" t="s">
        <v>37</v>
      </c>
      <c r="C1278" s="8" t="s">
        <v>60</v>
      </c>
      <c r="D1278" s="21" t="n">
        <v>45693.3909722222</v>
      </c>
      <c r="E1278" s="21" t="n">
        <v>45699.7708333333</v>
      </c>
      <c r="F1278" s="22" t="n">
        <f aca="false">DATE(YEAR(E1278),MONTH(E1278),1)</f>
        <v>45689</v>
      </c>
      <c r="G1278" s="23" t="n">
        <v>104684</v>
      </c>
      <c r="H1278" s="8" t="s">
        <v>61</v>
      </c>
      <c r="I1278" s="24" t="n">
        <v>869.09</v>
      </c>
      <c r="J1278" s="25" t="n">
        <f aca="false">Summary!$B$4</f>
        <v>1</v>
      </c>
      <c r="K1278" s="11" t="n">
        <f aca="false">I1278*J1278*IF(A1278="SILVER",Summary!$B$5,Summary!$B$6)</f>
        <v>86909</v>
      </c>
      <c r="L1278" s="26" t="n">
        <v>0.572</v>
      </c>
      <c r="M1278" s="27" t="n">
        <f aca="false">IF(K1278&gt;0,1,0)</f>
        <v>1</v>
      </c>
      <c r="N1278" s="11" t="n">
        <f aca="false">SUMIFS(K$2:K1278,A$2:A1278,A1278,B$2:B1278,B1278)</f>
        <v>86909</v>
      </c>
      <c r="O1278" s="11" t="n">
        <f aca="false">MAX(0,_xlfn.MAXIFS(N$2:N1278,A$2:A1278,A1278,B$2:B1278,B1278))</f>
        <v>86909</v>
      </c>
      <c r="P1278" s="11" t="n">
        <f aca="false">N1278-O1278</f>
        <v>0</v>
      </c>
    </row>
    <row r="1279" customFormat="false" ht="15" hidden="false" customHeight="false" outlineLevel="0" collapsed="false">
      <c r="A1279" s="8" t="s">
        <v>45</v>
      </c>
      <c r="B1279" s="8" t="s">
        <v>37</v>
      </c>
      <c r="C1279" s="8" t="s">
        <v>60</v>
      </c>
      <c r="D1279" s="21" t="n">
        <v>45701.4166666667</v>
      </c>
      <c r="E1279" s="21" t="n">
        <v>45702.875</v>
      </c>
      <c r="F1279" s="22" t="n">
        <f aca="false">DATE(YEAR(E1279),MONTH(E1279),1)</f>
        <v>45689</v>
      </c>
      <c r="G1279" s="23" t="n">
        <v>106410</v>
      </c>
      <c r="H1279" s="8" t="s">
        <v>61</v>
      </c>
      <c r="I1279" s="24" t="n">
        <v>-896.08</v>
      </c>
      <c r="J1279" s="25" t="n">
        <f aca="false">Summary!$B$4</f>
        <v>1</v>
      </c>
      <c r="K1279" s="11" t="n">
        <f aca="false">I1279*J1279*IF(A1279="SILVER",Summary!$B$5,Summary!$B$6)</f>
        <v>-89608</v>
      </c>
      <c r="L1279" s="26" t="n">
        <v>-0.768</v>
      </c>
      <c r="M1279" s="27" t="n">
        <f aca="false">IF(K1279&gt;0,1,0)</f>
        <v>0</v>
      </c>
      <c r="N1279" s="11" t="n">
        <f aca="false">SUMIFS(K$2:K1279,A$2:A1279,A1279,B$2:B1279,B1279)</f>
        <v>-2699</v>
      </c>
      <c r="O1279" s="11" t="n">
        <f aca="false">MAX(0,_xlfn.MAXIFS(N$2:N1279,A$2:A1279,A1279,B$2:B1279,B1279))</f>
        <v>86909</v>
      </c>
      <c r="P1279" s="11" t="n">
        <f aca="false">N1279-O1279</f>
        <v>-89608</v>
      </c>
    </row>
    <row r="1280" customFormat="false" ht="15" hidden="false" customHeight="false" outlineLevel="0" collapsed="false">
      <c r="A1280" s="8" t="s">
        <v>45</v>
      </c>
      <c r="B1280" s="8" t="s">
        <v>37</v>
      </c>
      <c r="C1280" s="8" t="s">
        <v>60</v>
      </c>
      <c r="D1280" s="21" t="n">
        <v>45706.8333333333</v>
      </c>
      <c r="E1280" s="21" t="n">
        <v>45707.9944444444</v>
      </c>
      <c r="F1280" s="22" t="n">
        <f aca="false">DATE(YEAR(E1280),MONTH(E1280),1)</f>
        <v>45689</v>
      </c>
      <c r="G1280" s="23" t="n">
        <v>106372</v>
      </c>
      <c r="H1280" s="8" t="s">
        <v>64</v>
      </c>
      <c r="I1280" s="24" t="n">
        <v>37.83</v>
      </c>
      <c r="J1280" s="25" t="n">
        <f aca="false">Summary!$B$4</f>
        <v>1</v>
      </c>
      <c r="K1280" s="11" t="n">
        <f aca="false">I1280*J1280*IF(A1280="SILVER",Summary!$B$5,Summary!$B$6)</f>
        <v>3783</v>
      </c>
      <c r="L1280" s="26" t="n">
        <v>0.056</v>
      </c>
      <c r="M1280" s="27" t="n">
        <f aca="false">IF(K1280&gt;0,1,0)</f>
        <v>1</v>
      </c>
      <c r="N1280" s="11" t="n">
        <f aca="false">SUMIFS(K$2:K1280,A$2:A1280,A1280,B$2:B1280,B1280)</f>
        <v>1084</v>
      </c>
      <c r="O1280" s="11" t="n">
        <f aca="false">MAX(0,_xlfn.MAXIFS(N$2:N1280,A$2:A1280,A1280,B$2:B1280,B1280))</f>
        <v>86909</v>
      </c>
      <c r="P1280" s="11" t="n">
        <f aca="false">N1280-O1280</f>
        <v>-85825</v>
      </c>
    </row>
    <row r="1281" customFormat="false" ht="15" hidden="false" customHeight="false" outlineLevel="0" collapsed="false">
      <c r="A1281" s="8" t="s">
        <v>45</v>
      </c>
      <c r="B1281" s="8" t="s">
        <v>37</v>
      </c>
      <c r="C1281" s="8" t="s">
        <v>60</v>
      </c>
      <c r="D1281" s="21" t="n">
        <v>45719.875</v>
      </c>
      <c r="E1281" s="21" t="n">
        <v>45721.8055555556</v>
      </c>
      <c r="F1281" s="22" t="n">
        <f aca="false">DATE(YEAR(E1281),MONTH(E1281),1)</f>
        <v>45717</v>
      </c>
      <c r="G1281" s="23" t="n">
        <v>105861</v>
      </c>
      <c r="H1281" s="8" t="s">
        <v>64</v>
      </c>
      <c r="I1281" s="24" t="n">
        <v>81.24</v>
      </c>
      <c r="J1281" s="25" t="n">
        <f aca="false">Summary!$B$4</f>
        <v>1</v>
      </c>
      <c r="K1281" s="11" t="n">
        <f aca="false">I1281*J1281*IF(A1281="SILVER",Summary!$B$5,Summary!$B$6)</f>
        <v>8124</v>
      </c>
      <c r="L1281" s="26" t="n">
        <v>0.075</v>
      </c>
      <c r="M1281" s="27" t="n">
        <f aca="false">IF(K1281&gt;0,1,0)</f>
        <v>1</v>
      </c>
      <c r="N1281" s="11" t="n">
        <f aca="false">SUMIFS(K$2:K1281,A$2:A1281,A1281,B$2:B1281,B1281)</f>
        <v>9208</v>
      </c>
      <c r="O1281" s="11" t="n">
        <f aca="false">MAX(0,_xlfn.MAXIFS(N$2:N1281,A$2:A1281,A1281,B$2:B1281,B1281))</f>
        <v>86909</v>
      </c>
      <c r="P1281" s="11" t="n">
        <f aca="false">N1281-O1281</f>
        <v>-77701</v>
      </c>
    </row>
    <row r="1282" customFormat="false" ht="15" hidden="false" customHeight="false" outlineLevel="0" collapsed="false">
      <c r="A1282" s="8" t="s">
        <v>45</v>
      </c>
      <c r="B1282" s="8" t="s">
        <v>37</v>
      </c>
      <c r="C1282" s="8" t="s">
        <v>60</v>
      </c>
      <c r="D1282" s="21" t="n">
        <v>45723.8541666667</v>
      </c>
      <c r="E1282" s="21" t="n">
        <v>45727.375</v>
      </c>
      <c r="F1282" s="22" t="n">
        <f aca="false">DATE(YEAR(E1282),MONTH(E1282),1)</f>
        <v>45717</v>
      </c>
      <c r="G1282" s="23" t="n">
        <v>106850</v>
      </c>
      <c r="H1282" s="8" t="s">
        <v>61</v>
      </c>
      <c r="I1282" s="24" t="n">
        <v>-712.17</v>
      </c>
      <c r="J1282" s="25" t="n">
        <f aca="false">Summary!$B$4</f>
        <v>1</v>
      </c>
      <c r="K1282" s="11" t="n">
        <f aca="false">I1282*J1282*IF(A1282="SILVER",Summary!$B$5,Summary!$B$6)</f>
        <v>-71217</v>
      </c>
      <c r="L1282" s="26" t="n">
        <v>-0.818</v>
      </c>
      <c r="M1282" s="27" t="n">
        <f aca="false">IF(K1282&gt;0,1,0)</f>
        <v>0</v>
      </c>
      <c r="N1282" s="11" t="n">
        <f aca="false">SUMIFS(K$2:K1282,A$2:A1282,A1282,B$2:B1282,B1282)</f>
        <v>-62009</v>
      </c>
      <c r="O1282" s="11" t="n">
        <f aca="false">MAX(0,_xlfn.MAXIFS(N$2:N1282,A$2:A1282,A1282,B$2:B1282,B1282))</f>
        <v>86909</v>
      </c>
      <c r="P1282" s="11" t="n">
        <f aca="false">N1282-O1282</f>
        <v>-148918</v>
      </c>
    </row>
    <row r="1283" customFormat="false" ht="15" hidden="false" customHeight="false" outlineLevel="0" collapsed="false">
      <c r="A1283" s="8" t="s">
        <v>45</v>
      </c>
      <c r="B1283" s="8" t="s">
        <v>37</v>
      </c>
      <c r="C1283" s="8" t="s">
        <v>60</v>
      </c>
      <c r="D1283" s="21" t="n">
        <v>45728.9166666667</v>
      </c>
      <c r="E1283" s="21" t="n">
        <v>45737.4583333333</v>
      </c>
      <c r="F1283" s="22" t="n">
        <f aca="false">DATE(YEAR(E1283),MONTH(E1283),1)</f>
        <v>45717</v>
      </c>
      <c r="G1283" s="23" t="n">
        <v>107232</v>
      </c>
      <c r="H1283" s="8" t="s">
        <v>61</v>
      </c>
      <c r="I1283" s="24" t="n">
        <v>1602.5</v>
      </c>
      <c r="J1283" s="25" t="n">
        <f aca="false">Summary!$B$4</f>
        <v>1</v>
      </c>
      <c r="K1283" s="11" t="n">
        <f aca="false">I1283*J1283*IF(A1283="SILVER",Summary!$B$5,Summary!$B$6)</f>
        <v>160250</v>
      </c>
      <c r="L1283" s="26" t="n">
        <v>1.669</v>
      </c>
      <c r="M1283" s="27" t="n">
        <f aca="false">IF(K1283&gt;0,1,0)</f>
        <v>1</v>
      </c>
      <c r="N1283" s="11" t="n">
        <f aca="false">SUMIFS(K$2:K1283,A$2:A1283,A1283,B$2:B1283,B1283)</f>
        <v>98241</v>
      </c>
      <c r="O1283" s="11" t="n">
        <f aca="false">MAX(0,_xlfn.MAXIFS(N$2:N1283,A$2:A1283,A1283,B$2:B1283,B1283))</f>
        <v>98241</v>
      </c>
      <c r="P1283" s="11" t="n">
        <f aca="false">N1283-O1283</f>
        <v>0</v>
      </c>
    </row>
    <row r="1284" customFormat="false" ht="15" hidden="false" customHeight="false" outlineLevel="0" collapsed="false">
      <c r="A1284" s="8" t="s">
        <v>45</v>
      </c>
      <c r="B1284" s="8" t="s">
        <v>37</v>
      </c>
      <c r="C1284" s="8" t="s">
        <v>60</v>
      </c>
      <c r="D1284" s="21" t="n">
        <v>45743.4166666667</v>
      </c>
      <c r="E1284" s="21" t="n">
        <v>45750.6861111111</v>
      </c>
      <c r="F1284" s="22" t="n">
        <f aca="false">DATE(YEAR(E1284),MONTH(E1284),1)</f>
        <v>45748</v>
      </c>
      <c r="G1284" s="23" t="n">
        <v>108663</v>
      </c>
      <c r="H1284" s="8" t="s">
        <v>61</v>
      </c>
      <c r="I1284" s="24" t="n">
        <v>1771.18</v>
      </c>
      <c r="J1284" s="25" t="n">
        <f aca="false">Summary!$B$4</f>
        <v>1</v>
      </c>
      <c r="K1284" s="11" t="n">
        <f aca="false">I1284*J1284*IF(A1284="SILVER",Summary!$B$5,Summary!$B$6)</f>
        <v>177118</v>
      </c>
      <c r="L1284" s="26" t="n">
        <v>2.007</v>
      </c>
      <c r="M1284" s="27" t="n">
        <f aca="false">IF(K1284&gt;0,1,0)</f>
        <v>1</v>
      </c>
      <c r="N1284" s="11" t="n">
        <f aca="false">SUMIFS(K$2:K1284,A$2:A1284,A1284,B$2:B1284,B1284)</f>
        <v>275359</v>
      </c>
      <c r="O1284" s="11" t="n">
        <f aca="false">MAX(0,_xlfn.MAXIFS(N$2:N1284,A$2:A1284,A1284,B$2:B1284,B1284))</f>
        <v>275359</v>
      </c>
      <c r="P1284" s="11" t="n">
        <f aca="false">N1284-O1284</f>
        <v>0</v>
      </c>
    </row>
    <row r="1285" customFormat="false" ht="15" hidden="false" customHeight="false" outlineLevel="0" collapsed="false">
      <c r="A1285" s="8" t="s">
        <v>45</v>
      </c>
      <c r="B1285" s="8" t="s">
        <v>37</v>
      </c>
      <c r="C1285" s="8" t="s">
        <v>60</v>
      </c>
      <c r="D1285" s="21" t="n">
        <v>45750.8618055556</v>
      </c>
      <c r="E1285" s="21" t="n">
        <v>45751.8173611111</v>
      </c>
      <c r="F1285" s="22" t="n">
        <f aca="false">DATE(YEAR(E1285),MONTH(E1285),1)</f>
        <v>45748</v>
      </c>
      <c r="G1285" s="23" t="n">
        <v>111162</v>
      </c>
      <c r="H1285" s="8" t="s">
        <v>61</v>
      </c>
      <c r="I1285" s="24" t="n">
        <v>-1827.97</v>
      </c>
      <c r="J1285" s="25" t="n">
        <f aca="false">Summary!$B$4</f>
        <v>1</v>
      </c>
      <c r="K1285" s="11" t="n">
        <f aca="false">I1285*J1285*IF(A1285="SILVER",Summary!$B$5,Summary!$B$6)</f>
        <v>-182797</v>
      </c>
      <c r="L1285" s="26" t="n">
        <v>-1.17</v>
      </c>
      <c r="M1285" s="27" t="n">
        <f aca="false">IF(K1285&gt;0,1,0)</f>
        <v>0</v>
      </c>
      <c r="N1285" s="11" t="n">
        <f aca="false">SUMIFS(K$2:K1285,A$2:A1285,A1285,B$2:B1285,B1285)</f>
        <v>92562</v>
      </c>
      <c r="O1285" s="11" t="n">
        <f aca="false">MAX(0,_xlfn.MAXIFS(N$2:N1285,A$2:A1285,A1285,B$2:B1285,B1285))</f>
        <v>275359</v>
      </c>
      <c r="P1285" s="11" t="n">
        <f aca="false">N1285-O1285</f>
        <v>-182797</v>
      </c>
    </row>
    <row r="1286" customFormat="false" ht="15" hidden="false" customHeight="false" outlineLevel="0" collapsed="false">
      <c r="A1286" s="8" t="s">
        <v>45</v>
      </c>
      <c r="B1286" s="8" t="s">
        <v>37</v>
      </c>
      <c r="C1286" s="8" t="s">
        <v>60</v>
      </c>
      <c r="D1286" s="21" t="n">
        <v>45756.5208333333</v>
      </c>
      <c r="E1286" s="21" t="n">
        <v>45764.8541666667</v>
      </c>
      <c r="F1286" s="22" t="n">
        <f aca="false">DATE(YEAR(E1286),MONTH(E1286),1)</f>
        <v>45748</v>
      </c>
      <c r="G1286" s="23" t="n">
        <v>110538</v>
      </c>
      <c r="H1286" s="8" t="s">
        <v>61</v>
      </c>
      <c r="I1286" s="24" t="n">
        <v>5085.61</v>
      </c>
      <c r="J1286" s="25" t="n">
        <f aca="false">Summary!$B$4</f>
        <v>1</v>
      </c>
      <c r="K1286" s="11" t="n">
        <f aca="false">I1286*J1286*IF(A1286="SILVER",Summary!$B$5,Summary!$B$6)</f>
        <v>508561</v>
      </c>
      <c r="L1286" s="26" t="n">
        <v>2.554</v>
      </c>
      <c r="M1286" s="27" t="n">
        <f aca="false">IF(K1286&gt;0,1,0)</f>
        <v>1</v>
      </c>
      <c r="N1286" s="11" t="n">
        <f aca="false">SUMIFS(K$2:K1286,A$2:A1286,A1286,B$2:B1286,B1286)</f>
        <v>601123</v>
      </c>
      <c r="O1286" s="11" t="n">
        <f aca="false">MAX(0,_xlfn.MAXIFS(N$2:N1286,A$2:A1286,A1286,B$2:B1286,B1286))</f>
        <v>601123</v>
      </c>
      <c r="P1286" s="11" t="n">
        <f aca="false">N1286-O1286</f>
        <v>0</v>
      </c>
    </row>
    <row r="1287" customFormat="false" ht="15" hidden="false" customHeight="false" outlineLevel="0" collapsed="false">
      <c r="A1287" s="8" t="s">
        <v>45</v>
      </c>
      <c r="B1287" s="8" t="s">
        <v>37</v>
      </c>
      <c r="C1287" s="8" t="s">
        <v>60</v>
      </c>
      <c r="D1287" s="21" t="n">
        <v>45768.3958333333</v>
      </c>
      <c r="E1287" s="21" t="n">
        <v>45769.9166666667</v>
      </c>
      <c r="F1287" s="22" t="n">
        <f aca="false">DATE(YEAR(E1287),MONTH(E1287),1)</f>
        <v>45748</v>
      </c>
      <c r="G1287" s="23" t="n">
        <v>117716</v>
      </c>
      <c r="H1287" s="8" t="s">
        <v>61</v>
      </c>
      <c r="I1287" s="24" t="n">
        <v>307.66</v>
      </c>
      <c r="J1287" s="25" t="n">
        <f aca="false">Summary!$B$4</f>
        <v>1</v>
      </c>
      <c r="K1287" s="11" t="n">
        <f aca="false">I1287*J1287*IF(A1287="SILVER",Summary!$B$5,Summary!$B$6)</f>
        <v>30766</v>
      </c>
      <c r="L1287" s="26" t="n">
        <v>0.168</v>
      </c>
      <c r="M1287" s="27" t="n">
        <f aca="false">IF(K1287&gt;0,1,0)</f>
        <v>1</v>
      </c>
      <c r="N1287" s="11" t="n">
        <f aca="false">SUMIFS(K$2:K1287,A$2:A1287,A1287,B$2:B1287,B1287)</f>
        <v>631889</v>
      </c>
      <c r="O1287" s="11" t="n">
        <f aca="false">MAX(0,_xlfn.MAXIFS(N$2:N1287,A$2:A1287,A1287,B$2:B1287,B1287))</f>
        <v>631889</v>
      </c>
      <c r="P1287" s="11" t="n">
        <f aca="false">N1287-O1287</f>
        <v>0</v>
      </c>
    </row>
    <row r="1288" customFormat="false" ht="15" hidden="false" customHeight="false" outlineLevel="0" collapsed="false">
      <c r="A1288" s="8" t="s">
        <v>45</v>
      </c>
      <c r="B1288" s="8" t="s">
        <v>37</v>
      </c>
      <c r="C1288" s="8" t="s">
        <v>60</v>
      </c>
      <c r="D1288" s="21" t="n">
        <v>45775.9166666667</v>
      </c>
      <c r="E1288" s="21" t="n">
        <v>45777.5833333333</v>
      </c>
      <c r="F1288" s="22" t="n">
        <f aca="false">DATE(YEAR(E1288),MONTH(E1288),1)</f>
        <v>45748</v>
      </c>
      <c r="G1288" s="23" t="n">
        <v>116972</v>
      </c>
      <c r="H1288" s="8" t="s">
        <v>61</v>
      </c>
      <c r="I1288" s="24" t="n">
        <v>-1529.01</v>
      </c>
      <c r="J1288" s="25" t="n">
        <f aca="false">Summary!$B$4</f>
        <v>1</v>
      </c>
      <c r="K1288" s="11" t="n">
        <f aca="false">I1288*J1288*IF(A1288="SILVER",Summary!$B$5,Summary!$B$6)</f>
        <v>-152901</v>
      </c>
      <c r="L1288" s="26" t="n">
        <v>-0.915</v>
      </c>
      <c r="M1288" s="27" t="n">
        <f aca="false">IF(K1288&gt;0,1,0)</f>
        <v>0</v>
      </c>
      <c r="N1288" s="11" t="n">
        <f aca="false">SUMIFS(K$2:K1288,A$2:A1288,A1288,B$2:B1288,B1288)</f>
        <v>478988</v>
      </c>
      <c r="O1288" s="11" t="n">
        <f aca="false">MAX(0,_xlfn.MAXIFS(N$2:N1288,A$2:A1288,A1288,B$2:B1288,B1288))</f>
        <v>631889</v>
      </c>
      <c r="P1288" s="11" t="n">
        <f aca="false">N1288-O1288</f>
        <v>-152901</v>
      </c>
    </row>
    <row r="1289" customFormat="false" ht="15" hidden="false" customHeight="false" outlineLevel="0" collapsed="false">
      <c r="A1289" s="8" t="s">
        <v>45</v>
      </c>
      <c r="B1289" s="8" t="s">
        <v>37</v>
      </c>
      <c r="C1289" s="8" t="s">
        <v>60</v>
      </c>
      <c r="D1289" s="21" t="n">
        <v>45782.6666666667</v>
      </c>
      <c r="E1289" s="21" t="n">
        <v>45785.5</v>
      </c>
      <c r="F1289" s="22" t="n">
        <f aca="false">DATE(YEAR(E1289),MONTH(E1289),1)</f>
        <v>45778</v>
      </c>
      <c r="G1289" s="23" t="n">
        <v>115737</v>
      </c>
      <c r="H1289" s="8" t="s">
        <v>61</v>
      </c>
      <c r="I1289" s="24" t="n">
        <v>1277.95</v>
      </c>
      <c r="J1289" s="25" t="n">
        <f aca="false">Summary!$B$4</f>
        <v>1</v>
      </c>
      <c r="K1289" s="11" t="n">
        <f aca="false">I1289*J1289*IF(A1289="SILVER",Summary!$B$5,Summary!$B$6)</f>
        <v>127795</v>
      </c>
      <c r="L1289" s="26" t="n">
        <v>0.726</v>
      </c>
      <c r="M1289" s="27" t="n">
        <f aca="false">IF(K1289&gt;0,1,0)</f>
        <v>1</v>
      </c>
      <c r="N1289" s="11" t="n">
        <f aca="false">SUMIFS(K$2:K1289,A$2:A1289,A1289,B$2:B1289,B1289)</f>
        <v>606783</v>
      </c>
      <c r="O1289" s="11" t="n">
        <f aca="false">MAX(0,_xlfn.MAXIFS(N$2:N1289,A$2:A1289,A1289,B$2:B1289,B1289))</f>
        <v>631889</v>
      </c>
      <c r="P1289" s="11" t="n">
        <f aca="false">N1289-O1289</f>
        <v>-25106</v>
      </c>
    </row>
    <row r="1290" customFormat="false" ht="15" hidden="false" customHeight="false" outlineLevel="0" collapsed="false">
      <c r="A1290" s="8" t="s">
        <v>45</v>
      </c>
      <c r="B1290" s="8" t="s">
        <v>37</v>
      </c>
      <c r="C1290" s="8" t="s">
        <v>60</v>
      </c>
      <c r="D1290" s="21" t="n">
        <v>45792.8333333333</v>
      </c>
      <c r="E1290" s="21" t="n">
        <v>45793.7291666667</v>
      </c>
      <c r="F1290" s="22" t="n">
        <f aca="false">DATE(YEAR(E1290),MONTH(E1290),1)</f>
        <v>45778</v>
      </c>
      <c r="G1290" s="23" t="n">
        <v>113948</v>
      </c>
      <c r="H1290" s="8" t="s">
        <v>61</v>
      </c>
      <c r="I1290" s="24" t="n">
        <v>-1014.46</v>
      </c>
      <c r="J1290" s="25" t="n">
        <f aca="false">Summary!$B$4</f>
        <v>1</v>
      </c>
      <c r="K1290" s="11" t="n">
        <f aca="false">I1290*J1290*IF(A1290="SILVER",Summary!$B$5,Summary!$B$6)</f>
        <v>-101446</v>
      </c>
      <c r="L1290" s="26" t="n">
        <v>-0.547</v>
      </c>
      <c r="M1290" s="27" t="n">
        <f aca="false">IF(K1290&gt;0,1,0)</f>
        <v>0</v>
      </c>
      <c r="N1290" s="11" t="n">
        <f aca="false">SUMIFS(K$2:K1290,A$2:A1290,A1290,B$2:B1290,B1290)</f>
        <v>505337</v>
      </c>
      <c r="O1290" s="11" t="n">
        <f aca="false">MAX(0,_xlfn.MAXIFS(N$2:N1290,A$2:A1290,A1290,B$2:B1290,B1290))</f>
        <v>631889</v>
      </c>
      <c r="P1290" s="11" t="n">
        <f aca="false">N1290-O1290</f>
        <v>-126552</v>
      </c>
    </row>
    <row r="1291" customFormat="false" ht="15" hidden="false" customHeight="false" outlineLevel="0" collapsed="false">
      <c r="A1291" s="8" t="s">
        <v>45</v>
      </c>
      <c r="B1291" s="8" t="s">
        <v>37</v>
      </c>
      <c r="C1291" s="8" t="s">
        <v>60</v>
      </c>
      <c r="D1291" s="21" t="n">
        <v>45796.6041666667</v>
      </c>
      <c r="E1291" s="21" t="n">
        <v>45804.5625</v>
      </c>
      <c r="F1291" s="22" t="n">
        <f aca="false">DATE(YEAR(E1291),MONTH(E1291),1)</f>
        <v>45778</v>
      </c>
      <c r="G1291" s="23" t="n">
        <v>114907</v>
      </c>
      <c r="H1291" s="8" t="s">
        <v>61</v>
      </c>
      <c r="I1291" s="24" t="n">
        <v>1401.11</v>
      </c>
      <c r="J1291" s="25" t="n">
        <f aca="false">Summary!$B$4</f>
        <v>1</v>
      </c>
      <c r="K1291" s="11" t="n">
        <f aca="false">I1291*J1291*IF(A1291="SILVER",Summary!$B$5,Summary!$B$6)</f>
        <v>140111</v>
      </c>
      <c r="L1291" s="26" t="n">
        <v>0.773</v>
      </c>
      <c r="M1291" s="27" t="n">
        <f aca="false">IF(K1291&gt;0,1,0)</f>
        <v>1</v>
      </c>
      <c r="N1291" s="11" t="n">
        <f aca="false">SUMIFS(K$2:K1291,A$2:A1291,A1291,B$2:B1291,B1291)</f>
        <v>645448</v>
      </c>
      <c r="O1291" s="11" t="n">
        <f aca="false">MAX(0,_xlfn.MAXIFS(N$2:N1291,A$2:A1291,A1291,B$2:B1291,B1291))</f>
        <v>645448</v>
      </c>
      <c r="P1291" s="11" t="n">
        <f aca="false">N1291-O1291</f>
        <v>0</v>
      </c>
    </row>
    <row r="1292" customFormat="false" ht="15" hidden="false" customHeight="false" outlineLevel="0" collapsed="false">
      <c r="A1292" s="8" t="s">
        <v>45</v>
      </c>
      <c r="B1292" s="8" t="s">
        <v>37</v>
      </c>
      <c r="C1292" s="8" t="s">
        <v>60</v>
      </c>
      <c r="D1292" s="21" t="n">
        <v>45806.8958333333</v>
      </c>
      <c r="E1292" s="21" t="n">
        <v>45807.8125</v>
      </c>
      <c r="F1292" s="22" t="n">
        <f aca="false">DATE(YEAR(E1292),MONTH(E1292),1)</f>
        <v>45778</v>
      </c>
      <c r="G1292" s="23" t="n">
        <v>116737</v>
      </c>
      <c r="H1292" s="8" t="s">
        <v>61</v>
      </c>
      <c r="I1292" s="24" t="n">
        <v>-1119.01</v>
      </c>
      <c r="J1292" s="25" t="n">
        <f aca="false">Summary!$B$4</f>
        <v>1</v>
      </c>
      <c r="K1292" s="11" t="n">
        <f aca="false">I1292*J1292*IF(A1292="SILVER",Summary!$B$5,Summary!$B$6)</f>
        <v>-111901</v>
      </c>
      <c r="L1292" s="26" t="n">
        <v>-1.025</v>
      </c>
      <c r="M1292" s="27" t="n">
        <f aca="false">IF(K1292&gt;0,1,0)</f>
        <v>0</v>
      </c>
      <c r="N1292" s="11" t="n">
        <f aca="false">SUMIFS(K$2:K1292,A$2:A1292,A1292,B$2:B1292,B1292)</f>
        <v>533547</v>
      </c>
      <c r="O1292" s="11" t="n">
        <f aca="false">MAX(0,_xlfn.MAXIFS(N$2:N1292,A$2:A1292,A1292,B$2:B1292,B1292))</f>
        <v>645448</v>
      </c>
      <c r="P1292" s="11" t="n">
        <f aca="false">N1292-O1292</f>
        <v>-111901</v>
      </c>
    </row>
    <row r="1293" customFormat="false" ht="15" hidden="false" customHeight="false" outlineLevel="0" collapsed="false">
      <c r="A1293" s="8" t="s">
        <v>45</v>
      </c>
      <c r="B1293" s="8" t="s">
        <v>37</v>
      </c>
      <c r="C1293" s="8" t="s">
        <v>60</v>
      </c>
      <c r="D1293" s="21" t="n">
        <v>45810.5263888889</v>
      </c>
      <c r="E1293" s="21" t="n">
        <v>45813.9520833333</v>
      </c>
      <c r="F1293" s="22" t="n">
        <f aca="false">DATE(YEAR(E1293),MONTH(E1293),1)</f>
        <v>45809</v>
      </c>
      <c r="G1293" s="23" t="n">
        <v>117490</v>
      </c>
      <c r="H1293" s="8" t="s">
        <v>61</v>
      </c>
      <c r="I1293" s="24" t="n">
        <v>612.72</v>
      </c>
      <c r="J1293" s="25" t="n">
        <f aca="false">Summary!$B$4</f>
        <v>1</v>
      </c>
      <c r="K1293" s="11" t="n">
        <f aca="false">I1293*J1293*IF(A1293="SILVER",Summary!$B$5,Summary!$B$6)</f>
        <v>61272</v>
      </c>
      <c r="L1293" s="26" t="n">
        <v>0.392</v>
      </c>
      <c r="M1293" s="27" t="n">
        <f aca="false">IF(K1293&gt;0,1,0)</f>
        <v>1</v>
      </c>
      <c r="N1293" s="11" t="n">
        <f aca="false">SUMIFS(K$2:K1293,A$2:A1293,A1293,B$2:B1293,B1293)</f>
        <v>594819</v>
      </c>
      <c r="O1293" s="11" t="n">
        <f aca="false">MAX(0,_xlfn.MAXIFS(N$2:N1293,A$2:A1293,A1293,B$2:B1293,B1293))</f>
        <v>645448</v>
      </c>
      <c r="P1293" s="11" t="n">
        <f aca="false">N1293-O1293</f>
        <v>-50629</v>
      </c>
    </row>
    <row r="1294" customFormat="false" ht="15" hidden="false" customHeight="false" outlineLevel="0" collapsed="false">
      <c r="A1294" s="8" t="s">
        <v>45</v>
      </c>
      <c r="B1294" s="8" t="s">
        <v>37</v>
      </c>
      <c r="C1294" s="8" t="s">
        <v>60</v>
      </c>
      <c r="D1294" s="21" t="n">
        <v>45820.3958333333</v>
      </c>
      <c r="E1294" s="21" t="n">
        <v>45824.8125</v>
      </c>
      <c r="F1294" s="22" t="n">
        <f aca="false">DATE(YEAR(E1294),MONTH(E1294),1)</f>
        <v>45809</v>
      </c>
      <c r="G1294" s="23" t="n">
        <v>117854</v>
      </c>
      <c r="H1294" s="8" t="s">
        <v>61</v>
      </c>
      <c r="I1294" s="24" t="n">
        <v>984.31</v>
      </c>
      <c r="J1294" s="25" t="n">
        <f aca="false">Summary!$B$4</f>
        <v>1</v>
      </c>
      <c r="K1294" s="11" t="n">
        <f aca="false">I1294*J1294*IF(A1294="SILVER",Summary!$B$5,Summary!$B$6)</f>
        <v>98431</v>
      </c>
      <c r="L1294" s="26" t="n">
        <v>0.627</v>
      </c>
      <c r="M1294" s="27" t="n">
        <f aca="false">IF(K1294&gt;0,1,0)</f>
        <v>1</v>
      </c>
      <c r="N1294" s="11" t="n">
        <f aca="false">SUMIFS(K$2:K1294,A$2:A1294,A1294,B$2:B1294,B1294)</f>
        <v>693250</v>
      </c>
      <c r="O1294" s="11" t="n">
        <f aca="false">MAX(0,_xlfn.MAXIFS(N$2:N1294,A$2:A1294,A1294,B$2:B1294,B1294))</f>
        <v>693250</v>
      </c>
      <c r="P1294" s="11" t="n">
        <f aca="false">N1294-O1294</f>
        <v>0</v>
      </c>
    </row>
    <row r="1295" customFormat="false" ht="15" hidden="false" customHeight="false" outlineLevel="0" collapsed="false">
      <c r="A1295" s="8" t="s">
        <v>45</v>
      </c>
      <c r="B1295" s="8" t="s">
        <v>37</v>
      </c>
      <c r="C1295" s="8" t="s">
        <v>60</v>
      </c>
      <c r="D1295" s="21" t="n">
        <v>45831.7083333333</v>
      </c>
      <c r="E1295" s="21" t="n">
        <v>45832.3958333333</v>
      </c>
      <c r="F1295" s="22" t="n">
        <f aca="false">DATE(YEAR(E1295),MONTH(E1295),1)</f>
        <v>45809</v>
      </c>
      <c r="G1295" s="23" t="n">
        <v>119463</v>
      </c>
      <c r="H1295" s="8" t="s">
        <v>61</v>
      </c>
      <c r="I1295" s="24" t="n">
        <v>-1394.77</v>
      </c>
      <c r="J1295" s="25" t="n">
        <f aca="false">Summary!$B$4</f>
        <v>1</v>
      </c>
      <c r="K1295" s="11" t="n">
        <f aca="false">I1295*J1295*IF(A1295="SILVER",Summary!$B$5,Summary!$B$6)</f>
        <v>-139477</v>
      </c>
      <c r="L1295" s="26" t="n">
        <v>-1.393</v>
      </c>
      <c r="M1295" s="27" t="n">
        <f aca="false">IF(K1295&gt;0,1,0)</f>
        <v>0</v>
      </c>
      <c r="N1295" s="11" t="n">
        <f aca="false">SUMIFS(K$2:K1295,A$2:A1295,A1295,B$2:B1295,B1295)</f>
        <v>553773</v>
      </c>
      <c r="O1295" s="11" t="n">
        <f aca="false">MAX(0,_xlfn.MAXIFS(N$2:N1295,A$2:A1295,A1295,B$2:B1295,B1295))</f>
        <v>693250</v>
      </c>
      <c r="P1295" s="11" t="n">
        <f aca="false">N1295-O1295</f>
        <v>-139477</v>
      </c>
    </row>
    <row r="1296" customFormat="false" ht="15" hidden="false" customHeight="false" outlineLevel="0" collapsed="false">
      <c r="A1296" s="8" t="s">
        <v>45</v>
      </c>
      <c r="B1296" s="8" t="s">
        <v>37</v>
      </c>
      <c r="C1296" s="8" t="s">
        <v>60</v>
      </c>
      <c r="D1296" s="21" t="n">
        <v>45839.3958333333</v>
      </c>
      <c r="E1296" s="21" t="n">
        <v>45841.7548611111</v>
      </c>
      <c r="F1296" s="22" t="n">
        <f aca="false">DATE(YEAR(E1296),MONTH(E1296),1)</f>
        <v>45839</v>
      </c>
      <c r="G1296" s="23" t="n">
        <v>116592</v>
      </c>
      <c r="H1296" s="8" t="s">
        <v>64</v>
      </c>
      <c r="I1296" s="24" t="n">
        <v>83.67</v>
      </c>
      <c r="J1296" s="25" t="n">
        <f aca="false">Summary!$B$4</f>
        <v>1</v>
      </c>
      <c r="K1296" s="11" t="n">
        <f aca="false">I1296*J1296*IF(A1296="SILVER",Summary!$B$5,Summary!$B$6)</f>
        <v>8367</v>
      </c>
      <c r="L1296" s="26" t="n">
        <v>0.074</v>
      </c>
      <c r="M1296" s="27" t="n">
        <f aca="false">IF(K1296&gt;0,1,0)</f>
        <v>1</v>
      </c>
      <c r="N1296" s="11" t="n">
        <f aca="false">SUMIFS(K$2:K1296,A$2:A1296,A1296,B$2:B1296,B1296)</f>
        <v>562140</v>
      </c>
      <c r="O1296" s="11" t="n">
        <f aca="false">MAX(0,_xlfn.MAXIFS(N$2:N1296,A$2:A1296,A1296,B$2:B1296,B1296))</f>
        <v>693250</v>
      </c>
      <c r="P1296" s="11" t="n">
        <f aca="false">N1296-O1296</f>
        <v>-131110</v>
      </c>
    </row>
    <row r="1297" customFormat="false" ht="15" hidden="false" customHeight="false" outlineLevel="0" collapsed="false">
      <c r="A1297" s="8" t="s">
        <v>45</v>
      </c>
      <c r="B1297" s="8" t="s">
        <v>37</v>
      </c>
      <c r="C1297" s="8" t="s">
        <v>60</v>
      </c>
      <c r="D1297" s="21" t="n">
        <v>45845.9583333333</v>
      </c>
      <c r="E1297" s="21" t="n">
        <v>45846.8541666667</v>
      </c>
      <c r="F1297" s="22" t="n">
        <f aca="false">DATE(YEAR(E1297),MONTH(E1297),1)</f>
        <v>45839</v>
      </c>
      <c r="G1297" s="23" t="n">
        <v>117172</v>
      </c>
      <c r="H1297" s="8" t="s">
        <v>61</v>
      </c>
      <c r="I1297" s="24" t="n">
        <v>-1078.35</v>
      </c>
      <c r="J1297" s="25" t="n">
        <f aca="false">Summary!$B$4</f>
        <v>1</v>
      </c>
      <c r="K1297" s="11" t="n">
        <f aca="false">I1297*J1297*IF(A1297="SILVER",Summary!$B$5,Summary!$B$6)</f>
        <v>-107835</v>
      </c>
      <c r="L1297" s="26" t="n">
        <v>-1.25</v>
      </c>
      <c r="M1297" s="27" t="n">
        <f aca="false">IF(K1297&gt;0,1,0)</f>
        <v>0</v>
      </c>
      <c r="N1297" s="11" t="n">
        <f aca="false">SUMIFS(K$2:K1297,A$2:A1297,A1297,B$2:B1297,B1297)</f>
        <v>454305</v>
      </c>
      <c r="O1297" s="11" t="n">
        <f aca="false">MAX(0,_xlfn.MAXIFS(N$2:N1297,A$2:A1297,A1297,B$2:B1297,B1297))</f>
        <v>693250</v>
      </c>
      <c r="P1297" s="11" t="n">
        <f aca="false">N1297-O1297</f>
        <v>-238945</v>
      </c>
    </row>
    <row r="1298" customFormat="false" ht="15" hidden="false" customHeight="false" outlineLevel="0" collapsed="false">
      <c r="A1298" s="8" t="s">
        <v>45</v>
      </c>
      <c r="B1298" s="8" t="s">
        <v>37</v>
      </c>
      <c r="C1298" s="8" t="s">
        <v>60</v>
      </c>
      <c r="D1298" s="21" t="n">
        <v>45848.6041666667</v>
      </c>
      <c r="E1298" s="21" t="n">
        <v>45853.7916666667</v>
      </c>
      <c r="F1298" s="22" t="n">
        <f aca="false">DATE(YEAR(E1298),MONTH(E1298),1)</f>
        <v>45839</v>
      </c>
      <c r="G1298" s="23" t="n">
        <v>116793</v>
      </c>
      <c r="H1298" s="8" t="s">
        <v>61</v>
      </c>
      <c r="I1298" s="24" t="n">
        <v>463.57</v>
      </c>
      <c r="J1298" s="25" t="n">
        <f aca="false">Summary!$B$4</f>
        <v>1</v>
      </c>
      <c r="K1298" s="11" t="n">
        <f aca="false">I1298*J1298*IF(A1298="SILVER",Summary!$B$5,Summary!$B$6)</f>
        <v>46357</v>
      </c>
      <c r="L1298" s="26" t="n">
        <v>0.508</v>
      </c>
      <c r="M1298" s="27" t="n">
        <f aca="false">IF(K1298&gt;0,1,0)</f>
        <v>1</v>
      </c>
      <c r="N1298" s="11" t="n">
        <f aca="false">SUMIFS(K$2:K1298,A$2:A1298,A1298,B$2:B1298,B1298)</f>
        <v>500662</v>
      </c>
      <c r="O1298" s="11" t="n">
        <f aca="false">MAX(0,_xlfn.MAXIFS(N$2:N1298,A$2:A1298,A1298,B$2:B1298,B1298))</f>
        <v>693250</v>
      </c>
      <c r="P1298" s="11" t="n">
        <f aca="false">N1298-O1298</f>
        <v>-192588</v>
      </c>
    </row>
    <row r="1299" customFormat="false" ht="15" hidden="false" customHeight="false" outlineLevel="0" collapsed="false">
      <c r="A1299" s="8" t="s">
        <v>45</v>
      </c>
      <c r="B1299" s="8" t="s">
        <v>37</v>
      </c>
      <c r="C1299" s="8" t="s">
        <v>60</v>
      </c>
      <c r="D1299" s="21" t="n">
        <v>45856.7291666667</v>
      </c>
      <c r="E1299" s="21" t="n">
        <v>45861.9166666667</v>
      </c>
      <c r="F1299" s="22" t="n">
        <f aca="false">DATE(YEAR(E1299),MONTH(E1299),1)</f>
        <v>45839</v>
      </c>
      <c r="G1299" s="23" t="n">
        <v>117928</v>
      </c>
      <c r="H1299" s="8" t="s">
        <v>61</v>
      </c>
      <c r="I1299" s="24" t="n">
        <v>1225.27</v>
      </c>
      <c r="J1299" s="25" t="n">
        <f aca="false">Summary!$B$4</f>
        <v>1</v>
      </c>
      <c r="K1299" s="11" t="n">
        <f aca="false">I1299*J1299*IF(A1299="SILVER",Summary!$B$5,Summary!$B$6)</f>
        <v>122527</v>
      </c>
      <c r="L1299" s="26" t="n">
        <v>1.502</v>
      </c>
      <c r="M1299" s="27" t="n">
        <f aca="false">IF(K1299&gt;0,1,0)</f>
        <v>1</v>
      </c>
      <c r="N1299" s="11" t="n">
        <f aca="false">SUMIFS(K$2:K1299,A$2:A1299,A1299,B$2:B1299,B1299)</f>
        <v>623189</v>
      </c>
      <c r="O1299" s="11" t="n">
        <f aca="false">MAX(0,_xlfn.MAXIFS(N$2:N1299,A$2:A1299,A1299,B$2:B1299,B1299))</f>
        <v>693250</v>
      </c>
      <c r="P1299" s="11" t="n">
        <f aca="false">N1299-O1299</f>
        <v>-70061</v>
      </c>
    </row>
    <row r="1300" customFormat="false" ht="15" hidden="false" customHeight="false" outlineLevel="0" collapsed="false">
      <c r="A1300" s="8" t="s">
        <v>45</v>
      </c>
      <c r="B1300" s="8" t="s">
        <v>37</v>
      </c>
      <c r="C1300" s="8" t="s">
        <v>60</v>
      </c>
      <c r="D1300" s="21" t="n">
        <v>45868.3958333333</v>
      </c>
      <c r="E1300" s="21" t="n">
        <v>45868.7993055556</v>
      </c>
      <c r="F1300" s="22" t="n">
        <f aca="false">DATE(YEAR(E1300),MONTH(E1300),1)</f>
        <v>45839</v>
      </c>
      <c r="G1300" s="23" t="n">
        <v>118204</v>
      </c>
      <c r="H1300" s="8" t="s">
        <v>64</v>
      </c>
      <c r="I1300" s="24" t="n">
        <v>49.34</v>
      </c>
      <c r="J1300" s="25" t="n">
        <f aca="false">Summary!$B$4</f>
        <v>1</v>
      </c>
      <c r="K1300" s="11" t="n">
        <f aca="false">I1300*J1300*IF(A1300="SILVER",Summary!$B$5,Summary!$B$6)</f>
        <v>4934</v>
      </c>
      <c r="L1300" s="26" t="n">
        <v>0.057</v>
      </c>
      <c r="M1300" s="27" t="n">
        <f aca="false">IF(K1300&gt;0,1,0)</f>
        <v>1</v>
      </c>
      <c r="N1300" s="11" t="n">
        <f aca="false">SUMIFS(K$2:K1300,A$2:A1300,A1300,B$2:B1300,B1300)</f>
        <v>628123</v>
      </c>
      <c r="O1300" s="11" t="n">
        <f aca="false">MAX(0,_xlfn.MAXIFS(N$2:N1300,A$2:A1300,A1300,B$2:B1300,B1300))</f>
        <v>693250</v>
      </c>
      <c r="P1300" s="11" t="n">
        <f aca="false">N1300-O1300</f>
        <v>-65127</v>
      </c>
    </row>
    <row r="1301" customFormat="false" ht="15" hidden="false" customHeight="false" outlineLevel="0" collapsed="false">
      <c r="A1301" s="8" t="s">
        <v>45</v>
      </c>
      <c r="B1301" s="8" t="s">
        <v>37</v>
      </c>
      <c r="C1301" s="8" t="s">
        <v>60</v>
      </c>
      <c r="D1301" s="21" t="n">
        <v>45870.7784722222</v>
      </c>
      <c r="E1301" s="21" t="n">
        <v>45874.7201388889</v>
      </c>
      <c r="F1301" s="22" t="n">
        <f aca="false">DATE(YEAR(E1301),MONTH(E1301),1)</f>
        <v>45870</v>
      </c>
      <c r="G1301" s="23" t="n">
        <v>118943</v>
      </c>
      <c r="H1301" s="8" t="s">
        <v>61</v>
      </c>
      <c r="I1301" s="24" t="n">
        <v>885.15</v>
      </c>
      <c r="J1301" s="25" t="n">
        <f aca="false">Summary!$B$4</f>
        <v>1</v>
      </c>
      <c r="K1301" s="11" t="n">
        <f aca="false">I1301*J1301*IF(A1301="SILVER",Summary!$B$5,Summary!$B$6)</f>
        <v>88515</v>
      </c>
      <c r="L1301" s="26" t="n">
        <v>0.546</v>
      </c>
      <c r="M1301" s="27" t="n">
        <f aca="false">IF(K1301&gt;0,1,0)</f>
        <v>1</v>
      </c>
      <c r="N1301" s="11" t="n">
        <f aca="false">SUMIFS(K$2:K1301,A$2:A1301,A1301,B$2:B1301,B1301)</f>
        <v>716638</v>
      </c>
      <c r="O1301" s="11" t="n">
        <f aca="false">MAX(0,_xlfn.MAXIFS(N$2:N1301,A$2:A1301,A1301,B$2:B1301,B1301))</f>
        <v>716638</v>
      </c>
      <c r="P1301" s="11" t="n">
        <f aca="false">N1301-O1301</f>
        <v>0</v>
      </c>
    </row>
    <row r="1302" customFormat="false" ht="15" hidden="false" customHeight="false" outlineLevel="0" collapsed="false">
      <c r="A1302" s="8" t="s">
        <v>45</v>
      </c>
      <c r="B1302" s="8" t="s">
        <v>37</v>
      </c>
      <c r="C1302" s="8" t="s">
        <v>60</v>
      </c>
      <c r="D1302" s="21" t="n">
        <v>45874.9583333333</v>
      </c>
      <c r="E1302" s="21" t="n">
        <v>45875.5861111111</v>
      </c>
      <c r="F1302" s="22" t="n">
        <f aca="false">DATE(YEAR(E1302),MONTH(E1302),1)</f>
        <v>45870</v>
      </c>
      <c r="G1302" s="23" t="n">
        <v>120618</v>
      </c>
      <c r="H1302" s="8" t="s">
        <v>64</v>
      </c>
      <c r="I1302" s="24" t="n">
        <v>74.84</v>
      </c>
      <c r="J1302" s="25" t="n">
        <f aca="false">Summary!$B$4</f>
        <v>1</v>
      </c>
      <c r="K1302" s="11" t="n">
        <f aca="false">I1302*J1302*IF(A1302="SILVER",Summary!$B$5,Summary!$B$6)</f>
        <v>7484</v>
      </c>
      <c r="L1302" s="26" t="n">
        <v>0.071</v>
      </c>
      <c r="M1302" s="27" t="n">
        <f aca="false">IF(K1302&gt;0,1,0)</f>
        <v>1</v>
      </c>
      <c r="N1302" s="11" t="n">
        <f aca="false">SUMIFS(K$2:K1302,A$2:A1302,A1302,B$2:B1302,B1302)</f>
        <v>724122</v>
      </c>
      <c r="O1302" s="11" t="n">
        <f aca="false">MAX(0,_xlfn.MAXIFS(N$2:N1302,A$2:A1302,A1302,B$2:B1302,B1302))</f>
        <v>724122</v>
      </c>
      <c r="P1302" s="11" t="n">
        <f aca="false">N1302-O1302</f>
        <v>0</v>
      </c>
    </row>
    <row r="1303" customFormat="false" ht="15" hidden="false" customHeight="false" outlineLevel="0" collapsed="false">
      <c r="A1303" s="8" t="s">
        <v>45</v>
      </c>
      <c r="B1303" s="8" t="s">
        <v>37</v>
      </c>
      <c r="C1303" s="8" t="s">
        <v>60</v>
      </c>
      <c r="D1303" s="21" t="n">
        <v>45875.8541666667</v>
      </c>
      <c r="E1303" s="21" t="n">
        <v>45876.6770833333</v>
      </c>
      <c r="F1303" s="22" t="n">
        <f aca="false">DATE(YEAR(E1303),MONTH(E1303),1)</f>
        <v>45870</v>
      </c>
      <c r="G1303" s="23" t="n">
        <v>121213</v>
      </c>
      <c r="H1303" s="8" t="s">
        <v>64</v>
      </c>
      <c r="I1303" s="24" t="n">
        <v>81.96</v>
      </c>
      <c r="J1303" s="25" t="n">
        <f aca="false">Summary!$B$4</f>
        <v>1</v>
      </c>
      <c r="K1303" s="11" t="n">
        <f aca="false">I1303*J1303*IF(A1303="SILVER",Summary!$B$5,Summary!$B$6)</f>
        <v>8196</v>
      </c>
      <c r="L1303" s="26" t="n">
        <v>0.073</v>
      </c>
      <c r="M1303" s="27" t="n">
        <f aca="false">IF(K1303&gt;0,1,0)</f>
        <v>1</v>
      </c>
      <c r="N1303" s="11" t="n">
        <f aca="false">SUMIFS(K$2:K1303,A$2:A1303,A1303,B$2:B1303,B1303)</f>
        <v>732318</v>
      </c>
      <c r="O1303" s="11" t="n">
        <f aca="false">MAX(0,_xlfn.MAXIFS(N$2:N1303,A$2:A1303,A1303,B$2:B1303,B1303))</f>
        <v>732318</v>
      </c>
      <c r="P1303" s="11" t="n">
        <f aca="false">N1303-O1303</f>
        <v>0</v>
      </c>
    </row>
    <row r="1304" customFormat="false" ht="15" hidden="false" customHeight="false" outlineLevel="0" collapsed="false">
      <c r="A1304" s="8" t="s">
        <v>45</v>
      </c>
      <c r="B1304" s="8" t="s">
        <v>37</v>
      </c>
      <c r="C1304" s="8" t="s">
        <v>60</v>
      </c>
      <c r="D1304" s="21" t="n">
        <v>45890.6458333333</v>
      </c>
      <c r="E1304" s="21" t="n">
        <v>45904.3958333333</v>
      </c>
      <c r="F1304" s="22" t="n">
        <f aca="false">DATE(YEAR(E1304),MONTH(E1304),1)</f>
        <v>45901</v>
      </c>
      <c r="G1304" s="23" t="n">
        <v>119147</v>
      </c>
      <c r="H1304" s="8" t="s">
        <v>61</v>
      </c>
      <c r="I1304" s="24" t="n">
        <v>6399.48</v>
      </c>
      <c r="J1304" s="25" t="n">
        <f aca="false">Summary!$B$4</f>
        <v>1</v>
      </c>
      <c r="K1304" s="11" t="n">
        <f aca="false">I1304*J1304*IF(A1304="SILVER",Summary!$B$5,Summary!$B$6)</f>
        <v>639948</v>
      </c>
      <c r="L1304" s="26" t="n">
        <v>8.336</v>
      </c>
      <c r="M1304" s="27" t="n">
        <f aca="false">IF(K1304&gt;0,1,0)</f>
        <v>1</v>
      </c>
      <c r="N1304" s="11" t="n">
        <f aca="false">SUMIFS(K$2:K1304,A$2:A1304,A1304,B$2:B1304,B1304)</f>
        <v>1372266</v>
      </c>
      <c r="O1304" s="11" t="n">
        <f aca="false">MAX(0,_xlfn.MAXIFS(N$2:N1304,A$2:A1304,A1304,B$2:B1304,B1304))</f>
        <v>1372266</v>
      </c>
      <c r="P1304" s="11" t="n">
        <f aca="false">N1304-O1304</f>
        <v>0</v>
      </c>
    </row>
    <row r="1305" customFormat="false" ht="15" hidden="false" customHeight="false" outlineLevel="0" collapsed="false">
      <c r="A1305" s="8" t="s">
        <v>45</v>
      </c>
      <c r="B1305" s="8" t="s">
        <v>37</v>
      </c>
      <c r="C1305" s="8" t="s">
        <v>60</v>
      </c>
      <c r="D1305" s="21" t="n">
        <v>45905.7708333333</v>
      </c>
      <c r="E1305" s="21" t="n">
        <v>45917.4381944445</v>
      </c>
      <c r="F1305" s="22" t="n">
        <f aca="false">DATE(YEAR(E1305),MONTH(E1305),1)</f>
        <v>45901</v>
      </c>
      <c r="G1305" s="23" t="n">
        <v>127249</v>
      </c>
      <c r="H1305" s="8" t="s">
        <v>61</v>
      </c>
      <c r="I1305" s="24" t="n">
        <v>2226.28</v>
      </c>
      <c r="J1305" s="25" t="n">
        <f aca="false">Summary!$B$4</f>
        <v>1</v>
      </c>
      <c r="K1305" s="11" t="n">
        <f aca="false">I1305*J1305*IF(A1305="SILVER",Summary!$B$5,Summary!$B$6)</f>
        <v>222628</v>
      </c>
      <c r="L1305" s="26" t="n">
        <v>1.482</v>
      </c>
      <c r="M1305" s="27" t="n">
        <f aca="false">IF(K1305&gt;0,1,0)</f>
        <v>1</v>
      </c>
      <c r="N1305" s="11" t="n">
        <f aca="false">SUMIFS(K$2:K1305,A$2:A1305,A1305,B$2:B1305,B1305)</f>
        <v>1594894</v>
      </c>
      <c r="O1305" s="11" t="n">
        <f aca="false">MAX(0,_xlfn.MAXIFS(N$2:N1305,A$2:A1305,A1305,B$2:B1305,B1305))</f>
        <v>1594894</v>
      </c>
      <c r="P1305" s="11" t="n">
        <f aca="false">N1305-O1305</f>
        <v>0</v>
      </c>
    </row>
    <row r="1306" customFormat="false" ht="15" hidden="false" customHeight="false" outlineLevel="0" collapsed="false">
      <c r="A1306" s="8" t="s">
        <v>45</v>
      </c>
      <c r="B1306" s="8" t="s">
        <v>37</v>
      </c>
      <c r="C1306" s="8" t="s">
        <v>60</v>
      </c>
      <c r="D1306" s="21" t="n">
        <v>45922.3958333333</v>
      </c>
      <c r="E1306" s="21" t="n">
        <v>45924.9375</v>
      </c>
      <c r="F1306" s="22" t="n">
        <f aca="false">DATE(YEAR(E1306),MONTH(E1306),1)</f>
        <v>45901</v>
      </c>
      <c r="G1306" s="23" t="n">
        <v>130292</v>
      </c>
      <c r="H1306" s="8" t="s">
        <v>61</v>
      </c>
      <c r="I1306" s="24" t="n">
        <v>2013.69</v>
      </c>
      <c r="J1306" s="25" t="n">
        <f aca="false">Summary!$B$4</f>
        <v>1</v>
      </c>
      <c r="K1306" s="11" t="n">
        <f aca="false">I1306*J1306*IF(A1306="SILVER",Summary!$B$5,Summary!$B$6)</f>
        <v>201369</v>
      </c>
      <c r="L1306" s="26" t="n">
        <v>1.511</v>
      </c>
      <c r="M1306" s="27" t="n">
        <f aca="false">IF(K1306&gt;0,1,0)</f>
        <v>1</v>
      </c>
      <c r="N1306" s="11" t="n">
        <f aca="false">SUMIFS(K$2:K1306,A$2:A1306,A1306,B$2:B1306,B1306)</f>
        <v>1796263</v>
      </c>
      <c r="O1306" s="11" t="n">
        <f aca="false">MAX(0,_xlfn.MAXIFS(N$2:N1306,A$2:A1306,A1306,B$2:B1306,B1306))</f>
        <v>1796263</v>
      </c>
      <c r="P1306" s="11" t="n">
        <f aca="false">N1306-O1306</f>
        <v>0</v>
      </c>
    </row>
    <row r="1307" customFormat="false" ht="15" hidden="false" customHeight="false" outlineLevel="0" collapsed="false">
      <c r="A1307" s="8" t="s">
        <v>45</v>
      </c>
      <c r="B1307" s="8" t="s">
        <v>37</v>
      </c>
      <c r="C1307" s="8" t="s">
        <v>60</v>
      </c>
      <c r="D1307" s="21" t="n">
        <v>45926.8333333333</v>
      </c>
      <c r="E1307" s="21" t="n">
        <v>45930.6326388889</v>
      </c>
      <c r="F1307" s="22" t="n">
        <f aca="false">DATE(YEAR(E1307),MONTH(E1307),1)</f>
        <v>45901</v>
      </c>
      <c r="G1307" s="23" t="n">
        <v>133507</v>
      </c>
      <c r="H1307" s="8" t="s">
        <v>61</v>
      </c>
      <c r="I1307" s="24" t="n">
        <v>1226.13</v>
      </c>
      <c r="J1307" s="25" t="n">
        <f aca="false">Summary!$B$4</f>
        <v>1</v>
      </c>
      <c r="K1307" s="11" t="n">
        <f aca="false">I1307*J1307*IF(A1307="SILVER",Summary!$B$5,Summary!$B$6)</f>
        <v>122613</v>
      </c>
      <c r="L1307" s="26" t="n">
        <v>0.803</v>
      </c>
      <c r="M1307" s="27" t="n">
        <f aca="false">IF(K1307&gt;0,1,0)</f>
        <v>1</v>
      </c>
      <c r="N1307" s="11" t="n">
        <f aca="false">SUMIFS(K$2:K1307,A$2:A1307,A1307,B$2:B1307,B1307)</f>
        <v>1918876</v>
      </c>
      <c r="O1307" s="11" t="n">
        <f aca="false">MAX(0,_xlfn.MAXIFS(N$2:N1307,A$2:A1307,A1307,B$2:B1307,B1307))</f>
        <v>1918876</v>
      </c>
      <c r="P1307" s="11" t="n">
        <f aca="false">N1307-O1307</f>
        <v>0</v>
      </c>
    </row>
    <row r="1308" customFormat="false" ht="15" hidden="false" customHeight="false" outlineLevel="0" collapsed="false">
      <c r="A1308" s="8" t="s">
        <v>45</v>
      </c>
      <c r="B1308" s="8" t="s">
        <v>37</v>
      </c>
      <c r="C1308" s="8" t="s">
        <v>60</v>
      </c>
      <c r="D1308" s="21" t="n">
        <v>45931.3993055556</v>
      </c>
      <c r="E1308" s="21" t="n">
        <v>45939.9375</v>
      </c>
      <c r="F1308" s="22" t="n">
        <f aca="false">DATE(YEAR(E1308),MONTH(E1308),1)</f>
        <v>45931</v>
      </c>
      <c r="G1308" s="23" t="n">
        <v>136674</v>
      </c>
      <c r="H1308" s="8" t="s">
        <v>61</v>
      </c>
      <c r="I1308" s="24" t="n">
        <v>2522.03</v>
      </c>
      <c r="J1308" s="25" t="n">
        <f aca="false">Summary!$B$4</f>
        <v>1</v>
      </c>
      <c r="K1308" s="11" t="n">
        <f aca="false">I1308*J1308*IF(A1308="SILVER",Summary!$B$5,Summary!$B$6)</f>
        <v>252203</v>
      </c>
      <c r="L1308" s="26" t="n">
        <v>1.365</v>
      </c>
      <c r="M1308" s="27" t="n">
        <f aca="false">IF(K1308&gt;0,1,0)</f>
        <v>1</v>
      </c>
      <c r="N1308" s="11" t="n">
        <f aca="false">SUMIFS(K$2:K1308,A$2:A1308,A1308,B$2:B1308,B1308)</f>
        <v>2171079</v>
      </c>
      <c r="O1308" s="11" t="n">
        <f aca="false">MAX(0,_xlfn.MAXIFS(N$2:N1308,A$2:A1308,A1308,B$2:B1308,B1308))</f>
        <v>2171079</v>
      </c>
      <c r="P1308" s="11" t="n">
        <f aca="false">N1308-O1308</f>
        <v>0</v>
      </c>
    </row>
    <row r="1309" customFormat="false" ht="15" hidden="false" customHeight="false" outlineLevel="0" collapsed="false">
      <c r="A1309" s="8" t="s">
        <v>45</v>
      </c>
      <c r="B1309" s="8" t="s">
        <v>37</v>
      </c>
      <c r="C1309" s="8" t="s">
        <v>60</v>
      </c>
      <c r="D1309" s="21" t="n">
        <v>45943.3958333333</v>
      </c>
      <c r="E1309" s="21" t="n">
        <v>45947.8333333333</v>
      </c>
      <c r="F1309" s="22" t="n">
        <f aca="false">DATE(YEAR(E1309),MONTH(E1309),1)</f>
        <v>45931</v>
      </c>
      <c r="G1309" s="23" t="n">
        <v>141509</v>
      </c>
      <c r="H1309" s="8" t="s">
        <v>61</v>
      </c>
      <c r="I1309" s="24" t="n">
        <v>4986.86</v>
      </c>
      <c r="J1309" s="25" t="n">
        <f aca="false">Summary!$B$4</f>
        <v>1</v>
      </c>
      <c r="K1309" s="11" t="n">
        <f aca="false">I1309*J1309*IF(A1309="SILVER",Summary!$B$5,Summary!$B$6)</f>
        <v>498686</v>
      </c>
      <c r="L1309" s="26" t="n">
        <v>1.59</v>
      </c>
      <c r="M1309" s="27" t="n">
        <f aca="false">IF(K1309&gt;0,1,0)</f>
        <v>1</v>
      </c>
      <c r="N1309" s="11" t="n">
        <f aca="false">SUMIFS(K$2:K1309,A$2:A1309,A1309,B$2:B1309,B1309)</f>
        <v>2669765</v>
      </c>
      <c r="O1309" s="11" t="n">
        <f aca="false">MAX(0,_xlfn.MAXIFS(N$2:N1309,A$2:A1309,A1309,B$2:B1309,B1309))</f>
        <v>2669765</v>
      </c>
      <c r="P1309" s="11" t="n">
        <f aca="false">N1309-O1309</f>
        <v>0</v>
      </c>
    </row>
    <row r="1310" customFormat="false" ht="15" hidden="false" customHeight="false" outlineLevel="0" collapsed="false">
      <c r="A1310" s="8" t="s">
        <v>45</v>
      </c>
      <c r="B1310" s="8" t="s">
        <v>37</v>
      </c>
      <c r="C1310" s="8" t="s">
        <v>60</v>
      </c>
      <c r="D1310" s="21" t="n">
        <v>45951.5729166667</v>
      </c>
      <c r="E1310" s="21" t="n">
        <v>45951.5736111111</v>
      </c>
      <c r="F1310" s="22" t="n">
        <f aca="false">DATE(YEAR(E1310),MONTH(E1310),1)</f>
        <v>45931</v>
      </c>
      <c r="G1310" s="23" t="n">
        <v>146520</v>
      </c>
      <c r="H1310" s="8" t="s">
        <v>64</v>
      </c>
      <c r="I1310" s="24" t="n">
        <v>-305.9</v>
      </c>
      <c r="J1310" s="25" t="n">
        <f aca="false">Summary!$B$4</f>
        <v>1</v>
      </c>
      <c r="K1310" s="11" t="n">
        <f aca="false">I1310*J1310*IF(A1310="SILVER",Summary!$B$5,Summary!$B$6)</f>
        <v>-30590</v>
      </c>
      <c r="L1310" s="26" t="n">
        <v>-0.321</v>
      </c>
      <c r="M1310" s="27" t="n">
        <f aca="false">IF(K1310&gt;0,1,0)</f>
        <v>0</v>
      </c>
      <c r="N1310" s="11" t="n">
        <f aca="false">SUMIFS(K$2:K1310,A$2:A1310,A1310,B$2:B1310,B1310)</f>
        <v>2639175</v>
      </c>
      <c r="O1310" s="11" t="n">
        <f aca="false">MAX(0,_xlfn.MAXIFS(N$2:N1310,A$2:A1310,A1310,B$2:B1310,B1310))</f>
        <v>2669765</v>
      </c>
      <c r="P1310" s="11" t="n">
        <f aca="false">N1310-O1310</f>
        <v>-30590</v>
      </c>
    </row>
    <row r="1311" customFormat="false" ht="15" hidden="false" customHeight="false" outlineLevel="0" collapsed="false">
      <c r="A1311" s="8" t="s">
        <v>45</v>
      </c>
      <c r="B1311" s="8" t="s">
        <v>37</v>
      </c>
      <c r="C1311" s="8" t="s">
        <v>60</v>
      </c>
      <c r="D1311" s="21" t="n">
        <v>45959.6458333333</v>
      </c>
      <c r="E1311" s="21" t="n">
        <v>45965.8333333333</v>
      </c>
      <c r="F1311" s="22" t="n">
        <f aca="false">DATE(YEAR(E1311),MONTH(E1311),1)</f>
        <v>45962</v>
      </c>
      <c r="G1311" s="23" t="n">
        <v>139741</v>
      </c>
      <c r="H1311" s="8" t="s">
        <v>61</v>
      </c>
      <c r="I1311" s="24" t="n">
        <v>-1581.12</v>
      </c>
      <c r="J1311" s="25" t="n">
        <f aca="false">Summary!$B$4</f>
        <v>1</v>
      </c>
      <c r="K1311" s="11" t="n">
        <f aca="false">I1311*J1311*IF(A1311="SILVER",Summary!$B$5,Summary!$B$6)</f>
        <v>-158112</v>
      </c>
      <c r="L1311" s="26" t="n">
        <v>-0.578</v>
      </c>
      <c r="M1311" s="27" t="n">
        <f aca="false">IF(K1311&gt;0,1,0)</f>
        <v>0</v>
      </c>
      <c r="N1311" s="11" t="n">
        <f aca="false">SUMIFS(K$2:K1311,A$2:A1311,A1311,B$2:B1311,B1311)</f>
        <v>2481063</v>
      </c>
      <c r="O1311" s="11" t="n">
        <f aca="false">MAX(0,_xlfn.MAXIFS(N$2:N1311,A$2:A1311,A1311,B$2:B1311,B1311))</f>
        <v>2669765</v>
      </c>
      <c r="P1311" s="11" t="n">
        <f aca="false">N1311-O1311</f>
        <v>-188702</v>
      </c>
    </row>
    <row r="1312" customFormat="false" ht="15" hidden="false" customHeight="false" outlineLevel="0" collapsed="false">
      <c r="A1312" s="8" t="s">
        <v>45</v>
      </c>
      <c r="B1312" s="8" t="s">
        <v>37</v>
      </c>
      <c r="C1312" s="8" t="s">
        <v>60</v>
      </c>
      <c r="D1312" s="21" t="n">
        <v>45971.3958333333</v>
      </c>
      <c r="E1312" s="21" t="n">
        <v>45975.5416666667</v>
      </c>
      <c r="F1312" s="22" t="n">
        <f aca="false">DATE(YEAR(E1312),MONTH(E1312),1)</f>
        <v>45962</v>
      </c>
      <c r="G1312" s="23" t="n">
        <v>140575</v>
      </c>
      <c r="H1312" s="8" t="s">
        <v>61</v>
      </c>
      <c r="I1312" s="24" t="n">
        <v>3343.21</v>
      </c>
      <c r="J1312" s="25" t="n">
        <f aca="false">Summary!$B$4</f>
        <v>1</v>
      </c>
      <c r="K1312" s="11" t="n">
        <f aca="false">I1312*J1312*IF(A1312="SILVER",Summary!$B$5,Summary!$B$6)</f>
        <v>334321</v>
      </c>
      <c r="L1312" s="26" t="n">
        <v>1.571</v>
      </c>
      <c r="M1312" s="27" t="n">
        <f aca="false">IF(K1312&gt;0,1,0)</f>
        <v>1</v>
      </c>
      <c r="N1312" s="11" t="n">
        <f aca="false">SUMIFS(K$2:K1312,A$2:A1312,A1312,B$2:B1312,B1312)</f>
        <v>2815384</v>
      </c>
      <c r="O1312" s="11" t="n">
        <f aca="false">MAX(0,_xlfn.MAXIFS(N$2:N1312,A$2:A1312,A1312,B$2:B1312,B1312))</f>
        <v>2815384</v>
      </c>
      <c r="P1312" s="11" t="n">
        <f aca="false">N1312-O1312</f>
        <v>0</v>
      </c>
    </row>
    <row r="1313" customFormat="false" ht="15" hidden="false" customHeight="false" outlineLevel="0" collapsed="false">
      <c r="A1313" s="8" t="s">
        <v>45</v>
      </c>
      <c r="B1313" s="8" t="s">
        <v>37</v>
      </c>
      <c r="C1313" s="8" t="s">
        <v>60</v>
      </c>
      <c r="D1313" s="21" t="n">
        <v>45980.6458333333</v>
      </c>
      <c r="E1313" s="21" t="n">
        <v>45982.5</v>
      </c>
      <c r="F1313" s="22" t="n">
        <f aca="false">DATE(YEAR(E1313),MONTH(E1313),1)</f>
        <v>45962</v>
      </c>
      <c r="G1313" s="23" t="n">
        <v>142355</v>
      </c>
      <c r="H1313" s="8" t="s">
        <v>61</v>
      </c>
      <c r="I1313" s="24" t="n">
        <v>-2318.58</v>
      </c>
      <c r="J1313" s="25" t="n">
        <f aca="false">Summary!$B$4</f>
        <v>1</v>
      </c>
      <c r="K1313" s="11" t="n">
        <f aca="false">I1313*J1313*IF(A1313="SILVER",Summary!$B$5,Summary!$B$6)</f>
        <v>-231858</v>
      </c>
      <c r="L1313" s="26" t="n">
        <v>-0.914</v>
      </c>
      <c r="M1313" s="27" t="n">
        <f aca="false">IF(K1313&gt;0,1,0)</f>
        <v>0</v>
      </c>
      <c r="N1313" s="11" t="n">
        <f aca="false">SUMIFS(K$2:K1313,A$2:A1313,A1313,B$2:B1313,B1313)</f>
        <v>2583526</v>
      </c>
      <c r="O1313" s="11" t="n">
        <f aca="false">MAX(0,_xlfn.MAXIFS(N$2:N1313,A$2:A1313,A1313,B$2:B1313,B1313))</f>
        <v>2815384</v>
      </c>
      <c r="P1313" s="11" t="n">
        <f aca="false">N1313-O1313</f>
        <v>-231858</v>
      </c>
    </row>
    <row r="1314" customFormat="false" ht="15" hidden="false" customHeight="false" outlineLevel="0" collapsed="false">
      <c r="A1314" s="8" t="s">
        <v>45</v>
      </c>
      <c r="B1314" s="8" t="s">
        <v>37</v>
      </c>
      <c r="C1314" s="8" t="s">
        <v>60</v>
      </c>
      <c r="D1314" s="21" t="n">
        <v>45982.9375</v>
      </c>
      <c r="E1314" s="21" t="n">
        <v>46000.4791666667</v>
      </c>
      <c r="F1314" s="22" t="n">
        <f aca="false">DATE(YEAR(E1314),MONTH(E1314),1)</f>
        <v>45992</v>
      </c>
      <c r="G1314" s="23" t="n">
        <v>142858</v>
      </c>
      <c r="H1314" s="8" t="s">
        <v>61</v>
      </c>
      <c r="I1314" s="24" t="n">
        <v>3322.75</v>
      </c>
      <c r="J1314" s="25" t="n">
        <f aca="false">Summary!$B$4</f>
        <v>1</v>
      </c>
      <c r="K1314" s="11" t="n">
        <f aca="false">I1314*J1314*IF(A1314="SILVER",Summary!$B$5,Summary!$B$6)</f>
        <v>332275</v>
      </c>
      <c r="L1314" s="26" t="n">
        <v>1.184</v>
      </c>
      <c r="M1314" s="27" t="n">
        <f aca="false">IF(K1314&gt;0,1,0)</f>
        <v>1</v>
      </c>
      <c r="N1314" s="11" t="n">
        <f aca="false">SUMIFS(K$2:K1314,A$2:A1314,A1314,B$2:B1314,B1314)</f>
        <v>2915801</v>
      </c>
      <c r="O1314" s="11" t="n">
        <f aca="false">MAX(0,_xlfn.MAXIFS(N$2:N1314,A$2:A1314,A1314,B$2:B1314,B1314))</f>
        <v>2915801</v>
      </c>
      <c r="P1314" s="11" t="n">
        <f aca="false">N1314-O1314</f>
        <v>0</v>
      </c>
    </row>
    <row r="1315" customFormat="false" ht="15" hidden="false" customHeight="false" outlineLevel="0" collapsed="false">
      <c r="A1315" s="8" t="s">
        <v>45</v>
      </c>
      <c r="B1315" s="8" t="s">
        <v>37</v>
      </c>
      <c r="C1315" s="8" t="s">
        <v>60</v>
      </c>
      <c r="D1315" s="21" t="n">
        <v>46002.5625</v>
      </c>
      <c r="E1315" s="21" t="n">
        <v>46003.9375</v>
      </c>
      <c r="F1315" s="22" t="n">
        <f aca="false">DATE(YEAR(E1315),MONTH(E1315),1)</f>
        <v>45992</v>
      </c>
      <c r="G1315" s="23" t="n">
        <v>147719</v>
      </c>
      <c r="H1315" s="8" t="s">
        <v>61</v>
      </c>
      <c r="I1315" s="24" t="n">
        <v>2192.62</v>
      </c>
      <c r="J1315" s="25" t="n">
        <f aca="false">Summary!$B$4</f>
        <v>1</v>
      </c>
      <c r="K1315" s="11" t="n">
        <f aca="false">I1315*J1315*IF(A1315="SILVER",Summary!$B$5,Summary!$B$6)</f>
        <v>219262</v>
      </c>
      <c r="L1315" s="26" t="n">
        <v>1.642</v>
      </c>
      <c r="M1315" s="27" t="n">
        <f aca="false">IF(K1315&gt;0,1,0)</f>
        <v>1</v>
      </c>
      <c r="N1315" s="11" t="n">
        <f aca="false">SUMIFS(K$2:K1315,A$2:A1315,A1315,B$2:B1315,B1315)</f>
        <v>3135063</v>
      </c>
      <c r="O1315" s="11" t="n">
        <f aca="false">MAX(0,_xlfn.MAXIFS(N$2:N1315,A$2:A1315,A1315,B$2:B1315,B1315))</f>
        <v>3135063</v>
      </c>
      <c r="P1315" s="11" t="n">
        <f aca="false">N1315-O1315</f>
        <v>0</v>
      </c>
    </row>
    <row r="1316" customFormat="false" ht="15" hidden="false" customHeight="false" outlineLevel="0" collapsed="false">
      <c r="A1316" s="8" t="s">
        <v>45</v>
      </c>
      <c r="B1316" s="8" t="s">
        <v>37</v>
      </c>
      <c r="C1316" s="8" t="s">
        <v>60</v>
      </c>
      <c r="D1316" s="21" t="n">
        <v>46013.4166666667</v>
      </c>
      <c r="E1316" s="21" t="n">
        <v>46014.875</v>
      </c>
      <c r="F1316" s="22" t="n">
        <f aca="false">DATE(YEAR(E1316),MONTH(E1316),1)</f>
        <v>45992</v>
      </c>
      <c r="G1316" s="23" t="n">
        <v>152374</v>
      </c>
      <c r="H1316" s="8" t="s">
        <v>61</v>
      </c>
      <c r="I1316" s="24" t="n">
        <v>1386.76</v>
      </c>
      <c r="J1316" s="25" t="n">
        <f aca="false">Summary!$B$4</f>
        <v>1</v>
      </c>
      <c r="K1316" s="11" t="n">
        <f aca="false">I1316*J1316*IF(A1316="SILVER",Summary!$B$5,Summary!$B$6)</f>
        <v>138676</v>
      </c>
      <c r="L1316" s="26" t="n">
        <v>0.768</v>
      </c>
      <c r="M1316" s="27" t="n">
        <f aca="false">IF(K1316&gt;0,1,0)</f>
        <v>1</v>
      </c>
      <c r="N1316" s="11" t="n">
        <f aca="false">SUMIFS(K$2:K1316,A$2:A1316,A1316,B$2:B1316,B1316)</f>
        <v>3273739</v>
      </c>
      <c r="O1316" s="11" t="n">
        <f aca="false">MAX(0,_xlfn.MAXIFS(N$2:N1316,A$2:A1316,A1316,B$2:B1316,B1316))</f>
        <v>3273739</v>
      </c>
      <c r="P1316" s="11" t="n">
        <f aca="false">N1316-O1316</f>
        <v>0</v>
      </c>
    </row>
    <row r="1317" customFormat="false" ht="15" hidden="false" customHeight="false" outlineLevel="0" collapsed="false">
      <c r="A1317" s="8" t="s">
        <v>45</v>
      </c>
      <c r="B1317" s="8" t="s">
        <v>37</v>
      </c>
      <c r="C1317" s="8" t="s">
        <v>60</v>
      </c>
      <c r="D1317" s="21" t="n">
        <v>46017.3958333333</v>
      </c>
      <c r="E1317" s="21" t="n">
        <v>46020.5</v>
      </c>
      <c r="F1317" s="22" t="n">
        <f aca="false">DATE(YEAR(E1317),MONTH(E1317),1)</f>
        <v>45992</v>
      </c>
      <c r="G1317" s="23" t="n">
        <v>155798</v>
      </c>
      <c r="H1317" s="8" t="s">
        <v>64</v>
      </c>
      <c r="I1317" s="24" t="n">
        <v>165.71</v>
      </c>
      <c r="J1317" s="25" t="n">
        <f aca="false">Summary!$B$4</f>
        <v>1</v>
      </c>
      <c r="K1317" s="11" t="n">
        <f aca="false">I1317*J1317*IF(A1317="SILVER",Summary!$B$5,Summary!$B$6)</f>
        <v>16571</v>
      </c>
      <c r="L1317" s="26" t="n">
        <v>0.081</v>
      </c>
      <c r="M1317" s="27" t="n">
        <f aca="false">IF(K1317&gt;0,1,0)</f>
        <v>1</v>
      </c>
      <c r="N1317" s="11" t="n">
        <f aca="false">SUMIFS(K$2:K1317,A$2:A1317,A1317,B$2:B1317,B1317)</f>
        <v>3290310</v>
      </c>
      <c r="O1317" s="11" t="n">
        <f aca="false">MAX(0,_xlfn.MAXIFS(N$2:N1317,A$2:A1317,A1317,B$2:B1317,B1317))</f>
        <v>3290310</v>
      </c>
      <c r="P1317" s="11" t="n">
        <f aca="false">N1317-O1317</f>
        <v>0</v>
      </c>
    </row>
    <row r="1318" customFormat="false" ht="15" hidden="false" customHeight="false" outlineLevel="0" collapsed="false">
      <c r="A1318" s="8" t="s">
        <v>45</v>
      </c>
      <c r="B1318" s="8" t="s">
        <v>37</v>
      </c>
      <c r="C1318" s="8" t="s">
        <v>60</v>
      </c>
      <c r="D1318" s="21" t="n">
        <v>46027.4583333333</v>
      </c>
      <c r="E1318" s="21" t="n">
        <v>46029.7770833333</v>
      </c>
      <c r="F1318" s="22" t="n">
        <f aca="false">DATE(YEAR(E1318),MONTH(E1318),1)</f>
        <v>46023</v>
      </c>
      <c r="G1318" s="23" t="n">
        <v>154242</v>
      </c>
      <c r="H1318" s="8" t="s">
        <v>64</v>
      </c>
      <c r="I1318" s="24" t="n">
        <v>149.6</v>
      </c>
      <c r="J1318" s="25" t="n">
        <f aca="false">Summary!$B$4</f>
        <v>1</v>
      </c>
      <c r="K1318" s="11" t="n">
        <f aca="false">I1318*J1318*IF(A1318="SILVER",Summary!$B$5,Summary!$B$6)</f>
        <v>14960</v>
      </c>
      <c r="L1318" s="26" t="n">
        <v>0.08</v>
      </c>
      <c r="M1318" s="27" t="n">
        <f aca="false">IF(K1318&gt;0,1,0)</f>
        <v>1</v>
      </c>
      <c r="N1318" s="11" t="n">
        <f aca="false">SUMIFS(K$2:K1318,A$2:A1318,A1318,B$2:B1318,B1318)</f>
        <v>3305270</v>
      </c>
      <c r="O1318" s="11" t="n">
        <f aca="false">MAX(0,_xlfn.MAXIFS(N$2:N1318,A$2:A1318,A1318,B$2:B1318,B1318))</f>
        <v>3305270</v>
      </c>
      <c r="P1318" s="11" t="n">
        <f aca="false">N1318-O1318</f>
        <v>0</v>
      </c>
    </row>
    <row r="1319" customFormat="false" ht="15" hidden="false" customHeight="false" outlineLevel="0" collapsed="false">
      <c r="A1319" s="8" t="s">
        <v>45</v>
      </c>
      <c r="B1319" s="8" t="s">
        <v>37</v>
      </c>
      <c r="C1319" s="8" t="s">
        <v>60</v>
      </c>
      <c r="D1319" s="21" t="n">
        <v>46031.5</v>
      </c>
      <c r="E1319" s="21" t="n">
        <v>46043.8541666667</v>
      </c>
      <c r="F1319" s="22" t="n">
        <f aca="false">DATE(YEAR(E1319),MONTH(E1319),1)</f>
        <v>46023</v>
      </c>
      <c r="G1319" s="23" t="n">
        <v>155371</v>
      </c>
      <c r="H1319" s="8" t="s">
        <v>61</v>
      </c>
      <c r="I1319" s="24" t="n">
        <v>14860.82</v>
      </c>
      <c r="J1319" s="25" t="n">
        <f aca="false">Summary!$B$4</f>
        <v>1</v>
      </c>
      <c r="K1319" s="11" t="n">
        <f aca="false">I1319*J1319*IF(A1319="SILVER",Summary!$B$5,Summary!$B$6)</f>
        <v>1486082</v>
      </c>
      <c r="L1319" s="26" t="n">
        <v>8.422</v>
      </c>
      <c r="M1319" s="27" t="n">
        <f aca="false">IF(K1319&gt;0,1,0)</f>
        <v>1</v>
      </c>
      <c r="N1319" s="11" t="n">
        <f aca="false">SUMIFS(K$2:K1319,A$2:A1319,A1319,B$2:B1319,B1319)</f>
        <v>4791352</v>
      </c>
      <c r="O1319" s="11" t="n">
        <f aca="false">MAX(0,_xlfn.MAXIFS(N$2:N1319,A$2:A1319,A1319,B$2:B1319,B1319))</f>
        <v>4791352</v>
      </c>
      <c r="P1319" s="11" t="n">
        <f aca="false">N1319-O1319</f>
        <v>0</v>
      </c>
    </row>
    <row r="1320" customFormat="false" ht="15" hidden="false" customHeight="false" outlineLevel="0" collapsed="false">
      <c r="A1320" s="8" t="s">
        <v>45</v>
      </c>
      <c r="B1320" s="8" t="s">
        <v>37</v>
      </c>
      <c r="C1320" s="8" t="s">
        <v>60</v>
      </c>
      <c r="D1320" s="21" t="n">
        <v>46045.375</v>
      </c>
      <c r="E1320" s="21" t="n">
        <v>46051.8659722222</v>
      </c>
      <c r="F1320" s="22" t="n">
        <f aca="false">DATE(YEAR(E1320),MONTH(E1320),1)</f>
        <v>46023</v>
      </c>
      <c r="G1320" s="23" t="n">
        <v>175810</v>
      </c>
      <c r="H1320" s="8" t="s">
        <v>64</v>
      </c>
      <c r="I1320" s="24" t="n">
        <v>876.92</v>
      </c>
      <c r="J1320" s="25" t="n">
        <f aca="false">Summary!$B$4</f>
        <v>1</v>
      </c>
      <c r="K1320" s="11" t="n">
        <f aca="false">I1320*J1320*IF(A1320="SILVER",Summary!$B$5,Summary!$B$6)</f>
        <v>87692</v>
      </c>
      <c r="L1320" s="26" t="n">
        <v>0.095</v>
      </c>
      <c r="M1320" s="27" t="n">
        <f aca="false">IF(K1320&gt;0,1,0)</f>
        <v>1</v>
      </c>
      <c r="N1320" s="11" t="n">
        <f aca="false">SUMIFS(K$2:K1320,A$2:A1320,A1320,B$2:B1320,B1320)</f>
        <v>4879044</v>
      </c>
      <c r="O1320" s="11" t="n">
        <f aca="false">MAX(0,_xlfn.MAXIFS(N$2:N1320,A$2:A1320,A1320,B$2:B1320,B1320))</f>
        <v>4879044</v>
      </c>
      <c r="P1320" s="11" t="n">
        <f aca="false">N1320-O1320</f>
        <v>0</v>
      </c>
    </row>
    <row r="1321" customFormat="false" ht="15" hidden="false" customHeight="false" outlineLevel="0" collapsed="false">
      <c r="A1321" s="8" t="s">
        <v>45</v>
      </c>
      <c r="B1321" s="8" t="s">
        <v>37</v>
      </c>
      <c r="C1321" s="8" t="s">
        <v>62</v>
      </c>
      <c r="D1321" s="21" t="n">
        <v>46055.5006944445</v>
      </c>
      <c r="E1321" s="21" t="n">
        <v>46062.8958333333</v>
      </c>
      <c r="F1321" s="22" t="n">
        <f aca="false">DATE(YEAR(E1321),MONTH(E1321),1)</f>
        <v>46054</v>
      </c>
      <c r="G1321" s="23" t="n">
        <v>150621</v>
      </c>
      <c r="H1321" s="8" t="s">
        <v>61</v>
      </c>
      <c r="I1321" s="24" t="n">
        <v>-15305.85</v>
      </c>
      <c r="J1321" s="25" t="n">
        <f aca="false">Summary!$B$4</f>
        <v>1</v>
      </c>
      <c r="K1321" s="11" t="n">
        <f aca="false">I1321*J1321*IF(A1321="SILVER",Summary!$B$5,Summary!$B$6)</f>
        <v>-1530585</v>
      </c>
      <c r="L1321" s="26" t="n">
        <v>-0.808</v>
      </c>
      <c r="M1321" s="27" t="n">
        <f aca="false">IF(K1321&gt;0,1,0)</f>
        <v>0</v>
      </c>
      <c r="N1321" s="11" t="n">
        <f aca="false">SUMIFS(K$2:K1321,A$2:A1321,A1321,B$2:B1321,B1321)</f>
        <v>3348459</v>
      </c>
      <c r="O1321" s="11" t="n">
        <f aca="false">MAX(0,_xlfn.MAXIFS(N$2:N1321,A$2:A1321,A1321,B$2:B1321,B1321))</f>
        <v>4879044</v>
      </c>
      <c r="P1321" s="11" t="n">
        <f aca="false">N1321-O1321</f>
        <v>-1530585</v>
      </c>
    </row>
    <row r="1322" customFormat="false" ht="15" hidden="false" customHeight="false" outlineLevel="0" collapsed="false">
      <c r="A1322" s="8" t="s">
        <v>45</v>
      </c>
      <c r="B1322" s="8" t="s">
        <v>37</v>
      </c>
      <c r="C1322" s="8" t="s">
        <v>62</v>
      </c>
      <c r="D1322" s="21" t="n">
        <v>46065.9166666667</v>
      </c>
      <c r="E1322" s="21" t="n">
        <v>46071.8541666667</v>
      </c>
      <c r="F1322" s="22" t="n">
        <f aca="false">DATE(YEAR(E1322),MONTH(E1322),1)</f>
        <v>46054</v>
      </c>
      <c r="G1322" s="23" t="n">
        <v>159927</v>
      </c>
      <c r="H1322" s="8" t="s">
        <v>61</v>
      </c>
      <c r="I1322" s="24" t="n">
        <v>-3089.94</v>
      </c>
      <c r="J1322" s="25" t="n">
        <f aca="false">Summary!$B$4</f>
        <v>1</v>
      </c>
      <c r="K1322" s="11" t="n">
        <f aca="false">I1322*J1322*IF(A1322="SILVER",Summary!$B$5,Summary!$B$6)</f>
        <v>-308994</v>
      </c>
      <c r="L1322" s="26" t="n">
        <v>-0.428</v>
      </c>
      <c r="M1322" s="27" t="n">
        <f aca="false">IF(K1322&gt;0,1,0)</f>
        <v>0</v>
      </c>
      <c r="N1322" s="11" t="n">
        <f aca="false">SUMIFS(K$2:K1322,A$2:A1322,A1322,B$2:B1322,B1322)</f>
        <v>3039465</v>
      </c>
      <c r="O1322" s="11" t="n">
        <f aca="false">MAX(0,_xlfn.MAXIFS(N$2:N1322,A$2:A1322,A1322,B$2:B1322,B1322))</f>
        <v>4879044</v>
      </c>
      <c r="P1322" s="11" t="n">
        <f aca="false">N1322-O1322</f>
        <v>-1839579</v>
      </c>
    </row>
    <row r="1323" customFormat="false" ht="15" hidden="false" customHeight="false" outlineLevel="0" collapsed="false">
      <c r="A1323" s="8" t="s">
        <v>45</v>
      </c>
      <c r="B1323" s="8" t="s">
        <v>37</v>
      </c>
      <c r="C1323" s="8" t="s">
        <v>62</v>
      </c>
      <c r="D1323" s="21" t="n">
        <v>46079.875</v>
      </c>
      <c r="E1323" s="21" t="n">
        <v>46080.7916666667</v>
      </c>
      <c r="F1323" s="22" t="n">
        <f aca="false">DATE(YEAR(E1323),MONTH(E1323),1)</f>
        <v>46054</v>
      </c>
      <c r="G1323" s="23" t="n">
        <v>166093</v>
      </c>
      <c r="H1323" s="8" t="s">
        <v>61</v>
      </c>
      <c r="I1323" s="24" t="n">
        <v>-3083.03</v>
      </c>
      <c r="J1323" s="25" t="n">
        <f aca="false">Summary!$B$4</f>
        <v>1</v>
      </c>
      <c r="K1323" s="11" t="n">
        <f aca="false">I1323*J1323*IF(A1323="SILVER",Summary!$B$5,Summary!$B$6)</f>
        <v>-308303</v>
      </c>
      <c r="L1323" s="26" t="n">
        <v>-1.252</v>
      </c>
      <c r="M1323" s="27" t="n">
        <f aca="false">IF(K1323&gt;0,1,0)</f>
        <v>0</v>
      </c>
      <c r="N1323" s="11" t="n">
        <f aca="false">SUMIFS(K$2:K1323,A$2:A1323,A1323,B$2:B1323,B1323)</f>
        <v>2731162</v>
      </c>
      <c r="O1323" s="11" t="n">
        <f aca="false">MAX(0,_xlfn.MAXIFS(N$2:N1323,A$2:A1323,A1323,B$2:B1323,B1323))</f>
        <v>4879044</v>
      </c>
      <c r="P1323" s="11" t="n">
        <f aca="false">N1323-O1323</f>
        <v>-2147882</v>
      </c>
    </row>
    <row r="1324" customFormat="false" ht="15" hidden="false" customHeight="false" outlineLevel="0" collapsed="false">
      <c r="A1324" s="8" t="s">
        <v>45</v>
      </c>
      <c r="B1324" s="8" t="s">
        <v>37</v>
      </c>
      <c r="C1324" s="8" t="s">
        <v>62</v>
      </c>
      <c r="D1324" s="21" t="n">
        <v>46083.9375</v>
      </c>
      <c r="E1324" s="21" t="n">
        <v>46091.7916666667</v>
      </c>
      <c r="F1324" s="22" t="n">
        <f aca="false">DATE(YEAR(E1324),MONTH(E1324),1)</f>
        <v>46082</v>
      </c>
      <c r="G1324" s="23" t="n">
        <v>173221</v>
      </c>
      <c r="H1324" s="8" t="s">
        <v>61</v>
      </c>
      <c r="I1324" s="24" t="n">
        <v>2646.1</v>
      </c>
      <c r="J1324" s="25" t="n">
        <f aca="false">Summary!$B$4</f>
        <v>1</v>
      </c>
      <c r="K1324" s="11" t="n">
        <f aca="false">I1324*J1324*IF(A1324="SILVER",Summary!$B$5,Summary!$B$6)</f>
        <v>264610</v>
      </c>
      <c r="L1324" s="26" t="n">
        <v>0.543</v>
      </c>
      <c r="M1324" s="27" t="n">
        <f aca="false">IF(K1324&gt;0,1,0)</f>
        <v>1</v>
      </c>
      <c r="N1324" s="11" t="n">
        <f aca="false">SUMIFS(K$2:K1324,A$2:A1324,A1324,B$2:B1324,B1324)</f>
        <v>2995772</v>
      </c>
      <c r="O1324" s="11" t="n">
        <f aca="false">MAX(0,_xlfn.MAXIFS(N$2:N1324,A$2:A1324,A1324,B$2:B1324,B1324))</f>
        <v>4879044</v>
      </c>
      <c r="P1324" s="11" t="n">
        <f aca="false">N1324-O1324</f>
        <v>-1883272</v>
      </c>
    </row>
    <row r="1325" customFormat="false" ht="15" hidden="false" customHeight="false" outlineLevel="0" collapsed="false">
      <c r="A1325" s="8" t="s">
        <v>45</v>
      </c>
      <c r="B1325" s="8" t="s">
        <v>37</v>
      </c>
      <c r="C1325" s="8" t="s">
        <v>62</v>
      </c>
      <c r="D1325" s="21" t="n">
        <v>46093.9583333333</v>
      </c>
      <c r="E1325" s="21" t="n">
        <v>46094.7291666667</v>
      </c>
      <c r="F1325" s="22" t="n">
        <f aca="false">DATE(YEAR(E1325),MONTH(E1325),1)</f>
        <v>46082</v>
      </c>
      <c r="G1325" s="23" t="n">
        <v>167951</v>
      </c>
      <c r="H1325" s="8" t="s">
        <v>64</v>
      </c>
      <c r="I1325" s="24" t="n">
        <v>199.97</v>
      </c>
      <c r="J1325" s="25" t="n">
        <f aca="false">Summary!$B$4</f>
        <v>1</v>
      </c>
      <c r="K1325" s="11" t="n">
        <f aca="false">I1325*J1325*IF(A1325="SILVER",Summary!$B$5,Summary!$B$6)</f>
        <v>19997</v>
      </c>
      <c r="L1325" s="26" t="n">
        <v>0.083</v>
      </c>
      <c r="M1325" s="27" t="n">
        <f aca="false">IF(K1325&gt;0,1,0)</f>
        <v>1</v>
      </c>
      <c r="N1325" s="11" t="n">
        <f aca="false">SUMIFS(K$2:K1325,A$2:A1325,A1325,B$2:B1325,B1325)</f>
        <v>3015769</v>
      </c>
      <c r="O1325" s="11" t="n">
        <f aca="false">MAX(0,_xlfn.MAXIFS(N$2:N1325,A$2:A1325,A1325,B$2:B1325,B1325))</f>
        <v>4879044</v>
      </c>
      <c r="P1325" s="11" t="n">
        <f aca="false">N1325-O1325</f>
        <v>-1863275</v>
      </c>
    </row>
    <row r="1326" customFormat="false" ht="15" hidden="false" customHeight="false" outlineLevel="0" collapsed="false">
      <c r="A1326" s="8" t="s">
        <v>45</v>
      </c>
      <c r="B1326" s="8" t="s">
        <v>37</v>
      </c>
      <c r="C1326" s="8" t="s">
        <v>62</v>
      </c>
      <c r="D1326" s="21" t="n">
        <v>46094.8541666667</v>
      </c>
      <c r="E1326" s="21" t="n">
        <v>46104.7708333333</v>
      </c>
      <c r="F1326" s="22" t="n">
        <f aca="false">DATE(YEAR(E1326),MONTH(E1326),1)</f>
        <v>46082</v>
      </c>
      <c r="G1326" s="23" t="n">
        <v>165751</v>
      </c>
      <c r="H1326" s="8" t="s">
        <v>61</v>
      </c>
      <c r="I1326" s="24" t="n">
        <v>16860.02</v>
      </c>
      <c r="J1326" s="25" t="n">
        <f aca="false">Summary!$B$4</f>
        <v>1</v>
      </c>
      <c r="K1326" s="11" t="n">
        <f aca="false">I1326*J1326*IF(A1326="SILVER",Summary!$B$5,Summary!$B$6)</f>
        <v>1686002</v>
      </c>
      <c r="L1326" s="26" t="n">
        <v>5.261</v>
      </c>
      <c r="M1326" s="27" t="n">
        <f aca="false">IF(K1326&gt;0,1,0)</f>
        <v>1</v>
      </c>
      <c r="N1326" s="11" t="n">
        <f aca="false">SUMIFS(K$2:K1326,A$2:A1326,A1326,B$2:B1326,B1326)</f>
        <v>4701771</v>
      </c>
      <c r="O1326" s="11" t="n">
        <f aca="false">MAX(0,_xlfn.MAXIFS(N$2:N1326,A$2:A1326,A1326,B$2:B1326,B1326))</f>
        <v>4879044</v>
      </c>
      <c r="P1326" s="11" t="n">
        <f aca="false">N1326-O1326</f>
        <v>-177273</v>
      </c>
    </row>
    <row r="1327" customFormat="false" ht="15" hidden="false" customHeight="false" outlineLevel="0" collapsed="false">
      <c r="A1327" s="8" t="s">
        <v>45</v>
      </c>
      <c r="B1327" s="8" t="s">
        <v>37</v>
      </c>
      <c r="C1327" s="8" t="s">
        <v>62</v>
      </c>
      <c r="D1327" s="21" t="n">
        <v>46107.9375</v>
      </c>
      <c r="E1327" s="21" t="n">
        <v>46108.875</v>
      </c>
      <c r="F1327" s="22" t="n">
        <f aca="false">DATE(YEAR(E1327),MONTH(E1327),1)</f>
        <v>46082</v>
      </c>
      <c r="G1327" s="23" t="n">
        <v>147231</v>
      </c>
      <c r="H1327" s="8" t="s">
        <v>61</v>
      </c>
      <c r="I1327" s="24" t="n">
        <v>-5719.53</v>
      </c>
      <c r="J1327" s="25" t="n">
        <f aca="false">Summary!$B$4</f>
        <v>1</v>
      </c>
      <c r="K1327" s="11" t="n">
        <f aca="false">I1327*J1327*IF(A1327="SILVER",Summary!$B$5,Summary!$B$6)</f>
        <v>-571953</v>
      </c>
      <c r="L1327" s="26" t="n">
        <v>-1.114</v>
      </c>
      <c r="M1327" s="27" t="n">
        <f aca="false">IF(K1327&gt;0,1,0)</f>
        <v>0</v>
      </c>
      <c r="N1327" s="11" t="n">
        <f aca="false">SUMIFS(K$2:K1327,A$2:A1327,A1327,B$2:B1327,B1327)</f>
        <v>4129818</v>
      </c>
      <c r="O1327" s="11" t="n">
        <f aca="false">MAX(0,_xlfn.MAXIFS(N$2:N1327,A$2:A1327,A1327,B$2:B1327,B1327))</f>
        <v>4879044</v>
      </c>
      <c r="P1327" s="11" t="n">
        <f aca="false">N1327-O1327</f>
        <v>-749226</v>
      </c>
    </row>
    <row r="1328" customFormat="false" ht="15" hidden="false" customHeight="false" outlineLevel="0" collapsed="false">
      <c r="A1328" s="8" t="s">
        <v>45</v>
      </c>
      <c r="B1328" s="8" t="s">
        <v>37</v>
      </c>
      <c r="C1328" s="8" t="s">
        <v>62</v>
      </c>
      <c r="D1328" s="21" t="n">
        <v>46114.3965277778</v>
      </c>
      <c r="E1328" s="21" t="n">
        <v>46118.5555555556</v>
      </c>
      <c r="F1328" s="22" t="n">
        <f aca="false">DATE(YEAR(E1328),MONTH(E1328),1)</f>
        <v>46113</v>
      </c>
      <c r="G1328" s="23" t="n">
        <v>155000</v>
      </c>
      <c r="H1328" s="8" t="s">
        <v>64</v>
      </c>
      <c r="I1328" s="24" t="n">
        <v>285.07</v>
      </c>
      <c r="J1328" s="25" t="n">
        <f aca="false">Summary!$B$4</f>
        <v>1</v>
      </c>
      <c r="K1328" s="11" t="n">
        <f aca="false">I1328*J1328*IF(A1328="SILVER",Summary!$B$5,Summary!$B$6)</f>
        <v>28507</v>
      </c>
      <c r="L1328" s="26" t="n">
        <v>0.069</v>
      </c>
      <c r="M1328" s="27" t="n">
        <f aca="false">IF(K1328&gt;0,1,0)</f>
        <v>1</v>
      </c>
      <c r="N1328" s="11" t="n">
        <f aca="false">SUMIFS(K$2:K1328,A$2:A1328,A1328,B$2:B1328,B1328)</f>
        <v>4158325</v>
      </c>
      <c r="O1328" s="11" t="n">
        <f aca="false">MAX(0,_xlfn.MAXIFS(N$2:N1328,A$2:A1328,A1328,B$2:B1328,B1328))</f>
        <v>4879044</v>
      </c>
      <c r="P1328" s="11" t="n">
        <f aca="false">N1328-O1328</f>
        <v>-720719</v>
      </c>
    </row>
    <row r="1329" customFormat="false" ht="15" hidden="false" customHeight="false" outlineLevel="0" collapsed="false">
      <c r="A1329" s="8" t="s">
        <v>45</v>
      </c>
      <c r="B1329" s="8" t="s">
        <v>37</v>
      </c>
      <c r="C1329" s="8" t="s">
        <v>62</v>
      </c>
      <c r="D1329" s="21" t="n">
        <v>46119.4583333333</v>
      </c>
      <c r="E1329" s="21" t="n">
        <v>46120.3958333333</v>
      </c>
      <c r="F1329" s="22" t="n">
        <f aca="false">DATE(YEAR(E1329),MONTH(E1329),1)</f>
        <v>46113</v>
      </c>
      <c r="G1329" s="23" t="n">
        <v>153764</v>
      </c>
      <c r="H1329" s="8" t="s">
        <v>61</v>
      </c>
      <c r="I1329" s="24" t="n">
        <v>-4038.3</v>
      </c>
      <c r="J1329" s="25" t="n">
        <f aca="false">Summary!$B$4</f>
        <v>1</v>
      </c>
      <c r="K1329" s="11" t="n">
        <f aca="false">I1329*J1329*IF(A1329="SILVER",Summary!$B$5,Summary!$B$6)</f>
        <v>-403830</v>
      </c>
      <c r="L1329" s="26" t="n">
        <v>-1.011</v>
      </c>
      <c r="M1329" s="27" t="n">
        <f aca="false">IF(K1329&gt;0,1,0)</f>
        <v>0</v>
      </c>
      <c r="N1329" s="11" t="n">
        <f aca="false">SUMIFS(K$2:K1329,A$2:A1329,A1329,B$2:B1329,B1329)</f>
        <v>3754495</v>
      </c>
      <c r="O1329" s="11" t="n">
        <f aca="false">MAX(0,_xlfn.MAXIFS(N$2:N1329,A$2:A1329,A1329,B$2:B1329,B1329))</f>
        <v>4879044</v>
      </c>
      <c r="P1329" s="11" t="n">
        <f aca="false">N1329-O1329</f>
        <v>-1124549</v>
      </c>
    </row>
    <row r="1330" customFormat="false" ht="15" hidden="false" customHeight="false" outlineLevel="0" collapsed="false">
      <c r="A1330" s="8" t="s">
        <v>45</v>
      </c>
      <c r="B1330" s="8" t="s">
        <v>37</v>
      </c>
      <c r="C1330" s="8" t="s">
        <v>62</v>
      </c>
      <c r="D1330" s="21" t="n">
        <v>46129.5</v>
      </c>
      <c r="E1330" s="21" t="n">
        <v>46129.8125</v>
      </c>
      <c r="F1330" s="22" t="n">
        <f aca="false">DATE(YEAR(E1330),MONTH(E1330),1)</f>
        <v>46113</v>
      </c>
      <c r="G1330" s="23" t="n">
        <v>156875</v>
      </c>
      <c r="H1330" s="8" t="s">
        <v>61</v>
      </c>
      <c r="I1330" s="24" t="n">
        <v>-2621.79</v>
      </c>
      <c r="J1330" s="25" t="n">
        <f aca="false">Summary!$B$4</f>
        <v>1</v>
      </c>
      <c r="K1330" s="11" t="n">
        <f aca="false">I1330*J1330*IF(A1330="SILVER",Summary!$B$5,Summary!$B$6)</f>
        <v>-262179</v>
      </c>
      <c r="L1330" s="26" t="n">
        <v>-1.236</v>
      </c>
      <c r="M1330" s="27" t="n">
        <f aca="false">IF(K1330&gt;0,1,0)</f>
        <v>0</v>
      </c>
      <c r="N1330" s="11" t="n">
        <f aca="false">SUMIFS(K$2:K1330,A$2:A1330,A1330,B$2:B1330,B1330)</f>
        <v>3492316</v>
      </c>
      <c r="O1330" s="11" t="n">
        <f aca="false">MAX(0,_xlfn.MAXIFS(N$2:N1330,A$2:A1330,A1330,B$2:B1330,B1330))</f>
        <v>4879044</v>
      </c>
      <c r="P1330" s="11" t="n">
        <f aca="false">N1330-O1330</f>
        <v>-1386728</v>
      </c>
    </row>
    <row r="1331" customFormat="false" ht="15" hidden="false" customHeight="false" outlineLevel="0" collapsed="false">
      <c r="A1331" s="8" t="s">
        <v>45</v>
      </c>
      <c r="B1331" s="8" t="s">
        <v>37</v>
      </c>
      <c r="C1331" s="8" t="s">
        <v>62</v>
      </c>
      <c r="D1331" s="21" t="n">
        <v>46133.8541666667</v>
      </c>
      <c r="E1331" s="21" t="n">
        <v>46136.7027777778</v>
      </c>
      <c r="F1331" s="22" t="n">
        <f aca="false">DATE(YEAR(E1331),MONTH(E1331),1)</f>
        <v>46113</v>
      </c>
      <c r="G1331" s="23" t="n">
        <v>156656</v>
      </c>
      <c r="H1331" s="8" t="s">
        <v>64</v>
      </c>
      <c r="I1331" s="24" t="n">
        <v>210.36</v>
      </c>
      <c r="J1331" s="25" t="n">
        <f aca="false">Summary!$B$4</f>
        <v>1</v>
      </c>
      <c r="K1331" s="11" t="n">
        <f aca="false">I1331*J1331*IF(A1331="SILVER",Summary!$B$5,Summary!$B$6)</f>
        <v>21036</v>
      </c>
      <c r="L1331" s="26" t="n">
        <v>0.084</v>
      </c>
      <c r="M1331" s="27" t="n">
        <f aca="false">IF(K1331&gt;0,1,0)</f>
        <v>1</v>
      </c>
      <c r="N1331" s="11" t="n">
        <f aca="false">SUMIFS(K$2:K1331,A$2:A1331,A1331,B$2:B1331,B1331)</f>
        <v>3513352</v>
      </c>
      <c r="O1331" s="11" t="n">
        <f aca="false">MAX(0,_xlfn.MAXIFS(N$2:N1331,A$2:A1331,A1331,B$2:B1331,B1331))</f>
        <v>4879044</v>
      </c>
      <c r="P1331" s="11" t="n">
        <f aca="false">N1331-O1331</f>
        <v>-1365692</v>
      </c>
    </row>
    <row r="1332" customFormat="false" ht="15" hidden="false" customHeight="false" outlineLevel="0" collapsed="false">
      <c r="A1332" s="8" t="s">
        <v>45</v>
      </c>
      <c r="B1332" s="8" t="s">
        <v>37</v>
      </c>
      <c r="C1332" s="8" t="s">
        <v>62</v>
      </c>
      <c r="D1332" s="21" t="n">
        <v>46139.7708333333</v>
      </c>
      <c r="E1332" s="21" t="n">
        <v>46142.5208333333</v>
      </c>
      <c r="F1332" s="22" t="n">
        <f aca="false">DATE(YEAR(E1332),MONTH(E1332),1)</f>
        <v>46113</v>
      </c>
      <c r="G1332" s="23" t="n">
        <v>156255</v>
      </c>
      <c r="H1332" s="8" t="s">
        <v>61</v>
      </c>
      <c r="I1332" s="24" t="n">
        <v>1174.72</v>
      </c>
      <c r="J1332" s="25" t="n">
        <f aca="false">Summary!$B$4</f>
        <v>1</v>
      </c>
      <c r="K1332" s="11" t="n">
        <f aca="false">I1332*J1332*IF(A1332="SILVER",Summary!$B$5,Summary!$B$6)</f>
        <v>117472</v>
      </c>
      <c r="L1332" s="26" t="n">
        <v>0.745</v>
      </c>
      <c r="M1332" s="27" t="n">
        <f aca="false">IF(K1332&gt;0,1,0)</f>
        <v>1</v>
      </c>
      <c r="N1332" s="11" t="n">
        <f aca="false">SUMIFS(K$2:K1332,A$2:A1332,A1332,B$2:B1332,B1332)</f>
        <v>3630824</v>
      </c>
      <c r="O1332" s="11" t="n">
        <f aca="false">MAX(0,_xlfn.MAXIFS(N$2:N1332,A$2:A1332,A1332,B$2:B1332,B1332))</f>
        <v>4879044</v>
      </c>
      <c r="P1332" s="11" t="n">
        <f aca="false">N1332-O1332</f>
        <v>-1248220</v>
      </c>
    </row>
    <row r="1333" customFormat="false" ht="15" hidden="false" customHeight="false" outlineLevel="0" collapsed="false">
      <c r="A1333" s="8" t="s">
        <v>45</v>
      </c>
      <c r="B1333" s="8" t="s">
        <v>37</v>
      </c>
      <c r="C1333" s="8" t="s">
        <v>62</v>
      </c>
      <c r="D1333" s="21" t="n">
        <v>46146.8958333333</v>
      </c>
      <c r="E1333" s="21" t="n">
        <v>46148.3958333333</v>
      </c>
      <c r="F1333" s="22" t="n">
        <f aca="false">DATE(YEAR(E1333),MONTH(E1333),1)</f>
        <v>46143</v>
      </c>
      <c r="G1333" s="23" t="n">
        <v>153421</v>
      </c>
      <c r="H1333" s="8" t="s">
        <v>61</v>
      </c>
      <c r="I1333" s="24" t="n">
        <v>-2574.09</v>
      </c>
      <c r="J1333" s="25" t="n">
        <f aca="false">Summary!$B$4</f>
        <v>1</v>
      </c>
      <c r="K1333" s="11" t="n">
        <f aca="false">I1333*J1333*IF(A1333="SILVER",Summary!$B$5,Summary!$B$6)</f>
        <v>-257409</v>
      </c>
      <c r="L1333" s="26" t="n">
        <v>-0.893</v>
      </c>
      <c r="M1333" s="27" t="n">
        <f aca="false">IF(K1333&gt;0,1,0)</f>
        <v>0</v>
      </c>
      <c r="N1333" s="11" t="n">
        <f aca="false">SUMIFS(K$2:K1333,A$2:A1333,A1333,B$2:B1333,B1333)</f>
        <v>3373415</v>
      </c>
      <c r="O1333" s="11" t="n">
        <f aca="false">MAX(0,_xlfn.MAXIFS(N$2:N1333,A$2:A1333,A1333,B$2:B1333,B1333))</f>
        <v>4879044</v>
      </c>
      <c r="P1333" s="11" t="n">
        <f aca="false">N1333-O1333</f>
        <v>-1505629</v>
      </c>
    </row>
    <row r="1334" customFormat="false" ht="15" hidden="false" customHeight="false" outlineLevel="0" collapsed="false">
      <c r="A1334" s="8" t="s">
        <v>45</v>
      </c>
      <c r="B1334" s="8" t="s">
        <v>37</v>
      </c>
      <c r="C1334" s="8" t="s">
        <v>62</v>
      </c>
      <c r="D1334" s="21" t="n">
        <v>46157.4583333333</v>
      </c>
      <c r="E1334" s="21" t="n">
        <v>46160.5423611111</v>
      </c>
      <c r="F1334" s="22" t="n">
        <f aca="false">DATE(YEAR(E1334),MONTH(E1334),1)</f>
        <v>46143</v>
      </c>
      <c r="G1334" s="23" t="n">
        <v>163855</v>
      </c>
      <c r="H1334" s="8" t="s">
        <v>64</v>
      </c>
      <c r="I1334" s="24" t="n">
        <v>251.37</v>
      </c>
      <c r="J1334" s="25" t="n">
        <f aca="false">Summary!$B$4</f>
        <v>1</v>
      </c>
      <c r="K1334" s="11" t="n">
        <f aca="false">I1334*J1334*IF(A1334="SILVER",Summary!$B$5,Summary!$B$6)</f>
        <v>25137</v>
      </c>
      <c r="L1334" s="26" t="n">
        <v>0.086</v>
      </c>
      <c r="M1334" s="27" t="n">
        <f aca="false">IF(K1334&gt;0,1,0)</f>
        <v>1</v>
      </c>
      <c r="N1334" s="11" t="n">
        <f aca="false">SUMIFS(K$2:K1334,A$2:A1334,A1334,B$2:B1334,B1334)</f>
        <v>3398552</v>
      </c>
      <c r="O1334" s="11" t="n">
        <f aca="false">MAX(0,_xlfn.MAXIFS(N$2:N1334,A$2:A1334,A1334,B$2:B1334,B1334))</f>
        <v>4879044</v>
      </c>
      <c r="P1334" s="11" t="n">
        <f aca="false">N1334-O1334</f>
        <v>-1480492</v>
      </c>
    </row>
    <row r="1335" customFormat="false" ht="15" hidden="false" customHeight="false" outlineLevel="0" collapsed="false">
      <c r="A1335" s="8" t="s">
        <v>45</v>
      </c>
      <c r="B1335" s="8" t="s">
        <v>37</v>
      </c>
      <c r="C1335" s="8" t="s">
        <v>62</v>
      </c>
      <c r="D1335" s="21" t="n">
        <v>46161.7916666667</v>
      </c>
      <c r="E1335" s="21" t="n">
        <v>46162.5222222222</v>
      </c>
      <c r="F1335" s="22" t="n">
        <f aca="false">DATE(YEAR(E1335),MONTH(E1335),1)</f>
        <v>46143</v>
      </c>
      <c r="G1335" s="23" t="n">
        <v>163255</v>
      </c>
      <c r="H1335" s="8" t="s">
        <v>64</v>
      </c>
      <c r="I1335" s="24" t="n">
        <v>148.66</v>
      </c>
      <c r="J1335" s="25" t="n">
        <f aca="false">Summary!$B$4</f>
        <v>1</v>
      </c>
      <c r="K1335" s="11" t="n">
        <f aca="false">I1335*J1335*IF(A1335="SILVER",Summary!$B$5,Summary!$B$6)</f>
        <v>14866</v>
      </c>
      <c r="L1335" s="26" t="n">
        <v>0.078</v>
      </c>
      <c r="M1335" s="27" t="n">
        <f aca="false">IF(K1335&gt;0,1,0)</f>
        <v>1</v>
      </c>
      <c r="N1335" s="11" t="n">
        <f aca="false">SUMIFS(K$2:K1335,A$2:A1335,A1335,B$2:B1335,B1335)</f>
        <v>3413418</v>
      </c>
      <c r="O1335" s="11" t="n">
        <f aca="false">MAX(0,_xlfn.MAXIFS(N$2:N1335,A$2:A1335,A1335,B$2:B1335,B1335))</f>
        <v>4879044</v>
      </c>
      <c r="P1335" s="11" t="n">
        <f aca="false">N1335-O1335</f>
        <v>-1465626</v>
      </c>
    </row>
    <row r="1336" customFormat="false" ht="15" hidden="false" customHeight="false" outlineLevel="0" collapsed="false">
      <c r="A1336" s="8" t="s">
        <v>45</v>
      </c>
      <c r="B1336" s="8" t="s">
        <v>37</v>
      </c>
      <c r="C1336" s="8" t="s">
        <v>62</v>
      </c>
      <c r="D1336" s="21" t="n">
        <v>46163.75</v>
      </c>
      <c r="E1336" s="21" t="n">
        <v>46170.875</v>
      </c>
      <c r="F1336" s="22" t="n">
        <f aca="false">DATE(YEAR(E1336),MONTH(E1336),1)</f>
        <v>46143</v>
      </c>
      <c r="G1336" s="23" t="n">
        <v>163205</v>
      </c>
      <c r="H1336" s="8" t="s">
        <v>61</v>
      </c>
      <c r="I1336" s="24" t="n">
        <v>2628.48</v>
      </c>
      <c r="J1336" s="25" t="n">
        <f aca="false">Summary!$B$4</f>
        <v>1</v>
      </c>
      <c r="K1336" s="11" t="n">
        <f aca="false">I1336*J1336*IF(A1336="SILVER",Summary!$B$5,Summary!$B$6)</f>
        <v>262848</v>
      </c>
      <c r="L1336" s="26" t="n">
        <v>1.364</v>
      </c>
      <c r="M1336" s="27" t="n">
        <f aca="false">IF(K1336&gt;0,1,0)</f>
        <v>1</v>
      </c>
      <c r="N1336" s="11" t="n">
        <f aca="false">SUMIFS(K$2:K1336,A$2:A1336,A1336,B$2:B1336,B1336)</f>
        <v>3676266</v>
      </c>
      <c r="O1336" s="11" t="n">
        <f aca="false">MAX(0,_xlfn.MAXIFS(N$2:N1336,A$2:A1336,A1336,B$2:B1336,B1336))</f>
        <v>4879044</v>
      </c>
      <c r="P1336" s="11" t="n">
        <f aca="false">N1336-O1336</f>
        <v>-1202778</v>
      </c>
    </row>
    <row r="1337" customFormat="false" ht="15" hidden="false" customHeight="false" outlineLevel="0" collapsed="false">
      <c r="A1337" s="8" t="s">
        <v>45</v>
      </c>
      <c r="B1337" s="8" t="s">
        <v>37</v>
      </c>
      <c r="C1337" s="8" t="s">
        <v>62</v>
      </c>
      <c r="D1337" s="21" t="n">
        <v>46174.7923611111</v>
      </c>
      <c r="E1337" s="21" t="n">
        <v>46175.5583333333</v>
      </c>
      <c r="F1337" s="22" t="n">
        <f aca="false">DATE(YEAR(E1337),MONTH(E1337),1)</f>
        <v>46174</v>
      </c>
      <c r="G1337" s="23" t="n">
        <v>158083</v>
      </c>
      <c r="H1337" s="8" t="s">
        <v>61</v>
      </c>
      <c r="I1337" s="24" t="n">
        <v>-2089.98</v>
      </c>
      <c r="J1337" s="25" t="n">
        <f aca="false">Summary!$B$4</f>
        <v>1</v>
      </c>
      <c r="K1337" s="11" t="n">
        <f aca="false">I1337*J1337*IF(A1337="SILVER",Summary!$B$5,Summary!$B$6)</f>
        <v>-208998</v>
      </c>
      <c r="L1337" s="26" t="n">
        <v>-0.745</v>
      </c>
      <c r="M1337" s="27" t="n">
        <f aca="false">IF(K1337&gt;0,1,0)</f>
        <v>0</v>
      </c>
      <c r="N1337" s="11" t="n">
        <f aca="false">SUMIFS(K$2:K1337,A$2:A1337,A1337,B$2:B1337,B1337)</f>
        <v>3467268</v>
      </c>
      <c r="O1337" s="11" t="n">
        <f aca="false">MAX(0,_xlfn.MAXIFS(N$2:N1337,A$2:A1337,A1337,B$2:B1337,B1337))</f>
        <v>4879044</v>
      </c>
      <c r="P1337" s="11" t="n">
        <f aca="false">N1337-O1337</f>
        <v>-1411776</v>
      </c>
    </row>
    <row r="1338" customFormat="false" ht="15" hidden="false" customHeight="false" outlineLevel="0" collapsed="false">
      <c r="A1338" s="8" t="s">
        <v>45</v>
      </c>
      <c r="B1338" s="8" t="s">
        <v>37</v>
      </c>
      <c r="C1338" s="8" t="s">
        <v>62</v>
      </c>
      <c r="D1338" s="21" t="n">
        <v>46178.68125</v>
      </c>
      <c r="E1338" s="21" t="n">
        <v>46185.5833333333</v>
      </c>
      <c r="F1338" s="22" t="n">
        <f aca="false">DATE(YEAR(E1338),MONTH(E1338),1)</f>
        <v>46174</v>
      </c>
      <c r="G1338" s="23" t="n">
        <v>158655</v>
      </c>
      <c r="H1338" s="8" t="s">
        <v>61</v>
      </c>
      <c r="I1338" s="24" t="n">
        <v>5609.5</v>
      </c>
      <c r="J1338" s="25" t="n">
        <f aca="false">Summary!$B$4</f>
        <v>1</v>
      </c>
      <c r="K1338" s="11" t="n">
        <f aca="false">I1338*J1338*IF(A1338="SILVER",Summary!$B$5,Summary!$B$6)</f>
        <v>560950</v>
      </c>
      <c r="L1338" s="26" t="n">
        <v>4.009</v>
      </c>
      <c r="M1338" s="27" t="n">
        <f aca="false">IF(K1338&gt;0,1,0)</f>
        <v>1</v>
      </c>
      <c r="N1338" s="11" t="n">
        <f aca="false">SUMIFS(K$2:K1338,A$2:A1338,A1338,B$2:B1338,B1338)</f>
        <v>4028218</v>
      </c>
      <c r="O1338" s="11" t="n">
        <f aca="false">MAX(0,_xlfn.MAXIFS(N$2:N1338,A$2:A1338,A1338,B$2:B1338,B1338))</f>
        <v>4879044</v>
      </c>
      <c r="P1338" s="11" t="n">
        <f aca="false">N1338-O1338</f>
        <v>-850826</v>
      </c>
    </row>
    <row r="1339" customFormat="false" ht="15" hidden="false" customHeight="false" outlineLevel="0" collapsed="false">
      <c r="A1339" s="8" t="s">
        <v>45</v>
      </c>
      <c r="B1339" s="8" t="s">
        <v>37</v>
      </c>
      <c r="C1339" s="8" t="s">
        <v>62</v>
      </c>
      <c r="D1339" s="21" t="n">
        <v>46191.5006944445</v>
      </c>
      <c r="E1339" s="21" t="n">
        <v>46199.8958333333</v>
      </c>
      <c r="F1339" s="22" t="n">
        <f aca="false">DATE(YEAR(E1339),MONTH(E1339),1)</f>
        <v>46174</v>
      </c>
      <c r="G1339" s="23" t="n">
        <v>154219</v>
      </c>
      <c r="H1339" s="8" t="s">
        <v>61</v>
      </c>
      <c r="I1339" s="24" t="n">
        <v>6906.38</v>
      </c>
      <c r="J1339" s="25" t="n">
        <f aca="false">Summary!$B$4</f>
        <v>1</v>
      </c>
      <c r="K1339" s="11" t="n">
        <f aca="false">I1339*J1339*IF(A1339="SILVER",Summary!$B$5,Summary!$B$6)</f>
        <v>690638</v>
      </c>
      <c r="L1339" s="26" t="n">
        <v>2.78</v>
      </c>
      <c r="M1339" s="27" t="n">
        <f aca="false">IF(K1339&gt;0,1,0)</f>
        <v>1</v>
      </c>
      <c r="N1339" s="11" t="n">
        <f aca="false">SUMIFS(K$2:K1339,A$2:A1339,A1339,B$2:B1339,B1339)</f>
        <v>4718856</v>
      </c>
      <c r="O1339" s="11" t="n">
        <f aca="false">MAX(0,_xlfn.MAXIFS(N$2:N1339,A$2:A1339,A1339,B$2:B1339,B1339))</f>
        <v>4879044</v>
      </c>
      <c r="P1339" s="11" t="n">
        <f aca="false">N1339-O1339</f>
        <v>-160188</v>
      </c>
    </row>
    <row r="1340" customFormat="false" ht="15" hidden="false" customHeight="false" outlineLevel="0" collapsed="false">
      <c r="A1340" s="8" t="s">
        <v>45</v>
      </c>
      <c r="B1340" s="8" t="s">
        <v>37</v>
      </c>
      <c r="C1340" s="8" t="s">
        <v>62</v>
      </c>
      <c r="D1340" s="21" t="n">
        <v>46203.3958333333</v>
      </c>
      <c r="E1340" s="21" t="n">
        <v>46203.8333333333</v>
      </c>
      <c r="F1340" s="22" t="n">
        <f aca="false">DATE(YEAR(E1340),MONTH(E1340),1)</f>
        <v>46174</v>
      </c>
      <c r="G1340" s="23" t="n">
        <v>143384</v>
      </c>
      <c r="H1340" s="8" t="s">
        <v>61</v>
      </c>
      <c r="I1340" s="24" t="n">
        <v>-2704.42</v>
      </c>
      <c r="J1340" s="25" t="n">
        <f aca="false">Summary!$B$4</f>
        <v>1</v>
      </c>
      <c r="K1340" s="11" t="n">
        <f aca="false">I1340*J1340*IF(A1340="SILVER",Summary!$B$5,Summary!$B$6)</f>
        <v>-270442</v>
      </c>
      <c r="L1340" s="26" t="n">
        <v>-1.021</v>
      </c>
      <c r="M1340" s="27" t="n">
        <f aca="false">IF(K1340&gt;0,1,0)</f>
        <v>0</v>
      </c>
      <c r="N1340" s="11" t="n">
        <f aca="false">SUMIFS(K$2:K1340,A$2:A1340,A1340,B$2:B1340,B1340)</f>
        <v>4448414</v>
      </c>
      <c r="O1340" s="11" t="n">
        <f aca="false">MAX(0,_xlfn.MAXIFS(N$2:N1340,A$2:A1340,A1340,B$2:B1340,B1340))</f>
        <v>4879044</v>
      </c>
      <c r="P1340" s="11" t="n">
        <f aca="false">N1340-O1340</f>
        <v>-430630</v>
      </c>
    </row>
    <row r="1341" customFormat="false" ht="15" hidden="false" customHeight="false" outlineLevel="0" collapsed="false">
      <c r="A1341" s="8" t="s">
        <v>45</v>
      </c>
      <c r="B1341" s="8" t="s">
        <v>37</v>
      </c>
      <c r="C1341" s="8" t="s">
        <v>62</v>
      </c>
      <c r="D1341" s="21" t="n">
        <v>46210.4791666667</v>
      </c>
      <c r="E1341" s="21" t="n">
        <v>46212.9180555556</v>
      </c>
      <c r="F1341" s="22" t="n">
        <f aca="false">DATE(YEAR(E1341),MONTH(E1341),1)</f>
        <v>46204</v>
      </c>
      <c r="G1341" s="23" t="n">
        <v>148192</v>
      </c>
      <c r="H1341" s="8" t="s">
        <v>64</v>
      </c>
      <c r="I1341" s="24" t="n">
        <v>157.97</v>
      </c>
      <c r="J1341" s="25" t="n">
        <f aca="false">Summary!$B$4</f>
        <v>1</v>
      </c>
      <c r="K1341" s="11" t="n">
        <f aca="false">I1341*J1341*IF(A1341="SILVER",Summary!$B$5,Summary!$B$6)</f>
        <v>15797</v>
      </c>
      <c r="L1341" s="26" t="n">
        <v>0.08</v>
      </c>
      <c r="M1341" s="27" t="n">
        <f aca="false">IF(K1341&gt;0,1,0)</f>
        <v>1</v>
      </c>
      <c r="N1341" s="11" t="n">
        <f aca="false">SUMIFS(K$2:K1341,A$2:A1341,A1341,B$2:B1341,B1341)</f>
        <v>4464211</v>
      </c>
      <c r="O1341" s="11" t="n">
        <f aca="false">MAX(0,_xlfn.MAXIFS(N$2:N1341,A$2:A1341,A1341,B$2:B1341,B1341))</f>
        <v>4879044</v>
      </c>
      <c r="P1341" s="11" t="n">
        <f aca="false">N1341-O1341</f>
        <v>-414833</v>
      </c>
    </row>
    <row r="1342" customFormat="false" ht="15" hidden="false" customHeight="false" outlineLevel="0" collapsed="false">
      <c r="A1342" s="8" t="s">
        <v>45</v>
      </c>
      <c r="B1342" s="8" t="s">
        <v>37</v>
      </c>
      <c r="C1342" s="8" t="s">
        <v>62</v>
      </c>
      <c r="D1342" s="21" t="n">
        <v>46213.5625</v>
      </c>
      <c r="E1342" s="21" t="n">
        <v>46217.7708333333</v>
      </c>
      <c r="F1342" s="22" t="n">
        <f aca="false">DATE(YEAR(E1342),MONTH(E1342),1)</f>
        <v>46204</v>
      </c>
      <c r="G1342" s="23" t="n">
        <v>146949</v>
      </c>
      <c r="H1342" s="8" t="s">
        <v>61</v>
      </c>
      <c r="I1342" s="24" t="n">
        <v>1721.31</v>
      </c>
      <c r="J1342" s="25" t="n">
        <f aca="false">Summary!$B$4</f>
        <v>1</v>
      </c>
      <c r="K1342" s="11" t="n">
        <f aca="false">I1342*J1342*IF(A1342="SILVER",Summary!$B$5,Summary!$B$6)</f>
        <v>172131</v>
      </c>
      <c r="L1342" s="26" t="n">
        <v>1.632</v>
      </c>
      <c r="M1342" s="27" t="n">
        <f aca="false">IF(K1342&gt;0,1,0)</f>
        <v>1</v>
      </c>
      <c r="N1342" s="11" t="n">
        <f aca="false">SUMIFS(K$2:K1342,A$2:A1342,A1342,B$2:B1342,B1342)</f>
        <v>4636342</v>
      </c>
      <c r="O1342" s="11" t="n">
        <f aca="false">MAX(0,_xlfn.MAXIFS(N$2:N1342,A$2:A1342,A1342,B$2:B1342,B1342))</f>
        <v>4879044</v>
      </c>
      <c r="P1342" s="11" t="n">
        <f aca="false">N1342-O1342</f>
        <v>-242702</v>
      </c>
    </row>
    <row r="1343" customFormat="false" ht="15" hidden="false" customHeight="false" outlineLevel="0" collapsed="false">
      <c r="A1343" s="8" t="s">
        <v>45</v>
      </c>
      <c r="B1343" s="8" t="s">
        <v>37</v>
      </c>
      <c r="C1343" s="8" t="s">
        <v>62</v>
      </c>
      <c r="D1343" s="21" t="n">
        <v>46220.375</v>
      </c>
      <c r="E1343" s="21" t="n">
        <v>46223.7291666667</v>
      </c>
      <c r="F1343" s="22" t="n">
        <f aca="false">DATE(YEAR(E1343),MONTH(E1343),1)</f>
        <v>46204</v>
      </c>
      <c r="G1343" s="23" t="n">
        <v>143315</v>
      </c>
      <c r="H1343" s="8" t="s">
        <v>61</v>
      </c>
      <c r="I1343" s="24" t="n">
        <v>-1402.23</v>
      </c>
      <c r="J1343" s="25" t="n">
        <f aca="false">Summary!$B$4</f>
        <v>1</v>
      </c>
      <c r="K1343" s="11" t="n">
        <f aca="false">I1343*J1343*IF(A1343="SILVER",Summary!$B$5,Summary!$B$6)</f>
        <v>-140223</v>
      </c>
      <c r="L1343" s="26" t="n">
        <v>-0.76</v>
      </c>
      <c r="M1343" s="27" t="n">
        <f aca="false">IF(K1343&gt;0,1,0)</f>
        <v>0</v>
      </c>
      <c r="N1343" s="11" t="n">
        <f aca="false">SUMIFS(K$2:K1343,A$2:A1343,A1343,B$2:B1343,B1343)</f>
        <v>4496119</v>
      </c>
      <c r="O1343" s="11" t="n">
        <f aca="false">MAX(0,_xlfn.MAXIFS(N$2:N1343,A$2:A1343,A1343,B$2:B1343,B1343))</f>
        <v>4879044</v>
      </c>
      <c r="P1343" s="11" t="n">
        <f aca="false">N1343-O1343</f>
        <v>-382925</v>
      </c>
    </row>
    <row r="1344" customFormat="false" ht="15" hidden="false" customHeight="false" outlineLevel="0" collapsed="false">
      <c r="A1344" s="8" t="s">
        <v>45</v>
      </c>
      <c r="B1344" s="8" t="s">
        <v>37</v>
      </c>
      <c r="C1344" s="8" t="s">
        <v>62</v>
      </c>
      <c r="D1344" s="21" t="n">
        <v>46226.625</v>
      </c>
      <c r="E1344" s="21" t="n">
        <v>46230.3909722222</v>
      </c>
      <c r="F1344" s="22" t="n">
        <f aca="false">DATE(YEAR(E1344),MONTH(E1344),1)</f>
        <v>46204</v>
      </c>
      <c r="G1344" s="23" t="n">
        <v>146780</v>
      </c>
      <c r="H1344" s="8" t="s">
        <v>64</v>
      </c>
      <c r="I1344" s="24" t="n">
        <v>134.88</v>
      </c>
      <c r="J1344" s="25" t="n">
        <f aca="false">Summary!$B$4</f>
        <v>1</v>
      </c>
      <c r="K1344" s="11" t="n">
        <f aca="false">I1344*J1344*IF(A1344="SILVER",Summary!$B$5,Summary!$B$6)</f>
        <v>13488</v>
      </c>
      <c r="L1344" s="26" t="n">
        <v>0.078</v>
      </c>
      <c r="M1344" s="27" t="n">
        <f aca="false">IF(K1344&gt;0,1,0)</f>
        <v>1</v>
      </c>
      <c r="N1344" s="11" t="n">
        <f aca="false">SUMIFS(K$2:K1344,A$2:A1344,A1344,B$2:B1344,B1344)</f>
        <v>4509607</v>
      </c>
      <c r="O1344" s="11" t="n">
        <f aca="false">MAX(0,_xlfn.MAXIFS(N$2:N1344,A$2:A1344,A1344,B$2:B1344,B1344))</f>
        <v>4879044</v>
      </c>
      <c r="P1344" s="11" t="n">
        <f aca="false">N1344-O1344</f>
        <v>-369437</v>
      </c>
    </row>
    <row r="1345" customFormat="false" ht="15" hidden="false" customHeight="false" outlineLevel="0" collapsed="false">
      <c r="A1345" s="8" t="s">
        <v>45</v>
      </c>
      <c r="B1345" s="8" t="s">
        <v>37</v>
      </c>
      <c r="C1345" s="8" t="s">
        <v>62</v>
      </c>
      <c r="D1345" s="21" t="n">
        <v>46231.3958333333</v>
      </c>
      <c r="E1345" s="21" t="n">
        <v>46231.8868055556</v>
      </c>
      <c r="F1345" s="22" t="n">
        <f aca="false">DATE(YEAR(E1345),MONTH(E1345),1)</f>
        <v>46204</v>
      </c>
      <c r="G1345" s="23" t="n">
        <v>144791</v>
      </c>
      <c r="H1345" s="8" t="s">
        <v>64</v>
      </c>
      <c r="I1345" s="24" t="n">
        <v>141.58</v>
      </c>
      <c r="J1345" s="25" t="n">
        <f aca="false">Summary!$B$4</f>
        <v>1</v>
      </c>
      <c r="K1345" s="11" t="n">
        <f aca="false">I1345*J1345*IF(A1345="SILVER",Summary!$B$5,Summary!$B$6)</f>
        <v>14158</v>
      </c>
      <c r="L1345" s="26" t="n">
        <v>0.074</v>
      </c>
      <c r="M1345" s="27" t="n">
        <f aca="false">IF(K1345&gt;0,1,0)</f>
        <v>1</v>
      </c>
      <c r="N1345" s="11" t="n">
        <f aca="false">SUMIFS(K$2:K1345,A$2:A1345,A1345,B$2:B1345,B1345)</f>
        <v>4523765</v>
      </c>
      <c r="O1345" s="11" t="n">
        <f aca="false">MAX(0,_xlfn.MAXIFS(N$2:N1345,A$2:A1345,A1345,B$2:B1345,B1345))</f>
        <v>4879044</v>
      </c>
      <c r="P1345" s="11" t="n">
        <f aca="false">N1345-O1345</f>
        <v>-355279</v>
      </c>
    </row>
    <row r="1346" customFormat="false" ht="15" hidden="false" customHeight="false" outlineLevel="0" collapsed="false">
      <c r="A1346" s="8" t="s">
        <v>45</v>
      </c>
      <c r="B1346" s="8" t="s">
        <v>37</v>
      </c>
      <c r="C1346" s="8" t="s">
        <v>62</v>
      </c>
      <c r="D1346" s="21" t="n">
        <v>46232.8125</v>
      </c>
      <c r="E1346" s="21" t="n">
        <v>46233.3958333333</v>
      </c>
      <c r="F1346" s="22" t="n">
        <f aca="false">DATE(YEAR(E1346),MONTH(E1346),1)</f>
        <v>46204</v>
      </c>
      <c r="G1346" s="23" t="n">
        <v>143547</v>
      </c>
      <c r="H1346" s="8" t="s">
        <v>61</v>
      </c>
      <c r="I1346" s="24" t="n">
        <v>-1360.31</v>
      </c>
      <c r="J1346" s="25" t="n">
        <f aca="false">Summary!$B$4</f>
        <v>1</v>
      </c>
      <c r="K1346" s="11" t="n">
        <f aca="false">I1346*J1346*IF(A1346="SILVER",Summary!$B$5,Summary!$B$6)</f>
        <v>-136031</v>
      </c>
      <c r="L1346" s="26" t="n">
        <v>-0.896</v>
      </c>
      <c r="M1346" s="27" t="n">
        <f aca="false">IF(K1346&gt;0,1,0)</f>
        <v>0</v>
      </c>
      <c r="N1346" s="11" t="n">
        <f aca="false">SUMIFS(K$2:K1346,A$2:A1346,A1346,B$2:B1346,B1346)</f>
        <v>4387734</v>
      </c>
      <c r="O1346" s="11" t="n">
        <f aca="false">MAX(0,_xlfn.MAXIFS(N$2:N1346,A$2:A1346,A1346,B$2:B1346,B1346))</f>
        <v>4879044</v>
      </c>
      <c r="P1346" s="11" t="n">
        <f aca="false">N1346-O1346</f>
        <v>-491310</v>
      </c>
    </row>
    <row r="1347" customFormat="false" ht="15" hidden="false" customHeight="false" outlineLevel="0" collapsed="false">
      <c r="A1347" s="8" t="s">
        <v>45</v>
      </c>
      <c r="B1347" s="8" t="s">
        <v>37</v>
      </c>
      <c r="C1347" s="8" t="s">
        <v>62</v>
      </c>
      <c r="D1347" s="21" t="n">
        <v>46237.7993055556</v>
      </c>
      <c r="E1347" s="21" t="n">
        <v>46238.8236111111</v>
      </c>
      <c r="F1347" s="22" t="n">
        <f aca="false">DATE(YEAR(E1347),MONTH(E1347),1)</f>
        <v>46235</v>
      </c>
      <c r="G1347" s="23" t="n">
        <v>143630</v>
      </c>
      <c r="H1347" s="8" t="s">
        <v>61</v>
      </c>
      <c r="I1347" s="24" t="n">
        <v>-1703.36</v>
      </c>
      <c r="J1347" s="25" t="n">
        <f aca="false">Summary!$B$4</f>
        <v>1</v>
      </c>
      <c r="K1347" s="11" t="n">
        <f aca="false">I1347*J1347*IF(A1347="SILVER",Summary!$B$5,Summary!$B$6)</f>
        <v>-170336</v>
      </c>
      <c r="L1347" s="26" t="n">
        <v>-0.918</v>
      </c>
      <c r="M1347" s="27" t="n">
        <f aca="false">IF(K1347&gt;0,1,0)</f>
        <v>0</v>
      </c>
      <c r="N1347" s="11" t="n">
        <f aca="false">SUMIFS(K$2:K1347,A$2:A1347,A1347,B$2:B1347,B1347)</f>
        <v>4217398</v>
      </c>
      <c r="O1347" s="11" t="n">
        <f aca="false">MAX(0,_xlfn.MAXIFS(N$2:N1347,A$2:A1347,A1347,B$2:B1347,B1347))</f>
        <v>4879044</v>
      </c>
      <c r="P1347" s="11" t="n">
        <f aca="false">N1347-O1347</f>
        <v>-661646</v>
      </c>
    </row>
    <row r="1348" customFormat="false" ht="15" hidden="false" customHeight="false" outlineLevel="0" collapsed="false">
      <c r="A1348" s="8" t="s">
        <v>45</v>
      </c>
      <c r="B1348" s="8" t="s">
        <v>37</v>
      </c>
      <c r="C1348" s="8" t="s">
        <v>62</v>
      </c>
      <c r="D1348" s="21" t="n">
        <v>46248.3958333333</v>
      </c>
      <c r="E1348" s="21" t="n">
        <v>46248.8958333333</v>
      </c>
      <c r="F1348" s="22" t="n">
        <f aca="false">DATE(YEAR(E1348),MONTH(E1348),1)</f>
        <v>46235</v>
      </c>
      <c r="G1348" s="23" t="n">
        <v>152310</v>
      </c>
      <c r="H1348" s="8" t="s">
        <v>61</v>
      </c>
      <c r="I1348" s="24" t="n">
        <v>-2570.71</v>
      </c>
      <c r="J1348" s="25" t="n">
        <f aca="false">Summary!$B$4</f>
        <v>1</v>
      </c>
      <c r="K1348" s="11" t="n">
        <f aca="false">I1348*J1348*IF(A1348="SILVER",Summary!$B$5,Summary!$B$6)</f>
        <v>-257071</v>
      </c>
      <c r="L1348" s="26" t="n">
        <v>-0.846</v>
      </c>
      <c r="M1348" s="27" t="n">
        <f aca="false">IF(K1348&gt;0,1,0)</f>
        <v>0</v>
      </c>
      <c r="N1348" s="11" t="n">
        <f aca="false">SUMIFS(K$2:K1348,A$2:A1348,A1348,B$2:B1348,B1348)</f>
        <v>3960327</v>
      </c>
      <c r="O1348" s="11" t="n">
        <f aca="false">MAX(0,_xlfn.MAXIFS(N$2:N1348,A$2:A1348,A1348,B$2:B1348,B1348))</f>
        <v>4879044</v>
      </c>
      <c r="P1348" s="11" t="n">
        <f aca="false">N1348-O1348</f>
        <v>-918717</v>
      </c>
    </row>
    <row r="1349" customFormat="false" ht="15" hidden="false" customHeight="false" outlineLevel="0" collapsed="false">
      <c r="A1349" s="8" t="s">
        <v>45</v>
      </c>
      <c r="B1349" s="8" t="s">
        <v>37</v>
      </c>
      <c r="C1349" s="8" t="s">
        <v>62</v>
      </c>
      <c r="D1349" s="21" t="n">
        <v>46253.4166666667</v>
      </c>
      <c r="E1349" s="21" t="n">
        <v>46253.7708333333</v>
      </c>
      <c r="F1349" s="22" t="n">
        <f aca="false">DATE(YEAR(E1349),MONTH(E1349),1)</f>
        <v>46235</v>
      </c>
      <c r="G1349" s="23" t="n">
        <v>153889</v>
      </c>
      <c r="H1349" s="8" t="s">
        <v>61</v>
      </c>
      <c r="I1349" s="24" t="n">
        <v>-2705.05</v>
      </c>
      <c r="J1349" s="25" t="n">
        <f aca="false">Summary!$B$4</f>
        <v>1</v>
      </c>
      <c r="K1349" s="11" t="n">
        <f aca="false">I1349*J1349*IF(A1349="SILVER",Summary!$B$5,Summary!$B$6)</f>
        <v>-270505</v>
      </c>
      <c r="L1349" s="26" t="n">
        <v>-1.287</v>
      </c>
      <c r="M1349" s="27" t="n">
        <f aca="false">IF(K1349&gt;0,1,0)</f>
        <v>0</v>
      </c>
      <c r="N1349" s="11" t="n">
        <f aca="false">SUMIFS(K$2:K1349,A$2:A1349,A1349,B$2:B1349,B1349)</f>
        <v>3689822</v>
      </c>
      <c r="O1349" s="11" t="n">
        <f aca="false">MAX(0,_xlfn.MAXIFS(N$2:N1349,A$2:A1349,A1349,B$2:B1349,B1349))</f>
        <v>4879044</v>
      </c>
      <c r="P1349" s="11" t="n">
        <f aca="false">N1349-O1349</f>
        <v>-1189222</v>
      </c>
    </row>
    <row r="1350" customFormat="false" ht="15" hidden="false" customHeight="false" outlineLevel="0" collapsed="false">
      <c r="A1350" s="8" t="s">
        <v>45</v>
      </c>
      <c r="B1350" s="8" t="s">
        <v>37</v>
      </c>
      <c r="C1350" s="8" t="s">
        <v>60</v>
      </c>
      <c r="D1350" s="21" t="n">
        <v>46254.3958333333</v>
      </c>
      <c r="E1350" s="21" t="n">
        <v>46260.8541666667</v>
      </c>
      <c r="F1350" s="22" t="n">
        <f aca="false">DATE(YEAR(E1350),MONTH(E1350),1)</f>
        <v>46235</v>
      </c>
      <c r="G1350" s="23" t="n">
        <v>158622</v>
      </c>
      <c r="H1350" s="8" t="s">
        <v>61</v>
      </c>
      <c r="I1350" s="24" t="n">
        <v>2886.98</v>
      </c>
      <c r="J1350" s="25" t="n">
        <f aca="false">Summary!$B$4</f>
        <v>1</v>
      </c>
      <c r="K1350" s="11" t="n">
        <f aca="false">I1350*J1350*IF(A1350="SILVER",Summary!$B$5,Summary!$B$6)</f>
        <v>288698</v>
      </c>
      <c r="L1350" s="26" t="n">
        <v>0.984</v>
      </c>
      <c r="M1350" s="27" t="n">
        <f aca="false">IF(K1350&gt;0,1,0)</f>
        <v>1</v>
      </c>
      <c r="N1350" s="11" t="n">
        <f aca="false">SUMIFS(K$2:K1350,A$2:A1350,A1350,B$2:B1350,B1350)</f>
        <v>3978520</v>
      </c>
      <c r="O1350" s="11" t="n">
        <f aca="false">MAX(0,_xlfn.MAXIFS(N$2:N1350,A$2:A1350,A1350,B$2:B1350,B1350))</f>
        <v>4879044</v>
      </c>
      <c r="P1350" s="11" t="n">
        <f aca="false">N1350-O1350</f>
        <v>-900524</v>
      </c>
    </row>
    <row r="1351" customFormat="false" ht="15" hidden="false" customHeight="false" outlineLevel="0" collapsed="false">
      <c r="A1351" s="8" t="s">
        <v>45</v>
      </c>
      <c r="B1351" s="8" t="s">
        <v>37</v>
      </c>
      <c r="C1351" s="8" t="s">
        <v>60</v>
      </c>
      <c r="D1351" s="21" t="n">
        <v>46268.3958333333</v>
      </c>
      <c r="E1351" s="21" t="n">
        <v>46269.75</v>
      </c>
      <c r="F1351" s="22" t="n">
        <f aca="false">DATE(YEAR(E1351),MONTH(E1351),1)</f>
        <v>46266</v>
      </c>
      <c r="G1351" s="23" t="n">
        <v>153803</v>
      </c>
      <c r="H1351" s="8" t="s">
        <v>64</v>
      </c>
      <c r="I1351" s="24" t="n">
        <v>279.62</v>
      </c>
      <c r="J1351" s="25" t="n">
        <f aca="false">Summary!$B$4</f>
        <v>1</v>
      </c>
      <c r="K1351" s="11" t="n">
        <f aca="false">I1351*J1351*IF(A1351="SILVER",Summary!$B$5,Summary!$B$6)</f>
        <v>27962</v>
      </c>
      <c r="L1351" s="26" t="n">
        <v>0.087</v>
      </c>
      <c r="M1351" s="27" t="n">
        <f aca="false">IF(K1351&gt;0,1,0)</f>
        <v>1</v>
      </c>
      <c r="N1351" s="11" t="n">
        <f aca="false">SUMIFS(K$2:K1351,A$2:A1351,A1351,B$2:B1351,B1351)</f>
        <v>4006482</v>
      </c>
      <c r="O1351" s="11" t="n">
        <f aca="false">MAX(0,_xlfn.MAXIFS(N$2:N1351,A$2:A1351,A1351,B$2:B1351,B1351))</f>
        <v>4879044</v>
      </c>
      <c r="P1351" s="11" t="n">
        <f aca="false">N1351-O1351</f>
        <v>-872562</v>
      </c>
    </row>
    <row r="1352" customFormat="false" ht="15" hidden="false" customHeight="false" outlineLevel="0" collapsed="false">
      <c r="A1352" s="8" t="s">
        <v>45</v>
      </c>
      <c r="B1352" s="8" t="s">
        <v>37</v>
      </c>
      <c r="C1352" s="8" t="s">
        <v>60</v>
      </c>
      <c r="D1352" s="21" t="n">
        <v>46282.375</v>
      </c>
      <c r="E1352" s="21" t="n">
        <v>46287.5625</v>
      </c>
      <c r="F1352" s="22" t="n">
        <f aca="false">DATE(YEAR(E1352),MONTH(E1352),1)</f>
        <v>46266</v>
      </c>
      <c r="G1352" s="23" t="n">
        <v>150513</v>
      </c>
      <c r="H1352" s="8" t="s">
        <v>61</v>
      </c>
      <c r="I1352" s="24" t="n">
        <v>1311.52</v>
      </c>
      <c r="J1352" s="25" t="n">
        <f aca="false">Summary!$B$4</f>
        <v>1</v>
      </c>
      <c r="K1352" s="11" t="n">
        <f aca="false">I1352*J1352*IF(A1352="SILVER",Summary!$B$5,Summary!$B$6)</f>
        <v>131152</v>
      </c>
      <c r="L1352" s="26" t="n">
        <v>37.52</v>
      </c>
      <c r="M1352" s="27" t="n">
        <f aca="false">IF(K1352&gt;0,1,0)</f>
        <v>1</v>
      </c>
      <c r="N1352" s="11" t="n">
        <f aca="false">SUMIFS(K$2:K1352,A$2:A1352,A1352,B$2:B1352,B1352)</f>
        <v>4137634</v>
      </c>
      <c r="O1352" s="11" t="n">
        <f aca="false">MAX(0,_xlfn.MAXIFS(N$2:N1352,A$2:A1352,A1352,B$2:B1352,B1352))</f>
        <v>4879044</v>
      </c>
      <c r="P1352" s="11" t="n">
        <f aca="false">N1352-O1352</f>
        <v>-741410</v>
      </c>
    </row>
    <row r="1353" customFormat="false" ht="15" hidden="false" customHeight="false" outlineLevel="0" collapsed="false">
      <c r="A1353" s="8" t="s">
        <v>45</v>
      </c>
      <c r="B1353" s="8" t="s">
        <v>39</v>
      </c>
      <c r="C1353" s="8" t="s">
        <v>62</v>
      </c>
      <c r="D1353" s="21" t="n">
        <v>45688.9944444444</v>
      </c>
      <c r="E1353" s="21" t="n">
        <v>45689.5</v>
      </c>
      <c r="F1353" s="22" t="n">
        <f aca="false">DATE(YEAR(E1353),MONTH(E1353),1)</f>
        <v>45689</v>
      </c>
      <c r="G1353" s="23" t="n">
        <v>102113</v>
      </c>
      <c r="H1353" s="8" t="s">
        <v>61</v>
      </c>
      <c r="I1353" s="24" t="n">
        <v>-735.41</v>
      </c>
      <c r="J1353" s="25" t="n">
        <f aca="false">Summary!$B$4</f>
        <v>1</v>
      </c>
      <c r="K1353" s="11" t="n">
        <f aca="false">I1353*J1353*IF(A1353="SILVER",Summary!$B$5,Summary!$B$6)</f>
        <v>-73541</v>
      </c>
      <c r="L1353" s="26" t="n">
        <v>-1.394</v>
      </c>
      <c r="M1353" s="27" t="n">
        <f aca="false">IF(K1353&gt;0,1,0)</f>
        <v>0</v>
      </c>
      <c r="N1353" s="11" t="n">
        <f aca="false">SUMIFS(K$2:K1353,A$2:A1353,A1353,B$2:B1353,B1353)</f>
        <v>-73541</v>
      </c>
      <c r="O1353" s="11" t="n">
        <f aca="false">MAX(0,_xlfn.MAXIFS(N$2:N1353,A$2:A1353,A1353,B$2:B1353,B1353))</f>
        <v>0</v>
      </c>
      <c r="P1353" s="11" t="n">
        <f aca="false">N1353-O1353</f>
        <v>-73541</v>
      </c>
    </row>
    <row r="1354" customFormat="false" ht="15" hidden="false" customHeight="false" outlineLevel="0" collapsed="false">
      <c r="A1354" s="8" t="s">
        <v>45</v>
      </c>
      <c r="B1354" s="8" t="s">
        <v>39</v>
      </c>
      <c r="C1354" s="8" t="s">
        <v>62</v>
      </c>
      <c r="D1354" s="21" t="n">
        <v>45689.5173611111</v>
      </c>
      <c r="E1354" s="21" t="n">
        <v>45691.7555555556</v>
      </c>
      <c r="F1354" s="22" t="n">
        <f aca="false">DATE(YEAR(E1354),MONTH(E1354),1)</f>
        <v>45689</v>
      </c>
      <c r="G1354" s="23" t="n">
        <v>102222</v>
      </c>
      <c r="H1354" s="8" t="s">
        <v>61</v>
      </c>
      <c r="I1354" s="24" t="n">
        <v>-1325.43</v>
      </c>
      <c r="J1354" s="25" t="n">
        <f aca="false">Summary!$B$4</f>
        <v>1</v>
      </c>
      <c r="K1354" s="11" t="n">
        <f aca="false">I1354*J1354*IF(A1354="SILVER",Summary!$B$5,Summary!$B$6)</f>
        <v>-132543</v>
      </c>
      <c r="L1354" s="26" t="n">
        <v>-1.419</v>
      </c>
      <c r="M1354" s="27" t="n">
        <f aca="false">IF(K1354&gt;0,1,0)</f>
        <v>0</v>
      </c>
      <c r="N1354" s="11" t="n">
        <f aca="false">SUMIFS(K$2:K1354,A$2:A1354,A1354,B$2:B1354,B1354)</f>
        <v>-206084</v>
      </c>
      <c r="O1354" s="11" t="n">
        <f aca="false">MAX(0,_xlfn.MAXIFS(N$2:N1354,A$2:A1354,A1354,B$2:B1354,B1354))</f>
        <v>0</v>
      </c>
      <c r="P1354" s="11" t="n">
        <f aca="false">N1354-O1354</f>
        <v>-206084</v>
      </c>
    </row>
    <row r="1355" customFormat="false" ht="15" hidden="false" customHeight="false" outlineLevel="0" collapsed="false">
      <c r="A1355" s="8" t="s">
        <v>45</v>
      </c>
      <c r="B1355" s="8" t="s">
        <v>39</v>
      </c>
      <c r="C1355" s="8" t="s">
        <v>60</v>
      </c>
      <c r="D1355" s="21" t="n">
        <v>45695.8333333333</v>
      </c>
      <c r="E1355" s="21" t="n">
        <v>45695.9069444445</v>
      </c>
      <c r="F1355" s="22" t="n">
        <f aca="false">DATE(YEAR(E1355),MONTH(E1355),1)</f>
        <v>45689</v>
      </c>
      <c r="G1355" s="23" t="n">
        <v>105494</v>
      </c>
      <c r="H1355" s="8" t="s">
        <v>64</v>
      </c>
      <c r="I1355" s="24" t="n">
        <v>39.37</v>
      </c>
      <c r="J1355" s="25" t="n">
        <f aca="false">Summary!$B$4</f>
        <v>1</v>
      </c>
      <c r="K1355" s="11" t="n">
        <f aca="false">I1355*J1355*IF(A1355="SILVER",Summary!$B$5,Summary!$B$6)</f>
        <v>3937</v>
      </c>
      <c r="L1355" s="26" t="n">
        <v>0.059</v>
      </c>
      <c r="M1355" s="27" t="n">
        <f aca="false">IF(K1355&gt;0,1,0)</f>
        <v>1</v>
      </c>
      <c r="N1355" s="11" t="n">
        <f aca="false">SUMIFS(K$2:K1355,A$2:A1355,A1355,B$2:B1355,B1355)</f>
        <v>-202147</v>
      </c>
      <c r="O1355" s="11" t="n">
        <f aca="false">MAX(0,_xlfn.MAXIFS(N$2:N1355,A$2:A1355,A1355,B$2:B1355,B1355))</f>
        <v>0</v>
      </c>
      <c r="P1355" s="11" t="n">
        <f aca="false">N1355-O1355</f>
        <v>-202147</v>
      </c>
    </row>
    <row r="1356" customFormat="false" ht="15" hidden="false" customHeight="false" outlineLevel="0" collapsed="false">
      <c r="A1356" s="8" t="s">
        <v>45</v>
      </c>
      <c r="B1356" s="8" t="s">
        <v>39</v>
      </c>
      <c r="C1356" s="8" t="s">
        <v>60</v>
      </c>
      <c r="D1356" s="21" t="n">
        <v>45700.8333333333</v>
      </c>
      <c r="E1356" s="21" t="n">
        <v>45702.8020833333</v>
      </c>
      <c r="F1356" s="22" t="n">
        <f aca="false">DATE(YEAR(E1356),MONTH(E1356),1)</f>
        <v>45689</v>
      </c>
      <c r="G1356" s="23" t="n">
        <v>105912</v>
      </c>
      <c r="H1356" s="8" t="s">
        <v>61</v>
      </c>
      <c r="I1356" s="24" t="n">
        <v>237.9</v>
      </c>
      <c r="J1356" s="25" t="n">
        <f aca="false">Summary!$B$4</f>
        <v>1</v>
      </c>
      <c r="K1356" s="11" t="n">
        <f aca="false">I1356*J1356*IF(A1356="SILVER",Summary!$B$5,Summary!$B$6)</f>
        <v>23790</v>
      </c>
      <c r="L1356" s="26" t="n">
        <v>0.278</v>
      </c>
      <c r="M1356" s="27" t="n">
        <f aca="false">IF(K1356&gt;0,1,0)</f>
        <v>1</v>
      </c>
      <c r="N1356" s="11" t="n">
        <f aca="false">SUMIFS(K$2:K1356,A$2:A1356,A1356,B$2:B1356,B1356)</f>
        <v>-178357</v>
      </c>
      <c r="O1356" s="11" t="n">
        <f aca="false">MAX(0,_xlfn.MAXIFS(N$2:N1356,A$2:A1356,A1356,B$2:B1356,B1356))</f>
        <v>0</v>
      </c>
      <c r="P1356" s="11" t="n">
        <f aca="false">N1356-O1356</f>
        <v>-178357</v>
      </c>
    </row>
    <row r="1357" customFormat="false" ht="15" hidden="false" customHeight="false" outlineLevel="0" collapsed="false">
      <c r="A1357" s="8" t="s">
        <v>45</v>
      </c>
      <c r="B1357" s="8" t="s">
        <v>39</v>
      </c>
      <c r="C1357" s="8" t="s">
        <v>60</v>
      </c>
      <c r="D1357" s="21" t="n">
        <v>45706.4479166667</v>
      </c>
      <c r="E1357" s="21" t="n">
        <v>45707.8958333333</v>
      </c>
      <c r="F1357" s="22" t="n">
        <f aca="false">DATE(YEAR(E1357),MONTH(E1357),1)</f>
        <v>45689</v>
      </c>
      <c r="G1357" s="23" t="n">
        <v>106078</v>
      </c>
      <c r="H1357" s="8" t="s">
        <v>61</v>
      </c>
      <c r="I1357" s="24" t="n">
        <v>456.85</v>
      </c>
      <c r="J1357" s="25" t="n">
        <f aca="false">Summary!$B$4</f>
        <v>1</v>
      </c>
      <c r="K1357" s="11" t="n">
        <f aca="false">I1357*J1357*IF(A1357="SILVER",Summary!$B$5,Summary!$B$6)</f>
        <v>45685</v>
      </c>
      <c r="L1357" s="26" t="n">
        <v>0.93</v>
      </c>
      <c r="M1357" s="27" t="n">
        <f aca="false">IF(K1357&gt;0,1,0)</f>
        <v>1</v>
      </c>
      <c r="N1357" s="11" t="n">
        <f aca="false">SUMIFS(K$2:K1357,A$2:A1357,A1357,B$2:B1357,B1357)</f>
        <v>-132672</v>
      </c>
      <c r="O1357" s="11" t="n">
        <f aca="false">MAX(0,_xlfn.MAXIFS(N$2:N1357,A$2:A1357,A1357,B$2:B1357,B1357))</f>
        <v>0</v>
      </c>
      <c r="P1357" s="11" t="n">
        <f aca="false">N1357-O1357</f>
        <v>-132672</v>
      </c>
    </row>
    <row r="1358" customFormat="false" ht="15" hidden="false" customHeight="false" outlineLevel="0" collapsed="false">
      <c r="A1358" s="8" t="s">
        <v>45</v>
      </c>
      <c r="B1358" s="8" t="s">
        <v>39</v>
      </c>
      <c r="C1358" s="8" t="s">
        <v>60</v>
      </c>
      <c r="D1358" s="21" t="n">
        <v>45712.5729166667</v>
      </c>
      <c r="E1358" s="21" t="n">
        <v>45712.8291666667</v>
      </c>
      <c r="F1358" s="22" t="n">
        <f aca="false">DATE(YEAR(E1358),MONTH(E1358),1)</f>
        <v>45689</v>
      </c>
      <c r="G1358" s="23" t="n">
        <v>106792</v>
      </c>
      <c r="H1358" s="8" t="s">
        <v>64</v>
      </c>
      <c r="I1358" s="24" t="n">
        <v>21.39</v>
      </c>
      <c r="J1358" s="25" t="n">
        <f aca="false">Summary!$B$4</f>
        <v>1</v>
      </c>
      <c r="K1358" s="11" t="n">
        <f aca="false">I1358*J1358*IF(A1358="SILVER",Summary!$B$5,Summary!$B$6)</f>
        <v>2139</v>
      </c>
      <c r="L1358" s="26" t="n">
        <v>0.044</v>
      </c>
      <c r="M1358" s="27" t="n">
        <f aca="false">IF(K1358&gt;0,1,0)</f>
        <v>1</v>
      </c>
      <c r="N1358" s="11" t="n">
        <f aca="false">SUMIFS(K$2:K1358,A$2:A1358,A1358,B$2:B1358,B1358)</f>
        <v>-130533</v>
      </c>
      <c r="O1358" s="11" t="n">
        <f aca="false">MAX(0,_xlfn.MAXIFS(N$2:N1358,A$2:A1358,A1358,B$2:B1358,B1358))</f>
        <v>0</v>
      </c>
      <c r="P1358" s="11" t="n">
        <f aca="false">N1358-O1358</f>
        <v>-130533</v>
      </c>
    </row>
    <row r="1359" customFormat="false" ht="15" hidden="false" customHeight="false" outlineLevel="0" collapsed="false">
      <c r="A1359" s="8" t="s">
        <v>45</v>
      </c>
      <c r="B1359" s="8" t="s">
        <v>39</v>
      </c>
      <c r="C1359" s="8" t="s">
        <v>60</v>
      </c>
      <c r="D1359" s="21" t="n">
        <v>45719.625</v>
      </c>
      <c r="E1359" s="21" t="n">
        <v>45721.8020833333</v>
      </c>
      <c r="F1359" s="22" t="n">
        <f aca="false">DATE(YEAR(E1359),MONTH(E1359),1)</f>
        <v>45717</v>
      </c>
      <c r="G1359" s="23" t="n">
        <v>105418</v>
      </c>
      <c r="H1359" s="8" t="s">
        <v>61</v>
      </c>
      <c r="I1359" s="24" t="n">
        <v>689.96</v>
      </c>
      <c r="J1359" s="25" t="n">
        <f aca="false">Summary!$B$4</f>
        <v>1</v>
      </c>
      <c r="K1359" s="11" t="n">
        <f aca="false">I1359*J1359*IF(A1359="SILVER",Summary!$B$5,Summary!$B$6)</f>
        <v>68996</v>
      </c>
      <c r="L1359" s="26" t="n">
        <v>1.279</v>
      </c>
      <c r="M1359" s="27" t="n">
        <f aca="false">IF(K1359&gt;0,1,0)</f>
        <v>1</v>
      </c>
      <c r="N1359" s="11" t="n">
        <f aca="false">SUMIFS(K$2:K1359,A$2:A1359,A1359,B$2:B1359,B1359)</f>
        <v>-61537</v>
      </c>
      <c r="O1359" s="11" t="n">
        <f aca="false">MAX(0,_xlfn.MAXIFS(N$2:N1359,A$2:A1359,A1359,B$2:B1359,B1359))</f>
        <v>0</v>
      </c>
      <c r="P1359" s="11" t="n">
        <f aca="false">N1359-O1359</f>
        <v>-61537</v>
      </c>
    </row>
    <row r="1360" customFormat="false" ht="15" hidden="false" customHeight="false" outlineLevel="0" collapsed="false">
      <c r="A1360" s="8" t="s">
        <v>45</v>
      </c>
      <c r="B1360" s="8" t="s">
        <v>39</v>
      </c>
      <c r="C1360" s="8" t="s">
        <v>60</v>
      </c>
      <c r="D1360" s="21" t="n">
        <v>45723.8541666667</v>
      </c>
      <c r="E1360" s="21" t="n">
        <v>45726.96875</v>
      </c>
      <c r="F1360" s="22" t="n">
        <f aca="false">DATE(YEAR(E1360),MONTH(E1360),1)</f>
        <v>45717</v>
      </c>
      <c r="G1360" s="23" t="n">
        <v>106850</v>
      </c>
      <c r="H1360" s="8" t="s">
        <v>61</v>
      </c>
      <c r="I1360" s="24" t="n">
        <v>-950.16</v>
      </c>
      <c r="J1360" s="25" t="n">
        <f aca="false">Summary!$B$4</f>
        <v>1</v>
      </c>
      <c r="K1360" s="11" t="n">
        <f aca="false">I1360*J1360*IF(A1360="SILVER",Summary!$B$5,Summary!$B$6)</f>
        <v>-95016</v>
      </c>
      <c r="L1360" s="26" t="n">
        <v>-1.326</v>
      </c>
      <c r="M1360" s="27" t="n">
        <f aca="false">IF(K1360&gt;0,1,0)</f>
        <v>0</v>
      </c>
      <c r="N1360" s="11" t="n">
        <f aca="false">SUMIFS(K$2:K1360,A$2:A1360,A1360,B$2:B1360,B1360)</f>
        <v>-156553</v>
      </c>
      <c r="O1360" s="11" t="n">
        <f aca="false">MAX(0,_xlfn.MAXIFS(N$2:N1360,A$2:A1360,A1360,B$2:B1360,B1360))</f>
        <v>0</v>
      </c>
      <c r="P1360" s="11" t="n">
        <f aca="false">N1360-O1360</f>
        <v>-156553</v>
      </c>
    </row>
    <row r="1361" customFormat="false" ht="15" hidden="false" customHeight="false" outlineLevel="0" collapsed="false">
      <c r="A1361" s="8" t="s">
        <v>45</v>
      </c>
      <c r="B1361" s="8" t="s">
        <v>39</v>
      </c>
      <c r="C1361" s="8" t="s">
        <v>60</v>
      </c>
      <c r="D1361" s="21" t="n">
        <v>45727.8020833333</v>
      </c>
      <c r="E1361" s="21" t="n">
        <v>45735.8020833333</v>
      </c>
      <c r="F1361" s="22" t="n">
        <f aca="false">DATE(YEAR(E1361),MONTH(E1361),1)</f>
        <v>45717</v>
      </c>
      <c r="G1361" s="23" t="n">
        <v>106712</v>
      </c>
      <c r="H1361" s="8" t="s">
        <v>61</v>
      </c>
      <c r="I1361" s="24" t="n">
        <v>2312.54</v>
      </c>
      <c r="J1361" s="25" t="n">
        <f aca="false">Summary!$B$4</f>
        <v>1</v>
      </c>
      <c r="K1361" s="11" t="n">
        <f aca="false">I1361*J1361*IF(A1361="SILVER",Summary!$B$5,Summary!$B$6)</f>
        <v>231254</v>
      </c>
      <c r="L1361" s="26" t="n">
        <v>4.034</v>
      </c>
      <c r="M1361" s="27" t="n">
        <f aca="false">IF(K1361&gt;0,1,0)</f>
        <v>1</v>
      </c>
      <c r="N1361" s="11" t="n">
        <f aca="false">SUMIFS(K$2:K1361,A$2:A1361,A1361,B$2:B1361,B1361)</f>
        <v>74701</v>
      </c>
      <c r="O1361" s="11" t="n">
        <f aca="false">MAX(0,_xlfn.MAXIFS(N$2:N1361,A$2:A1361,A1361,B$2:B1361,B1361))</f>
        <v>74701</v>
      </c>
      <c r="P1361" s="11" t="n">
        <f aca="false">N1361-O1361</f>
        <v>0</v>
      </c>
    </row>
    <row r="1362" customFormat="false" ht="15" hidden="false" customHeight="false" outlineLevel="0" collapsed="false">
      <c r="A1362" s="8" t="s">
        <v>45</v>
      </c>
      <c r="B1362" s="8" t="s">
        <v>39</v>
      </c>
      <c r="C1362" s="8" t="s">
        <v>60</v>
      </c>
      <c r="D1362" s="21" t="n">
        <v>45736.4270833333</v>
      </c>
      <c r="E1362" s="21" t="n">
        <v>45736.6666666667</v>
      </c>
      <c r="F1362" s="22" t="n">
        <f aca="false">DATE(YEAR(E1362),MONTH(E1362),1)</f>
        <v>45717</v>
      </c>
      <c r="G1362" s="23" t="n">
        <v>109616</v>
      </c>
      <c r="H1362" s="8" t="s">
        <v>61</v>
      </c>
      <c r="I1362" s="24" t="n">
        <v>-596.75</v>
      </c>
      <c r="J1362" s="25" t="n">
        <f aca="false">Summary!$B$4</f>
        <v>1</v>
      </c>
      <c r="K1362" s="11" t="n">
        <f aca="false">I1362*J1362*IF(A1362="SILVER",Summary!$B$5,Summary!$B$6)</f>
        <v>-59675</v>
      </c>
      <c r="L1362" s="26" t="n">
        <v>-1.143</v>
      </c>
      <c r="M1362" s="27" t="n">
        <f aca="false">IF(K1362&gt;0,1,0)</f>
        <v>0</v>
      </c>
      <c r="N1362" s="11" t="n">
        <f aca="false">SUMIFS(K$2:K1362,A$2:A1362,A1362,B$2:B1362,B1362)</f>
        <v>15026</v>
      </c>
      <c r="O1362" s="11" t="n">
        <f aca="false">MAX(0,_xlfn.MAXIFS(N$2:N1362,A$2:A1362,A1362,B$2:B1362,B1362))</f>
        <v>74701</v>
      </c>
      <c r="P1362" s="11" t="n">
        <f aca="false">N1362-O1362</f>
        <v>-59675</v>
      </c>
    </row>
    <row r="1363" customFormat="false" ht="15" hidden="false" customHeight="false" outlineLevel="0" collapsed="false">
      <c r="A1363" s="8" t="s">
        <v>45</v>
      </c>
      <c r="B1363" s="8" t="s">
        <v>39</v>
      </c>
      <c r="C1363" s="8" t="s">
        <v>60</v>
      </c>
      <c r="D1363" s="21" t="n">
        <v>45741.8020833333</v>
      </c>
      <c r="E1363" s="21" t="n">
        <v>45743.4965277778</v>
      </c>
      <c r="F1363" s="22" t="n">
        <f aca="false">DATE(YEAR(E1363),MONTH(E1363),1)</f>
        <v>45717</v>
      </c>
      <c r="G1363" s="23" t="n">
        <v>108396</v>
      </c>
      <c r="H1363" s="8" t="s">
        <v>64</v>
      </c>
      <c r="I1363" s="24" t="n">
        <v>22.5</v>
      </c>
      <c r="J1363" s="25" t="n">
        <f aca="false">Summary!$B$4</f>
        <v>1</v>
      </c>
      <c r="K1363" s="11" t="n">
        <f aca="false">I1363*J1363*IF(A1363="SILVER",Summary!$B$5,Summary!$B$6)</f>
        <v>2250</v>
      </c>
      <c r="L1363" s="26" t="n">
        <v>0.045</v>
      </c>
      <c r="M1363" s="27" t="n">
        <f aca="false">IF(K1363&gt;0,1,0)</f>
        <v>1</v>
      </c>
      <c r="N1363" s="11" t="n">
        <f aca="false">SUMIFS(K$2:K1363,A$2:A1363,A1363,B$2:B1363,B1363)</f>
        <v>17276</v>
      </c>
      <c r="O1363" s="11" t="n">
        <f aca="false">MAX(0,_xlfn.MAXIFS(N$2:N1363,A$2:A1363,A1363,B$2:B1363,B1363))</f>
        <v>74701</v>
      </c>
      <c r="P1363" s="11" t="n">
        <f aca="false">N1363-O1363</f>
        <v>-57425</v>
      </c>
    </row>
    <row r="1364" customFormat="false" ht="15" hidden="false" customHeight="false" outlineLevel="0" collapsed="false">
      <c r="A1364" s="8" t="s">
        <v>45</v>
      </c>
      <c r="B1364" s="8" t="s">
        <v>39</v>
      </c>
      <c r="C1364" s="8" t="s">
        <v>60</v>
      </c>
      <c r="D1364" s="21" t="n">
        <v>45749.3909722222</v>
      </c>
      <c r="E1364" s="21" t="n">
        <v>45750.5027777778</v>
      </c>
      <c r="F1364" s="22" t="n">
        <f aca="false">DATE(YEAR(E1364),MONTH(E1364),1)</f>
        <v>45748</v>
      </c>
      <c r="G1364" s="23" t="n">
        <v>111414</v>
      </c>
      <c r="H1364" s="8" t="s">
        <v>64</v>
      </c>
      <c r="I1364" s="24" t="n">
        <v>19.8</v>
      </c>
      <c r="J1364" s="25" t="n">
        <f aca="false">Summary!$B$4</f>
        <v>1</v>
      </c>
      <c r="K1364" s="11" t="n">
        <f aca="false">I1364*J1364*IF(A1364="SILVER",Summary!$B$5,Summary!$B$6)</f>
        <v>1980</v>
      </c>
      <c r="L1364" s="26" t="n">
        <v>0.036</v>
      </c>
      <c r="M1364" s="27" t="n">
        <f aca="false">IF(K1364&gt;0,1,0)</f>
        <v>1</v>
      </c>
      <c r="N1364" s="11" t="n">
        <f aca="false">SUMIFS(K$2:K1364,A$2:A1364,A1364,B$2:B1364,B1364)</f>
        <v>19256</v>
      </c>
      <c r="O1364" s="11" t="n">
        <f aca="false">MAX(0,_xlfn.MAXIFS(N$2:N1364,A$2:A1364,A1364,B$2:B1364,B1364))</f>
        <v>74701</v>
      </c>
      <c r="P1364" s="11" t="n">
        <f aca="false">N1364-O1364</f>
        <v>-55445</v>
      </c>
    </row>
    <row r="1365" customFormat="false" ht="15" hidden="false" customHeight="false" outlineLevel="0" collapsed="false">
      <c r="A1365" s="8" t="s">
        <v>45</v>
      </c>
      <c r="B1365" s="8" t="s">
        <v>39</v>
      </c>
      <c r="C1365" s="8" t="s">
        <v>60</v>
      </c>
      <c r="D1365" s="21" t="n">
        <v>45750.8618055556</v>
      </c>
      <c r="E1365" s="21" t="n">
        <v>45751.8173611111</v>
      </c>
      <c r="F1365" s="22" t="n">
        <f aca="false">DATE(YEAR(E1365),MONTH(E1365),1)</f>
        <v>45748</v>
      </c>
      <c r="G1365" s="23" t="n">
        <v>111162</v>
      </c>
      <c r="H1365" s="8" t="s">
        <v>61</v>
      </c>
      <c r="I1365" s="24" t="n">
        <v>-1827.97</v>
      </c>
      <c r="J1365" s="25" t="n">
        <f aca="false">Summary!$B$4</f>
        <v>1</v>
      </c>
      <c r="K1365" s="11" t="n">
        <f aca="false">I1365*J1365*IF(A1365="SILVER",Summary!$B$5,Summary!$B$6)</f>
        <v>-182797</v>
      </c>
      <c r="L1365" s="26" t="n">
        <v>-1.368</v>
      </c>
      <c r="M1365" s="27" t="n">
        <f aca="false">IF(K1365&gt;0,1,0)</f>
        <v>0</v>
      </c>
      <c r="N1365" s="11" t="n">
        <f aca="false">SUMIFS(K$2:K1365,A$2:A1365,A1365,B$2:B1365,B1365)</f>
        <v>-163541</v>
      </c>
      <c r="O1365" s="11" t="n">
        <f aca="false">MAX(0,_xlfn.MAXIFS(N$2:N1365,A$2:A1365,A1365,B$2:B1365,B1365))</f>
        <v>74701</v>
      </c>
      <c r="P1365" s="11" t="n">
        <f aca="false">N1365-O1365</f>
        <v>-238242</v>
      </c>
    </row>
    <row r="1366" customFormat="false" ht="15" hidden="false" customHeight="false" outlineLevel="0" collapsed="false">
      <c r="A1366" s="8" t="s">
        <v>45</v>
      </c>
      <c r="B1366" s="8" t="s">
        <v>39</v>
      </c>
      <c r="C1366" s="8" t="s">
        <v>60</v>
      </c>
      <c r="D1366" s="21" t="n">
        <v>45756.4375</v>
      </c>
      <c r="E1366" s="21" t="n">
        <v>45764.8125</v>
      </c>
      <c r="F1366" s="22" t="n">
        <f aca="false">DATE(YEAR(E1366),MONTH(E1366),1)</f>
        <v>45748</v>
      </c>
      <c r="G1366" s="23" t="n">
        <v>109763</v>
      </c>
      <c r="H1366" s="8" t="s">
        <v>61</v>
      </c>
      <c r="I1366" s="24" t="n">
        <v>6244.65</v>
      </c>
      <c r="J1366" s="25" t="n">
        <f aca="false">Summary!$B$4</f>
        <v>1</v>
      </c>
      <c r="K1366" s="11" t="n">
        <f aca="false">I1366*J1366*IF(A1366="SILVER",Summary!$B$5,Summary!$B$6)</f>
        <v>624465</v>
      </c>
      <c r="L1366" s="26" t="n">
        <v>5.333</v>
      </c>
      <c r="M1366" s="27" t="n">
        <f aca="false">IF(K1366&gt;0,1,0)</f>
        <v>1</v>
      </c>
      <c r="N1366" s="11" t="n">
        <f aca="false">SUMIFS(K$2:K1366,A$2:A1366,A1366,B$2:B1366,B1366)</f>
        <v>460924</v>
      </c>
      <c r="O1366" s="11" t="n">
        <f aca="false">MAX(0,_xlfn.MAXIFS(N$2:N1366,A$2:A1366,A1366,B$2:B1366,B1366))</f>
        <v>460924</v>
      </c>
      <c r="P1366" s="11" t="n">
        <f aca="false">N1366-O1366</f>
        <v>0</v>
      </c>
    </row>
    <row r="1367" customFormat="false" ht="15" hidden="false" customHeight="false" outlineLevel="0" collapsed="false">
      <c r="A1367" s="8" t="s">
        <v>45</v>
      </c>
      <c r="B1367" s="8" t="s">
        <v>39</v>
      </c>
      <c r="C1367" s="8" t="s">
        <v>60</v>
      </c>
      <c r="D1367" s="21" t="n">
        <v>45768.3854166667</v>
      </c>
      <c r="E1367" s="21" t="n">
        <v>45769.7708333333</v>
      </c>
      <c r="F1367" s="22" t="n">
        <f aca="false">DATE(YEAR(E1367),MONTH(E1367),1)</f>
        <v>45748</v>
      </c>
      <c r="G1367" s="23" t="n">
        <v>117608</v>
      </c>
      <c r="H1367" s="8" t="s">
        <v>61</v>
      </c>
      <c r="I1367" s="24" t="n">
        <v>1387.57</v>
      </c>
      <c r="J1367" s="25" t="n">
        <f aca="false">Summary!$B$4</f>
        <v>1</v>
      </c>
      <c r="K1367" s="11" t="n">
        <f aca="false">I1367*J1367*IF(A1367="SILVER",Summary!$B$5,Summary!$B$6)</f>
        <v>138757</v>
      </c>
      <c r="L1367" s="26" t="n">
        <v>1.011</v>
      </c>
      <c r="M1367" s="27" t="n">
        <f aca="false">IF(K1367&gt;0,1,0)</f>
        <v>1</v>
      </c>
      <c r="N1367" s="11" t="n">
        <f aca="false">SUMIFS(K$2:K1367,A$2:A1367,A1367,B$2:B1367,B1367)</f>
        <v>599681</v>
      </c>
      <c r="O1367" s="11" t="n">
        <f aca="false">MAX(0,_xlfn.MAXIFS(N$2:N1367,A$2:A1367,A1367,B$2:B1367,B1367))</f>
        <v>599681</v>
      </c>
      <c r="P1367" s="11" t="n">
        <f aca="false">N1367-O1367</f>
        <v>0</v>
      </c>
    </row>
    <row r="1368" customFormat="false" ht="15" hidden="false" customHeight="false" outlineLevel="0" collapsed="false">
      <c r="A1368" s="8" t="s">
        <v>45</v>
      </c>
      <c r="B1368" s="8" t="s">
        <v>39</v>
      </c>
      <c r="C1368" s="8" t="s">
        <v>60</v>
      </c>
      <c r="D1368" s="21" t="n">
        <v>45775.8333333333</v>
      </c>
      <c r="E1368" s="21" t="n">
        <v>45775.8826388889</v>
      </c>
      <c r="F1368" s="22" t="n">
        <f aca="false">DATE(YEAR(E1368),MONTH(E1368),1)</f>
        <v>45748</v>
      </c>
      <c r="G1368" s="23" t="n">
        <v>116408</v>
      </c>
      <c r="H1368" s="8" t="s">
        <v>64</v>
      </c>
      <c r="I1368" s="24" t="n">
        <v>86.55</v>
      </c>
      <c r="J1368" s="25" t="n">
        <f aca="false">Summary!$B$4</f>
        <v>1</v>
      </c>
      <c r="K1368" s="11" t="n">
        <f aca="false">I1368*J1368*IF(A1368="SILVER",Summary!$B$5,Summary!$B$6)</f>
        <v>8655</v>
      </c>
      <c r="L1368" s="26" t="n">
        <v>0.075</v>
      </c>
      <c r="M1368" s="27" t="n">
        <f aca="false">IF(K1368&gt;0,1,0)</f>
        <v>1</v>
      </c>
      <c r="N1368" s="11" t="n">
        <f aca="false">SUMIFS(K$2:K1368,A$2:A1368,A1368,B$2:B1368,B1368)</f>
        <v>608336</v>
      </c>
      <c r="O1368" s="11" t="n">
        <f aca="false">MAX(0,_xlfn.MAXIFS(N$2:N1368,A$2:A1368,A1368,B$2:B1368,B1368))</f>
        <v>608336</v>
      </c>
      <c r="P1368" s="11" t="n">
        <f aca="false">N1368-O1368</f>
        <v>0</v>
      </c>
    </row>
    <row r="1369" customFormat="false" ht="15" hidden="false" customHeight="false" outlineLevel="0" collapsed="false">
      <c r="A1369" s="8" t="s">
        <v>45</v>
      </c>
      <c r="B1369" s="8" t="s">
        <v>39</v>
      </c>
      <c r="C1369" s="8" t="s">
        <v>60</v>
      </c>
      <c r="D1369" s="21" t="n">
        <v>45777.8020833333</v>
      </c>
      <c r="E1369" s="21" t="n">
        <v>45778.7090277778</v>
      </c>
      <c r="F1369" s="22" t="n">
        <f aca="false">DATE(YEAR(E1369),MONTH(E1369),1)</f>
        <v>45778</v>
      </c>
      <c r="G1369" s="23" t="n">
        <v>116032</v>
      </c>
      <c r="H1369" s="8" t="s">
        <v>64</v>
      </c>
      <c r="I1369" s="24" t="n">
        <v>-2358.72</v>
      </c>
      <c r="J1369" s="25" t="n">
        <f aca="false">Summary!$B$4</f>
        <v>1</v>
      </c>
      <c r="K1369" s="11" t="n">
        <f aca="false">I1369*J1369*IF(A1369="SILVER",Summary!$B$5,Summary!$B$6)</f>
        <v>-235872</v>
      </c>
      <c r="L1369" s="26" t="n">
        <v>-1.956</v>
      </c>
      <c r="M1369" s="27" t="n">
        <f aca="false">IF(K1369&gt;0,1,0)</f>
        <v>0</v>
      </c>
      <c r="N1369" s="11" t="n">
        <f aca="false">SUMIFS(K$2:K1369,A$2:A1369,A1369,B$2:B1369,B1369)</f>
        <v>372464</v>
      </c>
      <c r="O1369" s="11" t="n">
        <f aca="false">MAX(0,_xlfn.MAXIFS(N$2:N1369,A$2:A1369,A1369,B$2:B1369,B1369))</f>
        <v>608336</v>
      </c>
      <c r="P1369" s="11" t="n">
        <f aca="false">N1369-O1369</f>
        <v>-235872</v>
      </c>
    </row>
    <row r="1370" customFormat="false" ht="15" hidden="false" customHeight="false" outlineLevel="0" collapsed="false">
      <c r="A1370" s="8" t="s">
        <v>45</v>
      </c>
      <c r="B1370" s="8" t="s">
        <v>39</v>
      </c>
      <c r="C1370" s="8" t="s">
        <v>60</v>
      </c>
      <c r="D1370" s="21" t="n">
        <v>45782.6041666667</v>
      </c>
      <c r="E1370" s="21" t="n">
        <v>45784.3854166667</v>
      </c>
      <c r="F1370" s="22" t="n">
        <f aca="false">DATE(YEAR(E1370),MONTH(E1370),1)</f>
        <v>45778</v>
      </c>
      <c r="G1370" s="23" t="n">
        <v>114993</v>
      </c>
      <c r="H1370" s="8" t="s">
        <v>61</v>
      </c>
      <c r="I1370" s="24" t="n">
        <v>2704.96</v>
      </c>
      <c r="J1370" s="25" t="n">
        <f aca="false">Summary!$B$4</f>
        <v>1</v>
      </c>
      <c r="K1370" s="11" t="n">
        <f aca="false">I1370*J1370*IF(A1370="SILVER",Summary!$B$5,Summary!$B$6)</f>
        <v>270496</v>
      </c>
      <c r="L1370" s="26" t="n">
        <v>2.421</v>
      </c>
      <c r="M1370" s="27" t="n">
        <f aca="false">IF(K1370&gt;0,1,0)</f>
        <v>1</v>
      </c>
      <c r="N1370" s="11" t="n">
        <f aca="false">SUMIFS(K$2:K1370,A$2:A1370,A1370,B$2:B1370,B1370)</f>
        <v>642960</v>
      </c>
      <c r="O1370" s="11" t="n">
        <f aca="false">MAX(0,_xlfn.MAXIFS(N$2:N1370,A$2:A1370,A1370,B$2:B1370,B1370))</f>
        <v>642960</v>
      </c>
      <c r="P1370" s="11" t="n">
        <f aca="false">N1370-O1370</f>
        <v>0</v>
      </c>
    </row>
    <row r="1371" customFormat="false" ht="15" hidden="false" customHeight="false" outlineLevel="0" collapsed="false">
      <c r="A1371" s="8" t="s">
        <v>45</v>
      </c>
      <c r="B1371" s="8" t="s">
        <v>39</v>
      </c>
      <c r="C1371" s="8" t="s">
        <v>60</v>
      </c>
      <c r="D1371" s="21" t="n">
        <v>45785.6666666667</v>
      </c>
      <c r="E1371" s="21" t="n">
        <v>45786.3854166667</v>
      </c>
      <c r="F1371" s="22" t="n">
        <f aca="false">DATE(YEAR(E1371),MONTH(E1371),1)</f>
        <v>45778</v>
      </c>
      <c r="G1371" s="23" t="n">
        <v>118032</v>
      </c>
      <c r="H1371" s="8" t="s">
        <v>61</v>
      </c>
      <c r="I1371" s="24" t="n">
        <v>-946.28</v>
      </c>
      <c r="J1371" s="25" t="n">
        <f aca="false">Summary!$B$4</f>
        <v>1</v>
      </c>
      <c r="K1371" s="11" t="n">
        <f aca="false">I1371*J1371*IF(A1371="SILVER",Summary!$B$5,Summary!$B$6)</f>
        <v>-94628</v>
      </c>
      <c r="L1371" s="26" t="n">
        <v>-0.68</v>
      </c>
      <c r="M1371" s="27" t="n">
        <f aca="false">IF(K1371&gt;0,1,0)</f>
        <v>0</v>
      </c>
      <c r="N1371" s="11" t="n">
        <f aca="false">SUMIFS(K$2:K1371,A$2:A1371,A1371,B$2:B1371,B1371)</f>
        <v>548332</v>
      </c>
      <c r="O1371" s="11" t="n">
        <f aca="false">MAX(0,_xlfn.MAXIFS(N$2:N1371,A$2:A1371,A1371,B$2:B1371,B1371))</f>
        <v>642960</v>
      </c>
      <c r="P1371" s="11" t="n">
        <f aca="false">N1371-O1371</f>
        <v>-94628</v>
      </c>
    </row>
    <row r="1372" customFormat="false" ht="15" hidden="false" customHeight="false" outlineLevel="0" collapsed="false">
      <c r="A1372" s="8" t="s">
        <v>45</v>
      </c>
      <c r="B1372" s="8" t="s">
        <v>39</v>
      </c>
      <c r="C1372" s="8" t="s">
        <v>60</v>
      </c>
      <c r="D1372" s="21" t="n">
        <v>45790.5625</v>
      </c>
      <c r="E1372" s="21" t="n">
        <v>45791.3958333333</v>
      </c>
      <c r="F1372" s="22" t="n">
        <f aca="false">DATE(YEAR(E1372),MONTH(E1372),1)</f>
        <v>45778</v>
      </c>
      <c r="G1372" s="23" t="n">
        <v>115127</v>
      </c>
      <c r="H1372" s="8" t="s">
        <v>61</v>
      </c>
      <c r="I1372" s="24" t="n">
        <v>-803.71</v>
      </c>
      <c r="J1372" s="25" t="n">
        <f aca="false">Summary!$B$4</f>
        <v>1</v>
      </c>
      <c r="K1372" s="11" t="n">
        <f aca="false">I1372*J1372*IF(A1372="SILVER",Summary!$B$5,Summary!$B$6)</f>
        <v>-80371</v>
      </c>
      <c r="L1372" s="26" t="n">
        <v>-0.736</v>
      </c>
      <c r="M1372" s="27" t="n">
        <f aca="false">IF(K1372&gt;0,1,0)</f>
        <v>0</v>
      </c>
      <c r="N1372" s="11" t="n">
        <f aca="false">SUMIFS(K$2:K1372,A$2:A1372,A1372,B$2:B1372,B1372)</f>
        <v>467961</v>
      </c>
      <c r="O1372" s="11" t="n">
        <f aca="false">MAX(0,_xlfn.MAXIFS(N$2:N1372,A$2:A1372,A1372,B$2:B1372,B1372))</f>
        <v>642960</v>
      </c>
      <c r="P1372" s="11" t="n">
        <f aca="false">N1372-O1372</f>
        <v>-174999</v>
      </c>
    </row>
    <row r="1373" customFormat="false" ht="15" hidden="false" customHeight="false" outlineLevel="0" collapsed="false">
      <c r="A1373" s="8" t="s">
        <v>45</v>
      </c>
      <c r="B1373" s="8" t="s">
        <v>39</v>
      </c>
      <c r="C1373" s="8" t="s">
        <v>60</v>
      </c>
      <c r="D1373" s="21" t="n">
        <v>45792.7395833333</v>
      </c>
      <c r="E1373" s="21" t="n">
        <v>45793.68125</v>
      </c>
      <c r="F1373" s="22" t="n">
        <f aca="false">DATE(YEAR(E1373),MONTH(E1373),1)</f>
        <v>45778</v>
      </c>
      <c r="G1373" s="23" t="n">
        <v>113303</v>
      </c>
      <c r="H1373" s="8" t="s">
        <v>64</v>
      </c>
      <c r="I1373" s="24" t="n">
        <v>76.56</v>
      </c>
      <c r="J1373" s="25" t="n">
        <f aca="false">Summary!$B$4</f>
        <v>1</v>
      </c>
      <c r="K1373" s="11" t="n">
        <f aca="false">I1373*J1373*IF(A1373="SILVER",Summary!$B$5,Summary!$B$6)</f>
        <v>7656</v>
      </c>
      <c r="L1373" s="26" t="n">
        <v>0.073</v>
      </c>
      <c r="M1373" s="27" t="n">
        <f aca="false">IF(K1373&gt;0,1,0)</f>
        <v>1</v>
      </c>
      <c r="N1373" s="11" t="n">
        <f aca="false">SUMIFS(K$2:K1373,A$2:A1373,A1373,B$2:B1373,B1373)</f>
        <v>475617</v>
      </c>
      <c r="O1373" s="11" t="n">
        <f aca="false">MAX(0,_xlfn.MAXIFS(N$2:N1373,A$2:A1373,A1373,B$2:B1373,B1373))</f>
        <v>642960</v>
      </c>
      <c r="P1373" s="11" t="n">
        <f aca="false">N1373-O1373</f>
        <v>-167343</v>
      </c>
    </row>
    <row r="1374" customFormat="false" ht="15" hidden="false" customHeight="false" outlineLevel="0" collapsed="false">
      <c r="A1374" s="8" t="s">
        <v>45</v>
      </c>
      <c r="B1374" s="8" t="s">
        <v>39</v>
      </c>
      <c r="C1374" s="8" t="s">
        <v>60</v>
      </c>
      <c r="D1374" s="21" t="n">
        <v>45796.3854166667</v>
      </c>
      <c r="E1374" s="21" t="n">
        <v>45797.3958333333</v>
      </c>
      <c r="F1374" s="22" t="n">
        <f aca="false">DATE(YEAR(E1374),MONTH(E1374),1)</f>
        <v>45778</v>
      </c>
      <c r="G1374" s="23" t="n">
        <v>114404</v>
      </c>
      <c r="H1374" s="8" t="s">
        <v>61</v>
      </c>
      <c r="I1374" s="24" t="n">
        <v>-417.61</v>
      </c>
      <c r="J1374" s="25" t="n">
        <f aca="false">Summary!$B$4</f>
        <v>1</v>
      </c>
      <c r="K1374" s="11" t="n">
        <f aca="false">I1374*J1374*IF(A1374="SILVER",Summary!$B$5,Summary!$B$6)</f>
        <v>-41761</v>
      </c>
      <c r="L1374" s="26" t="n">
        <v>-0.324</v>
      </c>
      <c r="M1374" s="27" t="n">
        <f aca="false">IF(K1374&gt;0,1,0)</f>
        <v>0</v>
      </c>
      <c r="N1374" s="11" t="n">
        <f aca="false">SUMIFS(K$2:K1374,A$2:A1374,A1374,B$2:B1374,B1374)</f>
        <v>433856</v>
      </c>
      <c r="O1374" s="11" t="n">
        <f aca="false">MAX(0,_xlfn.MAXIFS(N$2:N1374,A$2:A1374,A1374,B$2:B1374,B1374))</f>
        <v>642960</v>
      </c>
      <c r="P1374" s="11" t="n">
        <f aca="false">N1374-O1374</f>
        <v>-209104</v>
      </c>
    </row>
    <row r="1375" customFormat="false" ht="15" hidden="false" customHeight="false" outlineLevel="0" collapsed="false">
      <c r="A1375" s="8" t="s">
        <v>45</v>
      </c>
      <c r="B1375" s="8" t="s">
        <v>39</v>
      </c>
      <c r="C1375" s="8" t="s">
        <v>60</v>
      </c>
      <c r="D1375" s="21" t="n">
        <v>45797.71875</v>
      </c>
      <c r="E1375" s="21" t="n">
        <v>45799.6875</v>
      </c>
      <c r="F1375" s="22" t="n">
        <f aca="false">DATE(YEAR(E1375),MONTH(E1375),1)</f>
        <v>45778</v>
      </c>
      <c r="G1375" s="23" t="n">
        <v>114855</v>
      </c>
      <c r="H1375" s="8" t="s">
        <v>61</v>
      </c>
      <c r="I1375" s="24" t="n">
        <v>1678.09</v>
      </c>
      <c r="J1375" s="25" t="n">
        <f aca="false">Summary!$B$4</f>
        <v>1</v>
      </c>
      <c r="K1375" s="11" t="n">
        <f aca="false">I1375*J1375*IF(A1375="SILVER",Summary!$B$5,Summary!$B$6)</f>
        <v>167809</v>
      </c>
      <c r="L1375" s="26" t="n">
        <v>2.219</v>
      </c>
      <c r="M1375" s="27" t="n">
        <f aca="false">IF(K1375&gt;0,1,0)</f>
        <v>1</v>
      </c>
      <c r="N1375" s="11" t="n">
        <f aca="false">SUMIFS(K$2:K1375,A$2:A1375,A1375,B$2:B1375,B1375)</f>
        <v>601665</v>
      </c>
      <c r="O1375" s="11" t="n">
        <f aca="false">MAX(0,_xlfn.MAXIFS(N$2:N1375,A$2:A1375,A1375,B$2:B1375,B1375))</f>
        <v>642960</v>
      </c>
      <c r="P1375" s="11" t="n">
        <f aca="false">N1375-O1375</f>
        <v>-41295</v>
      </c>
    </row>
    <row r="1376" customFormat="false" ht="15" hidden="false" customHeight="false" outlineLevel="0" collapsed="false">
      <c r="A1376" s="8" t="s">
        <v>45</v>
      </c>
      <c r="B1376" s="8" t="s">
        <v>39</v>
      </c>
      <c r="C1376" s="8" t="s">
        <v>60</v>
      </c>
      <c r="D1376" s="21" t="n">
        <v>45800.7395833333</v>
      </c>
      <c r="E1376" s="21" t="n">
        <v>45803.5208333333</v>
      </c>
      <c r="F1376" s="22" t="n">
        <f aca="false">DATE(YEAR(E1376),MONTH(E1376),1)</f>
        <v>45778</v>
      </c>
      <c r="G1376" s="23" t="n">
        <v>117483</v>
      </c>
      <c r="H1376" s="8" t="s">
        <v>61</v>
      </c>
      <c r="I1376" s="24" t="n">
        <v>-750.19</v>
      </c>
      <c r="J1376" s="25" t="n">
        <f aca="false">Summary!$B$4</f>
        <v>1</v>
      </c>
      <c r="K1376" s="11" t="n">
        <f aca="false">I1376*J1376*IF(A1376="SILVER",Summary!$B$5,Summary!$B$6)</f>
        <v>-75019</v>
      </c>
      <c r="L1376" s="26" t="n">
        <v>-0.815</v>
      </c>
      <c r="M1376" s="27" t="n">
        <f aca="false">IF(K1376&gt;0,1,0)</f>
        <v>0</v>
      </c>
      <c r="N1376" s="11" t="n">
        <f aca="false">SUMIFS(K$2:K1376,A$2:A1376,A1376,B$2:B1376,B1376)</f>
        <v>526646</v>
      </c>
      <c r="O1376" s="11" t="n">
        <f aca="false">MAX(0,_xlfn.MAXIFS(N$2:N1376,A$2:A1376,A1376,B$2:B1376,B1376))</f>
        <v>642960</v>
      </c>
      <c r="P1376" s="11" t="n">
        <f aca="false">N1376-O1376</f>
        <v>-116314</v>
      </c>
    </row>
    <row r="1377" customFormat="false" ht="15" hidden="false" customHeight="false" outlineLevel="0" collapsed="false">
      <c r="A1377" s="8" t="s">
        <v>45</v>
      </c>
      <c r="B1377" s="8" t="s">
        <v>39</v>
      </c>
      <c r="C1377" s="8" t="s">
        <v>60</v>
      </c>
      <c r="D1377" s="21" t="n">
        <v>45805.53125</v>
      </c>
      <c r="E1377" s="21" t="n">
        <v>45805.9270833333</v>
      </c>
      <c r="F1377" s="22" t="n">
        <f aca="false">DATE(YEAR(E1377),MONTH(E1377),1)</f>
        <v>45778</v>
      </c>
      <c r="G1377" s="23" t="n">
        <v>116878</v>
      </c>
      <c r="H1377" s="8" t="s">
        <v>61</v>
      </c>
      <c r="I1377" s="24" t="n">
        <v>-645.08</v>
      </c>
      <c r="J1377" s="25" t="n">
        <f aca="false">Summary!$B$4</f>
        <v>1</v>
      </c>
      <c r="K1377" s="11" t="n">
        <f aca="false">I1377*J1377*IF(A1377="SILVER",Summary!$B$5,Summary!$B$6)</f>
        <v>-64508</v>
      </c>
      <c r="L1377" s="26" t="n">
        <v>-0.881</v>
      </c>
      <c r="M1377" s="27" t="n">
        <f aca="false">IF(K1377&gt;0,1,0)</f>
        <v>0</v>
      </c>
      <c r="N1377" s="11" t="n">
        <f aca="false">SUMIFS(K$2:K1377,A$2:A1377,A1377,B$2:B1377,B1377)</f>
        <v>462138</v>
      </c>
      <c r="O1377" s="11" t="n">
        <f aca="false">MAX(0,_xlfn.MAXIFS(N$2:N1377,A$2:A1377,A1377,B$2:B1377,B1377))</f>
        <v>642960</v>
      </c>
      <c r="P1377" s="11" t="n">
        <f aca="false">N1377-O1377</f>
        <v>-180822</v>
      </c>
    </row>
    <row r="1378" customFormat="false" ht="15" hidden="false" customHeight="false" outlineLevel="0" collapsed="false">
      <c r="A1378" s="8" t="s">
        <v>45</v>
      </c>
      <c r="B1378" s="8" t="s">
        <v>39</v>
      </c>
      <c r="C1378" s="8" t="s">
        <v>60</v>
      </c>
      <c r="D1378" s="21" t="n">
        <v>45806.7083333333</v>
      </c>
      <c r="E1378" s="21" t="n">
        <v>45806.8340277778</v>
      </c>
      <c r="F1378" s="22" t="n">
        <f aca="false">DATE(YEAR(E1378),MONTH(E1378),1)</f>
        <v>45778</v>
      </c>
      <c r="G1378" s="23" t="n">
        <v>116410</v>
      </c>
      <c r="H1378" s="8" t="s">
        <v>64</v>
      </c>
      <c r="I1378" s="24" t="n">
        <v>46.69</v>
      </c>
      <c r="J1378" s="25" t="n">
        <f aca="false">Summary!$B$4</f>
        <v>1</v>
      </c>
      <c r="K1378" s="11" t="n">
        <f aca="false">I1378*J1378*IF(A1378="SILVER",Summary!$B$5,Summary!$B$6)</f>
        <v>4669</v>
      </c>
      <c r="L1378" s="26" t="n">
        <v>0.062</v>
      </c>
      <c r="M1378" s="27" t="n">
        <f aca="false">IF(K1378&gt;0,1,0)</f>
        <v>1</v>
      </c>
      <c r="N1378" s="11" t="n">
        <f aca="false">SUMIFS(K$2:K1378,A$2:A1378,A1378,B$2:B1378,B1378)</f>
        <v>466807</v>
      </c>
      <c r="O1378" s="11" t="n">
        <f aca="false">MAX(0,_xlfn.MAXIFS(N$2:N1378,A$2:A1378,A1378,B$2:B1378,B1378))</f>
        <v>642960</v>
      </c>
      <c r="P1378" s="11" t="n">
        <f aca="false">N1378-O1378</f>
        <v>-176153</v>
      </c>
    </row>
    <row r="1379" customFormat="false" ht="15" hidden="false" customHeight="false" outlineLevel="0" collapsed="false">
      <c r="A1379" s="8" t="s">
        <v>45</v>
      </c>
      <c r="B1379" s="8" t="s">
        <v>39</v>
      </c>
      <c r="C1379" s="8" t="s">
        <v>60</v>
      </c>
      <c r="D1379" s="21" t="n">
        <v>45810.4069444445</v>
      </c>
      <c r="E1379" s="21" t="n">
        <v>45811.8923611111</v>
      </c>
      <c r="F1379" s="22" t="n">
        <f aca="false">DATE(YEAR(E1379),MONTH(E1379),1)</f>
        <v>45809</v>
      </c>
      <c r="G1379" s="23" t="n">
        <v>116577</v>
      </c>
      <c r="H1379" s="8" t="s">
        <v>61</v>
      </c>
      <c r="I1379" s="24" t="n">
        <v>1115.83</v>
      </c>
      <c r="J1379" s="25" t="n">
        <f aca="false">Summary!$B$4</f>
        <v>1</v>
      </c>
      <c r="K1379" s="11" t="n">
        <f aca="false">I1379*J1379*IF(A1379="SILVER",Summary!$B$5,Summary!$B$6)</f>
        <v>111583</v>
      </c>
      <c r="L1379" s="26" t="n">
        <v>1.16</v>
      </c>
      <c r="M1379" s="27" t="n">
        <f aca="false">IF(K1379&gt;0,1,0)</f>
        <v>1</v>
      </c>
      <c r="N1379" s="11" t="n">
        <f aca="false">SUMIFS(K$2:K1379,A$2:A1379,A1379,B$2:B1379,B1379)</f>
        <v>578390</v>
      </c>
      <c r="O1379" s="11" t="n">
        <f aca="false">MAX(0,_xlfn.MAXIFS(N$2:N1379,A$2:A1379,A1379,B$2:B1379,B1379))</f>
        <v>642960</v>
      </c>
      <c r="P1379" s="11" t="n">
        <f aca="false">N1379-O1379</f>
        <v>-64570</v>
      </c>
    </row>
    <row r="1380" customFormat="false" ht="15" hidden="false" customHeight="false" outlineLevel="0" collapsed="false">
      <c r="A1380" s="8" t="s">
        <v>45</v>
      </c>
      <c r="B1380" s="8" t="s">
        <v>39</v>
      </c>
      <c r="C1380" s="8" t="s">
        <v>60</v>
      </c>
      <c r="D1380" s="21" t="n">
        <v>45812.3993055556</v>
      </c>
      <c r="E1380" s="21" t="n">
        <v>45813.8916666667</v>
      </c>
      <c r="F1380" s="22" t="n">
        <f aca="false">DATE(YEAR(E1380),MONTH(E1380),1)</f>
        <v>45809</v>
      </c>
      <c r="G1380" s="23" t="n">
        <v>118252</v>
      </c>
      <c r="H1380" s="8" t="s">
        <v>64</v>
      </c>
      <c r="I1380" s="24" t="n">
        <v>-447.38</v>
      </c>
      <c r="J1380" s="25" t="n">
        <f aca="false">Summary!$B$4</f>
        <v>1</v>
      </c>
      <c r="K1380" s="11" t="n">
        <f aca="false">I1380*J1380*IF(A1380="SILVER",Summary!$B$5,Summary!$B$6)</f>
        <v>-44738</v>
      </c>
      <c r="L1380" s="26" t="n">
        <v>-0.383</v>
      </c>
      <c r="M1380" s="27" t="n">
        <f aca="false">IF(K1380&gt;0,1,0)</f>
        <v>0</v>
      </c>
      <c r="N1380" s="11" t="n">
        <f aca="false">SUMIFS(K$2:K1380,A$2:A1380,A1380,B$2:B1380,B1380)</f>
        <v>533652</v>
      </c>
      <c r="O1380" s="11" t="n">
        <f aca="false">MAX(0,_xlfn.MAXIFS(N$2:N1380,A$2:A1380,A1380,B$2:B1380,B1380))</f>
        <v>642960</v>
      </c>
      <c r="P1380" s="11" t="n">
        <f aca="false">N1380-O1380</f>
        <v>-109308</v>
      </c>
    </row>
    <row r="1381" customFormat="false" ht="15" hidden="false" customHeight="false" outlineLevel="0" collapsed="false">
      <c r="A1381" s="8" t="s">
        <v>45</v>
      </c>
      <c r="B1381" s="8" t="s">
        <v>39</v>
      </c>
      <c r="C1381" s="8" t="s">
        <v>60</v>
      </c>
      <c r="D1381" s="21" t="n">
        <v>45818.6666666667</v>
      </c>
      <c r="E1381" s="21" t="n">
        <v>45819.7659722222</v>
      </c>
      <c r="F1381" s="22" t="n">
        <f aca="false">DATE(YEAR(E1381),MONTH(E1381),1)</f>
        <v>45809</v>
      </c>
      <c r="G1381" s="23" t="n">
        <v>117058</v>
      </c>
      <c r="H1381" s="8" t="s">
        <v>64</v>
      </c>
      <c r="I1381" s="24" t="n">
        <v>44.9</v>
      </c>
      <c r="J1381" s="25" t="n">
        <f aca="false">Summary!$B$4</f>
        <v>1</v>
      </c>
      <c r="K1381" s="11" t="n">
        <f aca="false">I1381*J1381*IF(A1381="SILVER",Summary!$B$5,Summary!$B$6)</f>
        <v>4490</v>
      </c>
      <c r="L1381" s="26" t="n">
        <v>0.06</v>
      </c>
      <c r="M1381" s="27" t="n">
        <f aca="false">IF(K1381&gt;0,1,0)</f>
        <v>1</v>
      </c>
      <c r="N1381" s="11" t="n">
        <f aca="false">SUMIFS(K$2:K1381,A$2:A1381,A1381,B$2:B1381,B1381)</f>
        <v>538142</v>
      </c>
      <c r="O1381" s="11" t="n">
        <f aca="false">MAX(0,_xlfn.MAXIFS(N$2:N1381,A$2:A1381,A1381,B$2:B1381,B1381))</f>
        <v>642960</v>
      </c>
      <c r="P1381" s="11" t="n">
        <f aca="false">N1381-O1381</f>
        <v>-104818</v>
      </c>
    </row>
    <row r="1382" customFormat="false" ht="15" hidden="false" customHeight="false" outlineLevel="0" collapsed="false">
      <c r="A1382" s="8" t="s">
        <v>45</v>
      </c>
      <c r="B1382" s="8" t="s">
        <v>39</v>
      </c>
      <c r="C1382" s="8" t="s">
        <v>60</v>
      </c>
      <c r="D1382" s="21" t="n">
        <v>45820.3854166667</v>
      </c>
      <c r="E1382" s="21" t="n">
        <v>45824.8020833333</v>
      </c>
      <c r="F1382" s="22" t="n">
        <f aca="false">DATE(YEAR(E1382),MONTH(E1382),1)</f>
        <v>45809</v>
      </c>
      <c r="G1382" s="23" t="n">
        <v>117923</v>
      </c>
      <c r="H1382" s="8" t="s">
        <v>61</v>
      </c>
      <c r="I1382" s="24" t="n">
        <v>1520.24</v>
      </c>
      <c r="J1382" s="25" t="n">
        <f aca="false">Summary!$B$4</f>
        <v>1</v>
      </c>
      <c r="K1382" s="11" t="n">
        <f aca="false">I1382*J1382*IF(A1382="SILVER",Summary!$B$5,Summary!$B$6)</f>
        <v>152024</v>
      </c>
      <c r="L1382" s="26" t="n">
        <v>1.142</v>
      </c>
      <c r="M1382" s="27" t="n">
        <f aca="false">IF(K1382&gt;0,1,0)</f>
        <v>1</v>
      </c>
      <c r="N1382" s="11" t="n">
        <f aca="false">SUMIFS(K$2:K1382,A$2:A1382,A1382,B$2:B1382,B1382)</f>
        <v>690166</v>
      </c>
      <c r="O1382" s="11" t="n">
        <f aca="false">MAX(0,_xlfn.MAXIFS(N$2:N1382,A$2:A1382,A1382,B$2:B1382,B1382))</f>
        <v>690166</v>
      </c>
      <c r="P1382" s="11" t="n">
        <f aca="false">N1382-O1382</f>
        <v>0</v>
      </c>
    </row>
    <row r="1383" customFormat="false" ht="15" hidden="false" customHeight="false" outlineLevel="0" collapsed="false">
      <c r="A1383" s="8" t="s">
        <v>45</v>
      </c>
      <c r="B1383" s="8" t="s">
        <v>39</v>
      </c>
      <c r="C1383" s="8" t="s">
        <v>60</v>
      </c>
      <c r="D1383" s="21" t="n">
        <v>45826.7916666667</v>
      </c>
      <c r="E1383" s="21" t="n">
        <v>45827.4895833333</v>
      </c>
      <c r="F1383" s="22" t="n">
        <f aca="false">DATE(YEAR(E1383),MONTH(E1383),1)</f>
        <v>45809</v>
      </c>
      <c r="G1383" s="23" t="n">
        <v>119642</v>
      </c>
      <c r="H1383" s="8" t="s">
        <v>61</v>
      </c>
      <c r="I1383" s="24" t="n">
        <v>-962.85</v>
      </c>
      <c r="J1383" s="25" t="n">
        <f aca="false">Summary!$B$4</f>
        <v>1</v>
      </c>
      <c r="K1383" s="11" t="n">
        <f aca="false">I1383*J1383*IF(A1383="SILVER",Summary!$B$5,Summary!$B$6)</f>
        <v>-96285</v>
      </c>
      <c r="L1383" s="26" t="n">
        <v>-1.213</v>
      </c>
      <c r="M1383" s="27" t="n">
        <f aca="false">IF(K1383&gt;0,1,0)</f>
        <v>0</v>
      </c>
      <c r="N1383" s="11" t="n">
        <f aca="false">SUMIFS(K$2:K1383,A$2:A1383,A1383,B$2:B1383,B1383)</f>
        <v>593881</v>
      </c>
      <c r="O1383" s="11" t="n">
        <f aca="false">MAX(0,_xlfn.MAXIFS(N$2:N1383,A$2:A1383,A1383,B$2:B1383,B1383))</f>
        <v>690166</v>
      </c>
      <c r="P1383" s="11" t="n">
        <f aca="false">N1383-O1383</f>
        <v>-96285</v>
      </c>
    </row>
    <row r="1384" customFormat="false" ht="15" hidden="false" customHeight="false" outlineLevel="0" collapsed="false">
      <c r="A1384" s="8" t="s">
        <v>45</v>
      </c>
      <c r="B1384" s="8" t="s">
        <v>39</v>
      </c>
      <c r="C1384" s="8" t="s">
        <v>60</v>
      </c>
      <c r="D1384" s="21" t="n">
        <v>45827.9597222222</v>
      </c>
      <c r="E1384" s="21" t="n">
        <v>45828.3854166667</v>
      </c>
      <c r="F1384" s="22" t="n">
        <f aca="false">DATE(YEAR(E1384),MONTH(E1384),1)</f>
        <v>45809</v>
      </c>
      <c r="G1384" s="23" t="n">
        <v>119359</v>
      </c>
      <c r="H1384" s="8" t="s">
        <v>61</v>
      </c>
      <c r="I1384" s="24" t="n">
        <v>-667.83</v>
      </c>
      <c r="J1384" s="25" t="n">
        <f aca="false">Summary!$B$4</f>
        <v>1</v>
      </c>
      <c r="K1384" s="11" t="n">
        <f aca="false">I1384*J1384*IF(A1384="SILVER",Summary!$B$5,Summary!$B$6)</f>
        <v>-66783</v>
      </c>
      <c r="L1384" s="26" t="n">
        <v>-1.078</v>
      </c>
      <c r="M1384" s="27" t="n">
        <f aca="false">IF(K1384&gt;0,1,0)</f>
        <v>0</v>
      </c>
      <c r="N1384" s="11" t="n">
        <f aca="false">SUMIFS(K$2:K1384,A$2:A1384,A1384,B$2:B1384,B1384)</f>
        <v>527098</v>
      </c>
      <c r="O1384" s="11" t="n">
        <f aca="false">MAX(0,_xlfn.MAXIFS(N$2:N1384,A$2:A1384,A1384,B$2:B1384,B1384))</f>
        <v>690166</v>
      </c>
      <c r="P1384" s="11" t="n">
        <f aca="false">N1384-O1384</f>
        <v>-163068</v>
      </c>
    </row>
    <row r="1385" customFormat="false" ht="15" hidden="false" customHeight="false" outlineLevel="0" collapsed="false">
      <c r="A1385" s="8" t="s">
        <v>45</v>
      </c>
      <c r="B1385" s="8" t="s">
        <v>39</v>
      </c>
      <c r="C1385" s="8" t="s">
        <v>60</v>
      </c>
      <c r="D1385" s="21" t="n">
        <v>45828.8958333333</v>
      </c>
      <c r="E1385" s="21" t="n">
        <v>45831.7423611111</v>
      </c>
      <c r="F1385" s="22" t="n">
        <f aca="false">DATE(YEAR(E1385),MONTH(E1385),1)</f>
        <v>45809</v>
      </c>
      <c r="G1385" s="23" t="n">
        <v>119035</v>
      </c>
      <c r="H1385" s="8" t="s">
        <v>64</v>
      </c>
      <c r="I1385" s="24" t="n">
        <v>43.55</v>
      </c>
      <c r="J1385" s="25" t="n">
        <f aca="false">Summary!$B$4</f>
        <v>1</v>
      </c>
      <c r="K1385" s="11" t="n">
        <f aca="false">I1385*J1385*IF(A1385="SILVER",Summary!$B$5,Summary!$B$6)</f>
        <v>4355</v>
      </c>
      <c r="L1385" s="26" t="n">
        <v>0.059</v>
      </c>
      <c r="M1385" s="27" t="n">
        <f aca="false">IF(K1385&gt;0,1,0)</f>
        <v>1</v>
      </c>
      <c r="N1385" s="11" t="n">
        <f aca="false">SUMIFS(K$2:K1385,A$2:A1385,A1385,B$2:B1385,B1385)</f>
        <v>531453</v>
      </c>
      <c r="O1385" s="11" t="n">
        <f aca="false">MAX(0,_xlfn.MAXIFS(N$2:N1385,A$2:A1385,A1385,B$2:B1385,B1385))</f>
        <v>690166</v>
      </c>
      <c r="P1385" s="11" t="n">
        <f aca="false">N1385-O1385</f>
        <v>-158713</v>
      </c>
    </row>
    <row r="1386" customFormat="false" ht="15" hidden="false" customHeight="false" outlineLevel="0" collapsed="false">
      <c r="A1386" s="8" t="s">
        <v>45</v>
      </c>
      <c r="B1386" s="8" t="s">
        <v>39</v>
      </c>
      <c r="C1386" s="8" t="s">
        <v>60</v>
      </c>
      <c r="D1386" s="21" t="n">
        <v>45838.5</v>
      </c>
      <c r="E1386" s="21" t="n">
        <v>45841.5729166667</v>
      </c>
      <c r="F1386" s="22" t="n">
        <f aca="false">DATE(YEAR(E1386),MONTH(E1386),1)</f>
        <v>45839</v>
      </c>
      <c r="G1386" s="23" t="n">
        <v>115753</v>
      </c>
      <c r="H1386" s="8" t="s">
        <v>61</v>
      </c>
      <c r="I1386" s="24" t="n">
        <v>1321.7</v>
      </c>
      <c r="J1386" s="25" t="n">
        <f aca="false">Summary!$B$4</f>
        <v>1</v>
      </c>
      <c r="K1386" s="11" t="n">
        <f aca="false">I1386*J1386*IF(A1386="SILVER",Summary!$B$5,Summary!$B$6)</f>
        <v>132170</v>
      </c>
      <c r="L1386" s="26" t="n">
        <v>1.9</v>
      </c>
      <c r="M1386" s="27" t="n">
        <f aca="false">IF(K1386&gt;0,1,0)</f>
        <v>1</v>
      </c>
      <c r="N1386" s="11" t="n">
        <f aca="false">SUMIFS(K$2:K1386,A$2:A1386,A1386,B$2:B1386,B1386)</f>
        <v>663623</v>
      </c>
      <c r="O1386" s="11" t="n">
        <f aca="false">MAX(0,_xlfn.MAXIFS(N$2:N1386,A$2:A1386,A1386,B$2:B1386,B1386))</f>
        <v>690166</v>
      </c>
      <c r="P1386" s="11" t="n">
        <f aca="false">N1386-O1386</f>
        <v>-26543</v>
      </c>
    </row>
    <row r="1387" customFormat="false" ht="15" hidden="false" customHeight="false" outlineLevel="0" collapsed="false">
      <c r="A1387" s="8" t="s">
        <v>45</v>
      </c>
      <c r="B1387" s="8" t="s">
        <v>39</v>
      </c>
      <c r="C1387" s="8" t="s">
        <v>60</v>
      </c>
      <c r="D1387" s="21" t="n">
        <v>45845.9166666667</v>
      </c>
      <c r="E1387" s="21" t="n">
        <v>45846.4277777778</v>
      </c>
      <c r="F1387" s="22" t="n">
        <f aca="false">DATE(YEAR(E1387),MONTH(E1387),1)</f>
        <v>45839</v>
      </c>
      <c r="G1387" s="23" t="n">
        <v>116893</v>
      </c>
      <c r="H1387" s="8" t="s">
        <v>64</v>
      </c>
      <c r="I1387" s="24" t="n">
        <v>33.89</v>
      </c>
      <c r="J1387" s="25" t="n">
        <f aca="false">Summary!$B$4</f>
        <v>1</v>
      </c>
      <c r="K1387" s="11" t="n">
        <f aca="false">I1387*J1387*IF(A1387="SILVER",Summary!$B$5,Summary!$B$6)</f>
        <v>3389</v>
      </c>
      <c r="L1387" s="26" t="n">
        <v>0.054</v>
      </c>
      <c r="M1387" s="27" t="n">
        <f aca="false">IF(K1387&gt;0,1,0)</f>
        <v>1</v>
      </c>
      <c r="N1387" s="11" t="n">
        <f aca="false">SUMIFS(K$2:K1387,A$2:A1387,A1387,B$2:B1387,B1387)</f>
        <v>667012</v>
      </c>
      <c r="O1387" s="11" t="n">
        <f aca="false">MAX(0,_xlfn.MAXIFS(N$2:N1387,A$2:A1387,A1387,B$2:B1387,B1387))</f>
        <v>690166</v>
      </c>
      <c r="P1387" s="11" t="n">
        <f aca="false">N1387-O1387</f>
        <v>-23154</v>
      </c>
    </row>
    <row r="1388" customFormat="false" ht="15" hidden="false" customHeight="false" outlineLevel="0" collapsed="false">
      <c r="A1388" s="8" t="s">
        <v>45</v>
      </c>
      <c r="B1388" s="8" t="s">
        <v>39</v>
      </c>
      <c r="C1388" s="8" t="s">
        <v>60</v>
      </c>
      <c r="D1388" s="21" t="n">
        <v>45847.8541666667</v>
      </c>
      <c r="E1388" s="21" t="n">
        <v>45848.8118055556</v>
      </c>
      <c r="F1388" s="22" t="n">
        <f aca="false">DATE(YEAR(E1388),MONTH(E1388),1)</f>
        <v>45839</v>
      </c>
      <c r="G1388" s="23" t="n">
        <v>116438</v>
      </c>
      <c r="H1388" s="8" t="s">
        <v>64</v>
      </c>
      <c r="I1388" s="24" t="n">
        <v>45.79</v>
      </c>
      <c r="J1388" s="25" t="n">
        <f aca="false">Summary!$B$4</f>
        <v>1</v>
      </c>
      <c r="K1388" s="11" t="n">
        <f aca="false">I1388*J1388*IF(A1388="SILVER",Summary!$B$5,Summary!$B$6)</f>
        <v>4579</v>
      </c>
      <c r="L1388" s="26" t="n">
        <v>0.061</v>
      </c>
      <c r="M1388" s="27" t="n">
        <f aca="false">IF(K1388&gt;0,1,0)</f>
        <v>1</v>
      </c>
      <c r="N1388" s="11" t="n">
        <f aca="false">SUMIFS(K$2:K1388,A$2:A1388,A1388,B$2:B1388,B1388)</f>
        <v>671591</v>
      </c>
      <c r="O1388" s="11" t="n">
        <f aca="false">MAX(0,_xlfn.MAXIFS(N$2:N1388,A$2:A1388,A1388,B$2:B1388,B1388))</f>
        <v>690166</v>
      </c>
      <c r="P1388" s="11" t="n">
        <f aca="false">N1388-O1388</f>
        <v>-18575</v>
      </c>
    </row>
    <row r="1389" customFormat="false" ht="15" hidden="false" customHeight="false" outlineLevel="0" collapsed="false">
      <c r="A1389" s="8" t="s">
        <v>45</v>
      </c>
      <c r="B1389" s="8" t="s">
        <v>39</v>
      </c>
      <c r="C1389" s="8" t="s">
        <v>60</v>
      </c>
      <c r="D1389" s="21" t="n">
        <v>45854.875</v>
      </c>
      <c r="E1389" s="21" t="n">
        <v>45855.5625</v>
      </c>
      <c r="F1389" s="22" t="n">
        <f aca="false">DATE(YEAR(E1389),MONTH(E1389),1)</f>
        <v>45839</v>
      </c>
      <c r="G1389" s="23" t="n">
        <v>117903</v>
      </c>
      <c r="H1389" s="8" t="s">
        <v>61</v>
      </c>
      <c r="I1389" s="24" t="n">
        <v>-900.51</v>
      </c>
      <c r="J1389" s="25" t="n">
        <f aca="false">Summary!$B$4</f>
        <v>1</v>
      </c>
      <c r="K1389" s="11" t="n">
        <f aca="false">I1389*J1389*IF(A1389="SILVER",Summary!$B$5,Summary!$B$6)</f>
        <v>-90051</v>
      </c>
      <c r="L1389" s="26" t="n">
        <v>-0.973</v>
      </c>
      <c r="M1389" s="27" t="n">
        <f aca="false">IF(K1389&gt;0,1,0)</f>
        <v>0</v>
      </c>
      <c r="N1389" s="11" t="n">
        <f aca="false">SUMIFS(K$2:K1389,A$2:A1389,A1389,B$2:B1389,B1389)</f>
        <v>581540</v>
      </c>
      <c r="O1389" s="11" t="n">
        <f aca="false">MAX(0,_xlfn.MAXIFS(N$2:N1389,A$2:A1389,A1389,B$2:B1389,B1389))</f>
        <v>690166</v>
      </c>
      <c r="P1389" s="11" t="n">
        <f aca="false">N1389-O1389</f>
        <v>-108626</v>
      </c>
    </row>
    <row r="1390" customFormat="false" ht="15" hidden="false" customHeight="false" outlineLevel="0" collapsed="false">
      <c r="A1390" s="8" t="s">
        <v>45</v>
      </c>
      <c r="B1390" s="8" t="s">
        <v>39</v>
      </c>
      <c r="C1390" s="8" t="s">
        <v>60</v>
      </c>
      <c r="D1390" s="21" t="n">
        <v>45856.4479166667</v>
      </c>
      <c r="E1390" s="21" t="n">
        <v>45861.7916666667</v>
      </c>
      <c r="F1390" s="22" t="n">
        <f aca="false">DATE(YEAR(E1390),MONTH(E1390),1)</f>
        <v>45839</v>
      </c>
      <c r="G1390" s="23" t="n">
        <v>117565</v>
      </c>
      <c r="H1390" s="8" t="s">
        <v>61</v>
      </c>
      <c r="I1390" s="24" t="n">
        <v>2228.25</v>
      </c>
      <c r="J1390" s="25" t="n">
        <f aca="false">Summary!$B$4</f>
        <v>1</v>
      </c>
      <c r="K1390" s="11" t="n">
        <f aca="false">I1390*J1390*IF(A1390="SILVER",Summary!$B$5,Summary!$B$6)</f>
        <v>222825</v>
      </c>
      <c r="L1390" s="26" t="n">
        <v>3.618</v>
      </c>
      <c r="M1390" s="27" t="n">
        <f aca="false">IF(K1390&gt;0,1,0)</f>
        <v>1</v>
      </c>
      <c r="N1390" s="11" t="n">
        <f aca="false">SUMIFS(K$2:K1390,A$2:A1390,A1390,B$2:B1390,B1390)</f>
        <v>804365</v>
      </c>
      <c r="O1390" s="11" t="n">
        <f aca="false">MAX(0,_xlfn.MAXIFS(N$2:N1390,A$2:A1390,A1390,B$2:B1390,B1390))</f>
        <v>804365</v>
      </c>
      <c r="P1390" s="11" t="n">
        <f aca="false">N1390-O1390</f>
        <v>0</v>
      </c>
    </row>
    <row r="1391" customFormat="false" ht="15" hidden="false" customHeight="false" outlineLevel="0" collapsed="false">
      <c r="A1391" s="8" t="s">
        <v>45</v>
      </c>
      <c r="B1391" s="8" t="s">
        <v>39</v>
      </c>
      <c r="C1391" s="8" t="s">
        <v>60</v>
      </c>
      <c r="D1391" s="21" t="n">
        <v>45867.5729166667</v>
      </c>
      <c r="E1391" s="21" t="n">
        <v>45867.8930555556</v>
      </c>
      <c r="F1391" s="22" t="n">
        <f aca="false">DATE(YEAR(E1391),MONTH(E1391),1)</f>
        <v>45839</v>
      </c>
      <c r="G1391" s="23" t="n">
        <v>117886</v>
      </c>
      <c r="H1391" s="8" t="s">
        <v>64</v>
      </c>
      <c r="I1391" s="24" t="n">
        <v>33.39</v>
      </c>
      <c r="J1391" s="25" t="n">
        <f aca="false">Summary!$B$4</f>
        <v>1</v>
      </c>
      <c r="K1391" s="11" t="n">
        <f aca="false">I1391*J1391*IF(A1391="SILVER",Summary!$B$5,Summary!$B$6)</f>
        <v>3339</v>
      </c>
      <c r="L1391" s="26" t="n">
        <v>0.05</v>
      </c>
      <c r="M1391" s="27" t="n">
        <f aca="false">IF(K1391&gt;0,1,0)</f>
        <v>1</v>
      </c>
      <c r="N1391" s="11" t="n">
        <f aca="false">SUMIFS(K$2:K1391,A$2:A1391,A1391,B$2:B1391,B1391)</f>
        <v>807704</v>
      </c>
      <c r="O1391" s="11" t="n">
        <f aca="false">MAX(0,_xlfn.MAXIFS(N$2:N1391,A$2:A1391,A1391,B$2:B1391,B1391))</f>
        <v>807704</v>
      </c>
      <c r="P1391" s="11" t="n">
        <f aca="false">N1391-O1391</f>
        <v>0</v>
      </c>
    </row>
    <row r="1392" customFormat="false" ht="15" hidden="false" customHeight="false" outlineLevel="0" collapsed="false">
      <c r="A1392" s="8" t="s">
        <v>45</v>
      </c>
      <c r="B1392" s="8" t="s">
        <v>39</v>
      </c>
      <c r="C1392" s="8" t="s">
        <v>60</v>
      </c>
      <c r="D1392" s="21" t="n">
        <v>45870.7645833333</v>
      </c>
      <c r="E1392" s="21" t="n">
        <v>45874.7201388889</v>
      </c>
      <c r="F1392" s="22" t="n">
        <f aca="false">DATE(YEAR(E1392),MONTH(E1392),1)</f>
        <v>45870</v>
      </c>
      <c r="G1392" s="23" t="n">
        <v>118783</v>
      </c>
      <c r="H1392" s="8" t="s">
        <v>61</v>
      </c>
      <c r="I1392" s="24" t="n">
        <v>1045.2</v>
      </c>
      <c r="J1392" s="25" t="n">
        <f aca="false">Summary!$B$4</f>
        <v>1</v>
      </c>
      <c r="K1392" s="11" t="n">
        <f aca="false">I1392*J1392*IF(A1392="SILVER",Summary!$B$5,Summary!$B$6)</f>
        <v>104520</v>
      </c>
      <c r="L1392" s="26" t="n">
        <v>0.761</v>
      </c>
      <c r="M1392" s="27" t="n">
        <f aca="false">IF(K1392&gt;0,1,0)</f>
        <v>1</v>
      </c>
      <c r="N1392" s="11" t="n">
        <f aca="false">SUMIFS(K$2:K1392,A$2:A1392,A1392,B$2:B1392,B1392)</f>
        <v>912224</v>
      </c>
      <c r="O1392" s="11" t="n">
        <f aca="false">MAX(0,_xlfn.MAXIFS(N$2:N1392,A$2:A1392,A1392,B$2:B1392,B1392))</f>
        <v>912224</v>
      </c>
      <c r="P1392" s="11" t="n">
        <f aca="false">N1392-O1392</f>
        <v>0</v>
      </c>
    </row>
    <row r="1393" customFormat="false" ht="15" hidden="false" customHeight="false" outlineLevel="0" collapsed="false">
      <c r="A1393" s="8" t="s">
        <v>45</v>
      </c>
      <c r="B1393" s="8" t="s">
        <v>39</v>
      </c>
      <c r="C1393" s="8" t="s">
        <v>60</v>
      </c>
      <c r="D1393" s="21" t="n">
        <v>45874.8208333333</v>
      </c>
      <c r="E1393" s="21" t="n">
        <v>45875.6388888889</v>
      </c>
      <c r="F1393" s="22" t="n">
        <f aca="false">DATE(YEAR(E1393),MONTH(E1393),1)</f>
        <v>45870</v>
      </c>
      <c r="G1393" s="23" t="n">
        <v>120458</v>
      </c>
      <c r="H1393" s="8" t="s">
        <v>64</v>
      </c>
      <c r="I1393" s="24" t="n">
        <v>74.98</v>
      </c>
      <c r="J1393" s="25" t="n">
        <f aca="false">Summary!$B$4</f>
        <v>1</v>
      </c>
      <c r="K1393" s="11" t="n">
        <f aca="false">I1393*J1393*IF(A1393="SILVER",Summary!$B$5,Summary!$B$6)</f>
        <v>7498</v>
      </c>
      <c r="L1393" s="26" t="n">
        <v>0.071</v>
      </c>
      <c r="M1393" s="27" t="n">
        <f aca="false">IF(K1393&gt;0,1,0)</f>
        <v>1</v>
      </c>
      <c r="N1393" s="11" t="n">
        <f aca="false">SUMIFS(K$2:K1393,A$2:A1393,A1393,B$2:B1393,B1393)</f>
        <v>919722</v>
      </c>
      <c r="O1393" s="11" t="n">
        <f aca="false">MAX(0,_xlfn.MAXIFS(N$2:N1393,A$2:A1393,A1393,B$2:B1393,B1393))</f>
        <v>919722</v>
      </c>
      <c r="P1393" s="11" t="n">
        <f aca="false">N1393-O1393</f>
        <v>0</v>
      </c>
    </row>
    <row r="1394" customFormat="false" ht="15" hidden="false" customHeight="false" outlineLevel="0" collapsed="false">
      <c r="A1394" s="8" t="s">
        <v>45</v>
      </c>
      <c r="B1394" s="8" t="s">
        <v>39</v>
      </c>
      <c r="C1394" s="8" t="s">
        <v>60</v>
      </c>
      <c r="D1394" s="21" t="n">
        <v>45877.3854166667</v>
      </c>
      <c r="E1394" s="21" t="n">
        <v>45880.3854166667</v>
      </c>
      <c r="F1394" s="22" t="n">
        <f aca="false">DATE(YEAR(E1394),MONTH(E1394),1)</f>
        <v>45870</v>
      </c>
      <c r="G1394" s="23" t="n">
        <v>122014</v>
      </c>
      <c r="H1394" s="8" t="s">
        <v>61</v>
      </c>
      <c r="I1394" s="24" t="n">
        <v>-1221.3</v>
      </c>
      <c r="J1394" s="25" t="n">
        <f aca="false">Summary!$B$4</f>
        <v>1</v>
      </c>
      <c r="K1394" s="11" t="n">
        <f aca="false">I1394*J1394*IF(A1394="SILVER",Summary!$B$5,Summary!$B$6)</f>
        <v>-122130</v>
      </c>
      <c r="L1394" s="26" t="n">
        <v>-0.925</v>
      </c>
      <c r="M1394" s="27" t="n">
        <f aca="false">IF(K1394&gt;0,1,0)</f>
        <v>0</v>
      </c>
      <c r="N1394" s="11" t="n">
        <f aca="false">SUMIFS(K$2:K1394,A$2:A1394,A1394,B$2:B1394,B1394)</f>
        <v>797592</v>
      </c>
      <c r="O1394" s="11" t="n">
        <f aca="false">MAX(0,_xlfn.MAXIFS(N$2:N1394,A$2:A1394,A1394,B$2:B1394,B1394))</f>
        <v>919722</v>
      </c>
      <c r="P1394" s="11" t="n">
        <f aca="false">N1394-O1394</f>
        <v>-122130</v>
      </c>
    </row>
    <row r="1395" customFormat="false" ht="15" hidden="false" customHeight="false" outlineLevel="0" collapsed="false">
      <c r="A1395" s="8" t="s">
        <v>45</v>
      </c>
      <c r="B1395" s="8" t="s">
        <v>39</v>
      </c>
      <c r="C1395" s="8" t="s">
        <v>60</v>
      </c>
      <c r="D1395" s="21" t="n">
        <v>45889.75</v>
      </c>
      <c r="E1395" s="21" t="n">
        <v>45889.8909722222</v>
      </c>
      <c r="F1395" s="22" t="n">
        <f aca="false">DATE(YEAR(E1395),MONTH(E1395),1)</f>
        <v>45870</v>
      </c>
      <c r="G1395" s="23" t="n">
        <v>118887</v>
      </c>
      <c r="H1395" s="8" t="s">
        <v>64</v>
      </c>
      <c r="I1395" s="24" t="n">
        <v>20.34</v>
      </c>
      <c r="J1395" s="25" t="n">
        <f aca="false">Summary!$B$4</f>
        <v>1</v>
      </c>
      <c r="K1395" s="11" t="n">
        <f aca="false">I1395*J1395*IF(A1395="SILVER",Summary!$B$5,Summary!$B$6)</f>
        <v>2034</v>
      </c>
      <c r="L1395" s="26" t="n">
        <v>0.041</v>
      </c>
      <c r="M1395" s="27" t="n">
        <f aca="false">IF(K1395&gt;0,1,0)</f>
        <v>1</v>
      </c>
      <c r="N1395" s="11" t="n">
        <f aca="false">SUMIFS(K$2:K1395,A$2:A1395,A1395,B$2:B1395,B1395)</f>
        <v>799626</v>
      </c>
      <c r="O1395" s="11" t="n">
        <f aca="false">MAX(0,_xlfn.MAXIFS(N$2:N1395,A$2:A1395,A1395,B$2:B1395,B1395))</f>
        <v>919722</v>
      </c>
      <c r="P1395" s="11" t="n">
        <f aca="false">N1395-O1395</f>
        <v>-120096</v>
      </c>
    </row>
    <row r="1396" customFormat="false" ht="15" hidden="false" customHeight="false" outlineLevel="0" collapsed="false">
      <c r="A1396" s="8" t="s">
        <v>45</v>
      </c>
      <c r="B1396" s="8" t="s">
        <v>39</v>
      </c>
      <c r="C1396" s="8" t="s">
        <v>60</v>
      </c>
      <c r="D1396" s="21" t="n">
        <v>45905.4375</v>
      </c>
      <c r="E1396" s="21" t="n">
        <v>45908.3979166667</v>
      </c>
      <c r="F1396" s="22" t="n">
        <f aca="false">DATE(YEAR(E1396),MONTH(E1396),1)</f>
        <v>45901</v>
      </c>
      <c r="G1396" s="23" t="n">
        <v>126772</v>
      </c>
      <c r="H1396" s="8" t="s">
        <v>64</v>
      </c>
      <c r="I1396" s="24" t="n">
        <v>58.98</v>
      </c>
      <c r="J1396" s="25" t="n">
        <f aca="false">Summary!$B$4</f>
        <v>1</v>
      </c>
      <c r="K1396" s="11" t="n">
        <f aca="false">I1396*J1396*IF(A1396="SILVER",Summary!$B$5,Summary!$B$6)</f>
        <v>5898</v>
      </c>
      <c r="L1396" s="26" t="n">
        <v>0.065</v>
      </c>
      <c r="M1396" s="27" t="n">
        <f aca="false">IF(K1396&gt;0,1,0)</f>
        <v>1</v>
      </c>
      <c r="N1396" s="11" t="n">
        <f aca="false">SUMIFS(K$2:K1396,A$2:A1396,A1396,B$2:B1396,B1396)</f>
        <v>805524</v>
      </c>
      <c r="O1396" s="11" t="n">
        <f aca="false">MAX(0,_xlfn.MAXIFS(N$2:N1396,A$2:A1396,A1396,B$2:B1396,B1396))</f>
        <v>919722</v>
      </c>
      <c r="P1396" s="11" t="n">
        <f aca="false">N1396-O1396</f>
        <v>-114198</v>
      </c>
    </row>
    <row r="1397" customFormat="false" ht="15" hidden="false" customHeight="false" outlineLevel="0" collapsed="false">
      <c r="A1397" s="8" t="s">
        <v>45</v>
      </c>
      <c r="B1397" s="8" t="s">
        <v>39</v>
      </c>
      <c r="C1397" s="8" t="s">
        <v>60</v>
      </c>
      <c r="D1397" s="21" t="n">
        <v>45912.3854166667</v>
      </c>
      <c r="E1397" s="21" t="n">
        <v>45916.875</v>
      </c>
      <c r="F1397" s="22" t="n">
        <f aca="false">DATE(YEAR(E1397),MONTH(E1397),1)</f>
        <v>45901</v>
      </c>
      <c r="G1397" s="23" t="n">
        <v>129287</v>
      </c>
      <c r="H1397" s="8" t="s">
        <v>61</v>
      </c>
      <c r="I1397" s="24" t="n">
        <v>524.04</v>
      </c>
      <c r="J1397" s="25" t="n">
        <f aca="false">Summary!$B$4</f>
        <v>1</v>
      </c>
      <c r="K1397" s="11" t="n">
        <f aca="false">I1397*J1397*IF(A1397="SILVER",Summary!$B$5,Summary!$B$6)</f>
        <v>52404</v>
      </c>
      <c r="L1397" s="26" t="n">
        <v>0.543</v>
      </c>
      <c r="M1397" s="27" t="n">
        <f aca="false">IF(K1397&gt;0,1,0)</f>
        <v>1</v>
      </c>
      <c r="N1397" s="11" t="n">
        <f aca="false">SUMIFS(K$2:K1397,A$2:A1397,A1397,B$2:B1397,B1397)</f>
        <v>857928</v>
      </c>
      <c r="O1397" s="11" t="n">
        <f aca="false">MAX(0,_xlfn.MAXIFS(N$2:N1397,A$2:A1397,A1397,B$2:B1397,B1397))</f>
        <v>919722</v>
      </c>
      <c r="P1397" s="11" t="n">
        <f aca="false">N1397-O1397</f>
        <v>-61794</v>
      </c>
    </row>
    <row r="1398" customFormat="false" ht="15" hidden="false" customHeight="false" outlineLevel="0" collapsed="false">
      <c r="A1398" s="8" t="s">
        <v>45</v>
      </c>
      <c r="B1398" s="8" t="s">
        <v>39</v>
      </c>
      <c r="C1398" s="8" t="s">
        <v>60</v>
      </c>
      <c r="D1398" s="21" t="n">
        <v>45918.6041666667</v>
      </c>
      <c r="E1398" s="21" t="n">
        <v>45918.8020833333</v>
      </c>
      <c r="F1398" s="22" t="n">
        <f aca="false">DATE(YEAR(E1398),MONTH(E1398),1)</f>
        <v>45901</v>
      </c>
      <c r="G1398" s="23" t="n">
        <v>129387</v>
      </c>
      <c r="H1398" s="8" t="s">
        <v>61</v>
      </c>
      <c r="I1398" s="24" t="n">
        <v>-880.84</v>
      </c>
      <c r="J1398" s="25" t="n">
        <f aca="false">Summary!$B$4</f>
        <v>1</v>
      </c>
      <c r="K1398" s="11" t="n">
        <f aca="false">I1398*J1398*IF(A1398="SILVER",Summary!$B$5,Summary!$B$6)</f>
        <v>-88084</v>
      </c>
      <c r="L1398" s="26" t="n">
        <v>-0.924</v>
      </c>
      <c r="M1398" s="27" t="n">
        <f aca="false">IF(K1398&gt;0,1,0)</f>
        <v>0</v>
      </c>
      <c r="N1398" s="11" t="n">
        <f aca="false">SUMIFS(K$2:K1398,A$2:A1398,A1398,B$2:B1398,B1398)</f>
        <v>769844</v>
      </c>
      <c r="O1398" s="11" t="n">
        <f aca="false">MAX(0,_xlfn.MAXIFS(N$2:N1398,A$2:A1398,A1398,B$2:B1398,B1398))</f>
        <v>919722</v>
      </c>
      <c r="P1398" s="11" t="n">
        <f aca="false">N1398-O1398</f>
        <v>-149878</v>
      </c>
    </row>
    <row r="1399" customFormat="false" ht="15" hidden="false" customHeight="false" outlineLevel="0" collapsed="false">
      <c r="A1399" s="8" t="s">
        <v>45</v>
      </c>
      <c r="B1399" s="8" t="s">
        <v>39</v>
      </c>
      <c r="C1399" s="8" t="s">
        <v>60</v>
      </c>
      <c r="D1399" s="21" t="n">
        <v>45919.96875</v>
      </c>
      <c r="E1399" s="21" t="n">
        <v>45924.84375</v>
      </c>
      <c r="F1399" s="22" t="n">
        <f aca="false">DATE(YEAR(E1399),MONTH(E1399),1)</f>
        <v>45901</v>
      </c>
      <c r="G1399" s="23" t="n">
        <v>129509</v>
      </c>
      <c r="H1399" s="8" t="s">
        <v>61</v>
      </c>
      <c r="I1399" s="24" t="n">
        <v>3365.71</v>
      </c>
      <c r="J1399" s="25" t="n">
        <f aca="false">Summary!$B$4</f>
        <v>1</v>
      </c>
      <c r="K1399" s="11" t="n">
        <f aca="false">I1399*J1399*IF(A1399="SILVER",Summary!$B$5,Summary!$B$6)</f>
        <v>336571</v>
      </c>
      <c r="L1399" s="26" t="n">
        <v>5.122</v>
      </c>
      <c r="M1399" s="27" t="n">
        <f aca="false">IF(K1399&gt;0,1,0)</f>
        <v>1</v>
      </c>
      <c r="N1399" s="11" t="n">
        <f aca="false">SUMIFS(K$2:K1399,A$2:A1399,A1399,B$2:B1399,B1399)</f>
        <v>1106415</v>
      </c>
      <c r="O1399" s="11" t="n">
        <f aca="false">MAX(0,_xlfn.MAXIFS(N$2:N1399,A$2:A1399,A1399,B$2:B1399,B1399))</f>
        <v>1106415</v>
      </c>
      <c r="P1399" s="11" t="n">
        <f aca="false">N1399-O1399</f>
        <v>0</v>
      </c>
    </row>
    <row r="1400" customFormat="false" ht="15" hidden="false" customHeight="false" outlineLevel="0" collapsed="false">
      <c r="A1400" s="8" t="s">
        <v>45</v>
      </c>
      <c r="B1400" s="8" t="s">
        <v>39</v>
      </c>
      <c r="C1400" s="8" t="s">
        <v>60</v>
      </c>
      <c r="D1400" s="21" t="n">
        <v>45926.78125</v>
      </c>
      <c r="E1400" s="21" t="n">
        <v>45930.6027777778</v>
      </c>
      <c r="F1400" s="22" t="n">
        <f aca="false">DATE(YEAR(E1400),MONTH(E1400),1)</f>
        <v>45901</v>
      </c>
      <c r="G1400" s="23" t="n">
        <v>133007</v>
      </c>
      <c r="H1400" s="8" t="s">
        <v>61</v>
      </c>
      <c r="I1400" s="24" t="n">
        <v>2151.16</v>
      </c>
      <c r="J1400" s="25" t="n">
        <f aca="false">Summary!$B$4</f>
        <v>1</v>
      </c>
      <c r="K1400" s="11" t="n">
        <f aca="false">I1400*J1400*IF(A1400="SILVER",Summary!$B$5,Summary!$B$6)</f>
        <v>215116</v>
      </c>
      <c r="L1400" s="26" t="n">
        <v>2.324</v>
      </c>
      <c r="M1400" s="27" t="n">
        <f aca="false">IF(K1400&gt;0,1,0)</f>
        <v>1</v>
      </c>
      <c r="N1400" s="11" t="n">
        <f aca="false">SUMIFS(K$2:K1400,A$2:A1400,A1400,B$2:B1400,B1400)</f>
        <v>1321531</v>
      </c>
      <c r="O1400" s="11" t="n">
        <f aca="false">MAX(0,_xlfn.MAXIFS(N$2:N1400,A$2:A1400,A1400,B$2:B1400,B1400))</f>
        <v>1321531</v>
      </c>
      <c r="P1400" s="11" t="n">
        <f aca="false">N1400-O1400</f>
        <v>0</v>
      </c>
    </row>
    <row r="1401" customFormat="false" ht="15" hidden="false" customHeight="false" outlineLevel="0" collapsed="false">
      <c r="A1401" s="8" t="s">
        <v>45</v>
      </c>
      <c r="B1401" s="8" t="s">
        <v>39</v>
      </c>
      <c r="C1401" s="8" t="s">
        <v>60</v>
      </c>
      <c r="D1401" s="21" t="n">
        <v>45930.95625</v>
      </c>
      <c r="E1401" s="21" t="n">
        <v>45939.8333333333</v>
      </c>
      <c r="F1401" s="22" t="n">
        <f aca="false">DATE(YEAR(E1401),MONTH(E1401),1)</f>
        <v>45931</v>
      </c>
      <c r="G1401" s="23" t="n">
        <v>136275</v>
      </c>
      <c r="H1401" s="8" t="s">
        <v>61</v>
      </c>
      <c r="I1401" s="24" t="n">
        <v>4404.65</v>
      </c>
      <c r="J1401" s="25" t="n">
        <f aca="false">Summary!$B$4</f>
        <v>1</v>
      </c>
      <c r="K1401" s="11" t="n">
        <f aca="false">I1401*J1401*IF(A1401="SILVER",Summary!$B$5,Summary!$B$6)</f>
        <v>440465</v>
      </c>
      <c r="L1401" s="26" t="n">
        <v>2.481</v>
      </c>
      <c r="M1401" s="27" t="n">
        <f aca="false">IF(K1401&gt;0,1,0)</f>
        <v>1</v>
      </c>
      <c r="N1401" s="11" t="n">
        <f aca="false">SUMIFS(K$2:K1401,A$2:A1401,A1401,B$2:B1401,B1401)</f>
        <v>1761996</v>
      </c>
      <c r="O1401" s="11" t="n">
        <f aca="false">MAX(0,_xlfn.MAXIFS(N$2:N1401,A$2:A1401,A1401,B$2:B1401,B1401))</f>
        <v>1761996</v>
      </c>
      <c r="P1401" s="11" t="n">
        <f aca="false">N1401-O1401</f>
        <v>0</v>
      </c>
    </row>
    <row r="1402" customFormat="false" ht="15" hidden="false" customHeight="false" outlineLevel="0" collapsed="false">
      <c r="A1402" s="8" t="s">
        <v>45</v>
      </c>
      <c r="B1402" s="8" t="s">
        <v>39</v>
      </c>
      <c r="C1402" s="8" t="s">
        <v>60</v>
      </c>
      <c r="D1402" s="21" t="n">
        <v>45943.3854166667</v>
      </c>
      <c r="E1402" s="21" t="n">
        <v>45944.46875</v>
      </c>
      <c r="F1402" s="22" t="n">
        <f aca="false">DATE(YEAR(E1402),MONTH(E1402),1)</f>
        <v>45931</v>
      </c>
      <c r="G1402" s="23" t="n">
        <v>141670</v>
      </c>
      <c r="H1402" s="8" t="s">
        <v>61</v>
      </c>
      <c r="I1402" s="24" t="n">
        <v>1735.15</v>
      </c>
      <c r="J1402" s="25" t="n">
        <f aca="false">Summary!$B$4</f>
        <v>1</v>
      </c>
      <c r="K1402" s="11" t="n">
        <f aca="false">I1402*J1402*IF(A1402="SILVER",Summary!$B$5,Summary!$B$6)</f>
        <v>173515</v>
      </c>
      <c r="L1402" s="26" t="n">
        <v>0.685</v>
      </c>
      <c r="M1402" s="27" t="n">
        <f aca="false">IF(K1402&gt;0,1,0)</f>
        <v>1</v>
      </c>
      <c r="N1402" s="11" t="n">
        <f aca="false">SUMIFS(K$2:K1402,A$2:A1402,A1402,B$2:B1402,B1402)</f>
        <v>1935511</v>
      </c>
      <c r="O1402" s="11" t="n">
        <f aca="false">MAX(0,_xlfn.MAXIFS(N$2:N1402,A$2:A1402,A1402,B$2:B1402,B1402))</f>
        <v>1935511</v>
      </c>
      <c r="P1402" s="11" t="n">
        <f aca="false">N1402-O1402</f>
        <v>0</v>
      </c>
    </row>
    <row r="1403" customFormat="false" ht="15" hidden="false" customHeight="false" outlineLevel="0" collapsed="false">
      <c r="A1403" s="8" t="s">
        <v>45</v>
      </c>
      <c r="B1403" s="8" t="s">
        <v>39</v>
      </c>
      <c r="C1403" s="8" t="s">
        <v>60</v>
      </c>
      <c r="D1403" s="21" t="n">
        <v>45945.5520833333</v>
      </c>
      <c r="E1403" s="21" t="n">
        <v>45946.4604166667</v>
      </c>
      <c r="F1403" s="22" t="n">
        <f aca="false">DATE(YEAR(E1403),MONTH(E1403),1)</f>
        <v>45931</v>
      </c>
      <c r="G1403" s="23" t="n">
        <v>145720</v>
      </c>
      <c r="H1403" s="8" t="s">
        <v>64</v>
      </c>
      <c r="I1403" s="24" t="n">
        <v>125.74</v>
      </c>
      <c r="J1403" s="25" t="n">
        <f aca="false">Summary!$B$4</f>
        <v>1</v>
      </c>
      <c r="K1403" s="11" t="n">
        <f aca="false">I1403*J1403*IF(A1403="SILVER",Summary!$B$5,Summary!$B$6)</f>
        <v>12574</v>
      </c>
      <c r="L1403" s="26" t="n">
        <v>0.078</v>
      </c>
      <c r="M1403" s="27" t="n">
        <f aca="false">IF(K1403&gt;0,1,0)</f>
        <v>1</v>
      </c>
      <c r="N1403" s="11" t="n">
        <f aca="false">SUMIFS(K$2:K1403,A$2:A1403,A1403,B$2:B1403,B1403)</f>
        <v>1948085</v>
      </c>
      <c r="O1403" s="11" t="n">
        <f aca="false">MAX(0,_xlfn.MAXIFS(N$2:N1403,A$2:A1403,A1403,B$2:B1403,B1403))</f>
        <v>1948085</v>
      </c>
      <c r="P1403" s="11" t="n">
        <f aca="false">N1403-O1403</f>
        <v>0</v>
      </c>
    </row>
    <row r="1404" customFormat="false" ht="15" hidden="false" customHeight="false" outlineLevel="0" collapsed="false">
      <c r="A1404" s="8" t="s">
        <v>45</v>
      </c>
      <c r="B1404" s="8" t="s">
        <v>39</v>
      </c>
      <c r="C1404" s="8" t="s">
        <v>60</v>
      </c>
      <c r="D1404" s="21" t="n">
        <v>45950.7708333333</v>
      </c>
      <c r="E1404" s="21" t="n">
        <v>45951.5833333333</v>
      </c>
      <c r="F1404" s="22" t="n">
        <f aca="false">DATE(YEAR(E1404),MONTH(E1404),1)</f>
        <v>45931</v>
      </c>
      <c r="G1404" s="23" t="n">
        <v>148170</v>
      </c>
      <c r="H1404" s="8" t="s">
        <v>61</v>
      </c>
      <c r="I1404" s="24" t="n">
        <v>-1599.81</v>
      </c>
      <c r="J1404" s="25" t="n">
        <f aca="false">Summary!$B$4</f>
        <v>1</v>
      </c>
      <c r="K1404" s="11" t="n">
        <f aca="false">I1404*J1404*IF(A1404="SILVER",Summary!$B$5,Summary!$B$6)</f>
        <v>-159981</v>
      </c>
      <c r="L1404" s="26" t="n">
        <v>-0.643</v>
      </c>
      <c r="M1404" s="27" t="n">
        <f aca="false">IF(K1404&gt;0,1,0)</f>
        <v>0</v>
      </c>
      <c r="N1404" s="11" t="n">
        <f aca="false">SUMIFS(K$2:K1404,A$2:A1404,A1404,B$2:B1404,B1404)</f>
        <v>1788104</v>
      </c>
      <c r="O1404" s="11" t="n">
        <f aca="false">MAX(0,_xlfn.MAXIFS(N$2:N1404,A$2:A1404,A1404,B$2:B1404,B1404))</f>
        <v>1948085</v>
      </c>
      <c r="P1404" s="11" t="n">
        <f aca="false">N1404-O1404</f>
        <v>-159981</v>
      </c>
    </row>
    <row r="1405" customFormat="false" ht="15" hidden="false" customHeight="false" outlineLevel="0" collapsed="false">
      <c r="A1405" s="8" t="s">
        <v>45</v>
      </c>
      <c r="B1405" s="8" t="s">
        <v>39</v>
      </c>
      <c r="C1405" s="8" t="s">
        <v>60</v>
      </c>
      <c r="D1405" s="21" t="n">
        <v>45954.8229166667</v>
      </c>
      <c r="E1405" s="21" t="n">
        <v>45957.40625</v>
      </c>
      <c r="F1405" s="22" t="n">
        <f aca="false">DATE(YEAR(E1405),MONTH(E1405),1)</f>
        <v>45931</v>
      </c>
      <c r="G1405" s="23" t="n">
        <v>142272</v>
      </c>
      <c r="H1405" s="8" t="s">
        <v>61</v>
      </c>
      <c r="I1405" s="24" t="n">
        <v>-2078.59</v>
      </c>
      <c r="J1405" s="25" t="n">
        <f aca="false">Summary!$B$4</f>
        <v>1</v>
      </c>
      <c r="K1405" s="11" t="n">
        <f aca="false">I1405*J1405*IF(A1405="SILVER",Summary!$B$5,Summary!$B$6)</f>
        <v>-207859</v>
      </c>
      <c r="L1405" s="26" t="n">
        <v>-0.826</v>
      </c>
      <c r="M1405" s="27" t="n">
        <f aca="false">IF(K1405&gt;0,1,0)</f>
        <v>0</v>
      </c>
      <c r="N1405" s="11" t="n">
        <f aca="false">SUMIFS(K$2:K1405,A$2:A1405,A1405,B$2:B1405,B1405)</f>
        <v>1580245</v>
      </c>
      <c r="O1405" s="11" t="n">
        <f aca="false">MAX(0,_xlfn.MAXIFS(N$2:N1405,A$2:A1405,A1405,B$2:B1405,B1405))</f>
        <v>1948085</v>
      </c>
      <c r="P1405" s="11" t="n">
        <f aca="false">N1405-O1405</f>
        <v>-367840</v>
      </c>
    </row>
    <row r="1406" customFormat="false" ht="15" hidden="false" customHeight="false" outlineLevel="0" collapsed="false">
      <c r="A1406" s="8" t="s">
        <v>45</v>
      </c>
      <c r="B1406" s="8" t="s">
        <v>39</v>
      </c>
      <c r="C1406" s="8" t="s">
        <v>60</v>
      </c>
      <c r="D1406" s="21" t="n">
        <v>45959.53125</v>
      </c>
      <c r="E1406" s="21" t="n">
        <v>45959.8881944444</v>
      </c>
      <c r="F1406" s="22" t="n">
        <f aca="false">DATE(YEAR(E1406),MONTH(E1406),1)</f>
        <v>45931</v>
      </c>
      <c r="G1406" s="23" t="n">
        <v>138895</v>
      </c>
      <c r="H1406" s="8" t="s">
        <v>64</v>
      </c>
      <c r="I1406" s="24" t="n">
        <v>164.53</v>
      </c>
      <c r="J1406" s="25" t="n">
        <f aca="false">Summary!$B$4</f>
        <v>1</v>
      </c>
      <c r="K1406" s="11" t="n">
        <f aca="false">I1406*J1406*IF(A1406="SILVER",Summary!$B$5,Summary!$B$6)</f>
        <v>16453</v>
      </c>
      <c r="L1406" s="26" t="n">
        <v>0.083</v>
      </c>
      <c r="M1406" s="27" t="n">
        <f aca="false">IF(K1406&gt;0,1,0)</f>
        <v>1</v>
      </c>
      <c r="N1406" s="11" t="n">
        <f aca="false">SUMIFS(K$2:K1406,A$2:A1406,A1406,B$2:B1406,B1406)</f>
        <v>1596698</v>
      </c>
      <c r="O1406" s="11" t="n">
        <f aca="false">MAX(0,_xlfn.MAXIFS(N$2:N1406,A$2:A1406,A1406,B$2:B1406,B1406))</f>
        <v>1948085</v>
      </c>
      <c r="P1406" s="11" t="n">
        <f aca="false">N1406-O1406</f>
        <v>-351387</v>
      </c>
    </row>
    <row r="1407" customFormat="false" ht="15" hidden="false" customHeight="false" outlineLevel="0" collapsed="false">
      <c r="A1407" s="8" t="s">
        <v>45</v>
      </c>
      <c r="B1407" s="8" t="s">
        <v>39</v>
      </c>
      <c r="C1407" s="8" t="s">
        <v>60</v>
      </c>
      <c r="D1407" s="21" t="n">
        <v>45960.6145833333</v>
      </c>
      <c r="E1407" s="21" t="n">
        <v>45965.3854166667</v>
      </c>
      <c r="F1407" s="22" t="n">
        <f aca="false">DATE(YEAR(E1407),MONTH(E1407),1)</f>
        <v>45962</v>
      </c>
      <c r="G1407" s="23" t="n">
        <v>139670</v>
      </c>
      <c r="H1407" s="8" t="s">
        <v>61</v>
      </c>
      <c r="I1407" s="24" t="n">
        <v>-636.21</v>
      </c>
      <c r="J1407" s="25" t="n">
        <f aca="false">Summary!$B$4</f>
        <v>1</v>
      </c>
      <c r="K1407" s="11" t="n">
        <f aca="false">I1407*J1407*IF(A1407="SILVER",Summary!$B$5,Summary!$B$6)</f>
        <v>-63621</v>
      </c>
      <c r="L1407" s="26" t="n">
        <v>-0.261</v>
      </c>
      <c r="M1407" s="27" t="n">
        <f aca="false">IF(K1407&gt;0,1,0)</f>
        <v>0</v>
      </c>
      <c r="N1407" s="11" t="n">
        <f aca="false">SUMIFS(K$2:K1407,A$2:A1407,A1407,B$2:B1407,B1407)</f>
        <v>1533077</v>
      </c>
      <c r="O1407" s="11" t="n">
        <f aca="false">MAX(0,_xlfn.MAXIFS(N$2:N1407,A$2:A1407,A1407,B$2:B1407,B1407))</f>
        <v>1948085</v>
      </c>
      <c r="P1407" s="11" t="n">
        <f aca="false">N1407-O1407</f>
        <v>-415008</v>
      </c>
    </row>
    <row r="1408" customFormat="false" ht="15" hidden="false" customHeight="false" outlineLevel="0" collapsed="false">
      <c r="A1408" s="8" t="s">
        <v>45</v>
      </c>
      <c r="B1408" s="8" t="s">
        <v>39</v>
      </c>
      <c r="C1408" s="8" t="s">
        <v>60</v>
      </c>
      <c r="D1408" s="21" t="n">
        <v>45967.5520833333</v>
      </c>
      <c r="E1408" s="21" t="n">
        <v>45967.8854166667</v>
      </c>
      <c r="F1408" s="22" t="n">
        <f aca="false">DATE(YEAR(E1408),MONTH(E1408),1)</f>
        <v>45962</v>
      </c>
      <c r="G1408" s="23" t="n">
        <v>139472</v>
      </c>
      <c r="H1408" s="8" t="s">
        <v>61</v>
      </c>
      <c r="I1408" s="24" t="n">
        <v>-717.16</v>
      </c>
      <c r="J1408" s="25" t="n">
        <f aca="false">Summary!$B$4</f>
        <v>1</v>
      </c>
      <c r="K1408" s="11" t="n">
        <f aca="false">I1408*J1408*IF(A1408="SILVER",Summary!$B$5,Summary!$B$6)</f>
        <v>-71716</v>
      </c>
      <c r="L1408" s="26" t="n">
        <v>-0.702</v>
      </c>
      <c r="M1408" s="27" t="n">
        <f aca="false">IF(K1408&gt;0,1,0)</f>
        <v>0</v>
      </c>
      <c r="N1408" s="11" t="n">
        <f aca="false">SUMIFS(K$2:K1408,A$2:A1408,A1408,B$2:B1408,B1408)</f>
        <v>1461361</v>
      </c>
      <c r="O1408" s="11" t="n">
        <f aca="false">MAX(0,_xlfn.MAXIFS(N$2:N1408,A$2:A1408,A1408,B$2:B1408,B1408))</f>
        <v>1948085</v>
      </c>
      <c r="P1408" s="11" t="n">
        <f aca="false">N1408-O1408</f>
        <v>-486724</v>
      </c>
    </row>
    <row r="1409" customFormat="false" ht="15" hidden="false" customHeight="false" outlineLevel="0" collapsed="false">
      <c r="A1409" s="8" t="s">
        <v>45</v>
      </c>
      <c r="B1409" s="8" t="s">
        <v>39</v>
      </c>
      <c r="C1409" s="8" t="s">
        <v>60</v>
      </c>
      <c r="D1409" s="21" t="n">
        <v>45971.3854166667</v>
      </c>
      <c r="E1409" s="21" t="n">
        <v>45972.875</v>
      </c>
      <c r="F1409" s="22" t="n">
        <f aca="false">DATE(YEAR(E1409),MONTH(E1409),1)</f>
        <v>45962</v>
      </c>
      <c r="G1409" s="23" t="n">
        <v>140617</v>
      </c>
      <c r="H1409" s="8" t="s">
        <v>61</v>
      </c>
      <c r="I1409" s="24" t="n">
        <v>1168.42</v>
      </c>
      <c r="J1409" s="25" t="n">
        <f aca="false">Summary!$B$4</f>
        <v>1</v>
      </c>
      <c r="K1409" s="11" t="n">
        <f aca="false">I1409*J1409*IF(A1409="SILVER",Summary!$B$5,Summary!$B$6)</f>
        <v>116842</v>
      </c>
      <c r="L1409" s="26" t="n">
        <v>0.65</v>
      </c>
      <c r="M1409" s="27" t="n">
        <f aca="false">IF(K1409&gt;0,1,0)</f>
        <v>1</v>
      </c>
      <c r="N1409" s="11" t="n">
        <f aca="false">SUMIFS(K$2:K1409,A$2:A1409,A1409,B$2:B1409,B1409)</f>
        <v>1578203</v>
      </c>
      <c r="O1409" s="11" t="n">
        <f aca="false">MAX(0,_xlfn.MAXIFS(N$2:N1409,A$2:A1409,A1409,B$2:B1409,B1409))</f>
        <v>1948085</v>
      </c>
      <c r="P1409" s="11" t="n">
        <f aca="false">N1409-O1409</f>
        <v>-369882</v>
      </c>
    </row>
    <row r="1410" customFormat="false" ht="15" hidden="false" customHeight="false" outlineLevel="0" collapsed="false">
      <c r="A1410" s="8" t="s">
        <v>45</v>
      </c>
      <c r="B1410" s="8" t="s">
        <v>39</v>
      </c>
      <c r="C1410" s="8" t="s">
        <v>60</v>
      </c>
      <c r="D1410" s="21" t="n">
        <v>45973.8645833333</v>
      </c>
      <c r="E1410" s="21" t="n">
        <v>45974.84375</v>
      </c>
      <c r="F1410" s="22" t="n">
        <f aca="false">DATE(YEAR(E1410),MONTH(E1410),1)</f>
        <v>45962</v>
      </c>
      <c r="G1410" s="23" t="n">
        <v>143770</v>
      </c>
      <c r="H1410" s="8" t="s">
        <v>61</v>
      </c>
      <c r="I1410" s="24" t="n">
        <v>794.83</v>
      </c>
      <c r="J1410" s="25" t="n">
        <f aca="false">Summary!$B$4</f>
        <v>1</v>
      </c>
      <c r="K1410" s="11" t="n">
        <f aca="false">I1410*J1410*IF(A1410="SILVER",Summary!$B$5,Summary!$B$6)</f>
        <v>79483</v>
      </c>
      <c r="L1410" s="26" t="n">
        <v>0.46</v>
      </c>
      <c r="M1410" s="27" t="n">
        <f aca="false">IF(K1410&gt;0,1,0)</f>
        <v>1</v>
      </c>
      <c r="N1410" s="11" t="n">
        <f aca="false">SUMIFS(K$2:K1410,A$2:A1410,A1410,B$2:B1410,B1410)</f>
        <v>1657686</v>
      </c>
      <c r="O1410" s="11" t="n">
        <f aca="false">MAX(0,_xlfn.MAXIFS(N$2:N1410,A$2:A1410,A1410,B$2:B1410,B1410))</f>
        <v>1948085</v>
      </c>
      <c r="P1410" s="11" t="n">
        <f aca="false">N1410-O1410</f>
        <v>-290399</v>
      </c>
    </row>
    <row r="1411" customFormat="false" ht="15" hidden="false" customHeight="false" outlineLevel="0" collapsed="false">
      <c r="A1411" s="8" t="s">
        <v>45</v>
      </c>
      <c r="B1411" s="8" t="s">
        <v>39</v>
      </c>
      <c r="C1411" s="8" t="s">
        <v>60</v>
      </c>
      <c r="D1411" s="21" t="n">
        <v>45979.8229166667</v>
      </c>
      <c r="E1411" s="21" t="n">
        <v>45980.9138888889</v>
      </c>
      <c r="F1411" s="22" t="n">
        <f aca="false">DATE(YEAR(E1411),MONTH(E1411),1)</f>
        <v>45962</v>
      </c>
      <c r="G1411" s="23" t="n">
        <v>141169</v>
      </c>
      <c r="H1411" s="8" t="s">
        <v>64</v>
      </c>
      <c r="I1411" s="24" t="n">
        <v>145.65</v>
      </c>
      <c r="J1411" s="25" t="n">
        <f aca="false">Summary!$B$4</f>
        <v>1</v>
      </c>
      <c r="K1411" s="11" t="n">
        <f aca="false">I1411*J1411*IF(A1411="SILVER",Summary!$B$5,Summary!$B$6)</f>
        <v>14565</v>
      </c>
      <c r="L1411" s="26" t="n">
        <v>0.081</v>
      </c>
      <c r="M1411" s="27" t="n">
        <f aca="false">IF(K1411&gt;0,1,0)</f>
        <v>1</v>
      </c>
      <c r="N1411" s="11" t="n">
        <f aca="false">SUMIFS(K$2:K1411,A$2:A1411,A1411,B$2:B1411,B1411)</f>
        <v>1672251</v>
      </c>
      <c r="O1411" s="11" t="n">
        <f aca="false">MAX(0,_xlfn.MAXIFS(N$2:N1411,A$2:A1411,A1411,B$2:B1411,B1411))</f>
        <v>1948085</v>
      </c>
      <c r="P1411" s="11" t="n">
        <f aca="false">N1411-O1411</f>
        <v>-275834</v>
      </c>
    </row>
    <row r="1412" customFormat="false" ht="15" hidden="false" customHeight="false" outlineLevel="0" collapsed="false">
      <c r="A1412" s="8" t="s">
        <v>45</v>
      </c>
      <c r="B1412" s="8" t="s">
        <v>39</v>
      </c>
      <c r="C1412" s="8" t="s">
        <v>60</v>
      </c>
      <c r="D1412" s="21" t="n">
        <v>45982.7604166667</v>
      </c>
      <c r="E1412" s="21" t="n">
        <v>45993.625</v>
      </c>
      <c r="F1412" s="22" t="n">
        <f aca="false">DATE(YEAR(E1412),MONTH(E1412),1)</f>
        <v>45992</v>
      </c>
      <c r="G1412" s="23" t="n">
        <v>142000</v>
      </c>
      <c r="H1412" s="8" t="s">
        <v>61</v>
      </c>
      <c r="I1412" s="24" t="n">
        <v>3126.95</v>
      </c>
      <c r="J1412" s="25" t="n">
        <f aca="false">Summary!$B$4</f>
        <v>1</v>
      </c>
      <c r="K1412" s="11" t="n">
        <f aca="false">I1412*J1412*IF(A1412="SILVER",Summary!$B$5,Summary!$B$6)</f>
        <v>312695</v>
      </c>
      <c r="L1412" s="26" t="n">
        <v>1.725</v>
      </c>
      <c r="M1412" s="27" t="n">
        <f aca="false">IF(K1412&gt;0,1,0)</f>
        <v>1</v>
      </c>
      <c r="N1412" s="11" t="n">
        <f aca="false">SUMIFS(K$2:K1412,A$2:A1412,A1412,B$2:B1412,B1412)</f>
        <v>1984946</v>
      </c>
      <c r="O1412" s="11" t="n">
        <f aca="false">MAX(0,_xlfn.MAXIFS(N$2:N1412,A$2:A1412,A1412,B$2:B1412,B1412))</f>
        <v>1984946</v>
      </c>
      <c r="P1412" s="11" t="n">
        <f aca="false">N1412-O1412</f>
        <v>0</v>
      </c>
    </row>
    <row r="1413" customFormat="false" ht="15" hidden="false" customHeight="false" outlineLevel="0" collapsed="false">
      <c r="A1413" s="8" t="s">
        <v>45</v>
      </c>
      <c r="B1413" s="8" t="s">
        <v>39</v>
      </c>
      <c r="C1413" s="8" t="s">
        <v>60</v>
      </c>
      <c r="D1413" s="21" t="n">
        <v>45994.3888888889</v>
      </c>
      <c r="E1413" s="21" t="n">
        <v>45995.8041666667</v>
      </c>
      <c r="F1413" s="22" t="n">
        <f aca="false">DATE(YEAR(E1413),MONTH(E1413),1)</f>
        <v>45992</v>
      </c>
      <c r="G1413" s="23" t="n">
        <v>146331</v>
      </c>
      <c r="H1413" s="8" t="s">
        <v>61</v>
      </c>
      <c r="I1413" s="24" t="n">
        <v>-1092.5</v>
      </c>
      <c r="J1413" s="25" t="n">
        <f aca="false">Summary!$B$4</f>
        <v>1</v>
      </c>
      <c r="K1413" s="11" t="n">
        <f aca="false">I1413*J1413*IF(A1413="SILVER",Summary!$B$5,Summary!$B$6)</f>
        <v>-109250</v>
      </c>
      <c r="L1413" s="26" t="n">
        <v>-0.699</v>
      </c>
      <c r="M1413" s="27" t="n">
        <f aca="false">IF(K1413&gt;0,1,0)</f>
        <v>0</v>
      </c>
      <c r="N1413" s="11" t="n">
        <f aca="false">SUMIFS(K$2:K1413,A$2:A1413,A1413,B$2:B1413,B1413)</f>
        <v>1875696</v>
      </c>
      <c r="O1413" s="11" t="n">
        <f aca="false">MAX(0,_xlfn.MAXIFS(N$2:N1413,A$2:A1413,A1413,B$2:B1413,B1413))</f>
        <v>1984946</v>
      </c>
      <c r="P1413" s="11" t="n">
        <f aca="false">N1413-O1413</f>
        <v>-109250</v>
      </c>
    </row>
    <row r="1414" customFormat="false" ht="15" hidden="false" customHeight="false" outlineLevel="0" collapsed="false">
      <c r="A1414" s="8" t="s">
        <v>45</v>
      </c>
      <c r="B1414" s="8" t="s">
        <v>39</v>
      </c>
      <c r="C1414" s="8" t="s">
        <v>60</v>
      </c>
      <c r="D1414" s="21" t="n">
        <v>45996.6777777778</v>
      </c>
      <c r="E1414" s="21" t="n">
        <v>45999.8569444444</v>
      </c>
      <c r="F1414" s="22" t="n">
        <f aca="false">DATE(YEAR(E1414),MONTH(E1414),1)</f>
        <v>45992</v>
      </c>
      <c r="G1414" s="23" t="n">
        <v>146625</v>
      </c>
      <c r="H1414" s="8" t="s">
        <v>64</v>
      </c>
      <c r="I1414" s="24" t="n">
        <v>46.28</v>
      </c>
      <c r="J1414" s="25" t="n">
        <f aca="false">Summary!$B$4</f>
        <v>1</v>
      </c>
      <c r="K1414" s="11" t="n">
        <f aca="false">I1414*J1414*IF(A1414="SILVER",Summary!$B$5,Summary!$B$6)</f>
        <v>4628</v>
      </c>
      <c r="L1414" s="26" t="n">
        <v>0.036</v>
      </c>
      <c r="M1414" s="27" t="n">
        <f aca="false">IF(K1414&gt;0,1,0)</f>
        <v>1</v>
      </c>
      <c r="N1414" s="11" t="n">
        <f aca="false">SUMIFS(K$2:K1414,A$2:A1414,A1414,B$2:B1414,B1414)</f>
        <v>1880324</v>
      </c>
      <c r="O1414" s="11" t="n">
        <f aca="false">MAX(0,_xlfn.MAXIFS(N$2:N1414,A$2:A1414,A1414,B$2:B1414,B1414))</f>
        <v>1984946</v>
      </c>
      <c r="P1414" s="11" t="n">
        <f aca="false">N1414-O1414</f>
        <v>-104622</v>
      </c>
    </row>
    <row r="1415" customFormat="false" ht="15" hidden="false" customHeight="false" outlineLevel="0" collapsed="false">
      <c r="A1415" s="8" t="s">
        <v>45</v>
      </c>
      <c r="B1415" s="8" t="s">
        <v>39</v>
      </c>
      <c r="C1415" s="8" t="s">
        <v>60</v>
      </c>
      <c r="D1415" s="21" t="n">
        <v>46000.8958333333</v>
      </c>
      <c r="E1415" s="21" t="n">
        <v>46003.875</v>
      </c>
      <c r="F1415" s="22" t="n">
        <f aca="false">DATE(YEAR(E1415),MONTH(E1415),1)</f>
        <v>45992</v>
      </c>
      <c r="G1415" s="23" t="n">
        <v>147220</v>
      </c>
      <c r="H1415" s="8" t="s">
        <v>61</v>
      </c>
      <c r="I1415" s="24" t="n">
        <v>3265.61</v>
      </c>
      <c r="J1415" s="25" t="n">
        <f aca="false">Summary!$B$4</f>
        <v>1</v>
      </c>
      <c r="K1415" s="11" t="n">
        <f aca="false">I1415*J1415*IF(A1415="SILVER",Summary!$B$5,Summary!$B$6)</f>
        <v>326561</v>
      </c>
      <c r="L1415" s="26" t="n">
        <v>2.999</v>
      </c>
      <c r="M1415" s="27" t="n">
        <f aca="false">IF(K1415&gt;0,1,0)</f>
        <v>1</v>
      </c>
      <c r="N1415" s="11" t="n">
        <f aca="false">SUMIFS(K$2:K1415,A$2:A1415,A1415,B$2:B1415,B1415)</f>
        <v>2206885</v>
      </c>
      <c r="O1415" s="11" t="n">
        <f aca="false">MAX(0,_xlfn.MAXIFS(N$2:N1415,A$2:A1415,A1415,B$2:B1415,B1415))</f>
        <v>2206885</v>
      </c>
      <c r="P1415" s="11" t="n">
        <f aca="false">N1415-O1415</f>
        <v>0</v>
      </c>
    </row>
    <row r="1416" customFormat="false" ht="15" hidden="false" customHeight="false" outlineLevel="0" collapsed="false">
      <c r="A1416" s="8" t="s">
        <v>45</v>
      </c>
      <c r="B1416" s="8" t="s">
        <v>39</v>
      </c>
      <c r="C1416" s="8" t="s">
        <v>60</v>
      </c>
      <c r="D1416" s="21" t="n">
        <v>46006.5104166667</v>
      </c>
      <c r="E1416" s="21" t="n">
        <v>46006.90625</v>
      </c>
      <c r="F1416" s="22" t="n">
        <f aca="false">DATE(YEAR(E1416),MONTH(E1416),1)</f>
        <v>45992</v>
      </c>
      <c r="G1416" s="23" t="n">
        <v>152365</v>
      </c>
      <c r="H1416" s="8" t="s">
        <v>61</v>
      </c>
      <c r="I1416" s="24" t="n">
        <v>-1351.96</v>
      </c>
      <c r="J1416" s="25" t="n">
        <f aca="false">Summary!$B$4</f>
        <v>1</v>
      </c>
      <c r="K1416" s="11" t="n">
        <f aca="false">I1416*J1416*IF(A1416="SILVER",Summary!$B$5,Summary!$B$6)</f>
        <v>-135196</v>
      </c>
      <c r="L1416" s="26" t="n">
        <v>-0.674</v>
      </c>
      <c r="M1416" s="27" t="n">
        <f aca="false">IF(K1416&gt;0,1,0)</f>
        <v>0</v>
      </c>
      <c r="N1416" s="11" t="n">
        <f aca="false">SUMIFS(K$2:K1416,A$2:A1416,A1416,B$2:B1416,B1416)</f>
        <v>2071689</v>
      </c>
      <c r="O1416" s="11" t="n">
        <f aca="false">MAX(0,_xlfn.MAXIFS(N$2:N1416,A$2:A1416,A1416,B$2:B1416,B1416))</f>
        <v>2206885</v>
      </c>
      <c r="P1416" s="11" t="n">
        <f aca="false">N1416-O1416</f>
        <v>-135196</v>
      </c>
    </row>
    <row r="1417" customFormat="false" ht="15" hidden="false" customHeight="false" outlineLevel="0" collapsed="false">
      <c r="A1417" s="8" t="s">
        <v>45</v>
      </c>
      <c r="B1417" s="8" t="s">
        <v>39</v>
      </c>
      <c r="C1417" s="8" t="s">
        <v>60</v>
      </c>
      <c r="D1417" s="21" t="n">
        <v>46007.8125</v>
      </c>
      <c r="E1417" s="21" t="n">
        <v>46008.3958333333</v>
      </c>
      <c r="F1417" s="22" t="n">
        <f aca="false">DATE(YEAR(E1417),MONTH(E1417),1)</f>
        <v>45992</v>
      </c>
      <c r="G1417" s="23" t="n">
        <v>151637</v>
      </c>
      <c r="H1417" s="8" t="s">
        <v>61</v>
      </c>
      <c r="I1417" s="24" t="n">
        <v>-909.85</v>
      </c>
      <c r="J1417" s="25" t="n">
        <f aca="false">Summary!$B$4</f>
        <v>1</v>
      </c>
      <c r="K1417" s="11" t="n">
        <f aca="false">I1417*J1417*IF(A1417="SILVER",Summary!$B$5,Summary!$B$6)</f>
        <v>-90985</v>
      </c>
      <c r="L1417" s="26" t="n">
        <v>-0.696</v>
      </c>
      <c r="M1417" s="27" t="n">
        <f aca="false">IF(K1417&gt;0,1,0)</f>
        <v>0</v>
      </c>
      <c r="N1417" s="11" t="n">
        <f aca="false">SUMIFS(K$2:K1417,A$2:A1417,A1417,B$2:B1417,B1417)</f>
        <v>1980704</v>
      </c>
      <c r="O1417" s="11" t="n">
        <f aca="false">MAX(0,_xlfn.MAXIFS(N$2:N1417,A$2:A1417,A1417,B$2:B1417,B1417))</f>
        <v>2206885</v>
      </c>
      <c r="P1417" s="11" t="n">
        <f aca="false">N1417-O1417</f>
        <v>-226181</v>
      </c>
    </row>
    <row r="1418" customFormat="false" ht="15" hidden="false" customHeight="false" outlineLevel="0" collapsed="false">
      <c r="A1418" s="8" t="s">
        <v>45</v>
      </c>
      <c r="B1418" s="8" t="s">
        <v>39</v>
      </c>
      <c r="C1418" s="8" t="s">
        <v>60</v>
      </c>
      <c r="D1418" s="21" t="n">
        <v>46009.90625</v>
      </c>
      <c r="E1418" s="21" t="n">
        <v>46010.3854166667</v>
      </c>
      <c r="F1418" s="22" t="n">
        <f aca="false">DATE(YEAR(E1418),MONTH(E1418),1)</f>
        <v>45992</v>
      </c>
      <c r="G1418" s="23" t="n">
        <v>152187</v>
      </c>
      <c r="H1418" s="8" t="s">
        <v>61</v>
      </c>
      <c r="I1418" s="24" t="n">
        <v>-1482.91</v>
      </c>
      <c r="J1418" s="25" t="n">
        <f aca="false">Summary!$B$4</f>
        <v>1</v>
      </c>
      <c r="K1418" s="11" t="n">
        <f aca="false">I1418*J1418*IF(A1418="SILVER",Summary!$B$5,Summary!$B$6)</f>
        <v>-148291</v>
      </c>
      <c r="L1418" s="26" t="n">
        <v>-0.962</v>
      </c>
      <c r="M1418" s="27" t="n">
        <f aca="false">IF(K1418&gt;0,1,0)</f>
        <v>0</v>
      </c>
      <c r="N1418" s="11" t="n">
        <f aca="false">SUMIFS(K$2:K1418,A$2:A1418,A1418,B$2:B1418,B1418)</f>
        <v>1832413</v>
      </c>
      <c r="O1418" s="11" t="n">
        <f aca="false">MAX(0,_xlfn.MAXIFS(N$2:N1418,A$2:A1418,A1418,B$2:B1418,B1418))</f>
        <v>2206885</v>
      </c>
      <c r="P1418" s="11" t="n">
        <f aca="false">N1418-O1418</f>
        <v>-374472</v>
      </c>
    </row>
    <row r="1419" customFormat="false" ht="15" hidden="false" customHeight="false" outlineLevel="0" collapsed="false">
      <c r="A1419" s="8" t="s">
        <v>45</v>
      </c>
      <c r="B1419" s="8" t="s">
        <v>39</v>
      </c>
      <c r="C1419" s="8" t="s">
        <v>60</v>
      </c>
      <c r="D1419" s="21" t="n">
        <v>46013.3854166667</v>
      </c>
      <c r="E1419" s="21" t="n">
        <v>46014.84375</v>
      </c>
      <c r="F1419" s="22" t="n">
        <f aca="false">DATE(YEAR(E1419),MONTH(E1419),1)</f>
        <v>45992</v>
      </c>
      <c r="G1419" s="23" t="n">
        <v>152153</v>
      </c>
      <c r="H1419" s="8" t="s">
        <v>61</v>
      </c>
      <c r="I1419" s="24" t="n">
        <v>2008.75</v>
      </c>
      <c r="J1419" s="25" t="n">
        <f aca="false">Summary!$B$4</f>
        <v>1</v>
      </c>
      <c r="K1419" s="11" t="n">
        <f aca="false">I1419*J1419*IF(A1419="SILVER",Summary!$B$5,Summary!$B$6)</f>
        <v>200875</v>
      </c>
      <c r="L1419" s="26" t="n">
        <v>1.408</v>
      </c>
      <c r="M1419" s="27" t="n">
        <f aca="false">IF(K1419&gt;0,1,0)</f>
        <v>1</v>
      </c>
      <c r="N1419" s="11" t="n">
        <f aca="false">SUMIFS(K$2:K1419,A$2:A1419,A1419,B$2:B1419,B1419)</f>
        <v>2033288</v>
      </c>
      <c r="O1419" s="11" t="n">
        <f aca="false">MAX(0,_xlfn.MAXIFS(N$2:N1419,A$2:A1419,A1419,B$2:B1419,B1419))</f>
        <v>2206885</v>
      </c>
      <c r="P1419" s="11" t="n">
        <f aca="false">N1419-O1419</f>
        <v>-173597</v>
      </c>
    </row>
    <row r="1420" customFormat="false" ht="15" hidden="false" customHeight="false" outlineLevel="0" collapsed="false">
      <c r="A1420" s="8" t="s">
        <v>45</v>
      </c>
      <c r="B1420" s="8" t="s">
        <v>39</v>
      </c>
      <c r="C1420" s="8" t="s">
        <v>60</v>
      </c>
      <c r="D1420" s="21" t="n">
        <v>46015.3854166667</v>
      </c>
      <c r="E1420" s="21" t="n">
        <v>46015.8854166667</v>
      </c>
      <c r="F1420" s="22" t="n">
        <f aca="false">DATE(YEAR(E1420),MONTH(E1420),1)</f>
        <v>45992</v>
      </c>
      <c r="G1420" s="23" t="n">
        <v>155283</v>
      </c>
      <c r="H1420" s="8" t="s">
        <v>61</v>
      </c>
      <c r="I1420" s="24" t="n">
        <v>-999.58</v>
      </c>
      <c r="J1420" s="25" t="n">
        <f aca="false">Summary!$B$4</f>
        <v>1</v>
      </c>
      <c r="K1420" s="11" t="n">
        <f aca="false">I1420*J1420*IF(A1420="SILVER",Summary!$B$5,Summary!$B$6)</f>
        <v>-99958</v>
      </c>
      <c r="L1420" s="26" t="n">
        <v>-0.605</v>
      </c>
      <c r="M1420" s="27" t="n">
        <f aca="false">IF(K1420&gt;0,1,0)</f>
        <v>0</v>
      </c>
      <c r="N1420" s="11" t="n">
        <f aca="false">SUMIFS(K$2:K1420,A$2:A1420,A1420,B$2:B1420,B1420)</f>
        <v>1933330</v>
      </c>
      <c r="O1420" s="11" t="n">
        <f aca="false">MAX(0,_xlfn.MAXIFS(N$2:N1420,A$2:A1420,A1420,B$2:B1420,B1420))</f>
        <v>2206885</v>
      </c>
      <c r="P1420" s="11" t="n">
        <f aca="false">N1420-O1420</f>
        <v>-273555</v>
      </c>
    </row>
    <row r="1421" customFormat="false" ht="15" hidden="false" customHeight="false" outlineLevel="0" collapsed="false">
      <c r="A1421" s="8" t="s">
        <v>45</v>
      </c>
      <c r="B1421" s="8" t="s">
        <v>39</v>
      </c>
      <c r="C1421" s="8" t="s">
        <v>60</v>
      </c>
      <c r="D1421" s="21" t="n">
        <v>46017.3854166667</v>
      </c>
      <c r="E1421" s="21" t="n">
        <v>46020.4986111111</v>
      </c>
      <c r="F1421" s="22" t="n">
        <f aca="false">DATE(YEAR(E1421),MONTH(E1421),1)</f>
        <v>45992</v>
      </c>
      <c r="G1421" s="23" t="n">
        <v>155901</v>
      </c>
      <c r="H1421" s="8" t="s">
        <v>64</v>
      </c>
      <c r="I1421" s="24" t="n">
        <v>134.5</v>
      </c>
      <c r="J1421" s="25" t="n">
        <f aca="false">Summary!$B$4</f>
        <v>1</v>
      </c>
      <c r="K1421" s="11" t="n">
        <f aca="false">I1421*J1421*IF(A1421="SILVER",Summary!$B$5,Summary!$B$6)</f>
        <v>13450</v>
      </c>
      <c r="L1421" s="26" t="n">
        <v>0.078</v>
      </c>
      <c r="M1421" s="27" t="n">
        <f aca="false">IF(K1421&gt;0,1,0)</f>
        <v>1</v>
      </c>
      <c r="N1421" s="11" t="n">
        <f aca="false">SUMIFS(K$2:K1421,A$2:A1421,A1421,B$2:B1421,B1421)</f>
        <v>1946780</v>
      </c>
      <c r="O1421" s="11" t="n">
        <f aca="false">MAX(0,_xlfn.MAXIFS(N$2:N1421,A$2:A1421,A1421,B$2:B1421,B1421))</f>
        <v>2206885</v>
      </c>
      <c r="P1421" s="11" t="n">
        <f aca="false">N1421-O1421</f>
        <v>-260105</v>
      </c>
    </row>
    <row r="1422" customFormat="false" ht="15" hidden="false" customHeight="false" outlineLevel="0" collapsed="false">
      <c r="A1422" s="8" t="s">
        <v>45</v>
      </c>
      <c r="B1422" s="8" t="s">
        <v>39</v>
      </c>
      <c r="C1422" s="8" t="s">
        <v>60</v>
      </c>
      <c r="D1422" s="21" t="n">
        <v>46024.3854166667</v>
      </c>
      <c r="E1422" s="21" t="n">
        <v>46024.8645833333</v>
      </c>
      <c r="F1422" s="22" t="n">
        <f aca="false">DATE(YEAR(E1422),MONTH(E1422),1)</f>
        <v>46023</v>
      </c>
      <c r="G1422" s="23" t="n">
        <v>153651</v>
      </c>
      <c r="H1422" s="8" t="s">
        <v>61</v>
      </c>
      <c r="I1422" s="24" t="n">
        <v>-817.27</v>
      </c>
      <c r="J1422" s="25" t="n">
        <f aca="false">Summary!$B$4</f>
        <v>1</v>
      </c>
      <c r="K1422" s="11" t="n">
        <f aca="false">I1422*J1422*IF(A1422="SILVER",Summary!$B$5,Summary!$B$6)</f>
        <v>-81727</v>
      </c>
      <c r="L1422" s="26" t="n">
        <v>-0.659</v>
      </c>
      <c r="M1422" s="27" t="n">
        <f aca="false">IF(K1422&gt;0,1,0)</f>
        <v>0</v>
      </c>
      <c r="N1422" s="11" t="n">
        <f aca="false">SUMIFS(K$2:K1422,A$2:A1422,A1422,B$2:B1422,B1422)</f>
        <v>1865053</v>
      </c>
      <c r="O1422" s="11" t="n">
        <f aca="false">MAX(0,_xlfn.MAXIFS(N$2:N1422,A$2:A1422,A1422,B$2:B1422,B1422))</f>
        <v>2206885</v>
      </c>
      <c r="P1422" s="11" t="n">
        <f aca="false">N1422-O1422</f>
        <v>-341832</v>
      </c>
    </row>
    <row r="1423" customFormat="false" ht="15" hidden="false" customHeight="false" outlineLevel="0" collapsed="false">
      <c r="A1423" s="8" t="s">
        <v>45</v>
      </c>
      <c r="B1423" s="8" t="s">
        <v>39</v>
      </c>
      <c r="C1423" s="8" t="s">
        <v>60</v>
      </c>
      <c r="D1423" s="21" t="n">
        <v>46027.3854166667</v>
      </c>
      <c r="E1423" s="21" t="n">
        <v>46029.5104166667</v>
      </c>
      <c r="F1423" s="22" t="n">
        <f aca="false">DATE(YEAR(E1423),MONTH(E1423),1)</f>
        <v>46023</v>
      </c>
      <c r="G1423" s="23" t="n">
        <v>154271</v>
      </c>
      <c r="H1423" s="8" t="s">
        <v>61</v>
      </c>
      <c r="I1423" s="24" t="n">
        <v>562.47</v>
      </c>
      <c r="J1423" s="25" t="n">
        <f aca="false">Summary!$B$4</f>
        <v>1</v>
      </c>
      <c r="K1423" s="11" t="n">
        <f aca="false">I1423*J1423*IF(A1423="SILVER",Summary!$B$5,Summary!$B$6)</f>
        <v>56247</v>
      </c>
      <c r="L1423" s="26" t="n">
        <v>0.269</v>
      </c>
      <c r="M1423" s="27" t="n">
        <f aca="false">IF(K1423&gt;0,1,0)</f>
        <v>1</v>
      </c>
      <c r="N1423" s="11" t="n">
        <f aca="false">SUMIFS(K$2:K1423,A$2:A1423,A1423,B$2:B1423,B1423)</f>
        <v>1921300</v>
      </c>
      <c r="O1423" s="11" t="n">
        <f aca="false">MAX(0,_xlfn.MAXIFS(N$2:N1423,A$2:A1423,A1423,B$2:B1423,B1423))</f>
        <v>2206885</v>
      </c>
      <c r="P1423" s="11" t="n">
        <f aca="false">N1423-O1423</f>
        <v>-285585</v>
      </c>
    </row>
    <row r="1424" customFormat="false" ht="15" hidden="false" customHeight="false" outlineLevel="0" collapsed="false">
      <c r="A1424" s="8" t="s">
        <v>45</v>
      </c>
      <c r="B1424" s="8" t="s">
        <v>39</v>
      </c>
      <c r="C1424" s="8" t="s">
        <v>60</v>
      </c>
      <c r="D1424" s="21" t="n">
        <v>46030.9270833333</v>
      </c>
      <c r="E1424" s="21" t="n">
        <v>46037.8020833333</v>
      </c>
      <c r="F1424" s="22" t="n">
        <f aca="false">DATE(YEAR(E1424),MONTH(E1424),1)</f>
        <v>46023</v>
      </c>
      <c r="G1424" s="23" t="n">
        <v>154782</v>
      </c>
      <c r="H1424" s="8" t="s">
        <v>61</v>
      </c>
      <c r="I1424" s="24" t="n">
        <v>4291</v>
      </c>
      <c r="J1424" s="25" t="n">
        <f aca="false">Summary!$B$4</f>
        <v>1</v>
      </c>
      <c r="K1424" s="11" t="n">
        <f aca="false">I1424*J1424*IF(A1424="SILVER",Summary!$B$5,Summary!$B$6)</f>
        <v>429100</v>
      </c>
      <c r="L1424" s="26" t="n">
        <v>2.688</v>
      </c>
      <c r="M1424" s="27" t="n">
        <f aca="false">IF(K1424&gt;0,1,0)</f>
        <v>1</v>
      </c>
      <c r="N1424" s="11" t="n">
        <f aca="false">SUMIFS(K$2:K1424,A$2:A1424,A1424,B$2:B1424,B1424)</f>
        <v>2350400</v>
      </c>
      <c r="O1424" s="11" t="n">
        <f aca="false">MAX(0,_xlfn.MAXIFS(N$2:N1424,A$2:A1424,A1424,B$2:B1424,B1424))</f>
        <v>2350400</v>
      </c>
      <c r="P1424" s="11" t="n">
        <f aca="false">N1424-O1424</f>
        <v>0</v>
      </c>
    </row>
    <row r="1425" customFormat="false" ht="15" hidden="false" customHeight="false" outlineLevel="0" collapsed="false">
      <c r="A1425" s="8" t="s">
        <v>45</v>
      </c>
      <c r="B1425" s="8" t="s">
        <v>39</v>
      </c>
      <c r="C1425" s="8" t="s">
        <v>60</v>
      </c>
      <c r="D1425" s="21" t="n">
        <v>46041.3854166667</v>
      </c>
      <c r="E1425" s="21" t="n">
        <v>46043.8541666667</v>
      </c>
      <c r="F1425" s="22" t="n">
        <f aca="false">DATE(YEAR(E1425),MONTH(E1425),1)</f>
        <v>46023</v>
      </c>
      <c r="G1425" s="23" t="n">
        <v>161415</v>
      </c>
      <c r="H1425" s="8" t="s">
        <v>61</v>
      </c>
      <c r="I1425" s="24" t="n">
        <v>8816.21</v>
      </c>
      <c r="J1425" s="25" t="n">
        <f aca="false">Summary!$B$4</f>
        <v>1</v>
      </c>
      <c r="K1425" s="11" t="n">
        <f aca="false">I1425*J1425*IF(A1425="SILVER",Summary!$B$5,Summary!$B$6)</f>
        <v>881621</v>
      </c>
      <c r="L1425" s="26" t="n">
        <v>3.527</v>
      </c>
      <c r="M1425" s="27" t="n">
        <f aca="false">IF(K1425&gt;0,1,0)</f>
        <v>1</v>
      </c>
      <c r="N1425" s="11" t="n">
        <f aca="false">SUMIFS(K$2:K1425,A$2:A1425,A1425,B$2:B1425,B1425)</f>
        <v>3232021</v>
      </c>
      <c r="O1425" s="11" t="n">
        <f aca="false">MAX(0,_xlfn.MAXIFS(N$2:N1425,A$2:A1425,A1425,B$2:B1425,B1425))</f>
        <v>3232021</v>
      </c>
      <c r="P1425" s="11" t="n">
        <f aca="false">N1425-O1425</f>
        <v>0</v>
      </c>
    </row>
    <row r="1426" customFormat="false" ht="15" hidden="false" customHeight="false" outlineLevel="0" collapsed="false">
      <c r="A1426" s="8" t="s">
        <v>45</v>
      </c>
      <c r="B1426" s="8" t="s">
        <v>39</v>
      </c>
      <c r="C1426" s="8" t="s">
        <v>60</v>
      </c>
      <c r="D1426" s="21" t="n">
        <v>46044.90625</v>
      </c>
      <c r="E1426" s="21" t="n">
        <v>46051.8645833333</v>
      </c>
      <c r="F1426" s="22" t="n">
        <f aca="false">DATE(YEAR(E1426),MONTH(E1426),1)</f>
        <v>46023</v>
      </c>
      <c r="G1426" s="23" t="n">
        <v>171128</v>
      </c>
      <c r="H1426" s="8" t="s">
        <v>61</v>
      </c>
      <c r="I1426" s="24" t="n">
        <v>15850.53</v>
      </c>
      <c r="J1426" s="25" t="n">
        <f aca="false">Summary!$B$4</f>
        <v>1</v>
      </c>
      <c r="K1426" s="11" t="n">
        <f aca="false">I1426*J1426*IF(A1426="SILVER",Summary!$B$5,Summary!$B$6)</f>
        <v>1585053</v>
      </c>
      <c r="L1426" s="26" t="n">
        <v>4.32</v>
      </c>
      <c r="M1426" s="27" t="n">
        <f aca="false">IF(K1426&gt;0,1,0)</f>
        <v>1</v>
      </c>
      <c r="N1426" s="11" t="n">
        <f aca="false">SUMIFS(K$2:K1426,A$2:A1426,A1426,B$2:B1426,B1426)</f>
        <v>4817074</v>
      </c>
      <c r="O1426" s="11" t="n">
        <f aca="false">MAX(0,_xlfn.MAXIFS(N$2:N1426,A$2:A1426,A1426,B$2:B1426,B1426))</f>
        <v>4817074</v>
      </c>
      <c r="P1426" s="11" t="n">
        <f aca="false">N1426-O1426</f>
        <v>0</v>
      </c>
    </row>
    <row r="1427" customFormat="false" ht="15" hidden="false" customHeight="false" outlineLevel="0" collapsed="false">
      <c r="A1427" s="8" t="s">
        <v>45</v>
      </c>
      <c r="B1427" s="8" t="s">
        <v>39</v>
      </c>
      <c r="C1427" s="8" t="s">
        <v>62</v>
      </c>
      <c r="D1427" s="21" t="n">
        <v>46057.875</v>
      </c>
      <c r="E1427" s="21" t="n">
        <v>46059.7972222222</v>
      </c>
      <c r="F1427" s="22" t="n">
        <f aca="false">DATE(YEAR(E1427),MONTH(E1427),1)</f>
        <v>46054</v>
      </c>
      <c r="G1427" s="23" t="n">
        <v>162808</v>
      </c>
      <c r="H1427" s="8" t="s">
        <v>64</v>
      </c>
      <c r="I1427" s="24" t="n">
        <v>526.71</v>
      </c>
      <c r="J1427" s="25" t="n">
        <f aca="false">Summary!$B$4</f>
        <v>1</v>
      </c>
      <c r="K1427" s="11" t="n">
        <f aca="false">I1427*J1427*IF(A1427="SILVER",Summary!$B$5,Summary!$B$6)</f>
        <v>52671</v>
      </c>
      <c r="L1427" s="26" t="n">
        <v>0.093</v>
      </c>
      <c r="M1427" s="27" t="n">
        <f aca="false">IF(K1427&gt;0,1,0)</f>
        <v>1</v>
      </c>
      <c r="N1427" s="11" t="n">
        <f aca="false">SUMIFS(K$2:K1427,A$2:A1427,A1427,B$2:B1427,B1427)</f>
        <v>4869745</v>
      </c>
      <c r="O1427" s="11" t="n">
        <f aca="false">MAX(0,_xlfn.MAXIFS(N$2:N1427,A$2:A1427,A1427,B$2:B1427,B1427))</f>
        <v>4869745</v>
      </c>
      <c r="P1427" s="11" t="n">
        <f aca="false">N1427-O1427</f>
        <v>0</v>
      </c>
    </row>
    <row r="1428" customFormat="false" ht="15" hidden="false" customHeight="false" outlineLevel="0" collapsed="false">
      <c r="A1428" s="8" t="s">
        <v>45</v>
      </c>
      <c r="B1428" s="8" t="s">
        <v>39</v>
      </c>
      <c r="C1428" s="8" t="s">
        <v>62</v>
      </c>
      <c r="D1428" s="21" t="n">
        <v>46063.9166666667</v>
      </c>
      <c r="E1428" s="21" t="n">
        <v>46064.6770833333</v>
      </c>
      <c r="F1428" s="22" t="n">
        <f aca="false">DATE(YEAR(E1428),MONTH(E1428),1)</f>
        <v>46054</v>
      </c>
      <c r="G1428" s="23" t="n">
        <v>164103</v>
      </c>
      <c r="H1428" s="8" t="s">
        <v>61</v>
      </c>
      <c r="I1428" s="24" t="n">
        <v>-2639.58</v>
      </c>
      <c r="J1428" s="25" t="n">
        <f aca="false">Summary!$B$4</f>
        <v>1</v>
      </c>
      <c r="K1428" s="11" t="n">
        <f aca="false">I1428*J1428*IF(A1428="SILVER",Summary!$B$5,Summary!$B$6)</f>
        <v>-263958</v>
      </c>
      <c r="L1428" s="26" t="n">
        <v>-1.008</v>
      </c>
      <c r="M1428" s="27" t="n">
        <f aca="false">IF(K1428&gt;0,1,0)</f>
        <v>0</v>
      </c>
      <c r="N1428" s="11" t="n">
        <f aca="false">SUMIFS(K$2:K1428,A$2:A1428,A1428,B$2:B1428,B1428)</f>
        <v>4605787</v>
      </c>
      <c r="O1428" s="11" t="n">
        <f aca="false">MAX(0,_xlfn.MAXIFS(N$2:N1428,A$2:A1428,A1428,B$2:B1428,B1428))</f>
        <v>4869745</v>
      </c>
      <c r="P1428" s="11" t="n">
        <f aca="false">N1428-O1428</f>
        <v>-263958</v>
      </c>
    </row>
    <row r="1429" customFormat="false" ht="15" hidden="false" customHeight="false" outlineLevel="0" collapsed="false">
      <c r="A1429" s="8" t="s">
        <v>45</v>
      </c>
      <c r="B1429" s="8" t="s">
        <v>39</v>
      </c>
      <c r="C1429" s="8" t="s">
        <v>62</v>
      </c>
      <c r="D1429" s="21" t="n">
        <v>46064.84375</v>
      </c>
      <c r="E1429" s="21" t="n">
        <v>46066.9895833333</v>
      </c>
      <c r="F1429" s="22" t="n">
        <f aca="false">DATE(YEAR(E1429),MONTH(E1429),1)</f>
        <v>46054</v>
      </c>
      <c r="G1429" s="23" t="n">
        <v>165425</v>
      </c>
      <c r="H1429" s="8" t="s">
        <v>61</v>
      </c>
      <c r="I1429" s="24" t="n">
        <v>1899.61</v>
      </c>
      <c r="J1429" s="25" t="n">
        <f aca="false">Summary!$B$4</f>
        <v>1</v>
      </c>
      <c r="K1429" s="11" t="n">
        <f aca="false">I1429*J1429*IF(A1429="SILVER",Summary!$B$5,Summary!$B$6)</f>
        <v>189961</v>
      </c>
      <c r="L1429" s="26" t="n">
        <v>0.635</v>
      </c>
      <c r="M1429" s="27" t="n">
        <f aca="false">IF(K1429&gt;0,1,0)</f>
        <v>1</v>
      </c>
      <c r="N1429" s="11" t="n">
        <f aca="false">SUMIFS(K$2:K1429,A$2:A1429,A1429,B$2:B1429,B1429)</f>
        <v>4795748</v>
      </c>
      <c r="O1429" s="11" t="n">
        <f aca="false">MAX(0,_xlfn.MAXIFS(N$2:N1429,A$2:A1429,A1429,B$2:B1429,B1429))</f>
        <v>4869745</v>
      </c>
      <c r="P1429" s="11" t="n">
        <f aca="false">N1429-O1429</f>
        <v>-73997</v>
      </c>
    </row>
    <row r="1430" customFormat="false" ht="15" hidden="false" customHeight="false" outlineLevel="0" collapsed="false">
      <c r="A1430" s="8" t="s">
        <v>45</v>
      </c>
      <c r="B1430" s="8" t="s">
        <v>39</v>
      </c>
      <c r="C1430" s="8" t="s">
        <v>62</v>
      </c>
      <c r="D1430" s="21" t="n">
        <v>46070.3854166667</v>
      </c>
      <c r="E1430" s="21" t="n">
        <v>46070.7395833333</v>
      </c>
      <c r="F1430" s="22" t="n">
        <f aca="false">DATE(YEAR(E1430),MONTH(E1430),1)</f>
        <v>46054</v>
      </c>
      <c r="G1430" s="23" t="n">
        <v>161252</v>
      </c>
      <c r="H1430" s="8" t="s">
        <v>64</v>
      </c>
      <c r="I1430" s="24" t="n">
        <v>125.23</v>
      </c>
      <c r="J1430" s="25" t="n">
        <f aca="false">Summary!$B$4</f>
        <v>1</v>
      </c>
      <c r="K1430" s="11" t="n">
        <f aca="false">I1430*J1430*IF(A1430="SILVER",Summary!$B$5,Summary!$B$6)</f>
        <v>12523</v>
      </c>
      <c r="L1430" s="26" t="n">
        <v>0.075</v>
      </c>
      <c r="M1430" s="27" t="n">
        <f aca="false">IF(K1430&gt;0,1,0)</f>
        <v>1</v>
      </c>
      <c r="N1430" s="11" t="n">
        <f aca="false">SUMIFS(K$2:K1430,A$2:A1430,A1430,B$2:B1430,B1430)</f>
        <v>4808271</v>
      </c>
      <c r="O1430" s="11" t="n">
        <f aca="false">MAX(0,_xlfn.MAXIFS(N$2:N1430,A$2:A1430,A1430,B$2:B1430,B1430))</f>
        <v>4869745</v>
      </c>
      <c r="P1430" s="11" t="n">
        <f aca="false">N1430-O1430</f>
        <v>-61474</v>
      </c>
    </row>
    <row r="1431" customFormat="false" ht="15" hidden="false" customHeight="false" outlineLevel="0" collapsed="false">
      <c r="A1431" s="8" t="s">
        <v>45</v>
      </c>
      <c r="B1431" s="8" t="s">
        <v>39</v>
      </c>
      <c r="C1431" s="8" t="s">
        <v>62</v>
      </c>
      <c r="D1431" s="21" t="n">
        <v>46072.8229166667</v>
      </c>
      <c r="E1431" s="21" t="n">
        <v>46073.84375</v>
      </c>
      <c r="F1431" s="22" t="n">
        <f aca="false">DATE(YEAR(E1431),MONTH(E1431),1)</f>
        <v>46054</v>
      </c>
      <c r="G1431" s="23" t="n">
        <v>162912</v>
      </c>
      <c r="H1431" s="8" t="s">
        <v>61</v>
      </c>
      <c r="I1431" s="24" t="n">
        <v>-1810.24</v>
      </c>
      <c r="J1431" s="25" t="n">
        <f aca="false">Summary!$B$4</f>
        <v>1</v>
      </c>
      <c r="K1431" s="11" t="n">
        <f aca="false">I1431*J1431*IF(A1431="SILVER",Summary!$B$5,Summary!$B$6)</f>
        <v>-181024</v>
      </c>
      <c r="L1431" s="26" t="n">
        <v>-0.855</v>
      </c>
      <c r="M1431" s="27" t="n">
        <f aca="false">IF(K1431&gt;0,1,0)</f>
        <v>0</v>
      </c>
      <c r="N1431" s="11" t="n">
        <f aca="false">SUMIFS(K$2:K1431,A$2:A1431,A1431,B$2:B1431,B1431)</f>
        <v>4627247</v>
      </c>
      <c r="O1431" s="11" t="n">
        <f aca="false">MAX(0,_xlfn.MAXIFS(N$2:N1431,A$2:A1431,A1431,B$2:B1431,B1431))</f>
        <v>4869745</v>
      </c>
      <c r="P1431" s="11" t="n">
        <f aca="false">N1431-O1431</f>
        <v>-242498</v>
      </c>
    </row>
    <row r="1432" customFormat="false" ht="15" hidden="false" customHeight="false" outlineLevel="0" collapsed="false">
      <c r="A1432" s="8" t="s">
        <v>45</v>
      </c>
      <c r="B1432" s="8" t="s">
        <v>39</v>
      </c>
      <c r="C1432" s="8" t="s">
        <v>62</v>
      </c>
      <c r="D1432" s="21" t="n">
        <v>46077.8125</v>
      </c>
      <c r="E1432" s="21" t="n">
        <v>46078.4479166667</v>
      </c>
      <c r="F1432" s="22" t="n">
        <f aca="false">DATE(YEAR(E1432),MONTH(E1432),1)</f>
        <v>46054</v>
      </c>
      <c r="G1432" s="23" t="n">
        <v>166371</v>
      </c>
      <c r="H1432" s="8" t="s">
        <v>61</v>
      </c>
      <c r="I1432" s="24" t="n">
        <v>-2063.97</v>
      </c>
      <c r="J1432" s="25" t="n">
        <f aca="false">Summary!$B$4</f>
        <v>1</v>
      </c>
      <c r="K1432" s="11" t="n">
        <f aca="false">I1432*J1432*IF(A1432="SILVER",Summary!$B$5,Summary!$B$6)</f>
        <v>-206397</v>
      </c>
      <c r="L1432" s="26" t="n">
        <v>-0.948</v>
      </c>
      <c r="M1432" s="27" t="n">
        <f aca="false">IF(K1432&gt;0,1,0)</f>
        <v>0</v>
      </c>
      <c r="N1432" s="11" t="n">
        <f aca="false">SUMIFS(K$2:K1432,A$2:A1432,A1432,B$2:B1432,B1432)</f>
        <v>4420850</v>
      </c>
      <c r="O1432" s="11" t="n">
        <f aca="false">MAX(0,_xlfn.MAXIFS(N$2:N1432,A$2:A1432,A1432,B$2:B1432,B1432))</f>
        <v>4869745</v>
      </c>
      <c r="P1432" s="11" t="n">
        <f aca="false">N1432-O1432</f>
        <v>-448895</v>
      </c>
    </row>
    <row r="1433" customFormat="false" ht="15" hidden="false" customHeight="false" outlineLevel="0" collapsed="false">
      <c r="A1433" s="8" t="s">
        <v>45</v>
      </c>
      <c r="B1433" s="8" t="s">
        <v>39</v>
      </c>
      <c r="C1433" s="8" t="s">
        <v>62</v>
      </c>
      <c r="D1433" s="21" t="n">
        <v>46079.5833333333</v>
      </c>
      <c r="E1433" s="21" t="n">
        <v>46079.8854166667</v>
      </c>
      <c r="F1433" s="22" t="n">
        <f aca="false">DATE(YEAR(E1433),MONTH(E1433),1)</f>
        <v>46054</v>
      </c>
      <c r="G1433" s="23" t="n">
        <v>166942</v>
      </c>
      <c r="H1433" s="8" t="s">
        <v>64</v>
      </c>
      <c r="I1433" s="24" t="n">
        <v>124.7</v>
      </c>
      <c r="J1433" s="25" t="n">
        <f aca="false">Summary!$B$4</f>
        <v>1</v>
      </c>
      <c r="K1433" s="11" t="n">
        <f aca="false">I1433*J1433*IF(A1433="SILVER",Summary!$B$5,Summary!$B$6)</f>
        <v>12470</v>
      </c>
      <c r="L1433" s="26" t="n">
        <v>0.075</v>
      </c>
      <c r="M1433" s="27" t="n">
        <f aca="false">IF(K1433&gt;0,1,0)</f>
        <v>1</v>
      </c>
      <c r="N1433" s="11" t="n">
        <f aca="false">SUMIFS(K$2:K1433,A$2:A1433,A1433,B$2:B1433,B1433)</f>
        <v>4433320</v>
      </c>
      <c r="O1433" s="11" t="n">
        <f aca="false">MAX(0,_xlfn.MAXIFS(N$2:N1433,A$2:A1433,A1433,B$2:B1433,B1433))</f>
        <v>4869745</v>
      </c>
      <c r="P1433" s="11" t="n">
        <f aca="false">N1433-O1433</f>
        <v>-436425</v>
      </c>
    </row>
    <row r="1434" customFormat="false" ht="15" hidden="false" customHeight="false" outlineLevel="0" collapsed="false">
      <c r="A1434" s="8" t="s">
        <v>45</v>
      </c>
      <c r="B1434" s="8" t="s">
        <v>39</v>
      </c>
      <c r="C1434" s="8" t="s">
        <v>62</v>
      </c>
      <c r="D1434" s="21" t="n">
        <v>46083.8958333333</v>
      </c>
      <c r="E1434" s="21" t="n">
        <v>46083.9131944445</v>
      </c>
      <c r="F1434" s="22" t="n">
        <f aca="false">DATE(YEAR(E1434),MONTH(E1434),1)</f>
        <v>46082</v>
      </c>
      <c r="G1434" s="23" t="n">
        <v>174341</v>
      </c>
      <c r="H1434" s="8" t="s">
        <v>64</v>
      </c>
      <c r="I1434" s="24" t="n">
        <v>256.27</v>
      </c>
      <c r="J1434" s="25" t="n">
        <f aca="false">Summary!$B$4</f>
        <v>1</v>
      </c>
      <c r="K1434" s="11" t="n">
        <f aca="false">I1434*J1434*IF(A1434="SILVER",Summary!$B$5,Summary!$B$6)</f>
        <v>25627</v>
      </c>
      <c r="L1434" s="26" t="n">
        <v>0.086</v>
      </c>
      <c r="M1434" s="27" t="n">
        <f aca="false">IF(K1434&gt;0,1,0)</f>
        <v>1</v>
      </c>
      <c r="N1434" s="11" t="n">
        <f aca="false">SUMIFS(K$2:K1434,A$2:A1434,A1434,B$2:B1434,B1434)</f>
        <v>4458947</v>
      </c>
      <c r="O1434" s="11" t="n">
        <f aca="false">MAX(0,_xlfn.MAXIFS(N$2:N1434,A$2:A1434,A1434,B$2:B1434,B1434))</f>
        <v>4869745</v>
      </c>
      <c r="P1434" s="11" t="n">
        <f aca="false">N1434-O1434</f>
        <v>-410798</v>
      </c>
    </row>
    <row r="1435" customFormat="false" ht="15" hidden="false" customHeight="false" outlineLevel="0" collapsed="false">
      <c r="A1435" s="8" t="s">
        <v>45</v>
      </c>
      <c r="B1435" s="8" t="s">
        <v>39</v>
      </c>
      <c r="C1435" s="8" t="s">
        <v>62</v>
      </c>
      <c r="D1435" s="21" t="n">
        <v>46093.3965277778</v>
      </c>
      <c r="E1435" s="21" t="n">
        <v>46098.4270833333</v>
      </c>
      <c r="F1435" s="22" t="n">
        <f aca="false">DATE(YEAR(E1435),MONTH(E1435),1)</f>
        <v>46082</v>
      </c>
      <c r="G1435" s="23" t="n">
        <v>168991</v>
      </c>
      <c r="H1435" s="8" t="s">
        <v>61</v>
      </c>
      <c r="I1435" s="24" t="n">
        <v>4085.11</v>
      </c>
      <c r="J1435" s="25" t="n">
        <f aca="false">Summary!$B$4</f>
        <v>1</v>
      </c>
      <c r="K1435" s="11" t="n">
        <f aca="false">I1435*J1435*IF(A1435="SILVER",Summary!$B$5,Summary!$B$6)</f>
        <v>408511</v>
      </c>
      <c r="L1435" s="26" t="n">
        <v>2.189</v>
      </c>
      <c r="M1435" s="27" t="n">
        <f aca="false">IF(K1435&gt;0,1,0)</f>
        <v>1</v>
      </c>
      <c r="N1435" s="11" t="n">
        <f aca="false">SUMIFS(K$2:K1435,A$2:A1435,A1435,B$2:B1435,B1435)</f>
        <v>4867458</v>
      </c>
      <c r="O1435" s="11" t="n">
        <f aca="false">MAX(0,_xlfn.MAXIFS(N$2:N1435,A$2:A1435,A1435,B$2:B1435,B1435))</f>
        <v>4869745</v>
      </c>
      <c r="P1435" s="11" t="n">
        <f aca="false">N1435-O1435</f>
        <v>-2287</v>
      </c>
    </row>
    <row r="1436" customFormat="false" ht="15" hidden="false" customHeight="false" outlineLevel="0" collapsed="false">
      <c r="A1436" s="8" t="s">
        <v>45</v>
      </c>
      <c r="B1436" s="8" t="s">
        <v>39</v>
      </c>
      <c r="C1436" s="8" t="s">
        <v>62</v>
      </c>
      <c r="D1436" s="21" t="n">
        <v>46099.7083333333</v>
      </c>
      <c r="E1436" s="21" t="n">
        <v>46101.3854166667</v>
      </c>
      <c r="F1436" s="22" t="n">
        <f aca="false">DATE(YEAR(E1436),MONTH(E1436),1)</f>
        <v>46082</v>
      </c>
      <c r="G1436" s="23" t="n">
        <v>162211</v>
      </c>
      <c r="H1436" s="8" t="s">
        <v>61</v>
      </c>
      <c r="I1436" s="24" t="n">
        <v>6796.73</v>
      </c>
      <c r="J1436" s="25" t="n">
        <f aca="false">Summary!$B$4</f>
        <v>1</v>
      </c>
      <c r="K1436" s="11" t="n">
        <f aca="false">I1436*J1436*IF(A1436="SILVER",Summary!$B$5,Summary!$B$6)</f>
        <v>679673</v>
      </c>
      <c r="L1436" s="26" t="n">
        <v>3.629</v>
      </c>
      <c r="M1436" s="27" t="n">
        <f aca="false">IF(K1436&gt;0,1,0)</f>
        <v>1</v>
      </c>
      <c r="N1436" s="11" t="n">
        <f aca="false">SUMIFS(K$2:K1436,A$2:A1436,A1436,B$2:B1436,B1436)</f>
        <v>5547131</v>
      </c>
      <c r="O1436" s="11" t="n">
        <f aca="false">MAX(0,_xlfn.MAXIFS(N$2:N1436,A$2:A1436,A1436,B$2:B1436,B1436))</f>
        <v>5547131</v>
      </c>
      <c r="P1436" s="11" t="n">
        <f aca="false">N1436-O1436</f>
        <v>0</v>
      </c>
    </row>
    <row r="1437" customFormat="false" ht="15" hidden="false" customHeight="false" outlineLevel="0" collapsed="false">
      <c r="A1437" s="8" t="s">
        <v>45</v>
      </c>
      <c r="B1437" s="8" t="s">
        <v>39</v>
      </c>
      <c r="C1437" s="8" t="s">
        <v>62</v>
      </c>
      <c r="D1437" s="21" t="n">
        <v>46101.8333333333</v>
      </c>
      <c r="E1437" s="21" t="n">
        <v>46104.6979166667</v>
      </c>
      <c r="F1437" s="22" t="n">
        <f aca="false">DATE(YEAR(E1437),MONTH(E1437),1)</f>
        <v>46082</v>
      </c>
      <c r="G1437" s="23" t="n">
        <v>151140</v>
      </c>
      <c r="H1437" s="8" t="s">
        <v>61</v>
      </c>
      <c r="I1437" s="24" t="n">
        <v>3167.59</v>
      </c>
      <c r="J1437" s="25" t="n">
        <f aca="false">Summary!$B$4</f>
        <v>1</v>
      </c>
      <c r="K1437" s="11" t="n">
        <f aca="false">I1437*J1437*IF(A1437="SILVER",Summary!$B$5,Summary!$B$6)</f>
        <v>316759</v>
      </c>
      <c r="L1437" s="26" t="n">
        <v>0.693</v>
      </c>
      <c r="M1437" s="27" t="n">
        <f aca="false">IF(K1437&gt;0,1,0)</f>
        <v>1</v>
      </c>
      <c r="N1437" s="11" t="n">
        <f aca="false">SUMIFS(K$2:K1437,A$2:A1437,A1437,B$2:B1437,B1437)</f>
        <v>5863890</v>
      </c>
      <c r="O1437" s="11" t="n">
        <f aca="false">MAX(0,_xlfn.MAXIFS(N$2:N1437,A$2:A1437,A1437,B$2:B1437,B1437))</f>
        <v>5863890</v>
      </c>
      <c r="P1437" s="11" t="n">
        <f aca="false">N1437-O1437</f>
        <v>0</v>
      </c>
    </row>
    <row r="1438" customFormat="false" ht="15" hidden="false" customHeight="false" outlineLevel="0" collapsed="false">
      <c r="A1438" s="8" t="s">
        <v>45</v>
      </c>
      <c r="B1438" s="8" t="s">
        <v>39</v>
      </c>
      <c r="C1438" s="8" t="s">
        <v>62</v>
      </c>
      <c r="D1438" s="21" t="n">
        <v>46107.71875</v>
      </c>
      <c r="E1438" s="21" t="n">
        <v>46108.375</v>
      </c>
      <c r="F1438" s="22" t="n">
        <f aca="false">DATE(YEAR(E1438),MONTH(E1438),1)</f>
        <v>46082</v>
      </c>
      <c r="G1438" s="23" t="n">
        <v>148606</v>
      </c>
      <c r="H1438" s="8" t="s">
        <v>64</v>
      </c>
      <c r="I1438" s="24" t="n">
        <v>247.93</v>
      </c>
      <c r="J1438" s="25" t="n">
        <f aca="false">Summary!$B$4</f>
        <v>1</v>
      </c>
      <c r="K1438" s="11" t="n">
        <f aca="false">I1438*J1438*IF(A1438="SILVER",Summary!$B$5,Summary!$B$6)</f>
        <v>24793</v>
      </c>
      <c r="L1438" s="26" t="n">
        <v>0.087</v>
      </c>
      <c r="M1438" s="27" t="n">
        <f aca="false">IF(K1438&gt;0,1,0)</f>
        <v>1</v>
      </c>
      <c r="N1438" s="11" t="n">
        <f aca="false">SUMIFS(K$2:K1438,A$2:A1438,A1438,B$2:B1438,B1438)</f>
        <v>5888683</v>
      </c>
      <c r="O1438" s="11" t="n">
        <f aca="false">MAX(0,_xlfn.MAXIFS(N$2:N1438,A$2:A1438,A1438,B$2:B1438,B1438))</f>
        <v>5888683</v>
      </c>
      <c r="P1438" s="11" t="n">
        <f aca="false">N1438-O1438</f>
        <v>0</v>
      </c>
    </row>
    <row r="1439" customFormat="false" ht="15" hidden="false" customHeight="false" outlineLevel="0" collapsed="false">
      <c r="A1439" s="8" t="s">
        <v>45</v>
      </c>
      <c r="B1439" s="8" t="s">
        <v>39</v>
      </c>
      <c r="C1439" s="8" t="s">
        <v>62</v>
      </c>
      <c r="D1439" s="21" t="n">
        <v>46114.3875</v>
      </c>
      <c r="E1439" s="21" t="n">
        <v>46120.3854166667</v>
      </c>
      <c r="F1439" s="22" t="n">
        <f aca="false">DATE(YEAR(E1439),MONTH(E1439),1)</f>
        <v>46113</v>
      </c>
      <c r="G1439" s="23" t="n">
        <v>154307</v>
      </c>
      <c r="H1439" s="8" t="s">
        <v>61</v>
      </c>
      <c r="I1439" s="24" t="n">
        <v>-3825.82</v>
      </c>
      <c r="J1439" s="25" t="n">
        <f aca="false">Summary!$B$4</f>
        <v>1</v>
      </c>
      <c r="K1439" s="11" t="n">
        <f aca="false">I1439*J1439*IF(A1439="SILVER",Summary!$B$5,Summary!$B$6)</f>
        <v>-382582</v>
      </c>
      <c r="L1439" s="26" t="n">
        <v>-0.912</v>
      </c>
      <c r="M1439" s="27" t="n">
        <f aca="false">IF(K1439&gt;0,1,0)</f>
        <v>0</v>
      </c>
      <c r="N1439" s="11" t="n">
        <f aca="false">SUMIFS(K$2:K1439,A$2:A1439,A1439,B$2:B1439,B1439)</f>
        <v>5506101</v>
      </c>
      <c r="O1439" s="11" t="n">
        <f aca="false">MAX(0,_xlfn.MAXIFS(N$2:N1439,A$2:A1439,A1439,B$2:B1439,B1439))</f>
        <v>5888683</v>
      </c>
      <c r="P1439" s="11" t="n">
        <f aca="false">N1439-O1439</f>
        <v>-382582</v>
      </c>
    </row>
    <row r="1440" customFormat="false" ht="15" hidden="false" customHeight="false" outlineLevel="0" collapsed="false">
      <c r="A1440" s="8" t="s">
        <v>45</v>
      </c>
      <c r="B1440" s="8" t="s">
        <v>39</v>
      </c>
      <c r="C1440" s="8" t="s">
        <v>62</v>
      </c>
      <c r="D1440" s="21" t="n">
        <v>46120.8541666667</v>
      </c>
      <c r="E1440" s="21" t="n">
        <v>46121.8854166667</v>
      </c>
      <c r="F1440" s="22" t="n">
        <f aca="false">DATE(YEAR(E1440),MONTH(E1440),1)</f>
        <v>46113</v>
      </c>
      <c r="G1440" s="23" t="n">
        <v>156018</v>
      </c>
      <c r="H1440" s="8" t="s">
        <v>61</v>
      </c>
      <c r="I1440" s="24" t="n">
        <v>-1677.5</v>
      </c>
      <c r="J1440" s="25" t="n">
        <f aca="false">Summary!$B$4</f>
        <v>1</v>
      </c>
      <c r="K1440" s="11" t="n">
        <f aca="false">I1440*J1440*IF(A1440="SILVER",Summary!$B$5,Summary!$B$6)</f>
        <v>-167750</v>
      </c>
      <c r="L1440" s="26" t="n">
        <v>-0.584</v>
      </c>
      <c r="M1440" s="27" t="n">
        <f aca="false">IF(K1440&gt;0,1,0)</f>
        <v>0</v>
      </c>
      <c r="N1440" s="11" t="n">
        <f aca="false">SUMIFS(K$2:K1440,A$2:A1440,A1440,B$2:B1440,B1440)</f>
        <v>5338351</v>
      </c>
      <c r="O1440" s="11" t="n">
        <f aca="false">MAX(0,_xlfn.MAXIFS(N$2:N1440,A$2:A1440,A1440,B$2:B1440,B1440))</f>
        <v>5888683</v>
      </c>
      <c r="P1440" s="11" t="n">
        <f aca="false">N1440-O1440</f>
        <v>-550332</v>
      </c>
    </row>
    <row r="1441" customFormat="false" ht="15" hidden="false" customHeight="false" outlineLevel="0" collapsed="false">
      <c r="A1441" s="8" t="s">
        <v>45</v>
      </c>
      <c r="B1441" s="8" t="s">
        <v>39</v>
      </c>
      <c r="C1441" s="8" t="s">
        <v>62</v>
      </c>
      <c r="D1441" s="21" t="n">
        <v>46125.4166666667</v>
      </c>
      <c r="E1441" s="21" t="n">
        <v>46126.71875</v>
      </c>
      <c r="F1441" s="22" t="n">
        <f aca="false">DATE(YEAR(E1441),MONTH(E1441),1)</f>
        <v>46113</v>
      </c>
      <c r="G1441" s="23" t="n">
        <v>155821</v>
      </c>
      <c r="H1441" s="8" t="s">
        <v>61</v>
      </c>
      <c r="I1441" s="24" t="n">
        <v>-1495.46</v>
      </c>
      <c r="J1441" s="25" t="n">
        <f aca="false">Summary!$B$4</f>
        <v>1</v>
      </c>
      <c r="K1441" s="11" t="n">
        <f aca="false">I1441*J1441*IF(A1441="SILVER",Summary!$B$5,Summary!$B$6)</f>
        <v>-149546</v>
      </c>
      <c r="L1441" s="26" t="n">
        <v>-0.787</v>
      </c>
      <c r="M1441" s="27" t="n">
        <f aca="false">IF(K1441&gt;0,1,0)</f>
        <v>0</v>
      </c>
      <c r="N1441" s="11" t="n">
        <f aca="false">SUMIFS(K$2:K1441,A$2:A1441,A1441,B$2:B1441,B1441)</f>
        <v>5188805</v>
      </c>
      <c r="O1441" s="11" t="n">
        <f aca="false">MAX(0,_xlfn.MAXIFS(N$2:N1441,A$2:A1441,A1441,B$2:B1441,B1441))</f>
        <v>5888683</v>
      </c>
      <c r="P1441" s="11" t="n">
        <f aca="false">N1441-O1441</f>
        <v>-699878</v>
      </c>
    </row>
    <row r="1442" customFormat="false" ht="15" hidden="false" customHeight="false" outlineLevel="0" collapsed="false">
      <c r="A1442" s="8" t="s">
        <v>45</v>
      </c>
      <c r="B1442" s="8" t="s">
        <v>39</v>
      </c>
      <c r="C1442" s="8" t="s">
        <v>62</v>
      </c>
      <c r="D1442" s="21" t="n">
        <v>46128.84375</v>
      </c>
      <c r="E1442" s="21" t="n">
        <v>46129.6048611111</v>
      </c>
      <c r="F1442" s="22" t="n">
        <f aca="false">DATE(YEAR(E1442),MONTH(E1442),1)</f>
        <v>46113</v>
      </c>
      <c r="G1442" s="23" t="n">
        <v>157645</v>
      </c>
      <c r="H1442" s="8" t="s">
        <v>64</v>
      </c>
      <c r="I1442" s="24" t="n">
        <v>126.17</v>
      </c>
      <c r="J1442" s="25" t="n">
        <f aca="false">Summary!$B$4</f>
        <v>1</v>
      </c>
      <c r="K1442" s="11" t="n">
        <f aca="false">I1442*J1442*IF(A1442="SILVER",Summary!$B$5,Summary!$B$6)</f>
        <v>12617</v>
      </c>
      <c r="L1442" s="26" t="n">
        <v>0.076</v>
      </c>
      <c r="M1442" s="27" t="n">
        <f aca="false">IF(K1442&gt;0,1,0)</f>
        <v>1</v>
      </c>
      <c r="N1442" s="11" t="n">
        <f aca="false">SUMIFS(K$2:K1442,A$2:A1442,A1442,B$2:B1442,B1442)</f>
        <v>5201422</v>
      </c>
      <c r="O1442" s="11" t="n">
        <f aca="false">MAX(0,_xlfn.MAXIFS(N$2:N1442,A$2:A1442,A1442,B$2:B1442,B1442))</f>
        <v>5888683</v>
      </c>
      <c r="P1442" s="11" t="n">
        <f aca="false">N1442-O1442</f>
        <v>-687261</v>
      </c>
    </row>
    <row r="1443" customFormat="false" ht="15" hidden="false" customHeight="false" outlineLevel="0" collapsed="false">
      <c r="A1443" s="8" t="s">
        <v>45</v>
      </c>
      <c r="B1443" s="8" t="s">
        <v>39</v>
      </c>
      <c r="C1443" s="8" t="s">
        <v>62</v>
      </c>
      <c r="D1443" s="21" t="n">
        <v>46132.3854166667</v>
      </c>
      <c r="E1443" s="21" t="n">
        <v>46134.375</v>
      </c>
      <c r="F1443" s="22" t="n">
        <f aca="false">DATE(YEAR(E1443),MONTH(E1443),1)</f>
        <v>46113</v>
      </c>
      <c r="G1443" s="23" t="n">
        <v>157316</v>
      </c>
      <c r="H1443" s="8" t="s">
        <v>64</v>
      </c>
      <c r="I1443" s="24" t="n">
        <v>-314.63</v>
      </c>
      <c r="J1443" s="25" t="n">
        <f aca="false">Summary!$B$4</f>
        <v>1</v>
      </c>
      <c r="K1443" s="11" t="n">
        <f aca="false">I1443*J1443*IF(A1443="SILVER",Summary!$B$5,Summary!$B$6)</f>
        <v>-31463</v>
      </c>
      <c r="L1443" s="26" t="n">
        <v>-0.15</v>
      </c>
      <c r="M1443" s="27" t="n">
        <f aca="false">IF(K1443&gt;0,1,0)</f>
        <v>0</v>
      </c>
      <c r="N1443" s="11" t="n">
        <f aca="false">SUMIFS(K$2:K1443,A$2:A1443,A1443,B$2:B1443,B1443)</f>
        <v>5169959</v>
      </c>
      <c r="O1443" s="11" t="n">
        <f aca="false">MAX(0,_xlfn.MAXIFS(N$2:N1443,A$2:A1443,A1443,B$2:B1443,B1443))</f>
        <v>5888683</v>
      </c>
      <c r="P1443" s="11" t="n">
        <f aca="false">N1443-O1443</f>
        <v>-718724</v>
      </c>
    </row>
    <row r="1444" customFormat="false" ht="15" hidden="false" customHeight="false" outlineLevel="0" collapsed="false">
      <c r="A1444" s="8" t="s">
        <v>45</v>
      </c>
      <c r="B1444" s="8" t="s">
        <v>39</v>
      </c>
      <c r="C1444" s="8" t="s">
        <v>62</v>
      </c>
      <c r="D1444" s="21" t="n">
        <v>46135.3958333333</v>
      </c>
      <c r="E1444" s="21" t="n">
        <v>46135.7604166667</v>
      </c>
      <c r="F1444" s="22" t="n">
        <f aca="false">DATE(YEAR(E1444),MONTH(E1444),1)</f>
        <v>46113</v>
      </c>
      <c r="G1444" s="23" t="n">
        <v>156324</v>
      </c>
      <c r="H1444" s="8" t="s">
        <v>61</v>
      </c>
      <c r="I1444" s="24" t="n">
        <v>-935.5</v>
      </c>
      <c r="J1444" s="25" t="n">
        <f aca="false">Summary!$B$4</f>
        <v>1</v>
      </c>
      <c r="K1444" s="11" t="n">
        <f aca="false">I1444*J1444*IF(A1444="SILVER",Summary!$B$5,Summary!$B$6)</f>
        <v>-93550</v>
      </c>
      <c r="L1444" s="26" t="n">
        <v>-0.672</v>
      </c>
      <c r="M1444" s="27" t="n">
        <f aca="false">IF(K1444&gt;0,1,0)</f>
        <v>0</v>
      </c>
      <c r="N1444" s="11" t="n">
        <f aca="false">SUMIFS(K$2:K1444,A$2:A1444,A1444,B$2:B1444,B1444)</f>
        <v>5076409</v>
      </c>
      <c r="O1444" s="11" t="n">
        <f aca="false">MAX(0,_xlfn.MAXIFS(N$2:N1444,A$2:A1444,A1444,B$2:B1444,B1444))</f>
        <v>5888683</v>
      </c>
      <c r="P1444" s="11" t="n">
        <f aca="false">N1444-O1444</f>
        <v>-812274</v>
      </c>
    </row>
    <row r="1445" customFormat="false" ht="15" hidden="false" customHeight="false" outlineLevel="0" collapsed="false">
      <c r="A1445" s="8" t="s">
        <v>45</v>
      </c>
      <c r="B1445" s="8" t="s">
        <v>39</v>
      </c>
      <c r="C1445" s="8" t="s">
        <v>62</v>
      </c>
      <c r="D1445" s="21" t="n">
        <v>46135.96875</v>
      </c>
      <c r="E1445" s="21" t="n">
        <v>46136.8229166667</v>
      </c>
      <c r="F1445" s="22" t="n">
        <f aca="false">DATE(YEAR(E1445),MONTH(E1445),1)</f>
        <v>46113</v>
      </c>
      <c r="G1445" s="23" t="n">
        <v>155713</v>
      </c>
      <c r="H1445" s="8" t="s">
        <v>61</v>
      </c>
      <c r="I1445" s="24" t="n">
        <v>-1529.44</v>
      </c>
      <c r="J1445" s="25" t="n">
        <f aca="false">Summary!$B$4</f>
        <v>1</v>
      </c>
      <c r="K1445" s="11" t="n">
        <f aca="false">I1445*J1445*IF(A1445="SILVER",Summary!$B$5,Summary!$B$6)</f>
        <v>-152944</v>
      </c>
      <c r="L1445" s="26" t="n">
        <v>-0.737</v>
      </c>
      <c r="M1445" s="27" t="n">
        <f aca="false">IF(K1445&gt;0,1,0)</f>
        <v>0</v>
      </c>
      <c r="N1445" s="11" t="n">
        <f aca="false">SUMIFS(K$2:K1445,A$2:A1445,A1445,B$2:B1445,B1445)</f>
        <v>4923465</v>
      </c>
      <c r="O1445" s="11" t="n">
        <f aca="false">MAX(0,_xlfn.MAXIFS(N$2:N1445,A$2:A1445,A1445,B$2:B1445,B1445))</f>
        <v>5888683</v>
      </c>
      <c r="P1445" s="11" t="n">
        <f aca="false">N1445-O1445</f>
        <v>-965218</v>
      </c>
    </row>
    <row r="1446" customFormat="false" ht="15" hidden="false" customHeight="false" outlineLevel="0" collapsed="false">
      <c r="A1446" s="8" t="s">
        <v>45</v>
      </c>
      <c r="B1446" s="8" t="s">
        <v>39</v>
      </c>
      <c r="C1446" s="8" t="s">
        <v>62</v>
      </c>
      <c r="D1446" s="21" t="n">
        <v>46139.8541666667</v>
      </c>
      <c r="E1446" s="21" t="n">
        <v>46141.375</v>
      </c>
      <c r="F1446" s="22" t="n">
        <f aca="false">DATE(YEAR(E1446),MONTH(E1446),1)</f>
        <v>46113</v>
      </c>
      <c r="G1446" s="23" t="n">
        <v>155798</v>
      </c>
      <c r="H1446" s="8" t="s">
        <v>64</v>
      </c>
      <c r="I1446" s="24" t="n">
        <v>89.99</v>
      </c>
      <c r="J1446" s="25" t="n">
        <f aca="false">Summary!$B$4</f>
        <v>1</v>
      </c>
      <c r="K1446" s="11" t="n">
        <f aca="false">I1446*J1446*IF(A1446="SILVER",Summary!$B$5,Summary!$B$6)</f>
        <v>8999</v>
      </c>
      <c r="L1446" s="26" t="n">
        <v>0.069</v>
      </c>
      <c r="M1446" s="27" t="n">
        <f aca="false">IF(K1446&gt;0,1,0)</f>
        <v>1</v>
      </c>
      <c r="N1446" s="11" t="n">
        <f aca="false">SUMIFS(K$2:K1446,A$2:A1446,A1446,B$2:B1446,B1446)</f>
        <v>4932464</v>
      </c>
      <c r="O1446" s="11" t="n">
        <f aca="false">MAX(0,_xlfn.MAXIFS(N$2:N1446,A$2:A1446,A1446,B$2:B1446,B1446))</f>
        <v>5888683</v>
      </c>
      <c r="P1446" s="11" t="n">
        <f aca="false">N1446-O1446</f>
        <v>-956219</v>
      </c>
    </row>
    <row r="1447" customFormat="false" ht="15" hidden="false" customHeight="false" outlineLevel="0" collapsed="false">
      <c r="A1447" s="8" t="s">
        <v>45</v>
      </c>
      <c r="B1447" s="8" t="s">
        <v>39</v>
      </c>
      <c r="C1447" s="8" t="s">
        <v>62</v>
      </c>
      <c r="D1447" s="21" t="n">
        <v>46143.71875</v>
      </c>
      <c r="E1447" s="21" t="n">
        <v>46143.8229166667</v>
      </c>
      <c r="F1447" s="22" t="n">
        <f aca="false">DATE(YEAR(E1447),MONTH(E1447),1)</f>
        <v>46143</v>
      </c>
      <c r="G1447" s="23" t="n">
        <v>154507</v>
      </c>
      <c r="H1447" s="8" t="s">
        <v>61</v>
      </c>
      <c r="I1447" s="24" t="n">
        <v>-1858.23</v>
      </c>
      <c r="J1447" s="25" t="n">
        <f aca="false">Summary!$B$4</f>
        <v>1</v>
      </c>
      <c r="K1447" s="11" t="n">
        <f aca="false">I1447*J1447*IF(A1447="SILVER",Summary!$B$5,Summary!$B$6)</f>
        <v>-185823</v>
      </c>
      <c r="L1447" s="26" t="n">
        <v>-1.028</v>
      </c>
      <c r="M1447" s="27" t="n">
        <f aca="false">IF(K1447&gt;0,1,0)</f>
        <v>0</v>
      </c>
      <c r="N1447" s="11" t="n">
        <f aca="false">SUMIFS(K$2:K1447,A$2:A1447,A1447,B$2:B1447,B1447)</f>
        <v>4746641</v>
      </c>
      <c r="O1447" s="11" t="n">
        <f aca="false">MAX(0,_xlfn.MAXIFS(N$2:N1447,A$2:A1447,A1447,B$2:B1447,B1447))</f>
        <v>5888683</v>
      </c>
      <c r="P1447" s="11" t="n">
        <f aca="false">N1447-O1447</f>
        <v>-1142042</v>
      </c>
    </row>
    <row r="1448" customFormat="false" ht="15" hidden="false" customHeight="false" outlineLevel="0" collapsed="false">
      <c r="A1448" s="8" t="s">
        <v>45</v>
      </c>
      <c r="B1448" s="8" t="s">
        <v>39</v>
      </c>
      <c r="C1448" s="8" t="s">
        <v>62</v>
      </c>
      <c r="D1448" s="21" t="n">
        <v>46146.65625</v>
      </c>
      <c r="E1448" s="21" t="n">
        <v>46148.3854166667</v>
      </c>
      <c r="F1448" s="22" t="n">
        <f aca="false">DATE(YEAR(E1448),MONTH(E1448),1)</f>
        <v>46143</v>
      </c>
      <c r="G1448" s="23" t="n">
        <v>153701</v>
      </c>
      <c r="H1448" s="8" t="s">
        <v>61</v>
      </c>
      <c r="I1448" s="24" t="n">
        <v>-2412.12</v>
      </c>
      <c r="J1448" s="25" t="n">
        <f aca="false">Summary!$B$4</f>
        <v>1</v>
      </c>
      <c r="K1448" s="11" t="n">
        <f aca="false">I1448*J1448*IF(A1448="SILVER",Summary!$B$5,Summary!$B$6)</f>
        <v>-241212</v>
      </c>
      <c r="L1448" s="26" t="n">
        <v>-1.27</v>
      </c>
      <c r="M1448" s="27" t="n">
        <f aca="false">IF(K1448&gt;0,1,0)</f>
        <v>0</v>
      </c>
      <c r="N1448" s="11" t="n">
        <f aca="false">SUMIFS(K$2:K1448,A$2:A1448,A1448,B$2:B1448,B1448)</f>
        <v>4505429</v>
      </c>
      <c r="O1448" s="11" t="n">
        <f aca="false">MAX(0,_xlfn.MAXIFS(N$2:N1448,A$2:A1448,A1448,B$2:B1448,B1448))</f>
        <v>5888683</v>
      </c>
      <c r="P1448" s="11" t="n">
        <f aca="false">N1448-O1448</f>
        <v>-1383254</v>
      </c>
    </row>
    <row r="1449" customFormat="false" ht="15" hidden="false" customHeight="false" outlineLevel="0" collapsed="false">
      <c r="A1449" s="8" t="s">
        <v>45</v>
      </c>
      <c r="B1449" s="8" t="s">
        <v>39</v>
      </c>
      <c r="C1449" s="8" t="s">
        <v>62</v>
      </c>
      <c r="D1449" s="21" t="n">
        <v>46153.3958333333</v>
      </c>
      <c r="E1449" s="21" t="n">
        <v>46153.78125</v>
      </c>
      <c r="F1449" s="22" t="n">
        <f aca="false">DATE(YEAR(E1449),MONTH(E1449),1)</f>
        <v>46143</v>
      </c>
      <c r="G1449" s="23" t="n">
        <v>156294</v>
      </c>
      <c r="H1449" s="8" t="s">
        <v>61</v>
      </c>
      <c r="I1449" s="24" t="n">
        <v>-1661.56</v>
      </c>
      <c r="J1449" s="25" t="n">
        <f aca="false">Summary!$B$4</f>
        <v>1</v>
      </c>
      <c r="K1449" s="11" t="n">
        <f aca="false">I1449*J1449*IF(A1449="SILVER",Summary!$B$5,Summary!$B$6)</f>
        <v>-166156</v>
      </c>
      <c r="L1449" s="26" t="n">
        <v>-0.979</v>
      </c>
      <c r="M1449" s="27" t="n">
        <f aca="false">IF(K1449&gt;0,1,0)</f>
        <v>0</v>
      </c>
      <c r="N1449" s="11" t="n">
        <f aca="false">SUMIFS(K$2:K1449,A$2:A1449,A1449,B$2:B1449,B1449)</f>
        <v>4339273</v>
      </c>
      <c r="O1449" s="11" t="n">
        <f aca="false">MAX(0,_xlfn.MAXIFS(N$2:N1449,A$2:A1449,A1449,B$2:B1449,B1449))</f>
        <v>5888683</v>
      </c>
      <c r="P1449" s="11" t="n">
        <f aca="false">N1449-O1449</f>
        <v>-1549410</v>
      </c>
    </row>
    <row r="1450" customFormat="false" ht="15" hidden="false" customHeight="false" outlineLevel="0" collapsed="false">
      <c r="A1450" s="8" t="s">
        <v>45</v>
      </c>
      <c r="B1450" s="8" t="s">
        <v>39</v>
      </c>
      <c r="C1450" s="8" t="s">
        <v>62</v>
      </c>
      <c r="D1450" s="21" t="n">
        <v>46157.3854166667</v>
      </c>
      <c r="E1450" s="21" t="n">
        <v>46160.7708333333</v>
      </c>
      <c r="F1450" s="22" t="n">
        <f aca="false">DATE(YEAR(E1450),MONTH(E1450),1)</f>
        <v>46143</v>
      </c>
      <c r="G1450" s="23" t="n">
        <v>164955</v>
      </c>
      <c r="H1450" s="8" t="s">
        <v>61</v>
      </c>
      <c r="I1450" s="24" t="n">
        <v>657.93</v>
      </c>
      <c r="J1450" s="25" t="n">
        <f aca="false">Summary!$B$4</f>
        <v>1</v>
      </c>
      <c r="K1450" s="11" t="n">
        <f aca="false">I1450*J1450*IF(A1450="SILVER",Summary!$B$5,Summary!$B$6)</f>
        <v>65793</v>
      </c>
      <c r="L1450" s="26" t="n">
        <v>0.375</v>
      </c>
      <c r="M1450" s="27" t="n">
        <f aca="false">IF(K1450&gt;0,1,0)</f>
        <v>1</v>
      </c>
      <c r="N1450" s="11" t="n">
        <f aca="false">SUMIFS(K$2:K1450,A$2:A1450,A1450,B$2:B1450,B1450)</f>
        <v>4405066</v>
      </c>
      <c r="O1450" s="11" t="n">
        <f aca="false">MAX(0,_xlfn.MAXIFS(N$2:N1450,A$2:A1450,A1450,B$2:B1450,B1450))</f>
        <v>5888683</v>
      </c>
      <c r="P1450" s="11" t="n">
        <f aca="false">N1450-O1450</f>
        <v>-1483617</v>
      </c>
    </row>
    <row r="1451" customFormat="false" ht="15" hidden="false" customHeight="false" outlineLevel="0" collapsed="false">
      <c r="A1451" s="8" t="s">
        <v>45</v>
      </c>
      <c r="B1451" s="8" t="s">
        <v>39</v>
      </c>
      <c r="C1451" s="8" t="s">
        <v>62</v>
      </c>
      <c r="D1451" s="21" t="n">
        <v>46161.8020833333</v>
      </c>
      <c r="E1451" s="21" t="n">
        <v>46170.8229166667</v>
      </c>
      <c r="F1451" s="22" t="n">
        <f aca="false">DATE(YEAR(E1451),MONTH(E1451),1)</f>
        <v>46143</v>
      </c>
      <c r="G1451" s="23" t="n">
        <v>162885</v>
      </c>
      <c r="H1451" s="8" t="s">
        <v>61</v>
      </c>
      <c r="I1451" s="24" t="n">
        <v>2089.5</v>
      </c>
      <c r="J1451" s="25" t="n">
        <f aca="false">Summary!$B$4</f>
        <v>1</v>
      </c>
      <c r="K1451" s="11" t="n">
        <f aca="false">I1451*J1451*IF(A1451="SILVER",Summary!$B$5,Summary!$B$6)</f>
        <v>208950</v>
      </c>
      <c r="L1451" s="26" t="n">
        <v>1.168</v>
      </c>
      <c r="M1451" s="27" t="n">
        <f aca="false">IF(K1451&gt;0,1,0)</f>
        <v>1</v>
      </c>
      <c r="N1451" s="11" t="n">
        <f aca="false">SUMIFS(K$2:K1451,A$2:A1451,A1451,B$2:B1451,B1451)</f>
        <v>4614016</v>
      </c>
      <c r="O1451" s="11" t="n">
        <f aca="false">MAX(0,_xlfn.MAXIFS(N$2:N1451,A$2:A1451,A1451,B$2:B1451,B1451))</f>
        <v>5888683</v>
      </c>
      <c r="P1451" s="11" t="n">
        <f aca="false">N1451-O1451</f>
        <v>-1274667</v>
      </c>
    </row>
    <row r="1452" customFormat="false" ht="15" hidden="false" customHeight="false" outlineLevel="0" collapsed="false">
      <c r="A1452" s="8" t="s">
        <v>45</v>
      </c>
      <c r="B1452" s="8" t="s">
        <v>39</v>
      </c>
      <c r="C1452" s="8" t="s">
        <v>62</v>
      </c>
      <c r="D1452" s="21" t="n">
        <v>46174.3854166667</v>
      </c>
      <c r="E1452" s="21" t="n">
        <v>46175.44375</v>
      </c>
      <c r="F1452" s="22" t="n">
        <f aca="false">DATE(YEAR(E1452),MONTH(E1452),1)</f>
        <v>46174</v>
      </c>
      <c r="G1452" s="23" t="n">
        <v>158405</v>
      </c>
      <c r="H1452" s="8" t="s">
        <v>61</v>
      </c>
      <c r="I1452" s="24" t="n">
        <v>-1470.94</v>
      </c>
      <c r="J1452" s="25" t="n">
        <f aca="false">Summary!$B$4</f>
        <v>1</v>
      </c>
      <c r="K1452" s="11" t="n">
        <f aca="false">I1452*J1452*IF(A1452="SILVER",Summary!$B$5,Summary!$B$6)</f>
        <v>-147094</v>
      </c>
      <c r="L1452" s="26" t="n">
        <v>-0.501</v>
      </c>
      <c r="M1452" s="27" t="n">
        <f aca="false">IF(K1452&gt;0,1,0)</f>
        <v>0</v>
      </c>
      <c r="N1452" s="11" t="n">
        <f aca="false">SUMIFS(K$2:K1452,A$2:A1452,A1452,B$2:B1452,B1452)</f>
        <v>4466922</v>
      </c>
      <c r="O1452" s="11" t="n">
        <f aca="false">MAX(0,_xlfn.MAXIFS(N$2:N1452,A$2:A1452,A1452,B$2:B1452,B1452))</f>
        <v>5888683</v>
      </c>
      <c r="P1452" s="11" t="n">
        <f aca="false">N1452-O1452</f>
        <v>-1421761</v>
      </c>
    </row>
    <row r="1453" customFormat="false" ht="15" hidden="false" customHeight="false" outlineLevel="0" collapsed="false">
      <c r="A1453" s="8" t="s">
        <v>45</v>
      </c>
      <c r="B1453" s="8" t="s">
        <v>39</v>
      </c>
      <c r="C1453" s="8" t="s">
        <v>62</v>
      </c>
      <c r="D1453" s="21" t="n">
        <v>46176.6298611111</v>
      </c>
      <c r="E1453" s="21" t="n">
        <v>46177.41875</v>
      </c>
      <c r="F1453" s="22" t="n">
        <f aca="false">DATE(YEAR(E1453),MONTH(E1453),1)</f>
        <v>46174</v>
      </c>
      <c r="G1453" s="23" t="n">
        <v>158055</v>
      </c>
      <c r="H1453" s="8" t="s">
        <v>61</v>
      </c>
      <c r="I1453" s="24" t="n">
        <v>-1828.96</v>
      </c>
      <c r="J1453" s="25" t="n">
        <f aca="false">Summary!$B$4</f>
        <v>1</v>
      </c>
      <c r="K1453" s="11" t="n">
        <f aca="false">I1453*J1453*IF(A1453="SILVER",Summary!$B$5,Summary!$B$6)</f>
        <v>-182896</v>
      </c>
      <c r="L1453" s="26" t="n">
        <v>-1.042</v>
      </c>
      <c r="M1453" s="27" t="n">
        <f aca="false">IF(K1453&gt;0,1,0)</f>
        <v>0</v>
      </c>
      <c r="N1453" s="11" t="n">
        <f aca="false">SUMIFS(K$2:K1453,A$2:A1453,A1453,B$2:B1453,B1453)</f>
        <v>4284026</v>
      </c>
      <c r="O1453" s="11" t="n">
        <f aca="false">MAX(0,_xlfn.MAXIFS(N$2:N1453,A$2:A1453,A1453,B$2:B1453,B1453))</f>
        <v>5888683</v>
      </c>
      <c r="P1453" s="11" t="n">
        <f aca="false">N1453-O1453</f>
        <v>-1604657</v>
      </c>
    </row>
    <row r="1454" customFormat="false" ht="15" hidden="false" customHeight="false" outlineLevel="0" collapsed="false">
      <c r="A1454" s="8" t="s">
        <v>45</v>
      </c>
      <c r="B1454" s="8" t="s">
        <v>39</v>
      </c>
      <c r="C1454" s="8" t="s">
        <v>62</v>
      </c>
      <c r="D1454" s="21" t="n">
        <v>46178.625</v>
      </c>
      <c r="E1454" s="21" t="n">
        <v>46182.8048611111</v>
      </c>
      <c r="F1454" s="22" t="n">
        <f aca="false">DATE(YEAR(E1454),MONTH(E1454),1)</f>
        <v>46174</v>
      </c>
      <c r="G1454" s="23" t="n">
        <v>158255</v>
      </c>
      <c r="H1454" s="8" t="s">
        <v>64</v>
      </c>
      <c r="I1454" s="24" t="n">
        <v>107.64</v>
      </c>
      <c r="J1454" s="25" t="n">
        <f aca="false">Summary!$B$4</f>
        <v>1</v>
      </c>
      <c r="K1454" s="11" t="n">
        <f aca="false">I1454*J1454*IF(A1454="SILVER",Summary!$B$5,Summary!$B$6)</f>
        <v>10764</v>
      </c>
      <c r="L1454" s="26" t="n">
        <v>0.057</v>
      </c>
      <c r="M1454" s="27" t="n">
        <f aca="false">IF(K1454&gt;0,1,0)</f>
        <v>1</v>
      </c>
      <c r="N1454" s="11" t="n">
        <f aca="false">SUMIFS(K$2:K1454,A$2:A1454,A1454,B$2:B1454,B1454)</f>
        <v>4294790</v>
      </c>
      <c r="O1454" s="11" t="n">
        <f aca="false">MAX(0,_xlfn.MAXIFS(N$2:N1454,A$2:A1454,A1454,B$2:B1454,B1454))</f>
        <v>5888683</v>
      </c>
      <c r="P1454" s="11" t="n">
        <f aca="false">N1454-O1454</f>
        <v>-1593893</v>
      </c>
    </row>
    <row r="1455" customFormat="false" ht="15" hidden="false" customHeight="false" outlineLevel="0" collapsed="false">
      <c r="A1455" s="8" t="s">
        <v>45</v>
      </c>
      <c r="B1455" s="8" t="s">
        <v>39</v>
      </c>
      <c r="C1455" s="8" t="s">
        <v>62</v>
      </c>
      <c r="D1455" s="21" t="n">
        <v>46189.46875</v>
      </c>
      <c r="E1455" s="21" t="n">
        <v>46190.8333333333</v>
      </c>
      <c r="F1455" s="22" t="n">
        <f aca="false">DATE(YEAR(E1455),MONTH(E1455),1)</f>
        <v>46174</v>
      </c>
      <c r="G1455" s="23" t="n">
        <v>155054</v>
      </c>
      <c r="H1455" s="8" t="s">
        <v>61</v>
      </c>
      <c r="I1455" s="24" t="n">
        <v>-1095.59</v>
      </c>
      <c r="J1455" s="25" t="n">
        <f aca="false">Summary!$B$4</f>
        <v>1</v>
      </c>
      <c r="K1455" s="11" t="n">
        <f aca="false">I1455*J1455*IF(A1455="SILVER",Summary!$B$5,Summary!$B$6)</f>
        <v>-109559</v>
      </c>
      <c r="L1455" s="26" t="n">
        <v>-0.762</v>
      </c>
      <c r="M1455" s="27" t="n">
        <f aca="false">IF(K1455&gt;0,1,0)</f>
        <v>0</v>
      </c>
      <c r="N1455" s="11" t="n">
        <f aca="false">SUMIFS(K$2:K1455,A$2:A1455,A1455,B$2:B1455,B1455)</f>
        <v>4185231</v>
      </c>
      <c r="O1455" s="11" t="n">
        <f aca="false">MAX(0,_xlfn.MAXIFS(N$2:N1455,A$2:A1455,A1455,B$2:B1455,B1455))</f>
        <v>5888683</v>
      </c>
      <c r="P1455" s="11" t="n">
        <f aca="false">N1455-O1455</f>
        <v>-1703452</v>
      </c>
    </row>
    <row r="1456" customFormat="false" ht="15" hidden="false" customHeight="false" outlineLevel="0" collapsed="false">
      <c r="A1456" s="8" t="s">
        <v>45</v>
      </c>
      <c r="B1456" s="8" t="s">
        <v>39</v>
      </c>
      <c r="C1456" s="8" t="s">
        <v>62</v>
      </c>
      <c r="D1456" s="21" t="n">
        <v>46191.3958333333</v>
      </c>
      <c r="E1456" s="21" t="n">
        <v>46195.5104166667</v>
      </c>
      <c r="F1456" s="22" t="n">
        <f aca="false">DATE(YEAR(E1456),MONTH(E1456),1)</f>
        <v>46174</v>
      </c>
      <c r="G1456" s="23" t="n">
        <v>155181</v>
      </c>
      <c r="H1456" s="8" t="s">
        <v>61</v>
      </c>
      <c r="I1456" s="24" t="n">
        <v>3851.88</v>
      </c>
      <c r="J1456" s="25" t="n">
        <f aca="false">Summary!$B$4</f>
        <v>1</v>
      </c>
      <c r="K1456" s="11" t="n">
        <f aca="false">I1456*J1456*IF(A1456="SILVER",Summary!$B$5,Summary!$B$6)</f>
        <v>385188</v>
      </c>
      <c r="L1456" s="26" t="n">
        <v>2.195</v>
      </c>
      <c r="M1456" s="27" t="n">
        <f aca="false">IF(K1456&gt;0,1,0)</f>
        <v>1</v>
      </c>
      <c r="N1456" s="11" t="n">
        <f aca="false">SUMIFS(K$2:K1456,A$2:A1456,A1456,B$2:B1456,B1456)</f>
        <v>4570419</v>
      </c>
      <c r="O1456" s="11" t="n">
        <f aca="false">MAX(0,_xlfn.MAXIFS(N$2:N1456,A$2:A1456,A1456,B$2:B1456,B1456))</f>
        <v>5888683</v>
      </c>
      <c r="P1456" s="11" t="n">
        <f aca="false">N1456-O1456</f>
        <v>-1318264</v>
      </c>
    </row>
    <row r="1457" customFormat="false" ht="15" hidden="false" customHeight="false" outlineLevel="0" collapsed="false">
      <c r="A1457" s="8" t="s">
        <v>45</v>
      </c>
      <c r="B1457" s="8" t="s">
        <v>39</v>
      </c>
      <c r="C1457" s="8" t="s">
        <v>62</v>
      </c>
      <c r="D1457" s="21" t="n">
        <v>46196.3854166667</v>
      </c>
      <c r="E1457" s="21" t="n">
        <v>46196.6486111111</v>
      </c>
      <c r="F1457" s="22" t="n">
        <f aca="false">DATE(YEAR(E1457),MONTH(E1457),1)</f>
        <v>46174</v>
      </c>
      <c r="G1457" s="23" t="n">
        <v>149429</v>
      </c>
      <c r="H1457" s="8" t="s">
        <v>64</v>
      </c>
      <c r="I1457" s="24" t="n">
        <v>40.65</v>
      </c>
      <c r="J1457" s="25" t="n">
        <f aca="false">Summary!$B$4</f>
        <v>1</v>
      </c>
      <c r="K1457" s="11" t="n">
        <f aca="false">I1457*J1457*IF(A1457="SILVER",Summary!$B$5,Summary!$B$6)</f>
        <v>4065</v>
      </c>
      <c r="L1457" s="26" t="n">
        <v>0.021</v>
      </c>
      <c r="M1457" s="27" t="n">
        <f aca="false">IF(K1457&gt;0,1,0)</f>
        <v>1</v>
      </c>
      <c r="N1457" s="11" t="n">
        <f aca="false">SUMIFS(K$2:K1457,A$2:A1457,A1457,B$2:B1457,B1457)</f>
        <v>4574484</v>
      </c>
      <c r="O1457" s="11" t="n">
        <f aca="false">MAX(0,_xlfn.MAXIFS(N$2:N1457,A$2:A1457,A1457,B$2:B1457,B1457))</f>
        <v>5888683</v>
      </c>
      <c r="P1457" s="11" t="n">
        <f aca="false">N1457-O1457</f>
        <v>-1314199</v>
      </c>
    </row>
    <row r="1458" customFormat="false" ht="15" hidden="false" customHeight="false" outlineLevel="0" collapsed="false">
      <c r="A1458" s="8" t="s">
        <v>45</v>
      </c>
      <c r="B1458" s="8" t="s">
        <v>39</v>
      </c>
      <c r="C1458" s="8" t="s">
        <v>62</v>
      </c>
      <c r="D1458" s="21" t="n">
        <v>46202.8229166667</v>
      </c>
      <c r="E1458" s="21" t="n">
        <v>46203.4979166667</v>
      </c>
      <c r="F1458" s="22" t="n">
        <f aca="false">DATE(YEAR(E1458),MONTH(E1458),1)</f>
        <v>46174</v>
      </c>
      <c r="G1458" s="23" t="n">
        <v>144655</v>
      </c>
      <c r="H1458" s="8" t="s">
        <v>64</v>
      </c>
      <c r="I1458" s="24" t="n">
        <v>156.21</v>
      </c>
      <c r="J1458" s="25" t="n">
        <f aca="false">Summary!$B$4</f>
        <v>1</v>
      </c>
      <c r="K1458" s="11" t="n">
        <f aca="false">I1458*J1458*IF(A1458="SILVER",Summary!$B$5,Summary!$B$6)</f>
        <v>15621</v>
      </c>
      <c r="L1458" s="26" t="n">
        <v>0.08</v>
      </c>
      <c r="M1458" s="27" t="n">
        <f aca="false">IF(K1458&gt;0,1,0)</f>
        <v>1</v>
      </c>
      <c r="N1458" s="11" t="n">
        <f aca="false">SUMIFS(K$2:K1458,A$2:A1458,A1458,B$2:B1458,B1458)</f>
        <v>4590105</v>
      </c>
      <c r="O1458" s="11" t="n">
        <f aca="false">MAX(0,_xlfn.MAXIFS(N$2:N1458,A$2:A1458,A1458,B$2:B1458,B1458))</f>
        <v>5888683</v>
      </c>
      <c r="P1458" s="11" t="n">
        <f aca="false">N1458-O1458</f>
        <v>-1298578</v>
      </c>
    </row>
    <row r="1459" customFormat="false" ht="15" hidden="false" customHeight="false" outlineLevel="0" collapsed="false">
      <c r="A1459" s="8" t="s">
        <v>45</v>
      </c>
      <c r="B1459" s="8" t="s">
        <v>39</v>
      </c>
      <c r="C1459" s="8" t="s">
        <v>62</v>
      </c>
      <c r="D1459" s="21" t="n">
        <v>46204.3854166667</v>
      </c>
      <c r="E1459" s="21" t="n">
        <v>46204.6979166667</v>
      </c>
      <c r="F1459" s="22" t="n">
        <f aca="false">DATE(YEAR(E1459),MONTH(E1459),1)</f>
        <v>46204</v>
      </c>
      <c r="G1459" s="23" t="n">
        <v>143953</v>
      </c>
      <c r="H1459" s="8" t="s">
        <v>61</v>
      </c>
      <c r="I1459" s="24" t="n">
        <v>-1552.41</v>
      </c>
      <c r="J1459" s="25" t="n">
        <f aca="false">Summary!$B$4</f>
        <v>1</v>
      </c>
      <c r="K1459" s="11" t="n">
        <f aca="false">I1459*J1459*IF(A1459="SILVER",Summary!$B$5,Summary!$B$6)</f>
        <v>-155241</v>
      </c>
      <c r="L1459" s="26" t="n">
        <v>-0.645</v>
      </c>
      <c r="M1459" s="27" t="n">
        <f aca="false">IF(K1459&gt;0,1,0)</f>
        <v>0</v>
      </c>
      <c r="N1459" s="11" t="n">
        <f aca="false">SUMIFS(K$2:K1459,A$2:A1459,A1459,B$2:B1459,B1459)</f>
        <v>4434864</v>
      </c>
      <c r="O1459" s="11" t="n">
        <f aca="false">MAX(0,_xlfn.MAXIFS(N$2:N1459,A$2:A1459,A1459,B$2:B1459,B1459))</f>
        <v>5888683</v>
      </c>
      <c r="P1459" s="11" t="n">
        <f aca="false">N1459-O1459</f>
        <v>-1453819</v>
      </c>
    </row>
    <row r="1460" customFormat="false" ht="15" hidden="false" customHeight="false" outlineLevel="0" collapsed="false">
      <c r="A1460" s="8" t="s">
        <v>45</v>
      </c>
      <c r="B1460" s="8" t="s">
        <v>39</v>
      </c>
      <c r="C1460" s="8" t="s">
        <v>62</v>
      </c>
      <c r="D1460" s="21" t="n">
        <v>46209.625</v>
      </c>
      <c r="E1460" s="21" t="n">
        <v>46210.7354166667</v>
      </c>
      <c r="F1460" s="22" t="n">
        <f aca="false">DATE(YEAR(E1460),MONTH(E1460),1)</f>
        <v>46204</v>
      </c>
      <c r="G1460" s="23" t="n">
        <v>149105</v>
      </c>
      <c r="H1460" s="8" t="s">
        <v>64</v>
      </c>
      <c r="I1460" s="24" t="n">
        <v>104.32</v>
      </c>
      <c r="J1460" s="25" t="n">
        <f aca="false">Summary!$B$4</f>
        <v>1</v>
      </c>
      <c r="K1460" s="11" t="n">
        <f aca="false">I1460*J1460*IF(A1460="SILVER",Summary!$B$5,Summary!$B$6)</f>
        <v>10432</v>
      </c>
      <c r="L1460" s="26" t="n">
        <v>0.073</v>
      </c>
      <c r="M1460" s="27" t="n">
        <f aca="false">IF(K1460&gt;0,1,0)</f>
        <v>1</v>
      </c>
      <c r="N1460" s="11" t="n">
        <f aca="false">SUMIFS(K$2:K1460,A$2:A1460,A1460,B$2:B1460,B1460)</f>
        <v>4445296</v>
      </c>
      <c r="O1460" s="11" t="n">
        <f aca="false">MAX(0,_xlfn.MAXIFS(N$2:N1460,A$2:A1460,A1460,B$2:B1460,B1460))</f>
        <v>5888683</v>
      </c>
      <c r="P1460" s="11" t="n">
        <f aca="false">N1460-O1460</f>
        <v>-1443387</v>
      </c>
    </row>
    <row r="1461" customFormat="false" ht="15" hidden="false" customHeight="false" outlineLevel="0" collapsed="false">
      <c r="A1461" s="8" t="s">
        <v>45</v>
      </c>
      <c r="B1461" s="8" t="s">
        <v>39</v>
      </c>
      <c r="C1461" s="8" t="s">
        <v>62</v>
      </c>
      <c r="D1461" s="21" t="n">
        <v>46211.3958333333</v>
      </c>
      <c r="E1461" s="21" t="n">
        <v>46212.5222222222</v>
      </c>
      <c r="F1461" s="22" t="n">
        <f aca="false">DATE(YEAR(E1461),MONTH(E1461),1)</f>
        <v>46204</v>
      </c>
      <c r="G1461" s="23" t="n">
        <v>147511</v>
      </c>
      <c r="H1461" s="8" t="s">
        <v>64</v>
      </c>
      <c r="I1461" s="24" t="n">
        <v>114.84</v>
      </c>
      <c r="J1461" s="25" t="n">
        <f aca="false">Summary!$B$4</f>
        <v>1</v>
      </c>
      <c r="K1461" s="11" t="n">
        <f aca="false">I1461*J1461*IF(A1461="SILVER",Summary!$B$5,Summary!$B$6)</f>
        <v>11484</v>
      </c>
      <c r="L1461" s="26" t="n">
        <v>0.075</v>
      </c>
      <c r="M1461" s="27" t="n">
        <f aca="false">IF(K1461&gt;0,1,0)</f>
        <v>1</v>
      </c>
      <c r="N1461" s="11" t="n">
        <f aca="false">SUMIFS(K$2:K1461,A$2:A1461,A1461,B$2:B1461,B1461)</f>
        <v>4456780</v>
      </c>
      <c r="O1461" s="11" t="n">
        <f aca="false">MAX(0,_xlfn.MAXIFS(N$2:N1461,A$2:A1461,A1461,B$2:B1461,B1461))</f>
        <v>5888683</v>
      </c>
      <c r="P1461" s="11" t="n">
        <f aca="false">N1461-O1461</f>
        <v>-1431903</v>
      </c>
    </row>
    <row r="1462" customFormat="false" ht="15" hidden="false" customHeight="false" outlineLevel="0" collapsed="false">
      <c r="A1462" s="8" t="s">
        <v>45</v>
      </c>
      <c r="B1462" s="8" t="s">
        <v>39</v>
      </c>
      <c r="C1462" s="8" t="s">
        <v>62</v>
      </c>
      <c r="D1462" s="21" t="n">
        <v>46213.7916666667</v>
      </c>
      <c r="E1462" s="21" t="n">
        <v>46217.7604166667</v>
      </c>
      <c r="F1462" s="22" t="n">
        <f aca="false">DATE(YEAR(E1462),MONTH(E1462),1)</f>
        <v>46204</v>
      </c>
      <c r="G1462" s="23" t="n">
        <v>146306</v>
      </c>
      <c r="H1462" s="8" t="s">
        <v>61</v>
      </c>
      <c r="I1462" s="24" t="n">
        <v>688.34</v>
      </c>
      <c r="J1462" s="25" t="n">
        <f aca="false">Summary!$B$4</f>
        <v>1</v>
      </c>
      <c r="K1462" s="11" t="n">
        <f aca="false">I1462*J1462*IF(A1462="SILVER",Summary!$B$5,Summary!$B$6)</f>
        <v>68834</v>
      </c>
      <c r="L1462" s="26" t="n">
        <v>0.472</v>
      </c>
      <c r="M1462" s="27" t="n">
        <f aca="false">IF(K1462&gt;0,1,0)</f>
        <v>1</v>
      </c>
      <c r="N1462" s="11" t="n">
        <f aca="false">SUMIFS(K$2:K1462,A$2:A1462,A1462,B$2:B1462,B1462)</f>
        <v>4525614</v>
      </c>
      <c r="O1462" s="11" t="n">
        <f aca="false">MAX(0,_xlfn.MAXIFS(N$2:N1462,A$2:A1462,A1462,B$2:B1462,B1462))</f>
        <v>5888683</v>
      </c>
      <c r="P1462" s="11" t="n">
        <f aca="false">N1462-O1462</f>
        <v>-1363069</v>
      </c>
    </row>
    <row r="1463" customFormat="false" ht="15" hidden="false" customHeight="false" outlineLevel="0" collapsed="false">
      <c r="A1463" s="8" t="s">
        <v>45</v>
      </c>
      <c r="B1463" s="8" t="s">
        <v>39</v>
      </c>
      <c r="C1463" s="8" t="s">
        <v>62</v>
      </c>
      <c r="D1463" s="21" t="n">
        <v>46219.7604166667</v>
      </c>
      <c r="E1463" s="21" t="n">
        <v>46220.4833333333</v>
      </c>
      <c r="F1463" s="22" t="n">
        <f aca="false">DATE(YEAR(E1463),MONTH(E1463),1)</f>
        <v>46204</v>
      </c>
      <c r="G1463" s="23" t="n">
        <v>143338</v>
      </c>
      <c r="H1463" s="8" t="s">
        <v>64</v>
      </c>
      <c r="I1463" s="24" t="n">
        <v>126.07</v>
      </c>
      <c r="J1463" s="25" t="n">
        <f aca="false">Summary!$B$4</f>
        <v>1</v>
      </c>
      <c r="K1463" s="11" t="n">
        <f aca="false">I1463*J1463*IF(A1463="SILVER",Summary!$B$5,Summary!$B$6)</f>
        <v>12607</v>
      </c>
      <c r="L1463" s="26" t="n">
        <v>0.077</v>
      </c>
      <c r="M1463" s="27" t="n">
        <f aca="false">IF(K1463&gt;0,1,0)</f>
        <v>1</v>
      </c>
      <c r="N1463" s="11" t="n">
        <f aca="false">SUMIFS(K$2:K1463,A$2:A1463,A1463,B$2:B1463,B1463)</f>
        <v>4538221</v>
      </c>
      <c r="O1463" s="11" t="n">
        <f aca="false">MAX(0,_xlfn.MAXIFS(N$2:N1463,A$2:A1463,A1463,B$2:B1463,B1463))</f>
        <v>5888683</v>
      </c>
      <c r="P1463" s="11" t="n">
        <f aca="false">N1463-O1463</f>
        <v>-1350462</v>
      </c>
    </row>
    <row r="1464" customFormat="false" ht="15" hidden="false" customHeight="false" outlineLevel="0" collapsed="false">
      <c r="A1464" s="8" t="s">
        <v>45</v>
      </c>
      <c r="B1464" s="8" t="s">
        <v>39</v>
      </c>
      <c r="C1464" s="8" t="s">
        <v>62</v>
      </c>
      <c r="D1464" s="21" t="n">
        <v>46226.53125</v>
      </c>
      <c r="E1464" s="21" t="n">
        <v>46227.6458333333</v>
      </c>
      <c r="F1464" s="22" t="n">
        <f aca="false">DATE(YEAR(E1464),MONTH(E1464),1)</f>
        <v>46204</v>
      </c>
      <c r="G1464" s="23" t="n">
        <v>147363</v>
      </c>
      <c r="H1464" s="8" t="s">
        <v>61</v>
      </c>
      <c r="I1464" s="24" t="n">
        <v>1399.2</v>
      </c>
      <c r="J1464" s="25" t="n">
        <f aca="false">Summary!$B$4</f>
        <v>1</v>
      </c>
      <c r="K1464" s="11" t="n">
        <f aca="false">I1464*J1464*IF(A1464="SILVER",Summary!$B$5,Summary!$B$6)</f>
        <v>139920</v>
      </c>
      <c r="L1464" s="26" t="n">
        <v>1.11</v>
      </c>
      <c r="M1464" s="27" t="n">
        <f aca="false">IF(K1464&gt;0,1,0)</f>
        <v>1</v>
      </c>
      <c r="N1464" s="11" t="n">
        <f aca="false">SUMIFS(K$2:K1464,A$2:A1464,A1464,B$2:B1464,B1464)</f>
        <v>4678141</v>
      </c>
      <c r="O1464" s="11" t="n">
        <f aca="false">MAX(0,_xlfn.MAXIFS(N$2:N1464,A$2:A1464,A1464,B$2:B1464,B1464))</f>
        <v>5888683</v>
      </c>
      <c r="P1464" s="11" t="n">
        <f aca="false">N1464-O1464</f>
        <v>-1210542</v>
      </c>
    </row>
    <row r="1465" customFormat="false" ht="15" hidden="false" customHeight="false" outlineLevel="0" collapsed="false">
      <c r="A1465" s="8" t="s">
        <v>45</v>
      </c>
      <c r="B1465" s="8" t="s">
        <v>39</v>
      </c>
      <c r="C1465" s="8" t="s">
        <v>62</v>
      </c>
      <c r="D1465" s="21" t="n">
        <v>46230.8333333333</v>
      </c>
      <c r="E1465" s="21" t="n">
        <v>46232.9479166667</v>
      </c>
      <c r="F1465" s="22" t="n">
        <f aca="false">DATE(YEAR(E1465),MONTH(E1465),1)</f>
        <v>46204</v>
      </c>
      <c r="G1465" s="23" t="n">
        <v>145615</v>
      </c>
      <c r="H1465" s="8" t="s">
        <v>61</v>
      </c>
      <c r="I1465" s="24" t="n">
        <v>1173.52</v>
      </c>
      <c r="J1465" s="25" t="n">
        <f aca="false">Summary!$B$4</f>
        <v>1</v>
      </c>
      <c r="K1465" s="11" t="n">
        <f aca="false">I1465*J1465*IF(A1465="SILVER",Summary!$B$5,Summary!$B$6)</f>
        <v>117352</v>
      </c>
      <c r="L1465" s="26" t="n">
        <v>0.859</v>
      </c>
      <c r="M1465" s="27" t="n">
        <f aca="false">IF(K1465&gt;0,1,0)</f>
        <v>1</v>
      </c>
      <c r="N1465" s="11" t="n">
        <f aca="false">SUMIFS(K$2:K1465,A$2:A1465,A1465,B$2:B1465,B1465)</f>
        <v>4795493</v>
      </c>
      <c r="O1465" s="11" t="n">
        <f aca="false">MAX(0,_xlfn.MAXIFS(N$2:N1465,A$2:A1465,A1465,B$2:B1465,B1465))</f>
        <v>5888683</v>
      </c>
      <c r="P1465" s="11" t="n">
        <f aca="false">N1465-O1465</f>
        <v>-1093190</v>
      </c>
    </row>
    <row r="1466" customFormat="false" ht="15" hidden="false" customHeight="false" outlineLevel="0" collapsed="false">
      <c r="A1466" s="8" t="s">
        <v>45</v>
      </c>
      <c r="B1466" s="8" t="s">
        <v>39</v>
      </c>
      <c r="C1466" s="8" t="s">
        <v>62</v>
      </c>
      <c r="D1466" s="21" t="n">
        <v>46234.6770833333</v>
      </c>
      <c r="E1466" s="21" t="n">
        <v>46234.8541666667</v>
      </c>
      <c r="F1466" s="22" t="n">
        <f aca="false">DATE(YEAR(E1466),MONTH(E1466),1)</f>
        <v>46204</v>
      </c>
      <c r="G1466" s="23" t="n">
        <v>144578</v>
      </c>
      <c r="H1466" s="8" t="s">
        <v>64</v>
      </c>
      <c r="I1466" s="24" t="n">
        <v>48.32</v>
      </c>
      <c r="J1466" s="25" t="n">
        <f aca="false">Summary!$B$4</f>
        <v>1</v>
      </c>
      <c r="K1466" s="11" t="n">
        <f aca="false">I1466*J1466*IF(A1466="SILVER",Summary!$B$5,Summary!$B$6)</f>
        <v>4832</v>
      </c>
      <c r="L1466" s="26" t="n">
        <v>0.056</v>
      </c>
      <c r="M1466" s="27" t="n">
        <f aca="false">IF(K1466&gt;0,1,0)</f>
        <v>1</v>
      </c>
      <c r="N1466" s="11" t="n">
        <f aca="false">SUMIFS(K$2:K1466,A$2:A1466,A1466,B$2:B1466,B1466)</f>
        <v>4800325</v>
      </c>
      <c r="O1466" s="11" t="n">
        <f aca="false">MAX(0,_xlfn.MAXIFS(N$2:N1466,A$2:A1466,A1466,B$2:B1466,B1466))</f>
        <v>5888683</v>
      </c>
      <c r="P1466" s="11" t="n">
        <f aca="false">N1466-O1466</f>
        <v>-1088358</v>
      </c>
    </row>
    <row r="1467" customFormat="false" ht="15" hidden="false" customHeight="false" outlineLevel="0" collapsed="false">
      <c r="A1467" s="8" t="s">
        <v>45</v>
      </c>
      <c r="B1467" s="8" t="s">
        <v>39</v>
      </c>
      <c r="C1467" s="8" t="s">
        <v>62</v>
      </c>
      <c r="D1467" s="21" t="n">
        <v>46240.78125</v>
      </c>
      <c r="E1467" s="21" t="n">
        <v>46241.5208333333</v>
      </c>
      <c r="F1467" s="22" t="n">
        <f aca="false">DATE(YEAR(E1467),MONTH(E1467),1)</f>
        <v>46235</v>
      </c>
      <c r="G1467" s="23" t="n">
        <v>148447</v>
      </c>
      <c r="H1467" s="8" t="s">
        <v>61</v>
      </c>
      <c r="I1467" s="24" t="n">
        <v>-2012.89</v>
      </c>
      <c r="J1467" s="25" t="n">
        <f aca="false">Summary!$B$4</f>
        <v>1</v>
      </c>
      <c r="K1467" s="11" t="n">
        <f aca="false">I1467*J1467*IF(A1467="SILVER",Summary!$B$5,Summary!$B$6)</f>
        <v>-201289</v>
      </c>
      <c r="L1467" s="26" t="n">
        <v>-0.999</v>
      </c>
      <c r="M1467" s="27" t="n">
        <f aca="false">IF(K1467&gt;0,1,0)</f>
        <v>0</v>
      </c>
      <c r="N1467" s="11" t="n">
        <f aca="false">SUMIFS(K$2:K1467,A$2:A1467,A1467,B$2:B1467,B1467)</f>
        <v>4599036</v>
      </c>
      <c r="O1467" s="11" t="n">
        <f aca="false">MAX(0,_xlfn.MAXIFS(N$2:N1467,A$2:A1467,A1467,B$2:B1467,B1467))</f>
        <v>5888683</v>
      </c>
      <c r="P1467" s="11" t="n">
        <f aca="false">N1467-O1467</f>
        <v>-1289647</v>
      </c>
    </row>
    <row r="1468" customFormat="false" ht="15" hidden="false" customHeight="false" outlineLevel="0" collapsed="false">
      <c r="A1468" s="8" t="s">
        <v>45</v>
      </c>
      <c r="B1468" s="8" t="s">
        <v>39</v>
      </c>
      <c r="C1468" s="8" t="s">
        <v>62</v>
      </c>
      <c r="D1468" s="21" t="n">
        <v>46247.4895833333</v>
      </c>
      <c r="E1468" s="21" t="n">
        <v>46248.6486111111</v>
      </c>
      <c r="F1468" s="22" t="n">
        <f aca="false">DATE(YEAR(E1468),MONTH(E1468),1)</f>
        <v>46235</v>
      </c>
      <c r="G1468" s="23" t="n">
        <v>153762</v>
      </c>
      <c r="H1468" s="8" t="s">
        <v>64</v>
      </c>
      <c r="I1468" s="24" t="n">
        <v>160.28</v>
      </c>
      <c r="J1468" s="25" t="n">
        <f aca="false">Summary!$B$4</f>
        <v>1</v>
      </c>
      <c r="K1468" s="11" t="n">
        <f aca="false">I1468*J1468*IF(A1468="SILVER",Summary!$B$5,Summary!$B$6)</f>
        <v>16028</v>
      </c>
      <c r="L1468" s="26" t="n">
        <v>0.077</v>
      </c>
      <c r="M1468" s="27" t="n">
        <f aca="false">IF(K1468&gt;0,1,0)</f>
        <v>1</v>
      </c>
      <c r="N1468" s="11" t="n">
        <f aca="false">SUMIFS(K$2:K1468,A$2:A1468,A1468,B$2:B1468,B1468)</f>
        <v>4615064</v>
      </c>
      <c r="O1468" s="11" t="n">
        <f aca="false">MAX(0,_xlfn.MAXIFS(N$2:N1468,A$2:A1468,A1468,B$2:B1468,B1468))</f>
        <v>5888683</v>
      </c>
      <c r="P1468" s="11" t="n">
        <f aca="false">N1468-O1468</f>
        <v>-1273619</v>
      </c>
    </row>
    <row r="1469" customFormat="false" ht="15" hidden="false" customHeight="false" outlineLevel="0" collapsed="false">
      <c r="A1469" s="8" t="s">
        <v>45</v>
      </c>
      <c r="B1469" s="8" t="s">
        <v>39</v>
      </c>
      <c r="C1469" s="8" t="s">
        <v>62</v>
      </c>
      <c r="D1469" s="21" t="n">
        <v>46252.8541666667</v>
      </c>
      <c r="E1469" s="21" t="n">
        <v>46253.6576388889</v>
      </c>
      <c r="F1469" s="22" t="n">
        <f aca="false">DATE(YEAR(E1469),MONTH(E1469),1)</f>
        <v>46235</v>
      </c>
      <c r="G1469" s="23" t="n">
        <v>154641</v>
      </c>
      <c r="H1469" s="8" t="s">
        <v>64</v>
      </c>
      <c r="I1469" s="24" t="n">
        <v>117.99</v>
      </c>
      <c r="J1469" s="25" t="n">
        <f aca="false">Summary!$B$4</f>
        <v>1</v>
      </c>
      <c r="K1469" s="11" t="n">
        <f aca="false">I1469*J1469*IF(A1469="SILVER",Summary!$B$5,Summary!$B$6)</f>
        <v>11799</v>
      </c>
      <c r="L1469" s="26" t="n">
        <v>0.074</v>
      </c>
      <c r="M1469" s="27" t="n">
        <f aca="false">IF(K1469&gt;0,1,0)</f>
        <v>1</v>
      </c>
      <c r="N1469" s="11" t="n">
        <f aca="false">SUMIFS(K$2:K1469,A$2:A1469,A1469,B$2:B1469,B1469)</f>
        <v>4626863</v>
      </c>
      <c r="O1469" s="11" t="n">
        <f aca="false">MAX(0,_xlfn.MAXIFS(N$2:N1469,A$2:A1469,A1469,B$2:B1469,B1469))</f>
        <v>5888683</v>
      </c>
      <c r="P1469" s="11" t="n">
        <f aca="false">N1469-O1469</f>
        <v>-1261820</v>
      </c>
    </row>
    <row r="1470" customFormat="false" ht="15" hidden="false" customHeight="false" outlineLevel="0" collapsed="false">
      <c r="A1470" s="8" t="s">
        <v>45</v>
      </c>
      <c r="B1470" s="8" t="s">
        <v>39</v>
      </c>
      <c r="C1470" s="8" t="s">
        <v>60</v>
      </c>
      <c r="D1470" s="21" t="n">
        <v>46267.8125</v>
      </c>
      <c r="E1470" s="21" t="n">
        <v>46269.7513888889</v>
      </c>
      <c r="F1470" s="22" t="n">
        <f aca="false">DATE(YEAR(E1470),MONTH(E1470),1)</f>
        <v>46266</v>
      </c>
      <c r="G1470" s="23" t="n">
        <v>152150</v>
      </c>
      <c r="H1470" s="8" t="s">
        <v>64</v>
      </c>
      <c r="I1470" s="24" t="n">
        <v>195.4</v>
      </c>
      <c r="J1470" s="25" t="n">
        <f aca="false">Summary!$B$4</f>
        <v>1</v>
      </c>
      <c r="K1470" s="11" t="n">
        <f aca="false">I1470*J1470*IF(A1470="SILVER",Summary!$B$5,Summary!$B$6)</f>
        <v>19540</v>
      </c>
      <c r="L1470" s="26" t="n">
        <v>0.083</v>
      </c>
      <c r="M1470" s="27" t="n">
        <f aca="false">IF(K1470&gt;0,1,0)</f>
        <v>1</v>
      </c>
      <c r="N1470" s="11" t="n">
        <f aca="false">SUMIFS(K$2:K1470,A$2:A1470,A1470,B$2:B1470,B1470)</f>
        <v>4646403</v>
      </c>
      <c r="O1470" s="11" t="n">
        <f aca="false">MAX(0,_xlfn.MAXIFS(N$2:N1470,A$2:A1470,A1470,B$2:B1470,B1470))</f>
        <v>5888683</v>
      </c>
      <c r="P1470" s="11" t="n">
        <f aca="false">N1470-O1470</f>
        <v>-1242280</v>
      </c>
    </row>
    <row r="1471" customFormat="false" ht="15" hidden="false" customHeight="false" outlineLevel="0" collapsed="false">
      <c r="A1471" s="8" t="s">
        <v>45</v>
      </c>
      <c r="B1471" s="8" t="s">
        <v>39</v>
      </c>
      <c r="C1471" s="8" t="s">
        <v>60</v>
      </c>
      <c r="D1471" s="21" t="n">
        <v>46273.40625</v>
      </c>
      <c r="E1471" s="21" t="n">
        <v>46273.5625</v>
      </c>
      <c r="F1471" s="22" t="n">
        <f aca="false">DATE(YEAR(E1471),MONTH(E1471),1)</f>
        <v>46266</v>
      </c>
      <c r="G1471" s="23" t="n">
        <v>153970</v>
      </c>
      <c r="H1471" s="8" t="s">
        <v>61</v>
      </c>
      <c r="I1471" s="24" t="n">
        <v>-1480.66</v>
      </c>
      <c r="J1471" s="25" t="n">
        <f aca="false">Summary!$B$4</f>
        <v>1</v>
      </c>
      <c r="K1471" s="11" t="n">
        <f aca="false">I1471*J1471*IF(A1471="SILVER",Summary!$B$5,Summary!$B$6)</f>
        <v>-148066</v>
      </c>
      <c r="L1471" s="26" t="n">
        <v>-1.069</v>
      </c>
      <c r="M1471" s="27" t="n">
        <f aca="false">IF(K1471&gt;0,1,0)</f>
        <v>0</v>
      </c>
      <c r="N1471" s="11" t="n">
        <f aca="false">SUMIFS(K$2:K1471,A$2:A1471,A1471,B$2:B1471,B1471)</f>
        <v>4498337</v>
      </c>
      <c r="O1471" s="11" t="n">
        <f aca="false">MAX(0,_xlfn.MAXIFS(N$2:N1471,A$2:A1471,A1471,B$2:B1471,B1471))</f>
        <v>5888683</v>
      </c>
      <c r="P1471" s="11" t="n">
        <f aca="false">N1471-O1471</f>
        <v>-1390346</v>
      </c>
    </row>
    <row r="1472" customFormat="false" ht="15" hidden="false" customHeight="false" outlineLevel="0" collapsed="false">
      <c r="A1472" s="8" t="s">
        <v>45</v>
      </c>
      <c r="B1472" s="8" t="s">
        <v>39</v>
      </c>
      <c r="C1472" s="8" t="s">
        <v>60</v>
      </c>
      <c r="D1472" s="21" t="n">
        <v>46274.7916666667</v>
      </c>
      <c r="E1472" s="21" t="n">
        <v>46275.75</v>
      </c>
      <c r="F1472" s="22" t="n">
        <f aca="false">DATE(YEAR(E1472),MONTH(E1472),1)</f>
        <v>46266</v>
      </c>
      <c r="G1472" s="23" t="n">
        <v>154028</v>
      </c>
      <c r="H1472" s="8" t="s">
        <v>61</v>
      </c>
      <c r="I1472" s="24" t="n">
        <v>-1431.67</v>
      </c>
      <c r="J1472" s="25" t="n">
        <f aca="false">Summary!$B$4</f>
        <v>1</v>
      </c>
      <c r="K1472" s="11" t="n">
        <f aca="false">I1472*J1472*IF(A1472="SILVER",Summary!$B$5,Summary!$B$6)</f>
        <v>-143167</v>
      </c>
      <c r="L1472" s="26" t="n">
        <v>-0.862</v>
      </c>
      <c r="M1472" s="27" t="n">
        <f aca="false">IF(K1472&gt;0,1,0)</f>
        <v>0</v>
      </c>
      <c r="N1472" s="11" t="n">
        <f aca="false">SUMIFS(K$2:K1472,A$2:A1472,A1472,B$2:B1472,B1472)</f>
        <v>4355170</v>
      </c>
      <c r="O1472" s="11" t="n">
        <f aca="false">MAX(0,_xlfn.MAXIFS(N$2:N1472,A$2:A1472,A1472,B$2:B1472,B1472))</f>
        <v>5888683</v>
      </c>
      <c r="P1472" s="11" t="n">
        <f aca="false">N1472-O1472</f>
        <v>-1533513</v>
      </c>
    </row>
    <row r="1473" customFormat="false" ht="15" hidden="false" customHeight="false" outlineLevel="0" collapsed="false">
      <c r="A1473" s="8" t="s">
        <v>45</v>
      </c>
      <c r="B1473" s="8" t="s">
        <v>39</v>
      </c>
      <c r="C1473" s="8" t="s">
        <v>60</v>
      </c>
      <c r="D1473" s="21" t="n">
        <v>46276.7708333333</v>
      </c>
      <c r="E1473" s="21" t="n">
        <v>46279.71875</v>
      </c>
      <c r="F1473" s="22" t="n">
        <f aca="false">DATE(YEAR(E1473),MONTH(E1473),1)</f>
        <v>46266</v>
      </c>
      <c r="G1473" s="23" t="n">
        <v>153478</v>
      </c>
      <c r="H1473" s="8" t="s">
        <v>61</v>
      </c>
      <c r="I1473" s="24" t="n">
        <v>-2507.45</v>
      </c>
      <c r="J1473" s="25" t="n">
        <f aca="false">Summary!$B$4</f>
        <v>1</v>
      </c>
      <c r="K1473" s="11" t="n">
        <f aca="false">I1473*J1473*IF(A1473="SILVER",Summary!$B$5,Summary!$B$6)</f>
        <v>-250745</v>
      </c>
      <c r="L1473" s="26" t="n">
        <v>-0.911</v>
      </c>
      <c r="M1473" s="27" t="n">
        <f aca="false">IF(K1473&gt;0,1,0)</f>
        <v>0</v>
      </c>
      <c r="N1473" s="11" t="n">
        <f aca="false">SUMIFS(K$2:K1473,A$2:A1473,A1473,B$2:B1473,B1473)</f>
        <v>4104425</v>
      </c>
      <c r="O1473" s="11" t="n">
        <f aca="false">MAX(0,_xlfn.MAXIFS(N$2:N1473,A$2:A1473,A1473,B$2:B1473,B1473))</f>
        <v>5888683</v>
      </c>
      <c r="P1473" s="11" t="n">
        <f aca="false">N1473-O1473</f>
        <v>-1784258</v>
      </c>
    </row>
    <row r="1474" customFormat="false" ht="15" hidden="false" customHeight="false" outlineLevel="0" collapsed="false">
      <c r="A1474" s="8" t="s">
        <v>45</v>
      </c>
      <c r="B1474" s="8" t="s">
        <v>39</v>
      </c>
      <c r="C1474" s="8" t="s">
        <v>60</v>
      </c>
      <c r="D1474" s="21" t="n">
        <v>46281.3958333333</v>
      </c>
      <c r="E1474" s="21" t="n">
        <v>46281.8159722222</v>
      </c>
      <c r="F1474" s="22" t="n">
        <f aca="false">DATE(YEAR(E1474),MONTH(E1474),1)</f>
        <v>46266</v>
      </c>
      <c r="G1474" s="23" t="n">
        <v>151655</v>
      </c>
      <c r="H1474" s="8" t="s">
        <v>64</v>
      </c>
      <c r="I1474" s="24" t="n">
        <v>120.76</v>
      </c>
      <c r="J1474" s="25" t="n">
        <f aca="false">Summary!$B$4</f>
        <v>1</v>
      </c>
      <c r="K1474" s="11" t="n">
        <f aca="false">I1474*J1474*IF(A1474="SILVER",Summary!$B$5,Summary!$B$6)</f>
        <v>12076</v>
      </c>
      <c r="L1474" s="26" t="n">
        <v>0.075</v>
      </c>
      <c r="M1474" s="27" t="n">
        <f aca="false">IF(K1474&gt;0,1,0)</f>
        <v>1</v>
      </c>
      <c r="N1474" s="11" t="n">
        <f aca="false">SUMIFS(K$2:K1474,A$2:A1474,A1474,B$2:B1474,B1474)</f>
        <v>4116501</v>
      </c>
      <c r="O1474" s="11" t="n">
        <f aca="false">MAX(0,_xlfn.MAXIFS(N$2:N1474,A$2:A1474,A1474,B$2:B1474,B1474))</f>
        <v>5888683</v>
      </c>
      <c r="P1474" s="11" t="n">
        <f aca="false">N1474-O1474</f>
        <v>-1772182</v>
      </c>
    </row>
    <row r="1475" customFormat="false" ht="15" hidden="false" customHeight="false" outlineLevel="0" collapsed="false">
      <c r="A1475" s="8" t="s">
        <v>45</v>
      </c>
      <c r="B1475" s="8" t="s">
        <v>39</v>
      </c>
      <c r="C1475" s="8" t="s">
        <v>60</v>
      </c>
      <c r="D1475" s="21" t="n">
        <v>46282.7291666667</v>
      </c>
      <c r="E1475" s="21" t="n">
        <v>46286.96875</v>
      </c>
      <c r="F1475" s="22" t="n">
        <f aca="false">DATE(YEAR(E1475),MONTH(E1475),1)</f>
        <v>46266</v>
      </c>
      <c r="G1475" s="23" t="n">
        <v>152560</v>
      </c>
      <c r="H1475" s="8" t="s">
        <v>61</v>
      </c>
      <c r="I1475" s="24" t="n">
        <v>449.44</v>
      </c>
      <c r="J1475" s="25" t="n">
        <f aca="false">Summary!$B$4</f>
        <v>1</v>
      </c>
      <c r="K1475" s="11" t="n">
        <f aca="false">I1475*J1475*IF(A1475="SILVER",Summary!$B$5,Summary!$B$6)</f>
        <v>44944</v>
      </c>
      <c r="L1475" s="26" t="n">
        <v>0.216</v>
      </c>
      <c r="M1475" s="27" t="n">
        <f aca="false">IF(K1475&gt;0,1,0)</f>
        <v>1</v>
      </c>
      <c r="N1475" s="11" t="n">
        <f aca="false">SUMIFS(K$2:K1475,A$2:A1475,A1475,B$2:B1475,B1475)</f>
        <v>4161445</v>
      </c>
      <c r="O1475" s="11" t="n">
        <f aca="false">MAX(0,_xlfn.MAXIFS(N$2:N1475,A$2:A1475,A1475,B$2:B1475,B1475))</f>
        <v>5888683</v>
      </c>
      <c r="P1475" s="11" t="n">
        <f aca="false">N1475-O1475</f>
        <v>-1727238</v>
      </c>
    </row>
    <row r="1476" customFormat="false" ht="15" hidden="false" customHeight="false" outlineLevel="0" collapsed="false">
      <c r="A1476" s="8" t="s">
        <v>45</v>
      </c>
      <c r="B1476" s="8" t="s">
        <v>41</v>
      </c>
      <c r="C1476" s="8" t="s">
        <v>62</v>
      </c>
      <c r="D1476" s="21" t="n">
        <v>45686.8715277778</v>
      </c>
      <c r="E1476" s="21" t="n">
        <v>45687.40625</v>
      </c>
      <c r="F1476" s="22" t="n">
        <f aca="false">DATE(YEAR(E1476),MONTH(E1476),1)</f>
        <v>45658</v>
      </c>
      <c r="G1476" s="23" t="n">
        <v>100659</v>
      </c>
      <c r="H1476" s="8" t="s">
        <v>61</v>
      </c>
      <c r="I1476" s="24" t="n">
        <v>-266.09</v>
      </c>
      <c r="J1476" s="25" t="n">
        <f aca="false">Summary!$B$4</f>
        <v>1</v>
      </c>
      <c r="K1476" s="11" t="n">
        <f aca="false">I1476*J1476*IF(A1476="SILVER",Summary!$B$5,Summary!$B$6)</f>
        <v>-26609</v>
      </c>
      <c r="L1476" s="26" t="n">
        <v>-0.709</v>
      </c>
      <c r="M1476" s="27" t="n">
        <f aca="false">IF(K1476&gt;0,1,0)</f>
        <v>0</v>
      </c>
      <c r="N1476" s="11" t="n">
        <f aca="false">SUMIFS(K$2:K1476,A$2:A1476,A1476,B$2:B1476,B1476)</f>
        <v>-26609</v>
      </c>
      <c r="O1476" s="11" t="n">
        <f aca="false">MAX(0,_xlfn.MAXIFS(N$2:N1476,A$2:A1476,A1476,B$2:B1476,B1476))</f>
        <v>0</v>
      </c>
      <c r="P1476" s="11" t="n">
        <f aca="false">N1476-O1476</f>
        <v>-26609</v>
      </c>
    </row>
    <row r="1477" customFormat="false" ht="15" hidden="false" customHeight="false" outlineLevel="0" collapsed="false">
      <c r="A1477" s="8" t="s">
        <v>45</v>
      </c>
      <c r="B1477" s="8" t="s">
        <v>41</v>
      </c>
      <c r="C1477" s="8" t="s">
        <v>62</v>
      </c>
      <c r="D1477" s="21" t="n">
        <v>45688.46875</v>
      </c>
      <c r="E1477" s="21" t="n">
        <v>45688.5381944445</v>
      </c>
      <c r="F1477" s="22" t="n">
        <f aca="false">DATE(YEAR(E1477),MONTH(E1477),1)</f>
        <v>45658</v>
      </c>
      <c r="G1477" s="23" t="n">
        <v>102093</v>
      </c>
      <c r="H1477" s="8" t="s">
        <v>61</v>
      </c>
      <c r="I1477" s="24" t="n">
        <v>-408.39</v>
      </c>
      <c r="J1477" s="25" t="n">
        <f aca="false">Summary!$B$4</f>
        <v>1</v>
      </c>
      <c r="K1477" s="11" t="n">
        <f aca="false">I1477*J1477*IF(A1477="SILVER",Summary!$B$5,Summary!$B$6)</f>
        <v>-40839</v>
      </c>
      <c r="L1477" s="26" t="n">
        <v>-0.976</v>
      </c>
      <c r="M1477" s="27" t="n">
        <f aca="false">IF(K1477&gt;0,1,0)</f>
        <v>0</v>
      </c>
      <c r="N1477" s="11" t="n">
        <f aca="false">SUMIFS(K$2:K1477,A$2:A1477,A1477,B$2:B1477,B1477)</f>
        <v>-67448</v>
      </c>
      <c r="O1477" s="11" t="n">
        <f aca="false">MAX(0,_xlfn.MAXIFS(N$2:N1477,A$2:A1477,A1477,B$2:B1477,B1477))</f>
        <v>0</v>
      </c>
      <c r="P1477" s="11" t="n">
        <f aca="false">N1477-O1477</f>
        <v>-67448</v>
      </c>
    </row>
    <row r="1478" customFormat="false" ht="15" hidden="false" customHeight="false" outlineLevel="0" collapsed="false">
      <c r="A1478" s="8" t="s">
        <v>45</v>
      </c>
      <c r="B1478" s="8" t="s">
        <v>41</v>
      </c>
      <c r="C1478" s="8" t="s">
        <v>62</v>
      </c>
      <c r="D1478" s="21" t="n">
        <v>45688.9479166667</v>
      </c>
      <c r="E1478" s="21" t="n">
        <v>45689.4347222222</v>
      </c>
      <c r="F1478" s="22" t="n">
        <f aca="false">DATE(YEAR(E1478),MONTH(E1478),1)</f>
        <v>45689</v>
      </c>
      <c r="G1478" s="23" t="n">
        <v>102172</v>
      </c>
      <c r="H1478" s="8" t="s">
        <v>61</v>
      </c>
      <c r="I1478" s="24" t="n">
        <v>-475.42</v>
      </c>
      <c r="J1478" s="25" t="n">
        <f aca="false">Summary!$B$4</f>
        <v>1</v>
      </c>
      <c r="K1478" s="11" t="n">
        <f aca="false">I1478*J1478*IF(A1478="SILVER",Summary!$B$5,Summary!$B$6)</f>
        <v>-47542</v>
      </c>
      <c r="L1478" s="26" t="n">
        <v>-1.057</v>
      </c>
      <c r="M1478" s="27" t="n">
        <f aca="false">IF(K1478&gt;0,1,0)</f>
        <v>0</v>
      </c>
      <c r="N1478" s="11" t="n">
        <f aca="false">SUMIFS(K$2:K1478,A$2:A1478,A1478,B$2:B1478,B1478)</f>
        <v>-114990</v>
      </c>
      <c r="O1478" s="11" t="n">
        <f aca="false">MAX(0,_xlfn.MAXIFS(N$2:N1478,A$2:A1478,A1478,B$2:B1478,B1478))</f>
        <v>0</v>
      </c>
      <c r="P1478" s="11" t="n">
        <f aca="false">N1478-O1478</f>
        <v>-114990</v>
      </c>
    </row>
    <row r="1479" customFormat="false" ht="15" hidden="false" customHeight="false" outlineLevel="0" collapsed="false">
      <c r="A1479" s="8" t="s">
        <v>45</v>
      </c>
      <c r="B1479" s="8" t="s">
        <v>41</v>
      </c>
      <c r="C1479" s="8" t="s">
        <v>62</v>
      </c>
      <c r="D1479" s="21" t="n">
        <v>45689.5173611111</v>
      </c>
      <c r="E1479" s="21" t="n">
        <v>45689.6840277778</v>
      </c>
      <c r="F1479" s="22" t="n">
        <f aca="false">DATE(YEAR(E1479),MONTH(E1479),1)</f>
        <v>45689</v>
      </c>
      <c r="G1479" s="23" t="n">
        <v>102222</v>
      </c>
      <c r="H1479" s="8" t="s">
        <v>61</v>
      </c>
      <c r="I1479" s="24" t="n">
        <v>-226.4</v>
      </c>
      <c r="J1479" s="25" t="n">
        <f aca="false">Summary!$B$4</f>
        <v>1</v>
      </c>
      <c r="K1479" s="11" t="n">
        <f aca="false">I1479*J1479*IF(A1479="SILVER",Summary!$B$5,Summary!$B$6)</f>
        <v>-22640</v>
      </c>
      <c r="L1479" s="26" t="n">
        <v>-0.423</v>
      </c>
      <c r="M1479" s="27" t="n">
        <f aca="false">IF(K1479&gt;0,1,0)</f>
        <v>0</v>
      </c>
      <c r="N1479" s="11" t="n">
        <f aca="false">SUMIFS(K$2:K1479,A$2:A1479,A1479,B$2:B1479,B1479)</f>
        <v>-137630</v>
      </c>
      <c r="O1479" s="11" t="n">
        <f aca="false">MAX(0,_xlfn.MAXIFS(N$2:N1479,A$2:A1479,A1479,B$2:B1479,B1479))</f>
        <v>0</v>
      </c>
      <c r="P1479" s="11" t="n">
        <f aca="false">N1479-O1479</f>
        <v>-137630</v>
      </c>
    </row>
    <row r="1480" customFormat="false" ht="15" hidden="false" customHeight="false" outlineLevel="0" collapsed="false">
      <c r="A1480" s="8" t="s">
        <v>45</v>
      </c>
      <c r="B1480" s="8" t="s">
        <v>41</v>
      </c>
      <c r="C1480" s="8" t="s">
        <v>60</v>
      </c>
      <c r="D1480" s="21" t="n">
        <v>45694.68125</v>
      </c>
      <c r="E1480" s="21" t="n">
        <v>45694.7722222222</v>
      </c>
      <c r="F1480" s="22" t="n">
        <f aca="false">DATE(YEAR(E1480),MONTH(E1480),1)</f>
        <v>45689</v>
      </c>
      <c r="G1480" s="23" t="n">
        <v>105173</v>
      </c>
      <c r="H1480" s="8" t="s">
        <v>64</v>
      </c>
      <c r="I1480" s="24" t="n">
        <v>4.92</v>
      </c>
      <c r="J1480" s="25" t="n">
        <f aca="false">Summary!$B$4</f>
        <v>1</v>
      </c>
      <c r="K1480" s="11" t="n">
        <f aca="false">I1480*J1480*IF(A1480="SILVER",Summary!$B$5,Summary!$B$6)</f>
        <v>492</v>
      </c>
      <c r="L1480" s="26" t="n">
        <v>0.015</v>
      </c>
      <c r="M1480" s="27" t="n">
        <f aca="false">IF(K1480&gt;0,1,0)</f>
        <v>1</v>
      </c>
      <c r="N1480" s="11" t="n">
        <f aca="false">SUMIFS(K$2:K1480,A$2:A1480,A1480,B$2:B1480,B1480)</f>
        <v>-137138</v>
      </c>
      <c r="O1480" s="11" t="n">
        <f aca="false">MAX(0,_xlfn.MAXIFS(N$2:N1480,A$2:A1480,A1480,B$2:B1480,B1480))</f>
        <v>0</v>
      </c>
      <c r="P1480" s="11" t="n">
        <f aca="false">N1480-O1480</f>
        <v>-137138</v>
      </c>
    </row>
    <row r="1481" customFormat="false" ht="15" hidden="false" customHeight="false" outlineLevel="0" collapsed="false">
      <c r="A1481" s="8" t="s">
        <v>45</v>
      </c>
      <c r="B1481" s="8" t="s">
        <v>41</v>
      </c>
      <c r="C1481" s="8" t="s">
        <v>60</v>
      </c>
      <c r="D1481" s="21" t="n">
        <v>45695.3784722222</v>
      </c>
      <c r="E1481" s="21" t="n">
        <v>45695.9604166667</v>
      </c>
      <c r="F1481" s="22" t="n">
        <f aca="false">DATE(YEAR(E1481),MONTH(E1481),1)</f>
        <v>45689</v>
      </c>
      <c r="G1481" s="23" t="n">
        <v>105237</v>
      </c>
      <c r="H1481" s="8" t="s">
        <v>64</v>
      </c>
      <c r="I1481" s="24" t="n">
        <v>11.07</v>
      </c>
      <c r="J1481" s="25" t="n">
        <f aca="false">Summary!$B$4</f>
        <v>1</v>
      </c>
      <c r="K1481" s="11" t="n">
        <f aca="false">I1481*J1481*IF(A1481="SILVER",Summary!$B$5,Summary!$B$6)</f>
        <v>1107</v>
      </c>
      <c r="L1481" s="26" t="n">
        <v>0.029</v>
      </c>
      <c r="M1481" s="27" t="n">
        <f aca="false">IF(K1481&gt;0,1,0)</f>
        <v>1</v>
      </c>
      <c r="N1481" s="11" t="n">
        <f aca="false">SUMIFS(K$2:K1481,A$2:A1481,A1481,B$2:B1481,B1481)</f>
        <v>-136031</v>
      </c>
      <c r="O1481" s="11" t="n">
        <f aca="false">MAX(0,_xlfn.MAXIFS(N$2:N1481,A$2:A1481,A1481,B$2:B1481,B1481))</f>
        <v>0</v>
      </c>
      <c r="P1481" s="11" t="n">
        <f aca="false">N1481-O1481</f>
        <v>-136031</v>
      </c>
    </row>
    <row r="1482" customFormat="false" ht="15" hidden="false" customHeight="false" outlineLevel="0" collapsed="false">
      <c r="A1482" s="8" t="s">
        <v>45</v>
      </c>
      <c r="B1482" s="8" t="s">
        <v>41</v>
      </c>
      <c r="C1482" s="8" t="s">
        <v>60</v>
      </c>
      <c r="D1482" s="21" t="n">
        <v>45698.3784722222</v>
      </c>
      <c r="E1482" s="21" t="n">
        <v>45699.3958333333</v>
      </c>
      <c r="F1482" s="22" t="n">
        <f aca="false">DATE(YEAR(E1482),MONTH(E1482),1)</f>
        <v>45689</v>
      </c>
      <c r="G1482" s="23" t="n">
        <v>105862</v>
      </c>
      <c r="H1482" s="8" t="s">
        <v>61</v>
      </c>
      <c r="I1482" s="24" t="n">
        <v>456.89</v>
      </c>
      <c r="J1482" s="25" t="n">
        <f aca="false">Summary!$B$4</f>
        <v>1</v>
      </c>
      <c r="K1482" s="11" t="n">
        <f aca="false">I1482*J1482*IF(A1482="SILVER",Summary!$B$5,Summary!$B$6)</f>
        <v>45689</v>
      </c>
      <c r="L1482" s="26" t="n">
        <v>0.654</v>
      </c>
      <c r="M1482" s="27" t="n">
        <f aca="false">IF(K1482&gt;0,1,0)</f>
        <v>1</v>
      </c>
      <c r="N1482" s="11" t="n">
        <f aca="false">SUMIFS(K$2:K1482,A$2:A1482,A1482,B$2:B1482,B1482)</f>
        <v>-90342</v>
      </c>
      <c r="O1482" s="11" t="n">
        <f aca="false">MAX(0,_xlfn.MAXIFS(N$2:N1482,A$2:A1482,A1482,B$2:B1482,B1482))</f>
        <v>0</v>
      </c>
      <c r="P1482" s="11" t="n">
        <f aca="false">N1482-O1482</f>
        <v>-90342</v>
      </c>
    </row>
    <row r="1483" customFormat="false" ht="15" hidden="false" customHeight="false" outlineLevel="0" collapsed="false">
      <c r="A1483" s="8" t="s">
        <v>45</v>
      </c>
      <c r="B1483" s="8" t="s">
        <v>41</v>
      </c>
      <c r="C1483" s="8" t="s">
        <v>60</v>
      </c>
      <c r="D1483" s="21" t="n">
        <v>45699.8333333333</v>
      </c>
      <c r="E1483" s="21" t="n">
        <v>45700.3784722222</v>
      </c>
      <c r="F1483" s="22" t="n">
        <f aca="false">DATE(YEAR(E1483),MONTH(E1483),1)</f>
        <v>45689</v>
      </c>
      <c r="G1483" s="23" t="n">
        <v>106002</v>
      </c>
      <c r="H1483" s="8" t="s">
        <v>61</v>
      </c>
      <c r="I1483" s="24" t="n">
        <v>-587.03</v>
      </c>
      <c r="J1483" s="25" t="n">
        <f aca="false">Summary!$B$4</f>
        <v>1</v>
      </c>
      <c r="K1483" s="11" t="n">
        <f aca="false">I1483*J1483*IF(A1483="SILVER",Summary!$B$5,Summary!$B$6)</f>
        <v>-58703</v>
      </c>
      <c r="L1483" s="26" t="n">
        <v>-0.994</v>
      </c>
      <c r="M1483" s="27" t="n">
        <f aca="false">IF(K1483&gt;0,1,0)</f>
        <v>0</v>
      </c>
      <c r="N1483" s="11" t="n">
        <f aca="false">SUMIFS(K$2:K1483,A$2:A1483,A1483,B$2:B1483,B1483)</f>
        <v>-149045</v>
      </c>
      <c r="O1483" s="11" t="n">
        <f aca="false">MAX(0,_xlfn.MAXIFS(N$2:N1483,A$2:A1483,A1483,B$2:B1483,B1483))</f>
        <v>0</v>
      </c>
      <c r="P1483" s="11" t="n">
        <f aca="false">N1483-O1483</f>
        <v>-149045</v>
      </c>
    </row>
    <row r="1484" customFormat="false" ht="15" hidden="false" customHeight="false" outlineLevel="0" collapsed="false">
      <c r="A1484" s="8" t="s">
        <v>45</v>
      </c>
      <c r="B1484" s="8" t="s">
        <v>41</v>
      </c>
      <c r="C1484" s="8" t="s">
        <v>60</v>
      </c>
      <c r="D1484" s="21" t="n">
        <v>45700.5277777778</v>
      </c>
      <c r="E1484" s="21" t="n">
        <v>45700.6979166667</v>
      </c>
      <c r="F1484" s="22" t="n">
        <f aca="false">DATE(YEAR(E1484),MONTH(E1484),1)</f>
        <v>45689</v>
      </c>
      <c r="G1484" s="23" t="n">
        <v>105762</v>
      </c>
      <c r="H1484" s="8" t="s">
        <v>61</v>
      </c>
      <c r="I1484" s="24" t="n">
        <v>-389.01</v>
      </c>
      <c r="J1484" s="25" t="n">
        <f aca="false">Summary!$B$4</f>
        <v>1</v>
      </c>
      <c r="K1484" s="11" t="n">
        <f aca="false">I1484*J1484*IF(A1484="SILVER",Summary!$B$5,Summary!$B$6)</f>
        <v>-38901</v>
      </c>
      <c r="L1484" s="26" t="n">
        <v>-1.146</v>
      </c>
      <c r="M1484" s="27" t="n">
        <f aca="false">IF(K1484&gt;0,1,0)</f>
        <v>0</v>
      </c>
      <c r="N1484" s="11" t="n">
        <f aca="false">SUMIFS(K$2:K1484,A$2:A1484,A1484,B$2:B1484,B1484)</f>
        <v>-187946</v>
      </c>
      <c r="O1484" s="11" t="n">
        <f aca="false">MAX(0,_xlfn.MAXIFS(N$2:N1484,A$2:A1484,A1484,B$2:B1484,B1484))</f>
        <v>0</v>
      </c>
      <c r="P1484" s="11" t="n">
        <f aca="false">N1484-O1484</f>
        <v>-187946</v>
      </c>
    </row>
    <row r="1485" customFormat="false" ht="15" hidden="false" customHeight="false" outlineLevel="0" collapsed="false">
      <c r="A1485" s="8" t="s">
        <v>45</v>
      </c>
      <c r="B1485" s="8" t="s">
        <v>41</v>
      </c>
      <c r="C1485" s="8" t="s">
        <v>60</v>
      </c>
      <c r="D1485" s="21" t="n">
        <v>45700.8125</v>
      </c>
      <c r="E1485" s="21" t="n">
        <v>45701.6041666667</v>
      </c>
      <c r="F1485" s="22" t="n">
        <f aca="false">DATE(YEAR(E1485),MONTH(E1485),1)</f>
        <v>45689</v>
      </c>
      <c r="G1485" s="23" t="n">
        <v>105686</v>
      </c>
      <c r="H1485" s="8" t="s">
        <v>61</v>
      </c>
      <c r="I1485" s="24" t="n">
        <v>551.92</v>
      </c>
      <c r="J1485" s="25" t="n">
        <f aca="false">Summary!$B$4</f>
        <v>1</v>
      </c>
      <c r="K1485" s="11" t="n">
        <f aca="false">I1485*J1485*IF(A1485="SILVER",Summary!$B$5,Summary!$B$6)</f>
        <v>55192</v>
      </c>
      <c r="L1485" s="26" t="n">
        <v>0.829</v>
      </c>
      <c r="M1485" s="27" t="n">
        <f aca="false">IF(K1485&gt;0,1,0)</f>
        <v>1</v>
      </c>
      <c r="N1485" s="11" t="n">
        <f aca="false">SUMIFS(K$2:K1485,A$2:A1485,A1485,B$2:B1485,B1485)</f>
        <v>-132754</v>
      </c>
      <c r="O1485" s="11" t="n">
        <f aca="false">MAX(0,_xlfn.MAXIFS(N$2:N1485,A$2:A1485,A1485,B$2:B1485,B1485))</f>
        <v>0</v>
      </c>
      <c r="P1485" s="11" t="n">
        <f aca="false">N1485-O1485</f>
        <v>-132754</v>
      </c>
    </row>
    <row r="1486" customFormat="false" ht="15" hidden="false" customHeight="false" outlineLevel="0" collapsed="false">
      <c r="A1486" s="8" t="s">
        <v>45</v>
      </c>
      <c r="B1486" s="8" t="s">
        <v>41</v>
      </c>
      <c r="C1486" s="8" t="s">
        <v>60</v>
      </c>
      <c r="D1486" s="21" t="n">
        <v>45701.7395833333</v>
      </c>
      <c r="E1486" s="21" t="n">
        <v>45701.8055555556</v>
      </c>
      <c r="F1486" s="22" t="n">
        <f aca="false">DATE(YEAR(E1486),MONTH(E1486),1)</f>
        <v>45689</v>
      </c>
      <c r="G1486" s="23" t="n">
        <v>106560</v>
      </c>
      <c r="H1486" s="8" t="s">
        <v>61</v>
      </c>
      <c r="I1486" s="24" t="n">
        <v>-245.18</v>
      </c>
      <c r="J1486" s="25" t="n">
        <f aca="false">Summary!$B$4</f>
        <v>1</v>
      </c>
      <c r="K1486" s="11" t="n">
        <f aca="false">I1486*J1486*IF(A1486="SILVER",Summary!$B$5,Summary!$B$6)</f>
        <v>-24518</v>
      </c>
      <c r="L1486" s="26" t="n">
        <v>-1</v>
      </c>
      <c r="M1486" s="27" t="n">
        <f aca="false">IF(K1486&gt;0,1,0)</f>
        <v>0</v>
      </c>
      <c r="N1486" s="11" t="n">
        <f aca="false">SUMIFS(K$2:K1486,A$2:A1486,A1486,B$2:B1486,B1486)</f>
        <v>-157272</v>
      </c>
      <c r="O1486" s="11" t="n">
        <f aca="false">MAX(0,_xlfn.MAXIFS(N$2:N1486,A$2:A1486,A1486,B$2:B1486,B1486))</f>
        <v>0</v>
      </c>
      <c r="P1486" s="11" t="n">
        <f aca="false">N1486-O1486</f>
        <v>-157272</v>
      </c>
    </row>
    <row r="1487" customFormat="false" ht="15" hidden="false" customHeight="false" outlineLevel="0" collapsed="false">
      <c r="A1487" s="8" t="s">
        <v>45</v>
      </c>
      <c r="B1487" s="8" t="s">
        <v>41</v>
      </c>
      <c r="C1487" s="8" t="s">
        <v>60</v>
      </c>
      <c r="D1487" s="21" t="n">
        <v>45702.3784722222</v>
      </c>
      <c r="E1487" s="21" t="n">
        <v>45702.7194444445</v>
      </c>
      <c r="F1487" s="22" t="n">
        <f aca="false">DATE(YEAR(E1487),MONTH(E1487),1)</f>
        <v>45689</v>
      </c>
      <c r="G1487" s="23" t="n">
        <v>106632</v>
      </c>
      <c r="H1487" s="8" t="s">
        <v>64</v>
      </c>
      <c r="I1487" s="24" t="n">
        <v>7.13</v>
      </c>
      <c r="J1487" s="25" t="n">
        <f aca="false">Summary!$B$4</f>
        <v>1</v>
      </c>
      <c r="K1487" s="11" t="n">
        <f aca="false">I1487*J1487*IF(A1487="SILVER",Summary!$B$5,Summary!$B$6)</f>
        <v>713</v>
      </c>
      <c r="L1487" s="26" t="n">
        <v>0.021</v>
      </c>
      <c r="M1487" s="27" t="n">
        <f aca="false">IF(K1487&gt;0,1,0)</f>
        <v>1</v>
      </c>
      <c r="N1487" s="11" t="n">
        <f aca="false">SUMIFS(K$2:K1487,A$2:A1487,A1487,B$2:B1487,B1487)</f>
        <v>-156559</v>
      </c>
      <c r="O1487" s="11" t="n">
        <f aca="false">MAX(0,_xlfn.MAXIFS(N$2:N1487,A$2:A1487,A1487,B$2:B1487,B1487))</f>
        <v>0</v>
      </c>
      <c r="P1487" s="11" t="n">
        <f aca="false">N1487-O1487</f>
        <v>-156559</v>
      </c>
    </row>
    <row r="1488" customFormat="false" ht="15" hidden="false" customHeight="false" outlineLevel="0" collapsed="false">
      <c r="A1488" s="8" t="s">
        <v>45</v>
      </c>
      <c r="B1488" s="8" t="s">
        <v>41</v>
      </c>
      <c r="C1488" s="8" t="s">
        <v>60</v>
      </c>
      <c r="D1488" s="21" t="n">
        <v>45705.3923611111</v>
      </c>
      <c r="E1488" s="21" t="n">
        <v>45705.5</v>
      </c>
      <c r="F1488" s="22" t="n">
        <f aca="false">DATE(YEAR(E1488),MONTH(E1488),1)</f>
        <v>45689</v>
      </c>
      <c r="G1488" s="23" t="n">
        <v>105712</v>
      </c>
      <c r="H1488" s="8" t="s">
        <v>61</v>
      </c>
      <c r="I1488" s="24" t="n">
        <v>-446.99</v>
      </c>
      <c r="J1488" s="25" t="n">
        <f aca="false">Summary!$B$4</f>
        <v>1</v>
      </c>
      <c r="K1488" s="11" t="n">
        <f aca="false">I1488*J1488*IF(A1488="SILVER",Summary!$B$5,Summary!$B$6)</f>
        <v>-44699</v>
      </c>
      <c r="L1488" s="26" t="n">
        <v>-0.858</v>
      </c>
      <c r="M1488" s="27" t="n">
        <f aca="false">IF(K1488&gt;0,1,0)</f>
        <v>0</v>
      </c>
      <c r="N1488" s="11" t="n">
        <f aca="false">SUMIFS(K$2:K1488,A$2:A1488,A1488,B$2:B1488,B1488)</f>
        <v>-201258</v>
      </c>
      <c r="O1488" s="11" t="n">
        <f aca="false">MAX(0,_xlfn.MAXIFS(N$2:N1488,A$2:A1488,A1488,B$2:B1488,B1488))</f>
        <v>0</v>
      </c>
      <c r="P1488" s="11" t="n">
        <f aca="false">N1488-O1488</f>
        <v>-201258</v>
      </c>
    </row>
    <row r="1489" customFormat="false" ht="15" hidden="false" customHeight="false" outlineLevel="0" collapsed="false">
      <c r="A1489" s="8" t="s">
        <v>45</v>
      </c>
      <c r="B1489" s="8" t="s">
        <v>41</v>
      </c>
      <c r="C1489" s="8" t="s">
        <v>60</v>
      </c>
      <c r="D1489" s="21" t="n">
        <v>45705.6076388889</v>
      </c>
      <c r="E1489" s="21" t="n">
        <v>45707.7291666667</v>
      </c>
      <c r="F1489" s="22" t="n">
        <f aca="false">DATE(YEAR(E1489),MONTH(E1489),1)</f>
        <v>45689</v>
      </c>
      <c r="G1489" s="23" t="n">
        <v>105722</v>
      </c>
      <c r="H1489" s="8" t="s">
        <v>61</v>
      </c>
      <c r="I1489" s="24" t="n">
        <v>1062.86</v>
      </c>
      <c r="J1489" s="25" t="n">
        <f aca="false">Summary!$B$4</f>
        <v>1</v>
      </c>
      <c r="K1489" s="11" t="n">
        <f aca="false">I1489*J1489*IF(A1489="SILVER",Summary!$B$5,Summary!$B$6)</f>
        <v>106286</v>
      </c>
      <c r="L1489" s="26" t="n">
        <v>3.044</v>
      </c>
      <c r="M1489" s="27" t="n">
        <f aca="false">IF(K1489&gt;0,1,0)</f>
        <v>1</v>
      </c>
      <c r="N1489" s="11" t="n">
        <f aca="false">SUMIFS(K$2:K1489,A$2:A1489,A1489,B$2:B1489,B1489)</f>
        <v>-94972</v>
      </c>
      <c r="O1489" s="11" t="n">
        <f aca="false">MAX(0,_xlfn.MAXIFS(N$2:N1489,A$2:A1489,A1489,B$2:B1489,B1489))</f>
        <v>0</v>
      </c>
      <c r="P1489" s="11" t="n">
        <f aca="false">N1489-O1489</f>
        <v>-94972</v>
      </c>
    </row>
    <row r="1490" customFormat="false" ht="15" hidden="false" customHeight="false" outlineLevel="0" collapsed="false">
      <c r="A1490" s="8" t="s">
        <v>45</v>
      </c>
      <c r="B1490" s="8" t="s">
        <v>41</v>
      </c>
      <c r="C1490" s="8" t="s">
        <v>60</v>
      </c>
      <c r="D1490" s="21" t="n">
        <v>45708.3784722222</v>
      </c>
      <c r="E1490" s="21" t="n">
        <v>45708.7222222222</v>
      </c>
      <c r="F1490" s="22" t="n">
        <f aca="false">DATE(YEAR(E1490),MONTH(E1490),1)</f>
        <v>45689</v>
      </c>
      <c r="G1490" s="23" t="n">
        <v>107012</v>
      </c>
      <c r="H1490" s="8" t="s">
        <v>61</v>
      </c>
      <c r="I1490" s="24" t="n">
        <v>-227.27</v>
      </c>
      <c r="J1490" s="25" t="n">
        <f aca="false">Summary!$B$4</f>
        <v>1</v>
      </c>
      <c r="K1490" s="11" t="n">
        <f aca="false">I1490*J1490*IF(A1490="SILVER",Summary!$B$5,Summary!$B$6)</f>
        <v>-22727</v>
      </c>
      <c r="L1490" s="26" t="n">
        <v>-0.415</v>
      </c>
      <c r="M1490" s="27" t="n">
        <f aca="false">IF(K1490&gt;0,1,0)</f>
        <v>0</v>
      </c>
      <c r="N1490" s="11" t="n">
        <f aca="false">SUMIFS(K$2:K1490,A$2:A1490,A1490,B$2:B1490,B1490)</f>
        <v>-117699</v>
      </c>
      <c r="O1490" s="11" t="n">
        <f aca="false">MAX(0,_xlfn.MAXIFS(N$2:N1490,A$2:A1490,A1490,B$2:B1490,B1490))</f>
        <v>0</v>
      </c>
      <c r="P1490" s="11" t="n">
        <f aca="false">N1490-O1490</f>
        <v>-117699</v>
      </c>
    </row>
    <row r="1491" customFormat="false" ht="15" hidden="false" customHeight="false" outlineLevel="0" collapsed="false">
      <c r="A1491" s="8" t="s">
        <v>45</v>
      </c>
      <c r="B1491" s="8" t="s">
        <v>41</v>
      </c>
      <c r="C1491" s="8" t="s">
        <v>60</v>
      </c>
      <c r="D1491" s="21" t="n">
        <v>45709.6979166667</v>
      </c>
      <c r="E1491" s="21" t="n">
        <v>45709.8715277778</v>
      </c>
      <c r="F1491" s="22" t="n">
        <f aca="false">DATE(YEAR(E1491),MONTH(E1491),1)</f>
        <v>45689</v>
      </c>
      <c r="G1491" s="23" t="n">
        <v>106440</v>
      </c>
      <c r="H1491" s="8" t="s">
        <v>61</v>
      </c>
      <c r="I1491" s="24" t="n">
        <v>-296.15</v>
      </c>
      <c r="J1491" s="25" t="n">
        <f aca="false">Summary!$B$4</f>
        <v>1</v>
      </c>
      <c r="K1491" s="11" t="n">
        <f aca="false">I1491*J1491*IF(A1491="SILVER",Summary!$B$5,Summary!$B$6)</f>
        <v>-29615</v>
      </c>
      <c r="L1491" s="26" t="n">
        <v>-1.178</v>
      </c>
      <c r="M1491" s="27" t="n">
        <f aca="false">IF(K1491&gt;0,1,0)</f>
        <v>0</v>
      </c>
      <c r="N1491" s="11" t="n">
        <f aca="false">SUMIFS(K$2:K1491,A$2:A1491,A1491,B$2:B1491,B1491)</f>
        <v>-147314</v>
      </c>
      <c r="O1491" s="11" t="n">
        <f aca="false">MAX(0,_xlfn.MAXIFS(N$2:N1491,A$2:A1491,A1491,B$2:B1491,B1491))</f>
        <v>0</v>
      </c>
      <c r="P1491" s="11" t="n">
        <f aca="false">N1491-O1491</f>
        <v>-147314</v>
      </c>
    </row>
    <row r="1492" customFormat="false" ht="15" hidden="false" customHeight="false" outlineLevel="0" collapsed="false">
      <c r="A1492" s="8" t="s">
        <v>45</v>
      </c>
      <c r="B1492" s="8" t="s">
        <v>41</v>
      </c>
      <c r="C1492" s="8" t="s">
        <v>60</v>
      </c>
      <c r="D1492" s="21" t="n">
        <v>45709.9756944445</v>
      </c>
      <c r="E1492" s="21" t="n">
        <v>45712.8333333333</v>
      </c>
      <c r="F1492" s="22" t="n">
        <f aca="false">DATE(YEAR(E1492),MONTH(E1492),1)</f>
        <v>45689</v>
      </c>
      <c r="G1492" s="23" t="n">
        <v>106557</v>
      </c>
      <c r="H1492" s="8" t="s">
        <v>61</v>
      </c>
      <c r="I1492" s="24" t="n">
        <v>130.78</v>
      </c>
      <c r="J1492" s="25" t="n">
        <f aca="false">Summary!$B$4</f>
        <v>1</v>
      </c>
      <c r="K1492" s="11" t="n">
        <f aca="false">I1492*J1492*IF(A1492="SILVER",Summary!$B$5,Summary!$B$6)</f>
        <v>13078</v>
      </c>
      <c r="L1492" s="26" t="n">
        <v>0.398</v>
      </c>
      <c r="M1492" s="27" t="n">
        <f aca="false">IF(K1492&gt;0,1,0)</f>
        <v>1</v>
      </c>
      <c r="N1492" s="11" t="n">
        <f aca="false">SUMIFS(K$2:K1492,A$2:A1492,A1492,B$2:B1492,B1492)</f>
        <v>-134236</v>
      </c>
      <c r="O1492" s="11" t="n">
        <f aca="false">MAX(0,_xlfn.MAXIFS(N$2:N1492,A$2:A1492,A1492,B$2:B1492,B1492))</f>
        <v>0</v>
      </c>
      <c r="P1492" s="11" t="n">
        <f aca="false">N1492-O1492</f>
        <v>-134236</v>
      </c>
    </row>
    <row r="1493" customFormat="false" ht="15" hidden="false" customHeight="false" outlineLevel="0" collapsed="false">
      <c r="A1493" s="8" t="s">
        <v>45</v>
      </c>
      <c r="B1493" s="8" t="s">
        <v>41</v>
      </c>
      <c r="C1493" s="8" t="s">
        <v>60</v>
      </c>
      <c r="D1493" s="21" t="n">
        <v>45713.5347222222</v>
      </c>
      <c r="E1493" s="21" t="n">
        <v>45713.5625</v>
      </c>
      <c r="F1493" s="22" t="n">
        <f aca="false">DATE(YEAR(E1493),MONTH(E1493),1)</f>
        <v>45689</v>
      </c>
      <c r="G1493" s="23" t="n">
        <v>106993</v>
      </c>
      <c r="H1493" s="8" t="s">
        <v>61</v>
      </c>
      <c r="I1493" s="24" t="n">
        <v>-241.27</v>
      </c>
      <c r="J1493" s="25" t="n">
        <f aca="false">Summary!$B$4</f>
        <v>1</v>
      </c>
      <c r="K1493" s="11" t="n">
        <f aca="false">I1493*J1493*IF(A1493="SILVER",Summary!$B$5,Summary!$B$6)</f>
        <v>-24127</v>
      </c>
      <c r="L1493" s="26" t="n">
        <v>-0.954</v>
      </c>
      <c r="M1493" s="27" t="n">
        <f aca="false">IF(K1493&gt;0,1,0)</f>
        <v>0</v>
      </c>
      <c r="N1493" s="11" t="n">
        <f aca="false">SUMIFS(K$2:K1493,A$2:A1493,A1493,B$2:B1493,B1493)</f>
        <v>-158363</v>
      </c>
      <c r="O1493" s="11" t="n">
        <f aca="false">MAX(0,_xlfn.MAXIFS(N$2:N1493,A$2:A1493,A1493,B$2:B1493,B1493))</f>
        <v>0</v>
      </c>
      <c r="P1493" s="11" t="n">
        <f aca="false">N1493-O1493</f>
        <v>-158363</v>
      </c>
    </row>
    <row r="1494" customFormat="false" ht="15" hidden="false" customHeight="false" outlineLevel="0" collapsed="false">
      <c r="A1494" s="8" t="s">
        <v>45</v>
      </c>
      <c r="B1494" s="8" t="s">
        <v>41</v>
      </c>
      <c r="C1494" s="8" t="s">
        <v>60</v>
      </c>
      <c r="D1494" s="21" t="n">
        <v>45713.8298611111</v>
      </c>
      <c r="E1494" s="21" t="n">
        <v>45713.8680555556</v>
      </c>
      <c r="F1494" s="22" t="n">
        <f aca="false">DATE(YEAR(E1494),MONTH(E1494),1)</f>
        <v>45689</v>
      </c>
      <c r="G1494" s="23" t="n">
        <v>107070</v>
      </c>
      <c r="H1494" s="8" t="s">
        <v>61</v>
      </c>
      <c r="I1494" s="24" t="n">
        <v>-515.25</v>
      </c>
      <c r="J1494" s="25" t="n">
        <f aca="false">Summary!$B$4</f>
        <v>1</v>
      </c>
      <c r="K1494" s="11" t="n">
        <f aca="false">I1494*J1494*IF(A1494="SILVER",Summary!$B$5,Summary!$B$6)</f>
        <v>-51525</v>
      </c>
      <c r="L1494" s="26" t="n">
        <v>-1.427</v>
      </c>
      <c r="M1494" s="27" t="n">
        <f aca="false">IF(K1494&gt;0,1,0)</f>
        <v>0</v>
      </c>
      <c r="N1494" s="11" t="n">
        <f aca="false">SUMIFS(K$2:K1494,A$2:A1494,A1494,B$2:B1494,B1494)</f>
        <v>-209888</v>
      </c>
      <c r="O1494" s="11" t="n">
        <f aca="false">MAX(0,_xlfn.MAXIFS(N$2:N1494,A$2:A1494,A1494,B$2:B1494,B1494))</f>
        <v>0</v>
      </c>
      <c r="P1494" s="11" t="n">
        <f aca="false">N1494-O1494</f>
        <v>-209888</v>
      </c>
    </row>
    <row r="1495" customFormat="false" ht="15" hidden="false" customHeight="false" outlineLevel="0" collapsed="false">
      <c r="A1495" s="8" t="s">
        <v>45</v>
      </c>
      <c r="B1495" s="8" t="s">
        <v>41</v>
      </c>
      <c r="C1495" s="8" t="s">
        <v>60</v>
      </c>
      <c r="D1495" s="21" t="n">
        <v>45714.875</v>
      </c>
      <c r="E1495" s="21" t="n">
        <v>45715.4305555556</v>
      </c>
      <c r="F1495" s="22" t="n">
        <f aca="false">DATE(YEAR(E1495),MONTH(E1495),1)</f>
        <v>45689</v>
      </c>
      <c r="G1495" s="23" t="n">
        <v>106331</v>
      </c>
      <c r="H1495" s="8" t="s">
        <v>61</v>
      </c>
      <c r="I1495" s="24" t="n">
        <v>-196.14</v>
      </c>
      <c r="J1495" s="25" t="n">
        <f aca="false">Summary!$B$4</f>
        <v>1</v>
      </c>
      <c r="K1495" s="11" t="n">
        <f aca="false">I1495*J1495*IF(A1495="SILVER",Summary!$B$5,Summary!$B$6)</f>
        <v>-19614</v>
      </c>
      <c r="L1495" s="26" t="n">
        <v>-0.352</v>
      </c>
      <c r="M1495" s="27" t="n">
        <f aca="false">IF(K1495&gt;0,1,0)</f>
        <v>0</v>
      </c>
      <c r="N1495" s="11" t="n">
        <f aca="false">SUMIFS(K$2:K1495,A$2:A1495,A1495,B$2:B1495,B1495)</f>
        <v>-229502</v>
      </c>
      <c r="O1495" s="11" t="n">
        <f aca="false">MAX(0,_xlfn.MAXIFS(N$2:N1495,A$2:A1495,A1495,B$2:B1495,B1495))</f>
        <v>0</v>
      </c>
      <c r="P1495" s="11" t="n">
        <f aca="false">N1495-O1495</f>
        <v>-229502</v>
      </c>
    </row>
    <row r="1496" customFormat="false" ht="15" hidden="false" customHeight="false" outlineLevel="0" collapsed="false">
      <c r="A1496" s="8" t="s">
        <v>45</v>
      </c>
      <c r="B1496" s="8" t="s">
        <v>41</v>
      </c>
      <c r="C1496" s="8" t="s">
        <v>60</v>
      </c>
      <c r="D1496" s="21" t="n">
        <v>45716.6215277778</v>
      </c>
      <c r="E1496" s="21" t="n">
        <v>45716.8055555556</v>
      </c>
      <c r="F1496" s="22" t="n">
        <f aca="false">DATE(YEAR(E1496),MONTH(E1496),1)</f>
        <v>45689</v>
      </c>
      <c r="G1496" s="23" t="n">
        <v>105307</v>
      </c>
      <c r="H1496" s="8" t="s">
        <v>61</v>
      </c>
      <c r="I1496" s="24" t="n">
        <v>-261.93</v>
      </c>
      <c r="J1496" s="25" t="n">
        <f aca="false">Summary!$B$4</f>
        <v>1</v>
      </c>
      <c r="K1496" s="11" t="n">
        <f aca="false">I1496*J1496*IF(A1496="SILVER",Summary!$B$5,Summary!$B$6)</f>
        <v>-26193</v>
      </c>
      <c r="L1496" s="26" t="n">
        <v>-0.79</v>
      </c>
      <c r="M1496" s="27" t="n">
        <f aca="false">IF(K1496&gt;0,1,0)</f>
        <v>0</v>
      </c>
      <c r="N1496" s="11" t="n">
        <f aca="false">SUMIFS(K$2:K1496,A$2:A1496,A1496,B$2:B1496,B1496)</f>
        <v>-255695</v>
      </c>
      <c r="O1496" s="11" t="n">
        <f aca="false">MAX(0,_xlfn.MAXIFS(N$2:N1496,A$2:A1496,A1496,B$2:B1496,B1496))</f>
        <v>0</v>
      </c>
      <c r="P1496" s="11" t="n">
        <f aca="false">N1496-O1496</f>
        <v>-255695</v>
      </c>
    </row>
    <row r="1497" customFormat="false" ht="15" hidden="false" customHeight="false" outlineLevel="0" collapsed="false">
      <c r="A1497" s="8" t="s">
        <v>45</v>
      </c>
      <c r="B1497" s="8" t="s">
        <v>41</v>
      </c>
      <c r="C1497" s="8" t="s">
        <v>60</v>
      </c>
      <c r="D1497" s="21" t="n">
        <v>45719.3784722222</v>
      </c>
      <c r="E1497" s="21" t="n">
        <v>45720.8368055556</v>
      </c>
      <c r="F1497" s="22" t="n">
        <f aca="false">DATE(YEAR(E1497),MONTH(E1497),1)</f>
        <v>45717</v>
      </c>
      <c r="G1497" s="23" t="n">
        <v>105171</v>
      </c>
      <c r="H1497" s="8" t="s">
        <v>61</v>
      </c>
      <c r="I1497" s="24" t="n">
        <v>1383.93</v>
      </c>
      <c r="J1497" s="25" t="n">
        <f aca="false">Summary!$B$4</f>
        <v>1</v>
      </c>
      <c r="K1497" s="11" t="n">
        <f aca="false">I1497*J1497*IF(A1497="SILVER",Summary!$B$5,Summary!$B$6)</f>
        <v>138393</v>
      </c>
      <c r="L1497" s="26" t="n">
        <v>2.716</v>
      </c>
      <c r="M1497" s="27" t="n">
        <f aca="false">IF(K1497&gt;0,1,0)</f>
        <v>1</v>
      </c>
      <c r="N1497" s="11" t="n">
        <f aca="false">SUMIFS(K$2:K1497,A$2:A1497,A1497,B$2:B1497,B1497)</f>
        <v>-117302</v>
      </c>
      <c r="O1497" s="11" t="n">
        <f aca="false">MAX(0,_xlfn.MAXIFS(N$2:N1497,A$2:A1497,A1497,B$2:B1497,B1497))</f>
        <v>0</v>
      </c>
      <c r="P1497" s="11" t="n">
        <f aca="false">N1497-O1497</f>
        <v>-117302</v>
      </c>
    </row>
    <row r="1498" customFormat="false" ht="15" hidden="false" customHeight="false" outlineLevel="0" collapsed="false">
      <c r="A1498" s="8" t="s">
        <v>45</v>
      </c>
      <c r="B1498" s="8" t="s">
        <v>41</v>
      </c>
      <c r="C1498" s="8" t="s">
        <v>60</v>
      </c>
      <c r="D1498" s="21" t="n">
        <v>45721.8715277778</v>
      </c>
      <c r="E1498" s="21" t="n">
        <v>45721.9444444445</v>
      </c>
      <c r="F1498" s="22" t="n">
        <f aca="false">DATE(YEAR(E1498),MONTH(E1498),1)</f>
        <v>45717</v>
      </c>
      <c r="G1498" s="23" t="n">
        <v>106504</v>
      </c>
      <c r="H1498" s="8" t="s">
        <v>64</v>
      </c>
      <c r="I1498" s="24" t="n">
        <v>28.26</v>
      </c>
      <c r="J1498" s="25" t="n">
        <f aca="false">Summary!$B$4</f>
        <v>1</v>
      </c>
      <c r="K1498" s="11" t="n">
        <f aca="false">I1498*J1498*IF(A1498="SILVER",Summary!$B$5,Summary!$B$6)</f>
        <v>2826</v>
      </c>
      <c r="L1498" s="26" t="n">
        <v>0.051</v>
      </c>
      <c r="M1498" s="27" t="n">
        <f aca="false">IF(K1498&gt;0,1,0)</f>
        <v>1</v>
      </c>
      <c r="N1498" s="11" t="n">
        <f aca="false">SUMIFS(K$2:K1498,A$2:A1498,A1498,B$2:B1498,B1498)</f>
        <v>-114476</v>
      </c>
      <c r="O1498" s="11" t="n">
        <f aca="false">MAX(0,_xlfn.MAXIFS(N$2:N1498,A$2:A1498,A1498,B$2:B1498,B1498))</f>
        <v>0</v>
      </c>
      <c r="P1498" s="11" t="n">
        <f aca="false">N1498-O1498</f>
        <v>-114476</v>
      </c>
    </row>
    <row r="1499" customFormat="false" ht="15" hidden="false" customHeight="false" outlineLevel="0" collapsed="false">
      <c r="A1499" s="8" t="s">
        <v>45</v>
      </c>
      <c r="B1499" s="8" t="s">
        <v>41</v>
      </c>
      <c r="C1499" s="8" t="s">
        <v>60</v>
      </c>
      <c r="D1499" s="21" t="n">
        <v>45722.8368055556</v>
      </c>
      <c r="E1499" s="21" t="n">
        <v>45722.8694444444</v>
      </c>
      <c r="F1499" s="22" t="n">
        <f aca="false">DATE(YEAR(E1499),MONTH(E1499),1)</f>
        <v>45717</v>
      </c>
      <c r="G1499" s="23" t="n">
        <v>106389</v>
      </c>
      <c r="H1499" s="8" t="s">
        <v>64</v>
      </c>
      <c r="I1499" s="24" t="n">
        <v>18.27</v>
      </c>
      <c r="J1499" s="25" t="n">
        <f aca="false">Summary!$B$4</f>
        <v>1</v>
      </c>
      <c r="K1499" s="11" t="n">
        <f aca="false">I1499*J1499*IF(A1499="SILVER",Summary!$B$5,Summary!$B$6)</f>
        <v>1827</v>
      </c>
      <c r="L1499" s="26" t="n">
        <v>0.04</v>
      </c>
      <c r="M1499" s="27" t="n">
        <f aca="false">IF(K1499&gt;0,1,0)</f>
        <v>1</v>
      </c>
      <c r="N1499" s="11" t="n">
        <f aca="false">SUMIFS(K$2:K1499,A$2:A1499,A1499,B$2:B1499,B1499)</f>
        <v>-112649</v>
      </c>
      <c r="O1499" s="11" t="n">
        <f aca="false">MAX(0,_xlfn.MAXIFS(N$2:N1499,A$2:A1499,A1499,B$2:B1499,B1499))</f>
        <v>0</v>
      </c>
      <c r="P1499" s="11" t="n">
        <f aca="false">N1499-O1499</f>
        <v>-112649</v>
      </c>
    </row>
    <row r="1500" customFormat="false" ht="15" hidden="false" customHeight="false" outlineLevel="0" collapsed="false">
      <c r="A1500" s="8" t="s">
        <v>45</v>
      </c>
      <c r="B1500" s="8" t="s">
        <v>41</v>
      </c>
      <c r="C1500" s="8" t="s">
        <v>60</v>
      </c>
      <c r="D1500" s="21" t="n">
        <v>45723.6006944445</v>
      </c>
      <c r="E1500" s="21" t="n">
        <v>45723.7881944445</v>
      </c>
      <c r="F1500" s="22" t="n">
        <f aca="false">DATE(YEAR(E1500),MONTH(E1500),1)</f>
        <v>45717</v>
      </c>
      <c r="G1500" s="23" t="n">
        <v>106611</v>
      </c>
      <c r="H1500" s="8" t="s">
        <v>61</v>
      </c>
      <c r="I1500" s="24" t="n">
        <v>-288.18</v>
      </c>
      <c r="J1500" s="25" t="n">
        <f aca="false">Summary!$B$4</f>
        <v>1</v>
      </c>
      <c r="K1500" s="11" t="n">
        <f aca="false">I1500*J1500*IF(A1500="SILVER",Summary!$B$5,Summary!$B$6)</f>
        <v>-28818</v>
      </c>
      <c r="L1500" s="26" t="n">
        <v>-1.14</v>
      </c>
      <c r="M1500" s="27" t="n">
        <f aca="false">IF(K1500&gt;0,1,0)</f>
        <v>0</v>
      </c>
      <c r="N1500" s="11" t="n">
        <f aca="false">SUMIFS(K$2:K1500,A$2:A1500,A1500,B$2:B1500,B1500)</f>
        <v>-141467</v>
      </c>
      <c r="O1500" s="11" t="n">
        <f aca="false">MAX(0,_xlfn.MAXIFS(N$2:N1500,A$2:A1500,A1500,B$2:B1500,B1500))</f>
        <v>0</v>
      </c>
      <c r="P1500" s="11" t="n">
        <f aca="false">N1500-O1500</f>
        <v>-141467</v>
      </c>
    </row>
    <row r="1501" customFormat="false" ht="15" hidden="false" customHeight="false" outlineLevel="0" collapsed="false">
      <c r="A1501" s="8" t="s">
        <v>45</v>
      </c>
      <c r="B1501" s="8" t="s">
        <v>41</v>
      </c>
      <c r="C1501" s="8" t="s">
        <v>60</v>
      </c>
      <c r="D1501" s="21" t="n">
        <v>45723.8020833333</v>
      </c>
      <c r="E1501" s="21" t="n">
        <v>45723.8805555556</v>
      </c>
      <c r="F1501" s="22" t="n">
        <f aca="false">DATE(YEAR(E1501),MONTH(E1501),1)</f>
        <v>45717</v>
      </c>
      <c r="G1501" s="23" t="n">
        <v>106648</v>
      </c>
      <c r="H1501" s="8" t="s">
        <v>64</v>
      </c>
      <c r="I1501" s="24" t="n">
        <v>11.42</v>
      </c>
      <c r="J1501" s="25" t="n">
        <f aca="false">Summary!$B$4</f>
        <v>1</v>
      </c>
      <c r="K1501" s="11" t="n">
        <f aca="false">I1501*J1501*IF(A1501="SILVER",Summary!$B$5,Summary!$B$6)</f>
        <v>1142</v>
      </c>
      <c r="L1501" s="26" t="n">
        <v>0.03</v>
      </c>
      <c r="M1501" s="27" t="n">
        <f aca="false">IF(K1501&gt;0,1,0)</f>
        <v>1</v>
      </c>
      <c r="N1501" s="11" t="n">
        <f aca="false">SUMIFS(K$2:K1501,A$2:A1501,A1501,B$2:B1501,B1501)</f>
        <v>-140325</v>
      </c>
      <c r="O1501" s="11" t="n">
        <f aca="false">MAX(0,_xlfn.MAXIFS(N$2:N1501,A$2:A1501,A1501,B$2:B1501,B1501))</f>
        <v>0</v>
      </c>
      <c r="P1501" s="11" t="n">
        <f aca="false">N1501-O1501</f>
        <v>-140325</v>
      </c>
    </row>
    <row r="1502" customFormat="false" ht="15" hidden="false" customHeight="false" outlineLevel="0" collapsed="false">
      <c r="A1502" s="8" t="s">
        <v>45</v>
      </c>
      <c r="B1502" s="8" t="s">
        <v>41</v>
      </c>
      <c r="C1502" s="8" t="s">
        <v>60</v>
      </c>
      <c r="D1502" s="21" t="n">
        <v>45726.6319444445</v>
      </c>
      <c r="E1502" s="21" t="n">
        <v>45726.9305555556</v>
      </c>
      <c r="F1502" s="22" t="n">
        <f aca="false">DATE(YEAR(E1502),MONTH(E1502),1)</f>
        <v>45717</v>
      </c>
      <c r="G1502" s="23" t="n">
        <v>106664</v>
      </c>
      <c r="H1502" s="8" t="s">
        <v>61</v>
      </c>
      <c r="I1502" s="24" t="n">
        <v>-380.19</v>
      </c>
      <c r="J1502" s="25" t="n">
        <f aca="false">Summary!$B$4</f>
        <v>1</v>
      </c>
      <c r="K1502" s="11" t="n">
        <f aca="false">I1502*J1502*IF(A1502="SILVER",Summary!$B$5,Summary!$B$6)</f>
        <v>-38019</v>
      </c>
      <c r="L1502" s="26" t="n">
        <v>-1.014</v>
      </c>
      <c r="M1502" s="27" t="n">
        <f aca="false">IF(K1502&gt;0,1,0)</f>
        <v>0</v>
      </c>
      <c r="N1502" s="11" t="n">
        <f aca="false">SUMIFS(K$2:K1502,A$2:A1502,A1502,B$2:B1502,B1502)</f>
        <v>-178344</v>
      </c>
      <c r="O1502" s="11" t="n">
        <f aca="false">MAX(0,_xlfn.MAXIFS(N$2:N1502,A$2:A1502,A1502,B$2:B1502,B1502))</f>
        <v>0</v>
      </c>
      <c r="P1502" s="11" t="n">
        <f aca="false">N1502-O1502</f>
        <v>-178344</v>
      </c>
    </row>
    <row r="1503" customFormat="false" ht="15" hidden="false" customHeight="false" outlineLevel="0" collapsed="false">
      <c r="A1503" s="8" t="s">
        <v>45</v>
      </c>
      <c r="B1503" s="8" t="s">
        <v>41</v>
      </c>
      <c r="C1503" s="8" t="s">
        <v>60</v>
      </c>
      <c r="D1503" s="21" t="n">
        <v>45727.5173611111</v>
      </c>
      <c r="E1503" s="21" t="n">
        <v>45728.6388888889</v>
      </c>
      <c r="F1503" s="22" t="n">
        <f aca="false">DATE(YEAR(E1503),MONTH(E1503),1)</f>
        <v>45717</v>
      </c>
      <c r="G1503" s="23" t="n">
        <v>106342</v>
      </c>
      <c r="H1503" s="8" t="s">
        <v>61</v>
      </c>
      <c r="I1503" s="24" t="n">
        <v>233.82</v>
      </c>
      <c r="J1503" s="25" t="n">
        <f aca="false">Summary!$B$4</f>
        <v>1</v>
      </c>
      <c r="K1503" s="11" t="n">
        <f aca="false">I1503*J1503*IF(A1503="SILVER",Summary!$B$5,Summary!$B$6)</f>
        <v>23382</v>
      </c>
      <c r="L1503" s="26" t="n">
        <v>0.842</v>
      </c>
      <c r="M1503" s="27" t="n">
        <f aca="false">IF(K1503&gt;0,1,0)</f>
        <v>1</v>
      </c>
      <c r="N1503" s="11" t="n">
        <f aca="false">SUMIFS(K$2:K1503,A$2:A1503,A1503,B$2:B1503,B1503)</f>
        <v>-154962</v>
      </c>
      <c r="O1503" s="11" t="n">
        <f aca="false">MAX(0,_xlfn.MAXIFS(N$2:N1503,A$2:A1503,A1503,B$2:B1503,B1503))</f>
        <v>0</v>
      </c>
      <c r="P1503" s="11" t="n">
        <f aca="false">N1503-O1503</f>
        <v>-154962</v>
      </c>
    </row>
    <row r="1504" customFormat="false" ht="15" hidden="false" customHeight="false" outlineLevel="0" collapsed="false">
      <c r="A1504" s="8" t="s">
        <v>45</v>
      </c>
      <c r="B1504" s="8" t="s">
        <v>41</v>
      </c>
      <c r="C1504" s="8" t="s">
        <v>60</v>
      </c>
      <c r="D1504" s="21" t="n">
        <v>45728.8506944445</v>
      </c>
      <c r="E1504" s="21" t="n">
        <v>45730.8576388889</v>
      </c>
      <c r="F1504" s="22" t="n">
        <f aca="false">DATE(YEAR(E1504),MONTH(E1504),1)</f>
        <v>45717</v>
      </c>
      <c r="G1504" s="23" t="n">
        <v>106756</v>
      </c>
      <c r="H1504" s="8" t="s">
        <v>61</v>
      </c>
      <c r="I1504" s="24" t="n">
        <v>1570.6</v>
      </c>
      <c r="J1504" s="25" t="n">
        <f aca="false">Summary!$B$4</f>
        <v>1</v>
      </c>
      <c r="K1504" s="11" t="n">
        <f aca="false">I1504*J1504*IF(A1504="SILVER",Summary!$B$5,Summary!$B$6)</f>
        <v>157060</v>
      </c>
      <c r="L1504" s="26" t="n">
        <v>5.181</v>
      </c>
      <c r="M1504" s="27" t="n">
        <f aca="false">IF(K1504&gt;0,1,0)</f>
        <v>1</v>
      </c>
      <c r="N1504" s="11" t="n">
        <f aca="false">SUMIFS(K$2:K1504,A$2:A1504,A1504,B$2:B1504,B1504)</f>
        <v>2097.99999999999</v>
      </c>
      <c r="O1504" s="11" t="n">
        <f aca="false">MAX(0,_xlfn.MAXIFS(N$2:N1504,A$2:A1504,A1504,B$2:B1504,B1504))</f>
        <v>2097.99999999999</v>
      </c>
      <c r="P1504" s="11" t="n">
        <f aca="false">N1504-O1504</f>
        <v>0</v>
      </c>
    </row>
    <row r="1505" customFormat="false" ht="15" hidden="false" customHeight="false" outlineLevel="0" collapsed="false">
      <c r="A1505" s="8" t="s">
        <v>45</v>
      </c>
      <c r="B1505" s="8" t="s">
        <v>41</v>
      </c>
      <c r="C1505" s="8" t="s">
        <v>60</v>
      </c>
      <c r="D1505" s="21" t="n">
        <v>45733.6284722222</v>
      </c>
      <c r="E1505" s="21" t="n">
        <v>45733.7340277778</v>
      </c>
      <c r="F1505" s="22" t="n">
        <f aca="false">DATE(YEAR(E1505),MONTH(E1505),1)</f>
        <v>45717</v>
      </c>
      <c r="G1505" s="23" t="n">
        <v>108534</v>
      </c>
      <c r="H1505" s="8" t="s">
        <v>64</v>
      </c>
      <c r="I1505" s="24" t="n">
        <v>-6.05</v>
      </c>
      <c r="J1505" s="25" t="n">
        <f aca="false">Summary!$B$4</f>
        <v>1</v>
      </c>
      <c r="K1505" s="11" t="n">
        <f aca="false">I1505*J1505*IF(A1505="SILVER",Summary!$B$5,Summary!$B$6)</f>
        <v>-605</v>
      </c>
      <c r="L1505" s="26" t="n">
        <v>-0.028</v>
      </c>
      <c r="M1505" s="27" t="n">
        <f aca="false">IF(K1505&gt;0,1,0)</f>
        <v>0</v>
      </c>
      <c r="N1505" s="11" t="n">
        <f aca="false">SUMIFS(K$2:K1505,A$2:A1505,A1505,B$2:B1505,B1505)</f>
        <v>1492.99999999999</v>
      </c>
      <c r="O1505" s="11" t="n">
        <f aca="false">MAX(0,_xlfn.MAXIFS(N$2:N1505,A$2:A1505,A1505,B$2:B1505,B1505))</f>
        <v>2097.99999999999</v>
      </c>
      <c r="P1505" s="11" t="n">
        <f aca="false">N1505-O1505</f>
        <v>-605</v>
      </c>
    </row>
    <row r="1506" customFormat="false" ht="15" hidden="false" customHeight="false" outlineLevel="0" collapsed="false">
      <c r="A1506" s="8" t="s">
        <v>45</v>
      </c>
      <c r="B1506" s="8" t="s">
        <v>41</v>
      </c>
      <c r="C1506" s="8" t="s">
        <v>60</v>
      </c>
      <c r="D1506" s="21" t="n">
        <v>45734.3784722222</v>
      </c>
      <c r="E1506" s="21" t="n">
        <v>45735.5729166667</v>
      </c>
      <c r="F1506" s="22" t="n">
        <f aca="false">DATE(YEAR(E1506),MONTH(E1506),1)</f>
        <v>45717</v>
      </c>
      <c r="G1506" s="23" t="n">
        <v>108932</v>
      </c>
      <c r="H1506" s="8" t="s">
        <v>61</v>
      </c>
      <c r="I1506" s="24" t="n">
        <v>362.29</v>
      </c>
      <c r="J1506" s="25" t="n">
        <f aca="false">Summary!$B$4</f>
        <v>1</v>
      </c>
      <c r="K1506" s="11" t="n">
        <f aca="false">I1506*J1506*IF(A1506="SILVER",Summary!$B$5,Summary!$B$6)</f>
        <v>36229</v>
      </c>
      <c r="L1506" s="26" t="n">
        <v>0.993</v>
      </c>
      <c r="M1506" s="27" t="n">
        <f aca="false">IF(K1506&gt;0,1,0)</f>
        <v>1</v>
      </c>
      <c r="N1506" s="11" t="n">
        <f aca="false">SUMIFS(K$2:K1506,A$2:A1506,A1506,B$2:B1506,B1506)</f>
        <v>37722</v>
      </c>
      <c r="O1506" s="11" t="n">
        <f aca="false">MAX(0,_xlfn.MAXIFS(N$2:N1506,A$2:A1506,A1506,B$2:B1506,B1506))</f>
        <v>37722</v>
      </c>
      <c r="P1506" s="11" t="n">
        <f aca="false">N1506-O1506</f>
        <v>0</v>
      </c>
    </row>
    <row r="1507" customFormat="false" ht="15" hidden="false" customHeight="false" outlineLevel="0" collapsed="false">
      <c r="A1507" s="8" t="s">
        <v>45</v>
      </c>
      <c r="B1507" s="8" t="s">
        <v>41</v>
      </c>
      <c r="C1507" s="8" t="s">
        <v>60</v>
      </c>
      <c r="D1507" s="21" t="n">
        <v>45736.3784722222</v>
      </c>
      <c r="E1507" s="21" t="n">
        <v>45736.5243055556</v>
      </c>
      <c r="F1507" s="22" t="n">
        <f aca="false">DATE(YEAR(E1507),MONTH(E1507),1)</f>
        <v>45717</v>
      </c>
      <c r="G1507" s="23" t="n">
        <v>109592</v>
      </c>
      <c r="H1507" s="8" t="s">
        <v>61</v>
      </c>
      <c r="I1507" s="24" t="n">
        <v>-273.78</v>
      </c>
      <c r="J1507" s="25" t="n">
        <f aca="false">Summary!$B$4</f>
        <v>1</v>
      </c>
      <c r="K1507" s="11" t="n">
        <f aca="false">I1507*J1507*IF(A1507="SILVER",Summary!$B$5,Summary!$B$6)</f>
        <v>-27378</v>
      </c>
      <c r="L1507" s="26" t="n">
        <v>-1.155</v>
      </c>
      <c r="M1507" s="27" t="n">
        <f aca="false">IF(K1507&gt;0,1,0)</f>
        <v>0</v>
      </c>
      <c r="N1507" s="11" t="n">
        <f aca="false">SUMIFS(K$2:K1507,A$2:A1507,A1507,B$2:B1507,B1507)</f>
        <v>10344</v>
      </c>
      <c r="O1507" s="11" t="n">
        <f aca="false">MAX(0,_xlfn.MAXIFS(N$2:N1507,A$2:A1507,A1507,B$2:B1507,B1507))</f>
        <v>37722</v>
      </c>
      <c r="P1507" s="11" t="n">
        <f aca="false">N1507-O1507</f>
        <v>-27378</v>
      </c>
    </row>
    <row r="1508" customFormat="false" ht="15" hidden="false" customHeight="false" outlineLevel="0" collapsed="false">
      <c r="A1508" s="8" t="s">
        <v>45</v>
      </c>
      <c r="B1508" s="8" t="s">
        <v>41</v>
      </c>
      <c r="C1508" s="8" t="s">
        <v>60</v>
      </c>
      <c r="D1508" s="21" t="n">
        <v>45736.7604166667</v>
      </c>
      <c r="E1508" s="21" t="n">
        <v>45737.3784722222</v>
      </c>
      <c r="F1508" s="22" t="n">
        <f aca="false">DATE(YEAR(E1508),MONTH(E1508),1)</f>
        <v>45717</v>
      </c>
      <c r="G1508" s="23" t="n">
        <v>109291</v>
      </c>
      <c r="H1508" s="8" t="s">
        <v>61</v>
      </c>
      <c r="I1508" s="24" t="n">
        <v>-347.71</v>
      </c>
      <c r="J1508" s="25" t="n">
        <f aca="false">Summary!$B$4</f>
        <v>1</v>
      </c>
      <c r="K1508" s="11" t="n">
        <f aca="false">I1508*J1508*IF(A1508="SILVER",Summary!$B$5,Summary!$B$6)</f>
        <v>-34771</v>
      </c>
      <c r="L1508" s="26" t="n">
        <v>-1.002</v>
      </c>
      <c r="M1508" s="27" t="n">
        <f aca="false">IF(K1508&gt;0,1,0)</f>
        <v>0</v>
      </c>
      <c r="N1508" s="11" t="n">
        <f aca="false">SUMIFS(K$2:K1508,A$2:A1508,A1508,B$2:B1508,B1508)</f>
        <v>-24427</v>
      </c>
      <c r="O1508" s="11" t="n">
        <f aca="false">MAX(0,_xlfn.MAXIFS(N$2:N1508,A$2:A1508,A1508,B$2:B1508,B1508))</f>
        <v>37722</v>
      </c>
      <c r="P1508" s="11" t="n">
        <f aca="false">N1508-O1508</f>
        <v>-62149</v>
      </c>
    </row>
    <row r="1509" customFormat="false" ht="15" hidden="false" customHeight="false" outlineLevel="0" collapsed="false">
      <c r="A1509" s="8" t="s">
        <v>45</v>
      </c>
      <c r="B1509" s="8" t="s">
        <v>41</v>
      </c>
      <c r="C1509" s="8" t="s">
        <v>60</v>
      </c>
      <c r="D1509" s="21" t="n">
        <v>45740.4479166667</v>
      </c>
      <c r="E1509" s="21" t="n">
        <v>45740.5763888889</v>
      </c>
      <c r="F1509" s="22" t="n">
        <f aca="false">DATE(YEAR(E1509),MONTH(E1509),1)</f>
        <v>45717</v>
      </c>
      <c r="G1509" s="23" t="n">
        <v>108482</v>
      </c>
      <c r="H1509" s="8" t="s">
        <v>61</v>
      </c>
      <c r="I1509" s="24" t="n">
        <v>-328.55</v>
      </c>
      <c r="J1509" s="25" t="n">
        <f aca="false">Summary!$B$4</f>
        <v>1</v>
      </c>
      <c r="K1509" s="11" t="n">
        <f aca="false">I1509*J1509*IF(A1509="SILVER",Summary!$B$5,Summary!$B$6)</f>
        <v>-32855</v>
      </c>
      <c r="L1509" s="26" t="n">
        <v>-1.107</v>
      </c>
      <c r="M1509" s="27" t="n">
        <f aca="false">IF(K1509&gt;0,1,0)</f>
        <v>0</v>
      </c>
      <c r="N1509" s="11" t="n">
        <f aca="false">SUMIFS(K$2:K1509,A$2:A1509,A1509,B$2:B1509,B1509)</f>
        <v>-57282</v>
      </c>
      <c r="O1509" s="11" t="n">
        <f aca="false">MAX(0,_xlfn.MAXIFS(N$2:N1509,A$2:A1509,A1509,B$2:B1509,B1509))</f>
        <v>37722</v>
      </c>
      <c r="P1509" s="11" t="n">
        <f aca="false">N1509-O1509</f>
        <v>-95004</v>
      </c>
    </row>
    <row r="1510" customFormat="false" ht="15" hidden="false" customHeight="false" outlineLevel="0" collapsed="false">
      <c r="A1510" s="8" t="s">
        <v>45</v>
      </c>
      <c r="B1510" s="8" t="s">
        <v>41</v>
      </c>
      <c r="C1510" s="8" t="s">
        <v>60</v>
      </c>
      <c r="D1510" s="21" t="n">
        <v>45741.4027777778</v>
      </c>
      <c r="E1510" s="21" t="n">
        <v>45741.4840277778</v>
      </c>
      <c r="F1510" s="22" t="n">
        <f aca="false">DATE(YEAR(E1510),MONTH(E1510),1)</f>
        <v>45717</v>
      </c>
      <c r="G1510" s="23" t="n">
        <v>108077</v>
      </c>
      <c r="H1510" s="8" t="s">
        <v>64</v>
      </c>
      <c r="I1510" s="24" t="n">
        <v>-1.18</v>
      </c>
      <c r="J1510" s="25" t="n">
        <f aca="false">Summary!$B$4</f>
        <v>1</v>
      </c>
      <c r="K1510" s="11" t="n">
        <f aca="false">I1510*J1510*IF(A1510="SILVER",Summary!$B$5,Summary!$B$6)</f>
        <v>-118</v>
      </c>
      <c r="L1510" s="26" t="n">
        <v>-0.004</v>
      </c>
      <c r="M1510" s="27" t="n">
        <f aca="false">IF(K1510&gt;0,1,0)</f>
        <v>0</v>
      </c>
      <c r="N1510" s="11" t="n">
        <f aca="false">SUMIFS(K$2:K1510,A$2:A1510,A1510,B$2:B1510,B1510)</f>
        <v>-57400</v>
      </c>
      <c r="O1510" s="11" t="n">
        <f aca="false">MAX(0,_xlfn.MAXIFS(N$2:N1510,A$2:A1510,A1510,B$2:B1510,B1510))</f>
        <v>37722</v>
      </c>
      <c r="P1510" s="11" t="n">
        <f aca="false">N1510-O1510</f>
        <v>-95122</v>
      </c>
    </row>
    <row r="1511" customFormat="false" ht="15" hidden="false" customHeight="false" outlineLevel="0" collapsed="false">
      <c r="A1511" s="8" t="s">
        <v>45</v>
      </c>
      <c r="B1511" s="8" t="s">
        <v>41</v>
      </c>
      <c r="C1511" s="8" t="s">
        <v>60</v>
      </c>
      <c r="D1511" s="21" t="n">
        <v>45741.7986111111</v>
      </c>
      <c r="E1511" s="21" t="n">
        <v>45741.8277777778</v>
      </c>
      <c r="F1511" s="22" t="n">
        <f aca="false">DATE(YEAR(E1511),MONTH(E1511),1)</f>
        <v>45717</v>
      </c>
      <c r="G1511" s="23" t="n">
        <v>108392</v>
      </c>
      <c r="H1511" s="8" t="s">
        <v>64</v>
      </c>
      <c r="I1511" s="24" t="n">
        <v>-7.57</v>
      </c>
      <c r="J1511" s="25" t="n">
        <f aca="false">Summary!$B$4</f>
        <v>1</v>
      </c>
      <c r="K1511" s="11" t="n">
        <f aca="false">I1511*J1511*IF(A1511="SILVER",Summary!$B$5,Summary!$B$6)</f>
        <v>-757</v>
      </c>
      <c r="L1511" s="26" t="n">
        <v>-0.025</v>
      </c>
      <c r="M1511" s="27" t="n">
        <f aca="false">IF(K1511&gt;0,1,0)</f>
        <v>0</v>
      </c>
      <c r="N1511" s="11" t="n">
        <f aca="false">SUMIFS(K$2:K1511,A$2:A1511,A1511,B$2:B1511,B1511)</f>
        <v>-58157</v>
      </c>
      <c r="O1511" s="11" t="n">
        <f aca="false">MAX(0,_xlfn.MAXIFS(N$2:N1511,A$2:A1511,A1511,B$2:B1511,B1511))</f>
        <v>37722</v>
      </c>
      <c r="P1511" s="11" t="n">
        <f aca="false">N1511-O1511</f>
        <v>-95879</v>
      </c>
    </row>
    <row r="1512" customFormat="false" ht="15" hidden="false" customHeight="false" outlineLevel="0" collapsed="false">
      <c r="A1512" s="8" t="s">
        <v>45</v>
      </c>
      <c r="B1512" s="8" t="s">
        <v>41</v>
      </c>
      <c r="C1512" s="8" t="s">
        <v>60</v>
      </c>
      <c r="D1512" s="21" t="n">
        <v>45742.4756944445</v>
      </c>
      <c r="E1512" s="21" t="n">
        <v>45742.5965277778</v>
      </c>
      <c r="F1512" s="22" t="n">
        <f aca="false">DATE(YEAR(E1512),MONTH(E1512),1)</f>
        <v>45717</v>
      </c>
      <c r="G1512" s="23" t="n">
        <v>108263</v>
      </c>
      <c r="H1512" s="8" t="s">
        <v>64</v>
      </c>
      <c r="I1512" s="24" t="n">
        <v>-2.89</v>
      </c>
      <c r="J1512" s="25" t="n">
        <f aca="false">Summary!$B$4</f>
        <v>1</v>
      </c>
      <c r="K1512" s="11" t="n">
        <f aca="false">I1512*J1512*IF(A1512="SILVER",Summary!$B$5,Summary!$B$6)</f>
        <v>-289</v>
      </c>
      <c r="L1512" s="26" t="n">
        <v>-0.012</v>
      </c>
      <c r="M1512" s="27" t="n">
        <f aca="false">IF(K1512&gt;0,1,0)</f>
        <v>0</v>
      </c>
      <c r="N1512" s="11" t="n">
        <f aca="false">SUMIFS(K$2:K1512,A$2:A1512,A1512,B$2:B1512,B1512)</f>
        <v>-58446</v>
      </c>
      <c r="O1512" s="11" t="n">
        <f aca="false">MAX(0,_xlfn.MAXIFS(N$2:N1512,A$2:A1512,A1512,B$2:B1512,B1512))</f>
        <v>37722</v>
      </c>
      <c r="P1512" s="11" t="n">
        <f aca="false">N1512-O1512</f>
        <v>-96168</v>
      </c>
    </row>
    <row r="1513" customFormat="false" ht="15" hidden="false" customHeight="false" outlineLevel="0" collapsed="false">
      <c r="A1513" s="8" t="s">
        <v>45</v>
      </c>
      <c r="B1513" s="8" t="s">
        <v>41</v>
      </c>
      <c r="C1513" s="8" t="s">
        <v>60</v>
      </c>
      <c r="D1513" s="21" t="n">
        <v>45742.7048611111</v>
      </c>
      <c r="E1513" s="21" t="n">
        <v>45742.8125</v>
      </c>
      <c r="F1513" s="22" t="n">
        <f aca="false">DATE(YEAR(E1513),MONTH(E1513),1)</f>
        <v>45717</v>
      </c>
      <c r="G1513" s="23" t="n">
        <v>108358</v>
      </c>
      <c r="H1513" s="8" t="s">
        <v>61</v>
      </c>
      <c r="I1513" s="24" t="n">
        <v>-307.53</v>
      </c>
      <c r="J1513" s="25" t="n">
        <f aca="false">Summary!$B$4</f>
        <v>1</v>
      </c>
      <c r="K1513" s="11" t="n">
        <f aca="false">I1513*J1513*IF(A1513="SILVER",Summary!$B$5,Summary!$B$6)</f>
        <v>-30753</v>
      </c>
      <c r="L1513" s="26" t="n">
        <v>-1.166</v>
      </c>
      <c r="M1513" s="27" t="n">
        <f aca="false">IF(K1513&gt;0,1,0)</f>
        <v>0</v>
      </c>
      <c r="N1513" s="11" t="n">
        <f aca="false">SUMIFS(K$2:K1513,A$2:A1513,A1513,B$2:B1513,B1513)</f>
        <v>-89199</v>
      </c>
      <c r="O1513" s="11" t="n">
        <f aca="false">MAX(0,_xlfn.MAXIFS(N$2:N1513,A$2:A1513,A1513,B$2:B1513,B1513))</f>
        <v>37722</v>
      </c>
      <c r="P1513" s="11" t="n">
        <f aca="false">N1513-O1513</f>
        <v>-126921</v>
      </c>
    </row>
    <row r="1514" customFormat="false" ht="15" hidden="false" customHeight="false" outlineLevel="0" collapsed="false">
      <c r="A1514" s="8" t="s">
        <v>45</v>
      </c>
      <c r="B1514" s="8" t="s">
        <v>41</v>
      </c>
      <c r="C1514" s="8" t="s">
        <v>60</v>
      </c>
      <c r="D1514" s="21" t="n">
        <v>45743.3784722222</v>
      </c>
      <c r="E1514" s="21" t="n">
        <v>45743.4291666667</v>
      </c>
      <c r="F1514" s="22" t="n">
        <f aca="false">DATE(YEAR(E1514),MONTH(E1514),1)</f>
        <v>45717</v>
      </c>
      <c r="G1514" s="23" t="n">
        <v>108494</v>
      </c>
      <c r="H1514" s="8" t="s">
        <v>64</v>
      </c>
      <c r="I1514" s="24" t="n">
        <v>7.68</v>
      </c>
      <c r="J1514" s="25" t="n">
        <f aca="false">Summary!$B$4</f>
        <v>1</v>
      </c>
      <c r="K1514" s="11" t="n">
        <f aca="false">I1514*J1514*IF(A1514="SILVER",Summary!$B$5,Summary!$B$6)</f>
        <v>768</v>
      </c>
      <c r="L1514" s="26" t="n">
        <v>0.022</v>
      </c>
      <c r="M1514" s="27" t="n">
        <f aca="false">IF(K1514&gt;0,1,0)</f>
        <v>1</v>
      </c>
      <c r="N1514" s="11" t="n">
        <f aca="false">SUMIFS(K$2:K1514,A$2:A1514,A1514,B$2:B1514,B1514)</f>
        <v>-88431</v>
      </c>
      <c r="O1514" s="11" t="n">
        <f aca="false">MAX(0,_xlfn.MAXIFS(N$2:N1514,A$2:A1514,A1514,B$2:B1514,B1514))</f>
        <v>37722</v>
      </c>
      <c r="P1514" s="11" t="n">
        <f aca="false">N1514-O1514</f>
        <v>-126153</v>
      </c>
    </row>
    <row r="1515" customFormat="false" ht="15" hidden="false" customHeight="false" outlineLevel="0" collapsed="false">
      <c r="A1515" s="8" t="s">
        <v>45</v>
      </c>
      <c r="B1515" s="8" t="s">
        <v>41</v>
      </c>
      <c r="C1515" s="8" t="s">
        <v>60</v>
      </c>
      <c r="D1515" s="21" t="n">
        <v>45743.8402777778</v>
      </c>
      <c r="E1515" s="21" t="n">
        <v>45744.5763888889</v>
      </c>
      <c r="F1515" s="22" t="n">
        <f aca="false">DATE(YEAR(E1515),MONTH(E1515),1)</f>
        <v>45717</v>
      </c>
      <c r="G1515" s="23" t="n">
        <v>109054</v>
      </c>
      <c r="H1515" s="8" t="s">
        <v>61</v>
      </c>
      <c r="I1515" s="24" t="n">
        <v>206.27</v>
      </c>
      <c r="J1515" s="25" t="n">
        <f aca="false">Summary!$B$4</f>
        <v>1</v>
      </c>
      <c r="K1515" s="11" t="n">
        <f aca="false">I1515*J1515*IF(A1515="SILVER",Summary!$B$5,Summary!$B$6)</f>
        <v>20627</v>
      </c>
      <c r="L1515" s="26" t="n">
        <v>0.44</v>
      </c>
      <c r="M1515" s="27" t="n">
        <f aca="false">IF(K1515&gt;0,1,0)</f>
        <v>1</v>
      </c>
      <c r="N1515" s="11" t="n">
        <f aca="false">SUMIFS(K$2:K1515,A$2:A1515,A1515,B$2:B1515,B1515)</f>
        <v>-67804</v>
      </c>
      <c r="O1515" s="11" t="n">
        <f aca="false">MAX(0,_xlfn.MAXIFS(N$2:N1515,A$2:A1515,A1515,B$2:B1515,B1515))</f>
        <v>37722</v>
      </c>
      <c r="P1515" s="11" t="n">
        <f aca="false">N1515-O1515</f>
        <v>-105526</v>
      </c>
    </row>
    <row r="1516" customFormat="false" ht="15" hidden="false" customHeight="false" outlineLevel="0" collapsed="false">
      <c r="A1516" s="8" t="s">
        <v>45</v>
      </c>
      <c r="B1516" s="8" t="s">
        <v>41</v>
      </c>
      <c r="C1516" s="8" t="s">
        <v>60</v>
      </c>
      <c r="D1516" s="21" t="n">
        <v>45744.7118055556</v>
      </c>
      <c r="E1516" s="21" t="n">
        <v>45748.8944444444</v>
      </c>
      <c r="F1516" s="22" t="n">
        <f aca="false">DATE(YEAR(E1516),MONTH(E1516),1)</f>
        <v>45748</v>
      </c>
      <c r="G1516" s="23" t="n">
        <v>109562</v>
      </c>
      <c r="H1516" s="8" t="s">
        <v>61</v>
      </c>
      <c r="I1516" s="24" t="n">
        <v>1473.05</v>
      </c>
      <c r="J1516" s="25" t="n">
        <f aca="false">Summary!$B$4</f>
        <v>1</v>
      </c>
      <c r="K1516" s="11" t="n">
        <f aca="false">I1516*J1516*IF(A1516="SILVER",Summary!$B$5,Summary!$B$6)</f>
        <v>147305</v>
      </c>
      <c r="L1516" s="26" t="n">
        <v>3.984</v>
      </c>
      <c r="M1516" s="27" t="n">
        <f aca="false">IF(K1516&gt;0,1,0)</f>
        <v>1</v>
      </c>
      <c r="N1516" s="11" t="n">
        <f aca="false">SUMIFS(K$2:K1516,A$2:A1516,A1516,B$2:B1516,B1516)</f>
        <v>79501</v>
      </c>
      <c r="O1516" s="11" t="n">
        <f aca="false">MAX(0,_xlfn.MAXIFS(N$2:N1516,A$2:A1516,A1516,B$2:B1516,B1516))</f>
        <v>79501</v>
      </c>
      <c r="P1516" s="11" t="n">
        <f aca="false">N1516-O1516</f>
        <v>0</v>
      </c>
    </row>
    <row r="1517" customFormat="false" ht="15" hidden="false" customHeight="false" outlineLevel="0" collapsed="false">
      <c r="A1517" s="8" t="s">
        <v>45</v>
      </c>
      <c r="B1517" s="8" t="s">
        <v>41</v>
      </c>
      <c r="C1517" s="8" t="s">
        <v>60</v>
      </c>
      <c r="D1517" s="21" t="n">
        <v>45748.9701388889</v>
      </c>
      <c r="E1517" s="21" t="n">
        <v>45749.43125</v>
      </c>
      <c r="F1517" s="22" t="n">
        <f aca="false">DATE(YEAR(E1517),MONTH(E1517),1)</f>
        <v>45748</v>
      </c>
      <c r="G1517" s="23" t="n">
        <v>111128</v>
      </c>
      <c r="H1517" s="8" t="s">
        <v>64</v>
      </c>
      <c r="I1517" s="24" t="n">
        <v>-59.1</v>
      </c>
      <c r="J1517" s="25" t="n">
        <f aca="false">Summary!$B$4</f>
        <v>1</v>
      </c>
      <c r="K1517" s="11" t="n">
        <f aca="false">I1517*J1517*IF(A1517="SILVER",Summary!$B$5,Summary!$B$6)</f>
        <v>-5910</v>
      </c>
      <c r="L1517" s="26" t="n">
        <v>-0.14</v>
      </c>
      <c r="M1517" s="27" t="n">
        <f aca="false">IF(K1517&gt;0,1,0)</f>
        <v>0</v>
      </c>
      <c r="N1517" s="11" t="n">
        <f aca="false">SUMIFS(K$2:K1517,A$2:A1517,A1517,B$2:B1517,B1517)</f>
        <v>73591</v>
      </c>
      <c r="O1517" s="11" t="n">
        <f aca="false">MAX(0,_xlfn.MAXIFS(N$2:N1517,A$2:A1517,A1517,B$2:B1517,B1517))</f>
        <v>79501</v>
      </c>
      <c r="P1517" s="11" t="n">
        <f aca="false">N1517-O1517</f>
        <v>-5910</v>
      </c>
    </row>
    <row r="1518" customFormat="false" ht="15" hidden="false" customHeight="false" outlineLevel="0" collapsed="false">
      <c r="A1518" s="8" t="s">
        <v>45</v>
      </c>
      <c r="B1518" s="8" t="s">
        <v>41</v>
      </c>
      <c r="C1518" s="8" t="s">
        <v>60</v>
      </c>
      <c r="D1518" s="21" t="n">
        <v>45749.9111111111</v>
      </c>
      <c r="E1518" s="21" t="n">
        <v>45750.4611111111</v>
      </c>
      <c r="F1518" s="22" t="n">
        <f aca="false">DATE(YEAR(E1518),MONTH(E1518),1)</f>
        <v>45748</v>
      </c>
      <c r="G1518" s="23" t="n">
        <v>111540</v>
      </c>
      <c r="H1518" s="8" t="s">
        <v>64</v>
      </c>
      <c r="I1518" s="24" t="n">
        <v>-6.2</v>
      </c>
      <c r="J1518" s="25" t="n">
        <f aca="false">Summary!$B$4</f>
        <v>1</v>
      </c>
      <c r="K1518" s="11" t="n">
        <f aca="false">I1518*J1518*IF(A1518="SILVER",Summary!$B$5,Summary!$B$6)</f>
        <v>-620</v>
      </c>
      <c r="L1518" s="26" t="n">
        <v>-0.01</v>
      </c>
      <c r="M1518" s="27" t="n">
        <f aca="false">IF(K1518&gt;0,1,0)</f>
        <v>0</v>
      </c>
      <c r="N1518" s="11" t="n">
        <f aca="false">SUMIFS(K$2:K1518,A$2:A1518,A1518,B$2:B1518,B1518)</f>
        <v>72971</v>
      </c>
      <c r="O1518" s="11" t="n">
        <f aca="false">MAX(0,_xlfn.MAXIFS(N$2:N1518,A$2:A1518,A1518,B$2:B1518,B1518))</f>
        <v>79501</v>
      </c>
      <c r="P1518" s="11" t="n">
        <f aca="false">N1518-O1518</f>
        <v>-6530</v>
      </c>
    </row>
    <row r="1519" customFormat="false" ht="15" hidden="false" customHeight="false" outlineLevel="0" collapsed="false">
      <c r="A1519" s="8" t="s">
        <v>45</v>
      </c>
      <c r="B1519" s="8" t="s">
        <v>41</v>
      </c>
      <c r="C1519" s="8" t="s">
        <v>60</v>
      </c>
      <c r="D1519" s="21" t="n">
        <v>45750.84375</v>
      </c>
      <c r="E1519" s="21" t="n">
        <v>45751.7027777778</v>
      </c>
      <c r="F1519" s="22" t="n">
        <f aca="false">DATE(YEAR(E1519),MONTH(E1519),1)</f>
        <v>45748</v>
      </c>
      <c r="G1519" s="23" t="n">
        <v>111368</v>
      </c>
      <c r="H1519" s="8" t="s">
        <v>61</v>
      </c>
      <c r="I1519" s="24" t="n">
        <v>-173.98</v>
      </c>
      <c r="J1519" s="25" t="n">
        <f aca="false">Summary!$B$4</f>
        <v>1</v>
      </c>
      <c r="K1519" s="11" t="n">
        <f aca="false">I1519*J1519*IF(A1519="SILVER",Summary!$B$5,Summary!$B$6)</f>
        <v>-17398</v>
      </c>
      <c r="L1519" s="26" t="n">
        <v>-0.103</v>
      </c>
      <c r="M1519" s="27" t="n">
        <f aca="false">IF(K1519&gt;0,1,0)</f>
        <v>0</v>
      </c>
      <c r="N1519" s="11" t="n">
        <f aca="false">SUMIFS(K$2:K1519,A$2:A1519,A1519,B$2:B1519,B1519)</f>
        <v>55573</v>
      </c>
      <c r="O1519" s="11" t="n">
        <f aca="false">MAX(0,_xlfn.MAXIFS(N$2:N1519,A$2:A1519,A1519,B$2:B1519,B1519))</f>
        <v>79501</v>
      </c>
      <c r="P1519" s="11" t="n">
        <f aca="false">N1519-O1519</f>
        <v>-23928</v>
      </c>
    </row>
    <row r="1520" customFormat="false" ht="15" hidden="false" customHeight="false" outlineLevel="0" collapsed="false">
      <c r="A1520" s="8" t="s">
        <v>45</v>
      </c>
      <c r="B1520" s="8" t="s">
        <v>41</v>
      </c>
      <c r="C1520" s="8" t="s">
        <v>60</v>
      </c>
      <c r="D1520" s="21" t="n">
        <v>45755.4722222222</v>
      </c>
      <c r="E1520" s="21" t="n">
        <v>45755.7673611111</v>
      </c>
      <c r="F1520" s="22" t="n">
        <f aca="false">DATE(YEAR(E1520),MONTH(E1520),1)</f>
        <v>45748</v>
      </c>
      <c r="G1520" s="23" t="n">
        <v>108891</v>
      </c>
      <c r="H1520" s="8" t="s">
        <v>61</v>
      </c>
      <c r="I1520" s="24" t="n">
        <v>167.44</v>
      </c>
      <c r="J1520" s="25" t="n">
        <f aca="false">Summary!$B$4</f>
        <v>1</v>
      </c>
      <c r="K1520" s="11" t="n">
        <f aca="false">I1520*J1520*IF(A1520="SILVER",Summary!$B$5,Summary!$B$6)</f>
        <v>16744</v>
      </c>
      <c r="L1520" s="26" t="n">
        <v>0.277</v>
      </c>
      <c r="M1520" s="27" t="n">
        <f aca="false">IF(K1520&gt;0,1,0)</f>
        <v>1</v>
      </c>
      <c r="N1520" s="11" t="n">
        <f aca="false">SUMIFS(K$2:K1520,A$2:A1520,A1520,B$2:B1520,B1520)</f>
        <v>72317</v>
      </c>
      <c r="O1520" s="11" t="n">
        <f aca="false">MAX(0,_xlfn.MAXIFS(N$2:N1520,A$2:A1520,A1520,B$2:B1520,B1520))</f>
        <v>79501</v>
      </c>
      <c r="P1520" s="11" t="n">
        <f aca="false">N1520-O1520</f>
        <v>-7184</v>
      </c>
    </row>
    <row r="1521" customFormat="false" ht="15" hidden="false" customHeight="false" outlineLevel="0" collapsed="false">
      <c r="A1521" s="8" t="s">
        <v>45</v>
      </c>
      <c r="B1521" s="8" t="s">
        <v>41</v>
      </c>
      <c r="C1521" s="8" t="s">
        <v>60</v>
      </c>
      <c r="D1521" s="21" t="n">
        <v>45756.3784722222</v>
      </c>
      <c r="E1521" s="21" t="n">
        <v>45756.9583333333</v>
      </c>
      <c r="F1521" s="22" t="n">
        <f aca="false">DATE(YEAR(E1521),MONTH(E1521),1)</f>
        <v>45748</v>
      </c>
      <c r="G1521" s="23" t="n">
        <v>109528</v>
      </c>
      <c r="H1521" s="8" t="s">
        <v>61</v>
      </c>
      <c r="I1521" s="24" t="n">
        <v>1506.18</v>
      </c>
      <c r="J1521" s="25" t="n">
        <f aca="false">Summary!$B$4</f>
        <v>1</v>
      </c>
      <c r="K1521" s="11" t="n">
        <f aca="false">I1521*J1521*IF(A1521="SILVER",Summary!$B$5,Summary!$B$6)</f>
        <v>150618</v>
      </c>
      <c r="L1521" s="26" t="n">
        <v>1.619</v>
      </c>
      <c r="M1521" s="27" t="n">
        <f aca="false">IF(K1521&gt;0,1,0)</f>
        <v>1</v>
      </c>
      <c r="N1521" s="11" t="n">
        <f aca="false">SUMIFS(K$2:K1521,A$2:A1521,A1521,B$2:B1521,B1521)</f>
        <v>222935</v>
      </c>
      <c r="O1521" s="11" t="n">
        <f aca="false">MAX(0,_xlfn.MAXIFS(N$2:N1521,A$2:A1521,A1521,B$2:B1521,B1521))</f>
        <v>222935</v>
      </c>
      <c r="P1521" s="11" t="n">
        <f aca="false">N1521-O1521</f>
        <v>0</v>
      </c>
    </row>
    <row r="1522" customFormat="false" ht="15" hidden="false" customHeight="false" outlineLevel="0" collapsed="false">
      <c r="A1522" s="8" t="s">
        <v>45</v>
      </c>
      <c r="B1522" s="8" t="s">
        <v>41</v>
      </c>
      <c r="C1522" s="8" t="s">
        <v>60</v>
      </c>
      <c r="D1522" s="21" t="n">
        <v>45757.7118055556</v>
      </c>
      <c r="E1522" s="21" t="n">
        <v>45761.7465277778</v>
      </c>
      <c r="F1522" s="22" t="n">
        <f aca="false">DATE(YEAR(E1522),MONTH(E1522),1)</f>
        <v>45748</v>
      </c>
      <c r="G1522" s="23" t="n">
        <v>112231</v>
      </c>
      <c r="H1522" s="8" t="s">
        <v>61</v>
      </c>
      <c r="I1522" s="24" t="n">
        <v>2222.56</v>
      </c>
      <c r="J1522" s="25" t="n">
        <f aca="false">Summary!$B$4</f>
        <v>1</v>
      </c>
      <c r="K1522" s="11" t="n">
        <f aca="false">I1522*J1522*IF(A1522="SILVER",Summary!$B$5,Summary!$B$6)</f>
        <v>222256</v>
      </c>
      <c r="L1522" s="26" t="n">
        <v>1.47</v>
      </c>
      <c r="M1522" s="27" t="n">
        <f aca="false">IF(K1522&gt;0,1,0)</f>
        <v>1</v>
      </c>
      <c r="N1522" s="11" t="n">
        <f aca="false">SUMIFS(K$2:K1522,A$2:A1522,A1522,B$2:B1522,B1522)</f>
        <v>445191</v>
      </c>
      <c r="O1522" s="11" t="n">
        <f aca="false">MAX(0,_xlfn.MAXIFS(N$2:N1522,A$2:A1522,A1522,B$2:B1522,B1522))</f>
        <v>445191</v>
      </c>
      <c r="P1522" s="11" t="n">
        <f aca="false">N1522-O1522</f>
        <v>0</v>
      </c>
    </row>
    <row r="1523" customFormat="false" ht="15" hidden="false" customHeight="false" outlineLevel="0" collapsed="false">
      <c r="A1523" s="8" t="s">
        <v>45</v>
      </c>
      <c r="B1523" s="8" t="s">
        <v>41</v>
      </c>
      <c r="C1523" s="8" t="s">
        <v>60</v>
      </c>
      <c r="D1523" s="21" t="n">
        <v>45762.5729166667</v>
      </c>
      <c r="E1523" s="21" t="n">
        <v>45762.8090277778</v>
      </c>
      <c r="F1523" s="22" t="n">
        <f aca="false">DATE(YEAR(E1523),MONTH(E1523),1)</f>
        <v>45748</v>
      </c>
      <c r="G1523" s="23" t="n">
        <v>114595</v>
      </c>
      <c r="H1523" s="8" t="s">
        <v>61</v>
      </c>
      <c r="I1523" s="24" t="n">
        <v>-436.65</v>
      </c>
      <c r="J1523" s="25" t="n">
        <f aca="false">Summary!$B$4</f>
        <v>1</v>
      </c>
      <c r="K1523" s="11" t="n">
        <f aca="false">I1523*J1523*IF(A1523="SILVER",Summary!$B$5,Summary!$B$6)</f>
        <v>-43665</v>
      </c>
      <c r="L1523" s="26" t="n">
        <v>-1.176</v>
      </c>
      <c r="M1523" s="27" t="n">
        <f aca="false">IF(K1523&gt;0,1,0)</f>
        <v>0</v>
      </c>
      <c r="N1523" s="11" t="n">
        <f aca="false">SUMIFS(K$2:K1523,A$2:A1523,A1523,B$2:B1523,B1523)</f>
        <v>401526</v>
      </c>
      <c r="O1523" s="11" t="n">
        <f aca="false">MAX(0,_xlfn.MAXIFS(N$2:N1523,A$2:A1523,A1523,B$2:B1523,B1523))</f>
        <v>445191</v>
      </c>
      <c r="P1523" s="11" t="n">
        <f aca="false">N1523-O1523</f>
        <v>-43665</v>
      </c>
    </row>
    <row r="1524" customFormat="false" ht="15" hidden="false" customHeight="false" outlineLevel="0" collapsed="false">
      <c r="A1524" s="8" t="s">
        <v>45</v>
      </c>
      <c r="B1524" s="8" t="s">
        <v>41</v>
      </c>
      <c r="C1524" s="8" t="s">
        <v>60</v>
      </c>
      <c r="D1524" s="21" t="n">
        <v>45762.96875</v>
      </c>
      <c r="E1524" s="21" t="n">
        <v>45764.5277777778</v>
      </c>
      <c r="F1524" s="22" t="n">
        <f aca="false">DATE(YEAR(E1524),MONTH(E1524),1)</f>
        <v>45748</v>
      </c>
      <c r="G1524" s="23" t="n">
        <v>114656</v>
      </c>
      <c r="H1524" s="8" t="s">
        <v>61</v>
      </c>
      <c r="I1524" s="24" t="n">
        <v>1936.11</v>
      </c>
      <c r="J1524" s="25" t="n">
        <f aca="false">Summary!$B$4</f>
        <v>1</v>
      </c>
      <c r="K1524" s="11" t="n">
        <f aca="false">I1524*J1524*IF(A1524="SILVER",Summary!$B$5,Summary!$B$6)</f>
        <v>193611</v>
      </c>
      <c r="L1524" s="26" t="n">
        <v>6.93</v>
      </c>
      <c r="M1524" s="27" t="n">
        <f aca="false">IF(K1524&gt;0,1,0)</f>
        <v>1</v>
      </c>
      <c r="N1524" s="11" t="n">
        <f aca="false">SUMIFS(K$2:K1524,A$2:A1524,A1524,B$2:B1524,B1524)</f>
        <v>595137</v>
      </c>
      <c r="O1524" s="11" t="n">
        <f aca="false">MAX(0,_xlfn.MAXIFS(N$2:N1524,A$2:A1524,A1524,B$2:B1524,B1524))</f>
        <v>595137</v>
      </c>
      <c r="P1524" s="11" t="n">
        <f aca="false">N1524-O1524</f>
        <v>0</v>
      </c>
    </row>
    <row r="1525" customFormat="false" ht="15" hidden="false" customHeight="false" outlineLevel="0" collapsed="false">
      <c r="A1525" s="8" t="s">
        <v>45</v>
      </c>
      <c r="B1525" s="8" t="s">
        <v>41</v>
      </c>
      <c r="C1525" s="8" t="s">
        <v>60</v>
      </c>
      <c r="D1525" s="21" t="n">
        <v>45764.9340277778</v>
      </c>
      <c r="E1525" s="21" t="n">
        <v>45769.5868055556</v>
      </c>
      <c r="F1525" s="22" t="n">
        <f aca="false">DATE(YEAR(E1525),MONTH(E1525),1)</f>
        <v>45748</v>
      </c>
      <c r="G1525" s="23" t="n">
        <v>116422</v>
      </c>
      <c r="H1525" s="8" t="s">
        <v>61</v>
      </c>
      <c r="I1525" s="24" t="n">
        <v>3285.62</v>
      </c>
      <c r="J1525" s="25" t="n">
        <f aca="false">Summary!$B$4</f>
        <v>1</v>
      </c>
      <c r="K1525" s="11" t="n">
        <f aca="false">I1525*J1525*IF(A1525="SILVER",Summary!$B$5,Summary!$B$6)</f>
        <v>328562</v>
      </c>
      <c r="L1525" s="26" t="n">
        <v>4.692</v>
      </c>
      <c r="M1525" s="27" t="n">
        <f aca="false">IF(K1525&gt;0,1,0)</f>
        <v>1</v>
      </c>
      <c r="N1525" s="11" t="n">
        <f aca="false">SUMIFS(K$2:K1525,A$2:A1525,A1525,B$2:B1525,B1525)</f>
        <v>923699</v>
      </c>
      <c r="O1525" s="11" t="n">
        <f aca="false">MAX(0,_xlfn.MAXIFS(N$2:N1525,A$2:A1525,A1525,B$2:B1525,B1525))</f>
        <v>923699</v>
      </c>
      <c r="P1525" s="11" t="n">
        <f aca="false">N1525-O1525</f>
        <v>0</v>
      </c>
    </row>
    <row r="1526" customFormat="false" ht="15" hidden="false" customHeight="false" outlineLevel="0" collapsed="false">
      <c r="A1526" s="8" t="s">
        <v>45</v>
      </c>
      <c r="B1526" s="8" t="s">
        <v>41</v>
      </c>
      <c r="C1526" s="8" t="s">
        <v>60</v>
      </c>
      <c r="D1526" s="21" t="n">
        <v>45771.3784722222</v>
      </c>
      <c r="E1526" s="21" t="n">
        <v>45771.8020833333</v>
      </c>
      <c r="F1526" s="22" t="n">
        <f aca="false">DATE(YEAR(E1526),MONTH(E1526),1)</f>
        <v>45748</v>
      </c>
      <c r="G1526" s="23" t="n">
        <v>116972</v>
      </c>
      <c r="H1526" s="8" t="s">
        <v>61</v>
      </c>
      <c r="I1526" s="24" t="n">
        <v>-409.13</v>
      </c>
      <c r="J1526" s="25" t="n">
        <f aca="false">Summary!$B$4</f>
        <v>1</v>
      </c>
      <c r="K1526" s="11" t="n">
        <f aca="false">I1526*J1526*IF(A1526="SILVER",Summary!$B$5,Summary!$B$6)</f>
        <v>-40913</v>
      </c>
      <c r="L1526" s="26" t="n">
        <v>-0.351</v>
      </c>
      <c r="M1526" s="27" t="n">
        <f aca="false">IF(K1526&gt;0,1,0)</f>
        <v>0</v>
      </c>
      <c r="N1526" s="11" t="n">
        <f aca="false">SUMIFS(K$2:K1526,A$2:A1526,A1526,B$2:B1526,B1526)</f>
        <v>882786</v>
      </c>
      <c r="O1526" s="11" t="n">
        <f aca="false">MAX(0,_xlfn.MAXIFS(N$2:N1526,A$2:A1526,A1526,B$2:B1526,B1526))</f>
        <v>923699</v>
      </c>
      <c r="P1526" s="11" t="n">
        <f aca="false">N1526-O1526</f>
        <v>-40913</v>
      </c>
    </row>
    <row r="1527" customFormat="false" ht="15" hidden="false" customHeight="false" outlineLevel="0" collapsed="false">
      <c r="A1527" s="8" t="s">
        <v>45</v>
      </c>
      <c r="B1527" s="8" t="s">
        <v>41</v>
      </c>
      <c r="C1527" s="8" t="s">
        <v>60</v>
      </c>
      <c r="D1527" s="21" t="n">
        <v>45771.9756944445</v>
      </c>
      <c r="E1527" s="21" t="n">
        <v>45772.3784722222</v>
      </c>
      <c r="F1527" s="22" t="n">
        <f aca="false">DATE(YEAR(E1527),MONTH(E1527),1)</f>
        <v>45748</v>
      </c>
      <c r="G1527" s="23" t="n">
        <v>117122</v>
      </c>
      <c r="H1527" s="8" t="s">
        <v>64</v>
      </c>
      <c r="I1527" s="24" t="n">
        <v>25.42</v>
      </c>
      <c r="J1527" s="25" t="n">
        <f aca="false">Summary!$B$4</f>
        <v>1</v>
      </c>
      <c r="K1527" s="11" t="n">
        <f aca="false">I1527*J1527*IF(A1527="SILVER",Summary!$B$5,Summary!$B$6)</f>
        <v>2542</v>
      </c>
      <c r="L1527" s="26" t="n">
        <v>0.047</v>
      </c>
      <c r="M1527" s="27" t="n">
        <f aca="false">IF(K1527&gt;0,1,0)</f>
        <v>1</v>
      </c>
      <c r="N1527" s="11" t="n">
        <f aca="false">SUMIFS(K$2:K1527,A$2:A1527,A1527,B$2:B1527,B1527)</f>
        <v>885328</v>
      </c>
      <c r="O1527" s="11" t="n">
        <f aca="false">MAX(0,_xlfn.MAXIFS(N$2:N1527,A$2:A1527,A1527,B$2:B1527,B1527))</f>
        <v>923699</v>
      </c>
      <c r="P1527" s="11" t="n">
        <f aca="false">N1527-O1527</f>
        <v>-38371</v>
      </c>
    </row>
    <row r="1528" customFormat="false" ht="15" hidden="false" customHeight="false" outlineLevel="0" collapsed="false">
      <c r="A1528" s="8" t="s">
        <v>45</v>
      </c>
      <c r="B1528" s="8" t="s">
        <v>41</v>
      </c>
      <c r="C1528" s="8" t="s">
        <v>60</v>
      </c>
      <c r="D1528" s="21" t="n">
        <v>45775.7326388889</v>
      </c>
      <c r="E1528" s="21" t="n">
        <v>45776.3784722222</v>
      </c>
      <c r="F1528" s="22" t="n">
        <f aca="false">DATE(YEAR(E1528),MONTH(E1528),1)</f>
        <v>45748</v>
      </c>
      <c r="G1528" s="23" t="n">
        <v>115832</v>
      </c>
      <c r="H1528" s="8" t="s">
        <v>61</v>
      </c>
      <c r="I1528" s="24" t="n">
        <v>696.99</v>
      </c>
      <c r="J1528" s="25" t="n">
        <f aca="false">Summary!$B$4</f>
        <v>1</v>
      </c>
      <c r="K1528" s="11" t="n">
        <f aca="false">I1528*J1528*IF(A1528="SILVER",Summary!$B$5,Summary!$B$6)</f>
        <v>69699</v>
      </c>
      <c r="L1528" s="26" t="n">
        <v>1.527</v>
      </c>
      <c r="M1528" s="27" t="n">
        <f aca="false">IF(K1528&gt;0,1,0)</f>
        <v>1</v>
      </c>
      <c r="N1528" s="11" t="n">
        <f aca="false">SUMIFS(K$2:K1528,A$2:A1528,A1528,B$2:B1528,B1528)</f>
        <v>955027</v>
      </c>
      <c r="O1528" s="11" t="n">
        <f aca="false">MAX(0,_xlfn.MAXIFS(N$2:N1528,A$2:A1528,A1528,B$2:B1528,B1528))</f>
        <v>955027</v>
      </c>
      <c r="P1528" s="11" t="n">
        <f aca="false">N1528-O1528</f>
        <v>0</v>
      </c>
    </row>
    <row r="1529" customFormat="false" ht="15" hidden="false" customHeight="false" outlineLevel="0" collapsed="false">
      <c r="A1529" s="8" t="s">
        <v>45</v>
      </c>
      <c r="B1529" s="8" t="s">
        <v>41</v>
      </c>
      <c r="C1529" s="8" t="s">
        <v>60</v>
      </c>
      <c r="D1529" s="21" t="n">
        <v>45776.9236111111</v>
      </c>
      <c r="E1529" s="21" t="n">
        <v>45777.3784722222</v>
      </c>
      <c r="F1529" s="22" t="n">
        <f aca="false">DATE(YEAR(E1529),MONTH(E1529),1)</f>
        <v>45748</v>
      </c>
      <c r="G1529" s="23" t="n">
        <v>116787</v>
      </c>
      <c r="H1529" s="8" t="s">
        <v>61</v>
      </c>
      <c r="I1529" s="24" t="n">
        <v>-454.08</v>
      </c>
      <c r="J1529" s="25" t="n">
        <f aca="false">Summary!$B$4</f>
        <v>1</v>
      </c>
      <c r="K1529" s="11" t="n">
        <f aca="false">I1529*J1529*IF(A1529="SILVER",Summary!$B$5,Summary!$B$6)</f>
        <v>-45408</v>
      </c>
      <c r="L1529" s="26" t="n">
        <v>-0.823</v>
      </c>
      <c r="M1529" s="27" t="n">
        <f aca="false">IF(K1529&gt;0,1,0)</f>
        <v>0</v>
      </c>
      <c r="N1529" s="11" t="n">
        <f aca="false">SUMIFS(K$2:K1529,A$2:A1529,A1529,B$2:B1529,B1529)</f>
        <v>909619</v>
      </c>
      <c r="O1529" s="11" t="n">
        <f aca="false">MAX(0,_xlfn.MAXIFS(N$2:N1529,A$2:A1529,A1529,B$2:B1529,B1529))</f>
        <v>955027</v>
      </c>
      <c r="P1529" s="11" t="n">
        <f aca="false">N1529-O1529</f>
        <v>-45408</v>
      </c>
    </row>
    <row r="1530" customFormat="false" ht="15" hidden="false" customHeight="false" outlineLevel="0" collapsed="false">
      <c r="A1530" s="8" t="s">
        <v>45</v>
      </c>
      <c r="B1530" s="8" t="s">
        <v>41</v>
      </c>
      <c r="C1530" s="8" t="s">
        <v>60</v>
      </c>
      <c r="D1530" s="21" t="n">
        <v>45777.7604166667</v>
      </c>
      <c r="E1530" s="21" t="n">
        <v>45777.8354166667</v>
      </c>
      <c r="F1530" s="22" t="n">
        <f aca="false">DATE(YEAR(E1530),MONTH(E1530),1)</f>
        <v>45748</v>
      </c>
      <c r="G1530" s="23" t="n">
        <v>115499</v>
      </c>
      <c r="H1530" s="8" t="s">
        <v>64</v>
      </c>
      <c r="I1530" s="24" t="n">
        <v>55.5</v>
      </c>
      <c r="J1530" s="25" t="n">
        <f aca="false">Summary!$B$4</f>
        <v>1</v>
      </c>
      <c r="K1530" s="11" t="n">
        <f aca="false">I1530*J1530*IF(A1530="SILVER",Summary!$B$5,Summary!$B$6)</f>
        <v>5550</v>
      </c>
      <c r="L1530" s="26" t="n">
        <v>0.066</v>
      </c>
      <c r="M1530" s="27" t="n">
        <f aca="false">IF(K1530&gt;0,1,0)</f>
        <v>1</v>
      </c>
      <c r="N1530" s="11" t="n">
        <f aca="false">SUMIFS(K$2:K1530,A$2:A1530,A1530,B$2:B1530,B1530)</f>
        <v>915169</v>
      </c>
      <c r="O1530" s="11" t="n">
        <f aca="false">MAX(0,_xlfn.MAXIFS(N$2:N1530,A$2:A1530,A1530,B$2:B1530,B1530))</f>
        <v>955027</v>
      </c>
      <c r="P1530" s="11" t="n">
        <f aca="false">N1530-O1530</f>
        <v>-39858</v>
      </c>
    </row>
    <row r="1531" customFormat="false" ht="15" hidden="false" customHeight="false" outlineLevel="0" collapsed="false">
      <c r="A1531" s="8" t="s">
        <v>45</v>
      </c>
      <c r="B1531" s="8" t="s">
        <v>41</v>
      </c>
      <c r="C1531" s="8" t="s">
        <v>60</v>
      </c>
      <c r="D1531" s="21" t="n">
        <v>45779.5451388889</v>
      </c>
      <c r="E1531" s="21" t="n">
        <v>45779.7701388889</v>
      </c>
      <c r="F1531" s="22" t="n">
        <f aca="false">DATE(YEAR(E1531),MONTH(E1531),1)</f>
        <v>45778</v>
      </c>
      <c r="G1531" s="23" t="n">
        <v>114048</v>
      </c>
      <c r="H1531" s="8" t="s">
        <v>64</v>
      </c>
      <c r="I1531" s="24" t="n">
        <v>33.6</v>
      </c>
      <c r="J1531" s="25" t="n">
        <f aca="false">Summary!$B$4</f>
        <v>1</v>
      </c>
      <c r="K1531" s="11" t="n">
        <f aca="false">I1531*J1531*IF(A1531="SILVER",Summary!$B$5,Summary!$B$6)</f>
        <v>3360</v>
      </c>
      <c r="L1531" s="26" t="n">
        <v>0.054</v>
      </c>
      <c r="M1531" s="27" t="n">
        <f aca="false">IF(K1531&gt;0,1,0)</f>
        <v>1</v>
      </c>
      <c r="N1531" s="11" t="n">
        <f aca="false">SUMIFS(K$2:K1531,A$2:A1531,A1531,B$2:B1531,B1531)</f>
        <v>918529</v>
      </c>
      <c r="O1531" s="11" t="n">
        <f aca="false">MAX(0,_xlfn.MAXIFS(N$2:N1531,A$2:A1531,A1531,B$2:B1531,B1531))</f>
        <v>955027</v>
      </c>
      <c r="P1531" s="11" t="n">
        <f aca="false">N1531-O1531</f>
        <v>-36498</v>
      </c>
    </row>
    <row r="1532" customFormat="false" ht="15" hidden="false" customHeight="false" outlineLevel="0" collapsed="false">
      <c r="A1532" s="8" t="s">
        <v>45</v>
      </c>
      <c r="B1532" s="8" t="s">
        <v>41</v>
      </c>
      <c r="C1532" s="8" t="s">
        <v>60</v>
      </c>
      <c r="D1532" s="21" t="n">
        <v>45782.5173611111</v>
      </c>
      <c r="E1532" s="21" t="n">
        <v>45784.3784722222</v>
      </c>
      <c r="F1532" s="22" t="n">
        <f aca="false">DATE(YEAR(E1532),MONTH(E1532),1)</f>
        <v>45778</v>
      </c>
      <c r="G1532" s="23" t="n">
        <v>114372</v>
      </c>
      <c r="H1532" s="8" t="s">
        <v>61</v>
      </c>
      <c r="I1532" s="24" t="n">
        <v>3423.01</v>
      </c>
      <c r="J1532" s="25" t="n">
        <f aca="false">Summary!$B$4</f>
        <v>1</v>
      </c>
      <c r="K1532" s="11" t="n">
        <f aca="false">I1532*J1532*IF(A1532="SILVER",Summary!$B$5,Summary!$B$6)</f>
        <v>342301</v>
      </c>
      <c r="L1532" s="26" t="n">
        <v>7.526</v>
      </c>
      <c r="M1532" s="27" t="n">
        <f aca="false">IF(K1532&gt;0,1,0)</f>
        <v>1</v>
      </c>
      <c r="N1532" s="11" t="n">
        <f aca="false">SUMIFS(K$2:K1532,A$2:A1532,A1532,B$2:B1532,B1532)</f>
        <v>1260830</v>
      </c>
      <c r="O1532" s="11" t="n">
        <f aca="false">MAX(0,_xlfn.MAXIFS(N$2:N1532,A$2:A1532,A1532,B$2:B1532,B1532))</f>
        <v>1260830</v>
      </c>
      <c r="P1532" s="11" t="n">
        <f aca="false">N1532-O1532</f>
        <v>0</v>
      </c>
    </row>
    <row r="1533" customFormat="false" ht="15" hidden="false" customHeight="false" outlineLevel="0" collapsed="false">
      <c r="A1533" s="8" t="s">
        <v>45</v>
      </c>
      <c r="B1533" s="8" t="s">
        <v>41</v>
      </c>
      <c r="C1533" s="8" t="s">
        <v>60</v>
      </c>
      <c r="D1533" s="21" t="n">
        <v>45784.6736111111</v>
      </c>
      <c r="E1533" s="21" t="n">
        <v>45785.4409722222</v>
      </c>
      <c r="F1533" s="22" t="n">
        <f aca="false">DATE(YEAR(E1533),MONTH(E1533),1)</f>
        <v>45778</v>
      </c>
      <c r="G1533" s="23" t="n">
        <v>118391</v>
      </c>
      <c r="H1533" s="8" t="s">
        <v>61</v>
      </c>
      <c r="I1533" s="24" t="n">
        <v>-429.41</v>
      </c>
      <c r="J1533" s="25" t="n">
        <f aca="false">Summary!$B$4</f>
        <v>1</v>
      </c>
      <c r="K1533" s="11" t="n">
        <f aca="false">I1533*J1533*IF(A1533="SILVER",Summary!$B$5,Summary!$B$6)</f>
        <v>-42941</v>
      </c>
      <c r="L1533" s="26" t="n">
        <v>-0.782</v>
      </c>
      <c r="M1533" s="27" t="n">
        <f aca="false">IF(K1533&gt;0,1,0)</f>
        <v>0</v>
      </c>
      <c r="N1533" s="11" t="n">
        <f aca="false">SUMIFS(K$2:K1533,A$2:A1533,A1533,B$2:B1533,B1533)</f>
        <v>1217889</v>
      </c>
      <c r="O1533" s="11" t="n">
        <f aca="false">MAX(0,_xlfn.MAXIFS(N$2:N1533,A$2:A1533,A1533,B$2:B1533,B1533))</f>
        <v>1260830</v>
      </c>
      <c r="P1533" s="11" t="n">
        <f aca="false">N1533-O1533</f>
        <v>-42941</v>
      </c>
    </row>
    <row r="1534" customFormat="false" ht="15" hidden="false" customHeight="false" outlineLevel="0" collapsed="false">
      <c r="A1534" s="8" t="s">
        <v>45</v>
      </c>
      <c r="B1534" s="8" t="s">
        <v>41</v>
      </c>
      <c r="C1534" s="8" t="s">
        <v>60</v>
      </c>
      <c r="D1534" s="21" t="n">
        <v>45785.6145833333</v>
      </c>
      <c r="E1534" s="21" t="n">
        <v>45785.8840277778</v>
      </c>
      <c r="F1534" s="22" t="n">
        <f aca="false">DATE(YEAR(E1534),MONTH(E1534),1)</f>
        <v>45778</v>
      </c>
      <c r="G1534" s="23" t="n">
        <v>117741</v>
      </c>
      <c r="H1534" s="8" t="s">
        <v>64</v>
      </c>
      <c r="I1534" s="24" t="n">
        <v>56.84</v>
      </c>
      <c r="J1534" s="25" t="n">
        <f aca="false">Summary!$B$4</f>
        <v>1</v>
      </c>
      <c r="K1534" s="11" t="n">
        <f aca="false">I1534*J1534*IF(A1534="SILVER",Summary!$B$5,Summary!$B$6)</f>
        <v>5684</v>
      </c>
      <c r="L1534" s="26" t="n">
        <v>0.066</v>
      </c>
      <c r="M1534" s="27" t="n">
        <f aca="false">IF(K1534&gt;0,1,0)</f>
        <v>1</v>
      </c>
      <c r="N1534" s="11" t="n">
        <f aca="false">SUMIFS(K$2:K1534,A$2:A1534,A1534,B$2:B1534,B1534)</f>
        <v>1223573</v>
      </c>
      <c r="O1534" s="11" t="n">
        <f aca="false">MAX(0,_xlfn.MAXIFS(N$2:N1534,A$2:A1534,A1534,B$2:B1534,B1534))</f>
        <v>1260830</v>
      </c>
      <c r="P1534" s="11" t="n">
        <f aca="false">N1534-O1534</f>
        <v>-37257</v>
      </c>
    </row>
    <row r="1535" customFormat="false" ht="15" hidden="false" customHeight="false" outlineLevel="0" collapsed="false">
      <c r="A1535" s="8" t="s">
        <v>45</v>
      </c>
      <c r="B1535" s="8" t="s">
        <v>41</v>
      </c>
      <c r="C1535" s="8" t="s">
        <v>60</v>
      </c>
      <c r="D1535" s="21" t="n">
        <v>45786.7916666667</v>
      </c>
      <c r="E1535" s="21" t="n">
        <v>45786.8229166667</v>
      </c>
      <c r="F1535" s="22" t="n">
        <f aca="false">DATE(YEAR(E1535),MONTH(E1535),1)</f>
        <v>45778</v>
      </c>
      <c r="G1535" s="23" t="n">
        <v>117517</v>
      </c>
      <c r="H1535" s="8" t="s">
        <v>61</v>
      </c>
      <c r="I1535" s="24" t="n">
        <v>-484.23</v>
      </c>
      <c r="J1535" s="25" t="n">
        <f aca="false">Summary!$B$4</f>
        <v>1</v>
      </c>
      <c r="K1535" s="11" t="n">
        <f aca="false">I1535*J1535*IF(A1535="SILVER",Summary!$B$5,Summary!$B$6)</f>
        <v>-48423</v>
      </c>
      <c r="L1535" s="26" t="n">
        <v>-1.187</v>
      </c>
      <c r="M1535" s="27" t="n">
        <f aca="false">IF(K1535&gt;0,1,0)</f>
        <v>0</v>
      </c>
      <c r="N1535" s="11" t="n">
        <f aca="false">SUMIFS(K$2:K1535,A$2:A1535,A1535,B$2:B1535,B1535)</f>
        <v>1175150</v>
      </c>
      <c r="O1535" s="11" t="n">
        <f aca="false">MAX(0,_xlfn.MAXIFS(N$2:N1535,A$2:A1535,A1535,B$2:B1535,B1535))</f>
        <v>1260830</v>
      </c>
      <c r="P1535" s="11" t="n">
        <f aca="false">N1535-O1535</f>
        <v>-85680</v>
      </c>
    </row>
    <row r="1536" customFormat="false" ht="15" hidden="false" customHeight="false" outlineLevel="0" collapsed="false">
      <c r="A1536" s="8" t="s">
        <v>45</v>
      </c>
      <c r="B1536" s="8" t="s">
        <v>41</v>
      </c>
      <c r="C1536" s="8" t="s">
        <v>60</v>
      </c>
      <c r="D1536" s="21" t="n">
        <v>45786.8506944445</v>
      </c>
      <c r="E1536" s="21" t="n">
        <v>45789.3784722222</v>
      </c>
      <c r="F1536" s="22" t="n">
        <f aca="false">DATE(YEAR(E1536),MONTH(E1536),1)</f>
        <v>45778</v>
      </c>
      <c r="G1536" s="23" t="n">
        <v>117580</v>
      </c>
      <c r="H1536" s="8" t="s">
        <v>61</v>
      </c>
      <c r="I1536" s="24" t="n">
        <v>-2180.07</v>
      </c>
      <c r="J1536" s="25" t="n">
        <f aca="false">Summary!$B$4</f>
        <v>1</v>
      </c>
      <c r="K1536" s="11" t="n">
        <f aca="false">I1536*J1536*IF(A1536="SILVER",Summary!$B$5,Summary!$B$6)</f>
        <v>-218007</v>
      </c>
      <c r="L1536" s="26" t="n">
        <v>-3.212</v>
      </c>
      <c r="M1536" s="27" t="n">
        <f aca="false">IF(K1536&gt;0,1,0)</f>
        <v>0</v>
      </c>
      <c r="N1536" s="11" t="n">
        <f aca="false">SUMIFS(K$2:K1536,A$2:A1536,A1536,B$2:B1536,B1536)</f>
        <v>957143</v>
      </c>
      <c r="O1536" s="11" t="n">
        <f aca="false">MAX(0,_xlfn.MAXIFS(N$2:N1536,A$2:A1536,A1536,B$2:B1536,B1536))</f>
        <v>1260830</v>
      </c>
      <c r="P1536" s="11" t="n">
        <f aca="false">N1536-O1536</f>
        <v>-303687</v>
      </c>
    </row>
    <row r="1537" customFormat="false" ht="15" hidden="false" customHeight="false" outlineLevel="0" collapsed="false">
      <c r="A1537" s="8" t="s">
        <v>45</v>
      </c>
      <c r="B1537" s="8" t="s">
        <v>41</v>
      </c>
      <c r="C1537" s="8" t="s">
        <v>60</v>
      </c>
      <c r="D1537" s="21" t="n">
        <v>45789.7777777778</v>
      </c>
      <c r="E1537" s="21" t="n">
        <v>45790.7395833333</v>
      </c>
      <c r="F1537" s="22" t="n">
        <f aca="false">DATE(YEAR(E1537),MONTH(E1537),1)</f>
        <v>45778</v>
      </c>
      <c r="G1537" s="23" t="n">
        <v>114400</v>
      </c>
      <c r="H1537" s="8" t="s">
        <v>61</v>
      </c>
      <c r="I1537" s="24" t="n">
        <v>436.31</v>
      </c>
      <c r="J1537" s="25" t="n">
        <f aca="false">Summary!$B$4</f>
        <v>1</v>
      </c>
      <c r="K1537" s="11" t="n">
        <f aca="false">I1537*J1537*IF(A1537="SILVER",Summary!$B$5,Summary!$B$6)</f>
        <v>43631</v>
      </c>
      <c r="L1537" s="26" t="n">
        <v>0.624</v>
      </c>
      <c r="M1537" s="27" t="n">
        <f aca="false">IF(K1537&gt;0,1,0)</f>
        <v>1</v>
      </c>
      <c r="N1537" s="11" t="n">
        <f aca="false">SUMIFS(K$2:K1537,A$2:A1537,A1537,B$2:B1537,B1537)</f>
        <v>1000774</v>
      </c>
      <c r="O1537" s="11" t="n">
        <f aca="false">MAX(0,_xlfn.MAXIFS(N$2:N1537,A$2:A1537,A1537,B$2:B1537,B1537))</f>
        <v>1260830</v>
      </c>
      <c r="P1537" s="11" t="n">
        <f aca="false">N1537-O1537</f>
        <v>-260056</v>
      </c>
    </row>
    <row r="1538" customFormat="false" ht="15" hidden="false" customHeight="false" outlineLevel="0" collapsed="false">
      <c r="A1538" s="8" t="s">
        <v>45</v>
      </c>
      <c r="B1538" s="8" t="s">
        <v>41</v>
      </c>
      <c r="C1538" s="8" t="s">
        <v>60</v>
      </c>
      <c r="D1538" s="21" t="n">
        <v>45792.59375</v>
      </c>
      <c r="E1538" s="21" t="n">
        <v>45793.3784722222</v>
      </c>
      <c r="F1538" s="22" t="n">
        <f aca="false">DATE(YEAR(E1538),MONTH(E1538),1)</f>
        <v>45778</v>
      </c>
      <c r="G1538" s="23" t="n">
        <v>112831</v>
      </c>
      <c r="H1538" s="8" t="s">
        <v>61</v>
      </c>
      <c r="I1538" s="24" t="n">
        <v>1202.54</v>
      </c>
      <c r="J1538" s="25" t="n">
        <f aca="false">Summary!$B$4</f>
        <v>1</v>
      </c>
      <c r="K1538" s="11" t="n">
        <f aca="false">I1538*J1538*IF(A1538="SILVER",Summary!$B$5,Summary!$B$6)</f>
        <v>120254</v>
      </c>
      <c r="L1538" s="26" t="n">
        <v>1.763</v>
      </c>
      <c r="M1538" s="27" t="n">
        <f aca="false">IF(K1538&gt;0,1,0)</f>
        <v>1</v>
      </c>
      <c r="N1538" s="11" t="n">
        <f aca="false">SUMIFS(K$2:K1538,A$2:A1538,A1538,B$2:B1538,B1538)</f>
        <v>1121028</v>
      </c>
      <c r="O1538" s="11" t="n">
        <f aca="false">MAX(0,_xlfn.MAXIFS(N$2:N1538,A$2:A1538,A1538,B$2:B1538,B1538))</f>
        <v>1260830</v>
      </c>
      <c r="P1538" s="11" t="n">
        <f aca="false">N1538-O1538</f>
        <v>-139802</v>
      </c>
    </row>
    <row r="1539" customFormat="false" ht="15" hidden="false" customHeight="false" outlineLevel="0" collapsed="false">
      <c r="A1539" s="8" t="s">
        <v>45</v>
      </c>
      <c r="B1539" s="8" t="s">
        <v>41</v>
      </c>
      <c r="C1539" s="8" t="s">
        <v>60</v>
      </c>
      <c r="D1539" s="21" t="n">
        <v>45793.4479166667</v>
      </c>
      <c r="E1539" s="21" t="n">
        <v>45793.5729166667</v>
      </c>
      <c r="F1539" s="22" t="n">
        <f aca="false">DATE(YEAR(E1539),MONTH(E1539),1)</f>
        <v>45778</v>
      </c>
      <c r="G1539" s="23" t="n">
        <v>114622</v>
      </c>
      <c r="H1539" s="8" t="s">
        <v>61</v>
      </c>
      <c r="I1539" s="24" t="n">
        <v>-715.62</v>
      </c>
      <c r="J1539" s="25" t="n">
        <f aca="false">Summary!$B$4</f>
        <v>1</v>
      </c>
      <c r="K1539" s="11" t="n">
        <f aca="false">I1539*J1539*IF(A1539="SILVER",Summary!$B$5,Summary!$B$6)</f>
        <v>-71562</v>
      </c>
      <c r="L1539" s="26" t="n">
        <v>-1.269</v>
      </c>
      <c r="M1539" s="27" t="n">
        <f aca="false">IF(K1539&gt;0,1,0)</f>
        <v>0</v>
      </c>
      <c r="N1539" s="11" t="n">
        <f aca="false">SUMIFS(K$2:K1539,A$2:A1539,A1539,B$2:B1539,B1539)</f>
        <v>1049466</v>
      </c>
      <c r="O1539" s="11" t="n">
        <f aca="false">MAX(0,_xlfn.MAXIFS(N$2:N1539,A$2:A1539,A1539,B$2:B1539,B1539))</f>
        <v>1260830</v>
      </c>
      <c r="P1539" s="11" t="n">
        <f aca="false">N1539-O1539</f>
        <v>-211364</v>
      </c>
    </row>
    <row r="1540" customFormat="false" ht="15" hidden="false" customHeight="false" outlineLevel="0" collapsed="false">
      <c r="A1540" s="8" t="s">
        <v>45</v>
      </c>
      <c r="B1540" s="8" t="s">
        <v>41</v>
      </c>
      <c r="C1540" s="8" t="s">
        <v>60</v>
      </c>
      <c r="D1540" s="21" t="n">
        <v>45796.3784722222</v>
      </c>
      <c r="E1540" s="21" t="n">
        <v>45796.7680555556</v>
      </c>
      <c r="F1540" s="22" t="n">
        <f aca="false">DATE(YEAR(E1540),MONTH(E1540),1)</f>
        <v>45778</v>
      </c>
      <c r="G1540" s="23" t="n">
        <v>114512</v>
      </c>
      <c r="H1540" s="8" t="s">
        <v>64</v>
      </c>
      <c r="I1540" s="24" t="n">
        <v>51.91</v>
      </c>
      <c r="J1540" s="25" t="n">
        <f aca="false">Summary!$B$4</f>
        <v>1</v>
      </c>
      <c r="K1540" s="11" t="n">
        <f aca="false">I1540*J1540*IF(A1540="SILVER",Summary!$B$5,Summary!$B$6)</f>
        <v>5191</v>
      </c>
      <c r="L1540" s="26" t="n">
        <v>0.064</v>
      </c>
      <c r="M1540" s="27" t="n">
        <f aca="false">IF(K1540&gt;0,1,0)</f>
        <v>1</v>
      </c>
      <c r="N1540" s="11" t="n">
        <f aca="false">SUMIFS(K$2:K1540,A$2:A1540,A1540,B$2:B1540,B1540)</f>
        <v>1054657</v>
      </c>
      <c r="O1540" s="11" t="n">
        <f aca="false">MAX(0,_xlfn.MAXIFS(N$2:N1540,A$2:A1540,A1540,B$2:B1540,B1540))</f>
        <v>1260830</v>
      </c>
      <c r="P1540" s="11" t="n">
        <f aca="false">N1540-O1540</f>
        <v>-206173</v>
      </c>
    </row>
    <row r="1541" customFormat="false" ht="15" hidden="false" customHeight="false" outlineLevel="0" collapsed="false">
      <c r="A1541" s="8" t="s">
        <v>45</v>
      </c>
      <c r="B1541" s="8" t="s">
        <v>41</v>
      </c>
      <c r="C1541" s="8" t="s">
        <v>60</v>
      </c>
      <c r="D1541" s="21" t="n">
        <v>45797.5590277778</v>
      </c>
      <c r="E1541" s="21" t="n">
        <v>45798.7465277778</v>
      </c>
      <c r="F1541" s="22" t="n">
        <f aca="false">DATE(YEAR(E1541),MONTH(E1541),1)</f>
        <v>45778</v>
      </c>
      <c r="G1541" s="23" t="n">
        <v>114431</v>
      </c>
      <c r="H1541" s="8" t="s">
        <v>61</v>
      </c>
      <c r="I1541" s="24" t="n">
        <v>2044.14</v>
      </c>
      <c r="J1541" s="25" t="n">
        <f aca="false">Summary!$B$4</f>
        <v>1</v>
      </c>
      <c r="K1541" s="11" t="n">
        <f aca="false">I1541*J1541*IF(A1541="SILVER",Summary!$B$5,Summary!$B$6)</f>
        <v>204414</v>
      </c>
      <c r="L1541" s="26" t="n">
        <v>4.145</v>
      </c>
      <c r="M1541" s="27" t="n">
        <f aca="false">IF(K1541&gt;0,1,0)</f>
        <v>1</v>
      </c>
      <c r="N1541" s="11" t="n">
        <f aca="false">SUMIFS(K$2:K1541,A$2:A1541,A1541,B$2:B1541,B1541)</f>
        <v>1259071</v>
      </c>
      <c r="O1541" s="11" t="n">
        <f aca="false">MAX(0,_xlfn.MAXIFS(N$2:N1541,A$2:A1541,A1541,B$2:B1541,B1541))</f>
        <v>1260830</v>
      </c>
      <c r="P1541" s="11" t="n">
        <f aca="false">N1541-O1541</f>
        <v>-1759</v>
      </c>
    </row>
    <row r="1542" customFormat="false" ht="15" hidden="false" customHeight="false" outlineLevel="0" collapsed="false">
      <c r="A1542" s="8" t="s">
        <v>45</v>
      </c>
      <c r="B1542" s="8" t="s">
        <v>41</v>
      </c>
      <c r="C1542" s="8" t="s">
        <v>60</v>
      </c>
      <c r="D1542" s="21" t="n">
        <v>45798.8645833333</v>
      </c>
      <c r="E1542" s="21" t="n">
        <v>45799.6111111111</v>
      </c>
      <c r="F1542" s="22" t="n">
        <f aca="false">DATE(YEAR(E1542),MONTH(E1542),1)</f>
        <v>45778</v>
      </c>
      <c r="G1542" s="23" t="n">
        <v>116782</v>
      </c>
      <c r="H1542" s="8" t="s">
        <v>61</v>
      </c>
      <c r="I1542" s="24" t="n">
        <v>301.84</v>
      </c>
      <c r="J1542" s="25" t="n">
        <f aca="false">Summary!$B$4</f>
        <v>1</v>
      </c>
      <c r="K1542" s="11" t="n">
        <f aca="false">I1542*J1542*IF(A1542="SILVER",Summary!$B$5,Summary!$B$6)</f>
        <v>30184</v>
      </c>
      <c r="L1542" s="26" t="n">
        <v>0.495</v>
      </c>
      <c r="M1542" s="27" t="n">
        <f aca="false">IF(K1542&gt;0,1,0)</f>
        <v>1</v>
      </c>
      <c r="N1542" s="11" t="n">
        <f aca="false">SUMIFS(K$2:K1542,A$2:A1542,A1542,B$2:B1542,B1542)</f>
        <v>1289255</v>
      </c>
      <c r="O1542" s="11" t="n">
        <f aca="false">MAX(0,_xlfn.MAXIFS(N$2:N1542,A$2:A1542,A1542,B$2:B1542,B1542))</f>
        <v>1289255</v>
      </c>
      <c r="P1542" s="11" t="n">
        <f aca="false">N1542-O1542</f>
        <v>0</v>
      </c>
    </row>
    <row r="1543" customFormat="false" ht="15" hidden="false" customHeight="false" outlineLevel="0" collapsed="false">
      <c r="A1543" s="8" t="s">
        <v>45</v>
      </c>
      <c r="B1543" s="8" t="s">
        <v>41</v>
      </c>
      <c r="C1543" s="8" t="s">
        <v>60</v>
      </c>
      <c r="D1543" s="21" t="n">
        <v>45799.7291666667</v>
      </c>
      <c r="E1543" s="21" t="n">
        <v>45799.8159722222</v>
      </c>
      <c r="F1543" s="22" t="n">
        <f aca="false">DATE(YEAR(E1543),MONTH(E1543),1)</f>
        <v>45778</v>
      </c>
      <c r="G1543" s="23" t="n">
        <v>117152</v>
      </c>
      <c r="H1543" s="8" t="s">
        <v>61</v>
      </c>
      <c r="I1543" s="24" t="n">
        <v>-719.13</v>
      </c>
      <c r="J1543" s="25" t="n">
        <f aca="false">Summary!$B$4</f>
        <v>1</v>
      </c>
      <c r="K1543" s="11" t="n">
        <f aca="false">I1543*J1543*IF(A1543="SILVER",Summary!$B$5,Summary!$B$6)</f>
        <v>-71913</v>
      </c>
      <c r="L1543" s="26" t="n">
        <v>-1.013</v>
      </c>
      <c r="M1543" s="27" t="n">
        <f aca="false">IF(K1543&gt;0,1,0)</f>
        <v>0</v>
      </c>
      <c r="N1543" s="11" t="n">
        <f aca="false">SUMIFS(K$2:K1543,A$2:A1543,A1543,B$2:B1543,B1543)</f>
        <v>1217342</v>
      </c>
      <c r="O1543" s="11" t="n">
        <f aca="false">MAX(0,_xlfn.MAXIFS(N$2:N1543,A$2:A1543,A1543,B$2:B1543,B1543))</f>
        <v>1289255</v>
      </c>
      <c r="P1543" s="11" t="n">
        <f aca="false">N1543-O1543</f>
        <v>-71913</v>
      </c>
    </row>
    <row r="1544" customFormat="false" ht="15" hidden="false" customHeight="false" outlineLevel="0" collapsed="false">
      <c r="A1544" s="8" t="s">
        <v>45</v>
      </c>
      <c r="B1544" s="8" t="s">
        <v>41</v>
      </c>
      <c r="C1544" s="8" t="s">
        <v>60</v>
      </c>
      <c r="D1544" s="21" t="n">
        <v>45800.4826388889</v>
      </c>
      <c r="E1544" s="21" t="n">
        <v>45800.5833333333</v>
      </c>
      <c r="F1544" s="22" t="n">
        <f aca="false">DATE(YEAR(E1544),MONTH(E1544),1)</f>
        <v>45778</v>
      </c>
      <c r="G1544" s="23" t="n">
        <v>117237</v>
      </c>
      <c r="H1544" s="8" t="s">
        <v>61</v>
      </c>
      <c r="I1544" s="24" t="n">
        <v>-420.18</v>
      </c>
      <c r="J1544" s="25" t="n">
        <f aca="false">Summary!$B$4</f>
        <v>1</v>
      </c>
      <c r="K1544" s="11" t="n">
        <f aca="false">I1544*J1544*IF(A1544="SILVER",Summary!$B$5,Summary!$B$6)</f>
        <v>-42018</v>
      </c>
      <c r="L1544" s="26" t="n">
        <v>-0.918</v>
      </c>
      <c r="M1544" s="27" t="n">
        <f aca="false">IF(K1544&gt;0,1,0)</f>
        <v>0</v>
      </c>
      <c r="N1544" s="11" t="n">
        <f aca="false">SUMIFS(K$2:K1544,A$2:A1544,A1544,B$2:B1544,B1544)</f>
        <v>1175324</v>
      </c>
      <c r="O1544" s="11" t="n">
        <f aca="false">MAX(0,_xlfn.MAXIFS(N$2:N1544,A$2:A1544,A1544,B$2:B1544,B1544))</f>
        <v>1289255</v>
      </c>
      <c r="P1544" s="11" t="n">
        <f aca="false">N1544-O1544</f>
        <v>-113931</v>
      </c>
    </row>
    <row r="1545" customFormat="false" ht="15" hidden="false" customHeight="false" outlineLevel="0" collapsed="false">
      <c r="A1545" s="8" t="s">
        <v>45</v>
      </c>
      <c r="B1545" s="8" t="s">
        <v>41</v>
      </c>
      <c r="C1545" s="8" t="s">
        <v>60</v>
      </c>
      <c r="D1545" s="21" t="n">
        <v>45800.7222222222</v>
      </c>
      <c r="E1545" s="21" t="n">
        <v>45800.7847222222</v>
      </c>
      <c r="F1545" s="22" t="n">
        <f aca="false">DATE(YEAR(E1545),MONTH(E1545),1)</f>
        <v>45778</v>
      </c>
      <c r="G1545" s="23" t="n">
        <v>117300</v>
      </c>
      <c r="H1545" s="8" t="s">
        <v>64</v>
      </c>
      <c r="I1545" s="24" t="n">
        <v>37.71</v>
      </c>
      <c r="J1545" s="25" t="n">
        <f aca="false">Summary!$B$4</f>
        <v>1</v>
      </c>
      <c r="K1545" s="11" t="n">
        <f aca="false">I1545*J1545*IF(A1545="SILVER",Summary!$B$5,Summary!$B$6)</f>
        <v>3771</v>
      </c>
      <c r="L1545" s="26" t="n">
        <v>0.056</v>
      </c>
      <c r="M1545" s="27" t="n">
        <f aca="false">IF(K1545&gt;0,1,0)</f>
        <v>1</v>
      </c>
      <c r="N1545" s="11" t="n">
        <f aca="false">SUMIFS(K$2:K1545,A$2:A1545,A1545,B$2:B1545,B1545)</f>
        <v>1179095</v>
      </c>
      <c r="O1545" s="11" t="n">
        <f aca="false">MAX(0,_xlfn.MAXIFS(N$2:N1545,A$2:A1545,A1545,B$2:B1545,B1545))</f>
        <v>1289255</v>
      </c>
      <c r="P1545" s="11" t="n">
        <f aca="false">N1545-O1545</f>
        <v>-110160</v>
      </c>
    </row>
    <row r="1546" customFormat="false" ht="15" hidden="false" customHeight="false" outlineLevel="0" collapsed="false">
      <c r="A1546" s="8" t="s">
        <v>45</v>
      </c>
      <c r="B1546" s="8" t="s">
        <v>41</v>
      </c>
      <c r="C1546" s="8" t="s">
        <v>60</v>
      </c>
      <c r="D1546" s="21" t="n">
        <v>45803.8159722222</v>
      </c>
      <c r="E1546" s="21" t="n">
        <v>45804.4222222222</v>
      </c>
      <c r="F1546" s="22" t="n">
        <f aca="false">DATE(YEAR(E1546),MONTH(E1546),1)</f>
        <v>45778</v>
      </c>
      <c r="G1546" s="23" t="n">
        <v>117043</v>
      </c>
      <c r="H1546" s="8" t="s">
        <v>64</v>
      </c>
      <c r="I1546" s="24" t="n">
        <v>1.29</v>
      </c>
      <c r="J1546" s="25" t="n">
        <f aca="false">Summary!$B$4</f>
        <v>1</v>
      </c>
      <c r="K1546" s="11" t="n">
        <f aca="false">I1546*J1546*IF(A1546="SILVER",Summary!$B$5,Summary!$B$6)</f>
        <v>129</v>
      </c>
      <c r="L1546" s="26" t="n">
        <v>0.004</v>
      </c>
      <c r="M1546" s="27" t="n">
        <f aca="false">IF(K1546&gt;0,1,0)</f>
        <v>1</v>
      </c>
      <c r="N1546" s="11" t="n">
        <f aca="false">SUMIFS(K$2:K1546,A$2:A1546,A1546,B$2:B1546,B1546)</f>
        <v>1179224</v>
      </c>
      <c r="O1546" s="11" t="n">
        <f aca="false">MAX(0,_xlfn.MAXIFS(N$2:N1546,A$2:A1546,A1546,B$2:B1546,B1546))</f>
        <v>1289255</v>
      </c>
      <c r="P1546" s="11" t="n">
        <f aca="false">N1546-O1546</f>
        <v>-110031</v>
      </c>
    </row>
    <row r="1547" customFormat="false" ht="15" hidden="false" customHeight="false" outlineLevel="0" collapsed="false">
      <c r="A1547" s="8" t="s">
        <v>45</v>
      </c>
      <c r="B1547" s="8" t="s">
        <v>41</v>
      </c>
      <c r="C1547" s="8" t="s">
        <v>60</v>
      </c>
      <c r="D1547" s="21" t="n">
        <v>45805.3854166667</v>
      </c>
      <c r="E1547" s="21" t="n">
        <v>45805.7881944445</v>
      </c>
      <c r="F1547" s="22" t="n">
        <f aca="false">DATE(YEAR(E1547),MONTH(E1547),1)</f>
        <v>45778</v>
      </c>
      <c r="G1547" s="23" t="n">
        <v>116471</v>
      </c>
      <c r="H1547" s="8" t="s">
        <v>61</v>
      </c>
      <c r="I1547" s="24" t="n">
        <v>134.92</v>
      </c>
      <c r="J1547" s="25" t="n">
        <f aca="false">Summary!$B$4</f>
        <v>1</v>
      </c>
      <c r="K1547" s="11" t="n">
        <f aca="false">I1547*J1547*IF(A1547="SILVER",Summary!$B$5,Summary!$B$6)</f>
        <v>13492</v>
      </c>
      <c r="L1547" s="26" t="n">
        <v>0.354</v>
      </c>
      <c r="M1547" s="27" t="n">
        <f aca="false">IF(K1547&gt;0,1,0)</f>
        <v>1</v>
      </c>
      <c r="N1547" s="11" t="n">
        <f aca="false">SUMIFS(K$2:K1547,A$2:A1547,A1547,B$2:B1547,B1547)</f>
        <v>1192716</v>
      </c>
      <c r="O1547" s="11" t="n">
        <f aca="false">MAX(0,_xlfn.MAXIFS(N$2:N1547,A$2:A1547,A1547,B$2:B1547,B1547))</f>
        <v>1289255</v>
      </c>
      <c r="P1547" s="11" t="n">
        <f aca="false">N1547-O1547</f>
        <v>-96539</v>
      </c>
    </row>
    <row r="1548" customFormat="false" ht="15" hidden="false" customHeight="false" outlineLevel="0" collapsed="false">
      <c r="A1548" s="8" t="s">
        <v>45</v>
      </c>
      <c r="B1548" s="8" t="s">
        <v>41</v>
      </c>
      <c r="C1548" s="8" t="s">
        <v>60</v>
      </c>
      <c r="D1548" s="21" t="n">
        <v>45806.5625</v>
      </c>
      <c r="E1548" s="21" t="n">
        <v>45807.375</v>
      </c>
      <c r="F1548" s="22" t="n">
        <f aca="false">DATE(YEAR(E1548),MONTH(E1548),1)</f>
        <v>45778</v>
      </c>
      <c r="G1548" s="23" t="n">
        <v>116014</v>
      </c>
      <c r="H1548" s="8" t="s">
        <v>64</v>
      </c>
      <c r="I1548" s="24" t="n">
        <v>10.41</v>
      </c>
      <c r="J1548" s="25" t="n">
        <f aca="false">Summary!$B$4</f>
        <v>1</v>
      </c>
      <c r="K1548" s="11" t="n">
        <f aca="false">I1548*J1548*IF(A1548="SILVER",Summary!$B$5,Summary!$B$6)</f>
        <v>1041</v>
      </c>
      <c r="L1548" s="26" t="n">
        <v>0.026</v>
      </c>
      <c r="M1548" s="27" t="n">
        <f aca="false">IF(K1548&gt;0,1,0)</f>
        <v>1</v>
      </c>
      <c r="N1548" s="11" t="n">
        <f aca="false">SUMIFS(K$2:K1548,A$2:A1548,A1548,B$2:B1548,B1548)</f>
        <v>1193757</v>
      </c>
      <c r="O1548" s="11" t="n">
        <f aca="false">MAX(0,_xlfn.MAXIFS(N$2:N1548,A$2:A1548,A1548,B$2:B1548,B1548))</f>
        <v>1289255</v>
      </c>
      <c r="P1548" s="11" t="n">
        <f aca="false">N1548-O1548</f>
        <v>-95498</v>
      </c>
    </row>
    <row r="1549" customFormat="false" ht="15" hidden="false" customHeight="false" outlineLevel="0" collapsed="false">
      <c r="A1549" s="8" t="s">
        <v>45</v>
      </c>
      <c r="B1549" s="8" t="s">
        <v>41</v>
      </c>
      <c r="C1549" s="8" t="s">
        <v>60</v>
      </c>
      <c r="D1549" s="21" t="n">
        <v>45807.5208333333</v>
      </c>
      <c r="E1549" s="21" t="n">
        <v>45807.7333333333</v>
      </c>
      <c r="F1549" s="22" t="n">
        <f aca="false">DATE(YEAR(E1549),MONTH(E1549),1)</f>
        <v>45778</v>
      </c>
      <c r="G1549" s="23" t="n">
        <v>116322</v>
      </c>
      <c r="H1549" s="8" t="s">
        <v>61</v>
      </c>
      <c r="I1549" s="24" t="n">
        <v>-288.01</v>
      </c>
      <c r="J1549" s="25" t="n">
        <f aca="false">Summary!$B$4</f>
        <v>1</v>
      </c>
      <c r="K1549" s="11" t="n">
        <f aca="false">I1549*J1549*IF(A1549="SILVER",Summary!$B$5,Summary!$B$6)</f>
        <v>-28801</v>
      </c>
      <c r="L1549" s="26" t="n">
        <v>-0.671</v>
      </c>
      <c r="M1549" s="27" t="n">
        <f aca="false">IF(K1549&gt;0,1,0)</f>
        <v>0</v>
      </c>
      <c r="N1549" s="11" t="n">
        <f aca="false">SUMIFS(K$2:K1549,A$2:A1549,A1549,B$2:B1549,B1549)</f>
        <v>1164956</v>
      </c>
      <c r="O1549" s="11" t="n">
        <f aca="false">MAX(0,_xlfn.MAXIFS(N$2:N1549,A$2:A1549,A1549,B$2:B1549,B1549))</f>
        <v>1289255</v>
      </c>
      <c r="P1549" s="11" t="n">
        <f aca="false">N1549-O1549</f>
        <v>-124299</v>
      </c>
    </row>
    <row r="1550" customFormat="false" ht="15" hidden="false" customHeight="false" outlineLevel="0" collapsed="false">
      <c r="A1550" s="8" t="s">
        <v>45</v>
      </c>
      <c r="B1550" s="8" t="s">
        <v>41</v>
      </c>
      <c r="C1550" s="8" t="s">
        <v>60</v>
      </c>
      <c r="D1550" s="21" t="n">
        <v>45807.7402777778</v>
      </c>
      <c r="E1550" s="21" t="n">
        <v>45807.8090277778</v>
      </c>
      <c r="F1550" s="22" t="n">
        <f aca="false">DATE(YEAR(E1550),MONTH(E1550),1)</f>
        <v>45778</v>
      </c>
      <c r="G1550" s="23" t="n">
        <v>116262</v>
      </c>
      <c r="H1550" s="8" t="s">
        <v>61</v>
      </c>
      <c r="I1550" s="24" t="n">
        <v>-517.99</v>
      </c>
      <c r="J1550" s="25" t="n">
        <f aca="false">Summary!$B$4</f>
        <v>1</v>
      </c>
      <c r="K1550" s="11" t="n">
        <f aca="false">I1550*J1550*IF(A1550="SILVER",Summary!$B$5,Summary!$B$6)</f>
        <v>-51799</v>
      </c>
      <c r="L1550" s="26" t="n">
        <v>-1.315</v>
      </c>
      <c r="M1550" s="27" t="n">
        <f aca="false">IF(K1550&gt;0,1,0)</f>
        <v>0</v>
      </c>
      <c r="N1550" s="11" t="n">
        <f aca="false">SUMIFS(K$2:K1550,A$2:A1550,A1550,B$2:B1550,B1550)</f>
        <v>1113157</v>
      </c>
      <c r="O1550" s="11" t="n">
        <f aca="false">MAX(0,_xlfn.MAXIFS(N$2:N1550,A$2:A1550,A1550,B$2:B1550,B1550))</f>
        <v>1289255</v>
      </c>
      <c r="P1550" s="11" t="n">
        <f aca="false">N1550-O1550</f>
        <v>-176098</v>
      </c>
    </row>
    <row r="1551" customFormat="false" ht="15" hidden="false" customHeight="false" outlineLevel="0" collapsed="false">
      <c r="A1551" s="8" t="s">
        <v>45</v>
      </c>
      <c r="B1551" s="8" t="s">
        <v>41</v>
      </c>
      <c r="C1551" s="8" t="s">
        <v>60</v>
      </c>
      <c r="D1551" s="21" t="n">
        <v>45810.3819444445</v>
      </c>
      <c r="E1551" s="21" t="n">
        <v>45811.53125</v>
      </c>
      <c r="F1551" s="22" t="n">
        <f aca="false">DATE(YEAR(E1551),MONTH(E1551),1)</f>
        <v>45809</v>
      </c>
      <c r="G1551" s="23" t="n">
        <v>116362</v>
      </c>
      <c r="H1551" s="8" t="s">
        <v>61</v>
      </c>
      <c r="I1551" s="24" t="n">
        <v>1190.83</v>
      </c>
      <c r="J1551" s="25" t="n">
        <f aca="false">Summary!$B$4</f>
        <v>1</v>
      </c>
      <c r="K1551" s="11" t="n">
        <f aca="false">I1551*J1551*IF(A1551="SILVER",Summary!$B$5,Summary!$B$6)</f>
        <v>119083</v>
      </c>
      <c r="L1551" s="26" t="n">
        <v>2.159</v>
      </c>
      <c r="M1551" s="27" t="n">
        <f aca="false">IF(K1551&gt;0,1,0)</f>
        <v>1</v>
      </c>
      <c r="N1551" s="11" t="n">
        <f aca="false">SUMIFS(K$2:K1551,A$2:A1551,A1551,B$2:B1551,B1551)</f>
        <v>1232240</v>
      </c>
      <c r="O1551" s="11" t="n">
        <f aca="false">MAX(0,_xlfn.MAXIFS(N$2:N1551,A$2:A1551,A1551,B$2:B1551,B1551))</f>
        <v>1289255</v>
      </c>
      <c r="P1551" s="11" t="n">
        <f aca="false">N1551-O1551</f>
        <v>-57015</v>
      </c>
    </row>
    <row r="1552" customFormat="false" ht="15" hidden="false" customHeight="false" outlineLevel="0" collapsed="false">
      <c r="A1552" s="8" t="s">
        <v>45</v>
      </c>
      <c r="B1552" s="8" t="s">
        <v>41</v>
      </c>
      <c r="C1552" s="8" t="s">
        <v>60</v>
      </c>
      <c r="D1552" s="21" t="n">
        <v>45812.38125</v>
      </c>
      <c r="E1552" s="21" t="n">
        <v>45813.4694444445</v>
      </c>
      <c r="F1552" s="22" t="n">
        <f aca="false">DATE(YEAR(E1552),MONTH(E1552),1)</f>
        <v>45809</v>
      </c>
      <c r="G1552" s="23" t="n">
        <v>118192</v>
      </c>
      <c r="H1552" s="8" t="s">
        <v>64</v>
      </c>
      <c r="I1552" s="24" t="n">
        <v>65.61</v>
      </c>
      <c r="J1552" s="25" t="n">
        <f aca="false">Summary!$B$4</f>
        <v>1</v>
      </c>
      <c r="K1552" s="11" t="n">
        <f aca="false">I1552*J1552*IF(A1552="SILVER",Summary!$B$5,Summary!$B$6)</f>
        <v>6561</v>
      </c>
      <c r="L1552" s="26" t="n">
        <v>0.064</v>
      </c>
      <c r="M1552" s="27" t="n">
        <f aca="false">IF(K1552&gt;0,1,0)</f>
        <v>1</v>
      </c>
      <c r="N1552" s="11" t="n">
        <f aca="false">SUMIFS(K$2:K1552,A$2:A1552,A1552,B$2:B1552,B1552)</f>
        <v>1238801</v>
      </c>
      <c r="O1552" s="11" t="n">
        <f aca="false">MAX(0,_xlfn.MAXIFS(N$2:N1552,A$2:A1552,A1552,B$2:B1552,B1552))</f>
        <v>1289255</v>
      </c>
      <c r="P1552" s="11" t="n">
        <f aca="false">N1552-O1552</f>
        <v>-50454</v>
      </c>
    </row>
    <row r="1553" customFormat="false" ht="15" hidden="false" customHeight="false" outlineLevel="0" collapsed="false">
      <c r="A1553" s="8" t="s">
        <v>45</v>
      </c>
      <c r="B1553" s="8" t="s">
        <v>41</v>
      </c>
      <c r="C1553" s="8" t="s">
        <v>60</v>
      </c>
      <c r="D1553" s="21" t="n">
        <v>45817.5381944445</v>
      </c>
      <c r="E1553" s="21" t="n">
        <v>45818.375</v>
      </c>
      <c r="F1553" s="22" t="n">
        <f aca="false">DATE(YEAR(E1553),MONTH(E1553),1)</f>
        <v>45809</v>
      </c>
      <c r="G1553" s="23" t="n">
        <v>116835</v>
      </c>
      <c r="H1553" s="8" t="s">
        <v>64</v>
      </c>
      <c r="I1553" s="24" t="n">
        <v>-361.35</v>
      </c>
      <c r="J1553" s="25" t="n">
        <f aca="false">Summary!$B$4</f>
        <v>1</v>
      </c>
      <c r="K1553" s="11" t="n">
        <f aca="false">I1553*J1553*IF(A1553="SILVER",Summary!$B$5,Summary!$B$6)</f>
        <v>-36135</v>
      </c>
      <c r="L1553" s="26" t="n">
        <v>-0.873</v>
      </c>
      <c r="M1553" s="27" t="n">
        <f aca="false">IF(K1553&gt;0,1,0)</f>
        <v>0</v>
      </c>
      <c r="N1553" s="11" t="n">
        <f aca="false">SUMIFS(K$2:K1553,A$2:A1553,A1553,B$2:B1553,B1553)</f>
        <v>1202666</v>
      </c>
      <c r="O1553" s="11" t="n">
        <f aca="false">MAX(0,_xlfn.MAXIFS(N$2:N1553,A$2:A1553,A1553,B$2:B1553,B1553))</f>
        <v>1289255</v>
      </c>
      <c r="P1553" s="11" t="n">
        <f aca="false">N1553-O1553</f>
        <v>-86589</v>
      </c>
    </row>
    <row r="1554" customFormat="false" ht="15" hidden="false" customHeight="false" outlineLevel="0" collapsed="false">
      <c r="A1554" s="8" t="s">
        <v>45</v>
      </c>
      <c r="B1554" s="8" t="s">
        <v>41</v>
      </c>
      <c r="C1554" s="8" t="s">
        <v>60</v>
      </c>
      <c r="D1554" s="21" t="n">
        <v>45818.4756944445</v>
      </c>
      <c r="E1554" s="21" t="n">
        <v>45818.84375</v>
      </c>
      <c r="F1554" s="22" t="n">
        <f aca="false">DATE(YEAR(E1554),MONTH(E1554),1)</f>
        <v>45809</v>
      </c>
      <c r="G1554" s="23" t="n">
        <v>116643</v>
      </c>
      <c r="H1554" s="8" t="s">
        <v>61</v>
      </c>
      <c r="I1554" s="24" t="n">
        <v>230.62</v>
      </c>
      <c r="J1554" s="25" t="n">
        <f aca="false">Summary!$B$4</f>
        <v>1</v>
      </c>
      <c r="K1554" s="11" t="n">
        <f aca="false">I1554*J1554*IF(A1554="SILVER",Summary!$B$5,Summary!$B$6)</f>
        <v>23062</v>
      </c>
      <c r="L1554" s="26" t="n">
        <v>0.535</v>
      </c>
      <c r="M1554" s="27" t="n">
        <f aca="false">IF(K1554&gt;0,1,0)</f>
        <v>1</v>
      </c>
      <c r="N1554" s="11" t="n">
        <f aca="false">SUMIFS(K$2:K1554,A$2:A1554,A1554,B$2:B1554,B1554)</f>
        <v>1225728</v>
      </c>
      <c r="O1554" s="11" t="n">
        <f aca="false">MAX(0,_xlfn.MAXIFS(N$2:N1554,A$2:A1554,A1554,B$2:B1554,B1554))</f>
        <v>1289255</v>
      </c>
      <c r="P1554" s="11" t="n">
        <f aca="false">N1554-O1554</f>
        <v>-63527</v>
      </c>
    </row>
    <row r="1555" customFormat="false" ht="15" hidden="false" customHeight="false" outlineLevel="0" collapsed="false">
      <c r="A1555" s="8" t="s">
        <v>45</v>
      </c>
      <c r="B1555" s="8" t="s">
        <v>41</v>
      </c>
      <c r="C1555" s="8" t="s">
        <v>60</v>
      </c>
      <c r="D1555" s="21" t="n">
        <v>45819.3784722222</v>
      </c>
      <c r="E1555" s="21" t="n">
        <v>45819.6423611111</v>
      </c>
      <c r="F1555" s="22" t="n">
        <f aca="false">DATE(YEAR(E1555),MONTH(E1555),1)</f>
        <v>45809</v>
      </c>
      <c r="G1555" s="23" t="n">
        <v>117160</v>
      </c>
      <c r="H1555" s="8" t="s">
        <v>61</v>
      </c>
      <c r="I1555" s="24" t="n">
        <v>-236.43</v>
      </c>
      <c r="J1555" s="25" t="n">
        <f aca="false">Summary!$B$4</f>
        <v>1</v>
      </c>
      <c r="K1555" s="11" t="n">
        <f aca="false">I1555*J1555*IF(A1555="SILVER",Summary!$B$5,Summary!$B$6)</f>
        <v>-23643</v>
      </c>
      <c r="L1555" s="26" t="n">
        <v>-0.536</v>
      </c>
      <c r="M1555" s="27" t="n">
        <f aca="false">IF(K1555&gt;0,1,0)</f>
        <v>0</v>
      </c>
      <c r="N1555" s="11" t="n">
        <f aca="false">SUMIFS(K$2:K1555,A$2:A1555,A1555,B$2:B1555,B1555)</f>
        <v>1202085</v>
      </c>
      <c r="O1555" s="11" t="n">
        <f aca="false">MAX(0,_xlfn.MAXIFS(N$2:N1555,A$2:A1555,A1555,B$2:B1555,B1555))</f>
        <v>1289255</v>
      </c>
      <c r="P1555" s="11" t="n">
        <f aca="false">N1555-O1555</f>
        <v>-87170</v>
      </c>
    </row>
    <row r="1556" customFormat="false" ht="15" hidden="false" customHeight="false" outlineLevel="0" collapsed="false">
      <c r="A1556" s="8" t="s">
        <v>45</v>
      </c>
      <c r="B1556" s="8" t="s">
        <v>41</v>
      </c>
      <c r="C1556" s="8" t="s">
        <v>60</v>
      </c>
      <c r="D1556" s="21" t="n">
        <v>45819.7534722222</v>
      </c>
      <c r="E1556" s="21" t="n">
        <v>45819.8020833333</v>
      </c>
      <c r="F1556" s="22" t="n">
        <f aca="false">DATE(YEAR(E1556),MONTH(E1556),1)</f>
        <v>45809</v>
      </c>
      <c r="G1556" s="23" t="n">
        <v>117413</v>
      </c>
      <c r="H1556" s="8" t="s">
        <v>61</v>
      </c>
      <c r="I1556" s="24" t="n">
        <v>-528.45</v>
      </c>
      <c r="J1556" s="25" t="n">
        <f aca="false">Summary!$B$4</f>
        <v>1</v>
      </c>
      <c r="K1556" s="11" t="n">
        <f aca="false">I1556*J1556*IF(A1556="SILVER",Summary!$B$5,Summary!$B$6)</f>
        <v>-52845</v>
      </c>
      <c r="L1556" s="26" t="n">
        <v>-0.857</v>
      </c>
      <c r="M1556" s="27" t="n">
        <f aca="false">IF(K1556&gt;0,1,0)</f>
        <v>0</v>
      </c>
      <c r="N1556" s="11" t="n">
        <f aca="false">SUMIFS(K$2:K1556,A$2:A1556,A1556,B$2:B1556,B1556)</f>
        <v>1149240</v>
      </c>
      <c r="O1556" s="11" t="n">
        <f aca="false">MAX(0,_xlfn.MAXIFS(N$2:N1556,A$2:A1556,A1556,B$2:B1556,B1556))</f>
        <v>1289255</v>
      </c>
      <c r="P1556" s="11" t="n">
        <f aca="false">N1556-O1556</f>
        <v>-140015</v>
      </c>
    </row>
    <row r="1557" customFormat="false" ht="15" hidden="false" customHeight="false" outlineLevel="0" collapsed="false">
      <c r="A1557" s="8" t="s">
        <v>45</v>
      </c>
      <c r="B1557" s="8" t="s">
        <v>41</v>
      </c>
      <c r="C1557" s="8" t="s">
        <v>60</v>
      </c>
      <c r="D1557" s="21" t="n">
        <v>45820.3784722222</v>
      </c>
      <c r="E1557" s="21" t="n">
        <v>45820.5486111111</v>
      </c>
      <c r="F1557" s="22" t="n">
        <f aca="false">DATE(YEAR(E1557),MONTH(E1557),1)</f>
        <v>45809</v>
      </c>
      <c r="G1557" s="23" t="n">
        <v>117911</v>
      </c>
      <c r="H1557" s="8" t="s">
        <v>61</v>
      </c>
      <c r="I1557" s="24" t="n">
        <v>-413.57</v>
      </c>
      <c r="J1557" s="25" t="n">
        <f aca="false">Summary!$B$4</f>
        <v>1</v>
      </c>
      <c r="K1557" s="11" t="n">
        <f aca="false">I1557*J1557*IF(A1557="SILVER",Summary!$B$5,Summary!$B$6)</f>
        <v>-41357</v>
      </c>
      <c r="L1557" s="26" t="n">
        <v>-0.426</v>
      </c>
      <c r="M1557" s="27" t="n">
        <f aca="false">IF(K1557&gt;0,1,0)</f>
        <v>0</v>
      </c>
      <c r="N1557" s="11" t="n">
        <f aca="false">SUMIFS(K$2:K1557,A$2:A1557,A1557,B$2:B1557,B1557)</f>
        <v>1107883</v>
      </c>
      <c r="O1557" s="11" t="n">
        <f aca="false">MAX(0,_xlfn.MAXIFS(N$2:N1557,A$2:A1557,A1557,B$2:B1557,B1557))</f>
        <v>1289255</v>
      </c>
      <c r="P1557" s="11" t="n">
        <f aca="false">N1557-O1557</f>
        <v>-181372</v>
      </c>
    </row>
    <row r="1558" customFormat="false" ht="15" hidden="false" customHeight="false" outlineLevel="0" collapsed="false">
      <c r="A1558" s="8" t="s">
        <v>45</v>
      </c>
      <c r="B1558" s="8" t="s">
        <v>41</v>
      </c>
      <c r="C1558" s="8" t="s">
        <v>60</v>
      </c>
      <c r="D1558" s="21" t="n">
        <v>45820.6597222222</v>
      </c>
      <c r="E1558" s="21" t="n">
        <v>45820.7131944444</v>
      </c>
      <c r="F1558" s="22" t="n">
        <f aca="false">DATE(YEAR(E1558),MONTH(E1558),1)</f>
        <v>45809</v>
      </c>
      <c r="G1558" s="23" t="n">
        <v>117978</v>
      </c>
      <c r="H1558" s="8" t="s">
        <v>64</v>
      </c>
      <c r="I1558" s="24" t="n">
        <v>30.67</v>
      </c>
      <c r="J1558" s="25" t="n">
        <f aca="false">Summary!$B$4</f>
        <v>1</v>
      </c>
      <c r="K1558" s="11" t="n">
        <f aca="false">I1558*J1558*IF(A1558="SILVER",Summary!$B$5,Summary!$B$6)</f>
        <v>3067</v>
      </c>
      <c r="L1558" s="26" t="n">
        <v>0.051</v>
      </c>
      <c r="M1558" s="27" t="n">
        <f aca="false">IF(K1558&gt;0,1,0)</f>
        <v>1</v>
      </c>
      <c r="N1558" s="11" t="n">
        <f aca="false">SUMIFS(K$2:K1558,A$2:A1558,A1558,B$2:B1558,B1558)</f>
        <v>1110950</v>
      </c>
      <c r="O1558" s="11" t="n">
        <f aca="false">MAX(0,_xlfn.MAXIFS(N$2:N1558,A$2:A1558,A1558,B$2:B1558,B1558))</f>
        <v>1289255</v>
      </c>
      <c r="P1558" s="11" t="n">
        <f aca="false">N1558-O1558</f>
        <v>-178305</v>
      </c>
    </row>
    <row r="1559" customFormat="false" ht="15" hidden="false" customHeight="false" outlineLevel="0" collapsed="false">
      <c r="A1559" s="8" t="s">
        <v>45</v>
      </c>
      <c r="B1559" s="8" t="s">
        <v>41</v>
      </c>
      <c r="C1559" s="8" t="s">
        <v>60</v>
      </c>
      <c r="D1559" s="21" t="n">
        <v>45825.4340277778</v>
      </c>
      <c r="E1559" s="21" t="n">
        <v>45825.7291666667</v>
      </c>
      <c r="F1559" s="22" t="n">
        <f aca="false">DATE(YEAR(E1559),MONTH(E1559),1)</f>
        <v>45809</v>
      </c>
      <c r="G1559" s="23" t="n">
        <v>119172</v>
      </c>
      <c r="H1559" s="8" t="s">
        <v>64</v>
      </c>
      <c r="I1559" s="24" t="n">
        <v>1.15</v>
      </c>
      <c r="J1559" s="25" t="n">
        <f aca="false">Summary!$B$4</f>
        <v>1</v>
      </c>
      <c r="K1559" s="11" t="n">
        <f aca="false">I1559*J1559*IF(A1559="SILVER",Summary!$B$5,Summary!$B$6)</f>
        <v>115</v>
      </c>
      <c r="L1559" s="26" t="n">
        <v>0.003</v>
      </c>
      <c r="M1559" s="27" t="n">
        <f aca="false">IF(K1559&gt;0,1,0)</f>
        <v>1</v>
      </c>
      <c r="N1559" s="11" t="n">
        <f aca="false">SUMIFS(K$2:K1559,A$2:A1559,A1559,B$2:B1559,B1559)</f>
        <v>1111065</v>
      </c>
      <c r="O1559" s="11" t="n">
        <f aca="false">MAX(0,_xlfn.MAXIFS(N$2:N1559,A$2:A1559,A1559,B$2:B1559,B1559))</f>
        <v>1289255</v>
      </c>
      <c r="P1559" s="11" t="n">
        <f aca="false">N1559-O1559</f>
        <v>-178190</v>
      </c>
    </row>
    <row r="1560" customFormat="false" ht="15" hidden="false" customHeight="false" outlineLevel="0" collapsed="false">
      <c r="A1560" s="8" t="s">
        <v>45</v>
      </c>
      <c r="B1560" s="8" t="s">
        <v>41</v>
      </c>
      <c r="C1560" s="8" t="s">
        <v>60</v>
      </c>
      <c r="D1560" s="21" t="n">
        <v>45826.4270833333</v>
      </c>
      <c r="E1560" s="21" t="n">
        <v>45826.5381944445</v>
      </c>
      <c r="F1560" s="22" t="n">
        <f aca="false">DATE(YEAR(E1560),MONTH(E1560),1)</f>
        <v>45809</v>
      </c>
      <c r="G1560" s="23" t="n">
        <v>119596</v>
      </c>
      <c r="H1560" s="8" t="s">
        <v>61</v>
      </c>
      <c r="I1560" s="24" t="n">
        <v>-489.89</v>
      </c>
      <c r="J1560" s="25" t="n">
        <f aca="false">Summary!$B$4</f>
        <v>1</v>
      </c>
      <c r="K1560" s="11" t="n">
        <f aca="false">I1560*J1560*IF(A1560="SILVER",Summary!$B$5,Summary!$B$6)</f>
        <v>-48989</v>
      </c>
      <c r="L1560" s="26" t="n">
        <v>-1.034</v>
      </c>
      <c r="M1560" s="27" t="n">
        <f aca="false">IF(K1560&gt;0,1,0)</f>
        <v>0</v>
      </c>
      <c r="N1560" s="11" t="n">
        <f aca="false">SUMIFS(K$2:K1560,A$2:A1560,A1560,B$2:B1560,B1560)</f>
        <v>1062076</v>
      </c>
      <c r="O1560" s="11" t="n">
        <f aca="false">MAX(0,_xlfn.MAXIFS(N$2:N1560,A$2:A1560,A1560,B$2:B1560,B1560))</f>
        <v>1289255</v>
      </c>
      <c r="P1560" s="11" t="n">
        <f aca="false">N1560-O1560</f>
        <v>-227179</v>
      </c>
    </row>
    <row r="1561" customFormat="false" ht="15" hidden="false" customHeight="false" outlineLevel="0" collapsed="false">
      <c r="A1561" s="8" t="s">
        <v>45</v>
      </c>
      <c r="B1561" s="8" t="s">
        <v>41</v>
      </c>
      <c r="C1561" s="8" t="s">
        <v>60</v>
      </c>
      <c r="D1561" s="21" t="n">
        <v>45826.7881944445</v>
      </c>
      <c r="E1561" s="21" t="n">
        <v>45827.3784722222</v>
      </c>
      <c r="F1561" s="22" t="n">
        <f aca="false">DATE(YEAR(E1561),MONTH(E1561),1)</f>
        <v>45809</v>
      </c>
      <c r="G1561" s="23" t="n">
        <v>119554</v>
      </c>
      <c r="H1561" s="8" t="s">
        <v>61</v>
      </c>
      <c r="I1561" s="24" t="n">
        <v>-391.89</v>
      </c>
      <c r="J1561" s="25" t="n">
        <f aca="false">Summary!$B$4</f>
        <v>1</v>
      </c>
      <c r="K1561" s="11" t="n">
        <f aca="false">I1561*J1561*IF(A1561="SILVER",Summary!$B$5,Summary!$B$6)</f>
        <v>-39189</v>
      </c>
      <c r="L1561" s="26" t="n">
        <v>-1.053</v>
      </c>
      <c r="M1561" s="27" t="n">
        <f aca="false">IF(K1561&gt;0,1,0)</f>
        <v>0</v>
      </c>
      <c r="N1561" s="11" t="n">
        <f aca="false">SUMIFS(K$2:K1561,A$2:A1561,A1561,B$2:B1561,B1561)</f>
        <v>1022887</v>
      </c>
      <c r="O1561" s="11" t="n">
        <f aca="false">MAX(0,_xlfn.MAXIFS(N$2:N1561,A$2:A1561,A1561,B$2:B1561,B1561))</f>
        <v>1289255</v>
      </c>
      <c r="P1561" s="11" t="n">
        <f aca="false">N1561-O1561</f>
        <v>-266368</v>
      </c>
    </row>
    <row r="1562" customFormat="false" ht="15" hidden="false" customHeight="false" outlineLevel="0" collapsed="false">
      <c r="A1562" s="8" t="s">
        <v>45</v>
      </c>
      <c r="B1562" s="8" t="s">
        <v>41</v>
      </c>
      <c r="C1562" s="8" t="s">
        <v>60</v>
      </c>
      <c r="D1562" s="21" t="n">
        <v>45827.5555555556</v>
      </c>
      <c r="E1562" s="21" t="n">
        <v>45827.7347222222</v>
      </c>
      <c r="F1562" s="22" t="n">
        <f aca="false">DATE(YEAR(E1562),MONTH(E1562),1)</f>
        <v>45809</v>
      </c>
      <c r="G1562" s="23" t="n">
        <v>119173</v>
      </c>
      <c r="H1562" s="8" t="s">
        <v>64</v>
      </c>
      <c r="I1562" s="24" t="n">
        <v>26.54</v>
      </c>
      <c r="J1562" s="25" t="n">
        <f aca="false">Summary!$B$4</f>
        <v>1</v>
      </c>
      <c r="K1562" s="11" t="n">
        <f aca="false">I1562*J1562*IF(A1562="SILVER",Summary!$B$5,Summary!$B$6)</f>
        <v>2654</v>
      </c>
      <c r="L1562" s="26" t="n">
        <v>0.047</v>
      </c>
      <c r="M1562" s="27" t="n">
        <f aca="false">IF(K1562&gt;0,1,0)</f>
        <v>1</v>
      </c>
      <c r="N1562" s="11" t="n">
        <f aca="false">SUMIFS(K$2:K1562,A$2:A1562,A1562,B$2:B1562,B1562)</f>
        <v>1025541</v>
      </c>
      <c r="O1562" s="11" t="n">
        <f aca="false">MAX(0,_xlfn.MAXIFS(N$2:N1562,A$2:A1562,A1562,B$2:B1562,B1562))</f>
        <v>1289255</v>
      </c>
      <c r="P1562" s="11" t="n">
        <f aca="false">N1562-O1562</f>
        <v>-263714</v>
      </c>
    </row>
    <row r="1563" customFormat="false" ht="15" hidden="false" customHeight="false" outlineLevel="0" collapsed="false">
      <c r="A1563" s="8" t="s">
        <v>45</v>
      </c>
      <c r="B1563" s="8" t="s">
        <v>41</v>
      </c>
      <c r="C1563" s="8" t="s">
        <v>60</v>
      </c>
      <c r="D1563" s="21" t="n">
        <v>45828.7986111111</v>
      </c>
      <c r="E1563" s="21" t="n">
        <v>45831.4604166667</v>
      </c>
      <c r="F1563" s="22" t="n">
        <f aca="false">DATE(YEAR(E1563),MONTH(E1563),1)</f>
        <v>45809</v>
      </c>
      <c r="G1563" s="23" t="n">
        <v>118853</v>
      </c>
      <c r="H1563" s="8" t="s">
        <v>64</v>
      </c>
      <c r="I1563" s="24" t="n">
        <v>19.86</v>
      </c>
      <c r="J1563" s="25" t="n">
        <f aca="false">Summary!$B$4</f>
        <v>1</v>
      </c>
      <c r="K1563" s="11" t="n">
        <f aca="false">I1563*J1563*IF(A1563="SILVER",Summary!$B$5,Summary!$B$6)</f>
        <v>1986</v>
      </c>
      <c r="L1563" s="26" t="n">
        <v>0.04</v>
      </c>
      <c r="M1563" s="27" t="n">
        <f aca="false">IF(K1563&gt;0,1,0)</f>
        <v>1</v>
      </c>
      <c r="N1563" s="11" t="n">
        <f aca="false">SUMIFS(K$2:K1563,A$2:A1563,A1563,B$2:B1563,B1563)</f>
        <v>1027527</v>
      </c>
      <c r="O1563" s="11" t="n">
        <f aca="false">MAX(0,_xlfn.MAXIFS(N$2:N1563,A$2:A1563,A1563,B$2:B1563,B1563))</f>
        <v>1289255</v>
      </c>
      <c r="P1563" s="11" t="n">
        <f aca="false">N1563-O1563</f>
        <v>-261728</v>
      </c>
    </row>
    <row r="1564" customFormat="false" ht="15" hidden="false" customHeight="false" outlineLevel="0" collapsed="false">
      <c r="A1564" s="8" t="s">
        <v>45</v>
      </c>
      <c r="B1564" s="8" t="s">
        <v>41</v>
      </c>
      <c r="C1564" s="8" t="s">
        <v>60</v>
      </c>
      <c r="D1564" s="21" t="n">
        <v>45831.6145833333</v>
      </c>
      <c r="E1564" s="21" t="n">
        <v>45831.7402777778</v>
      </c>
      <c r="F1564" s="22" t="n">
        <f aca="false">DATE(YEAR(E1564),MONTH(E1564),1)</f>
        <v>45809</v>
      </c>
      <c r="G1564" s="23" t="n">
        <v>119202</v>
      </c>
      <c r="H1564" s="8" t="s">
        <v>64</v>
      </c>
      <c r="I1564" s="24" t="n">
        <v>15.15</v>
      </c>
      <c r="J1564" s="25" t="n">
        <f aca="false">Summary!$B$4</f>
        <v>1</v>
      </c>
      <c r="K1564" s="11" t="n">
        <f aca="false">I1564*J1564*IF(A1564="SILVER",Summary!$B$5,Summary!$B$6)</f>
        <v>1515</v>
      </c>
      <c r="L1564" s="26" t="n">
        <v>0.034</v>
      </c>
      <c r="M1564" s="27" t="n">
        <f aca="false">IF(K1564&gt;0,1,0)</f>
        <v>1</v>
      </c>
      <c r="N1564" s="11" t="n">
        <f aca="false">SUMIFS(K$2:K1564,A$2:A1564,A1564,B$2:B1564,B1564)</f>
        <v>1029042</v>
      </c>
      <c r="O1564" s="11" t="n">
        <f aca="false">MAX(0,_xlfn.MAXIFS(N$2:N1564,A$2:A1564,A1564,B$2:B1564,B1564))</f>
        <v>1289255</v>
      </c>
      <c r="P1564" s="11" t="n">
        <f aca="false">N1564-O1564</f>
        <v>-260213</v>
      </c>
    </row>
    <row r="1565" customFormat="false" ht="15" hidden="false" customHeight="false" outlineLevel="0" collapsed="false">
      <c r="A1565" s="8" t="s">
        <v>45</v>
      </c>
      <c r="B1565" s="8" t="s">
        <v>41</v>
      </c>
      <c r="C1565" s="8" t="s">
        <v>60</v>
      </c>
      <c r="D1565" s="21" t="n">
        <v>45831.8020833333</v>
      </c>
      <c r="E1565" s="21" t="n">
        <v>45831.925</v>
      </c>
      <c r="F1565" s="22" t="n">
        <f aca="false">DATE(YEAR(E1565),MONTH(E1565),1)</f>
        <v>45809</v>
      </c>
      <c r="G1565" s="23" t="n">
        <v>119473</v>
      </c>
      <c r="H1565" s="8" t="s">
        <v>64</v>
      </c>
      <c r="I1565" s="24" t="n">
        <v>18.42</v>
      </c>
      <c r="J1565" s="25" t="n">
        <f aca="false">Summary!$B$4</f>
        <v>1</v>
      </c>
      <c r="K1565" s="11" t="n">
        <f aca="false">I1565*J1565*IF(A1565="SILVER",Summary!$B$5,Summary!$B$6)</f>
        <v>1842</v>
      </c>
      <c r="L1565" s="26" t="n">
        <v>0.038</v>
      </c>
      <c r="M1565" s="27" t="n">
        <f aca="false">IF(K1565&gt;0,1,0)</f>
        <v>1</v>
      </c>
      <c r="N1565" s="11" t="n">
        <f aca="false">SUMIFS(K$2:K1565,A$2:A1565,A1565,B$2:B1565,B1565)</f>
        <v>1030884</v>
      </c>
      <c r="O1565" s="11" t="n">
        <f aca="false">MAX(0,_xlfn.MAXIFS(N$2:N1565,A$2:A1565,A1565,B$2:B1565,B1565))</f>
        <v>1289255</v>
      </c>
      <c r="P1565" s="11" t="n">
        <f aca="false">N1565-O1565</f>
        <v>-258371</v>
      </c>
    </row>
    <row r="1566" customFormat="false" ht="15" hidden="false" customHeight="false" outlineLevel="0" collapsed="false">
      <c r="A1566" s="8" t="s">
        <v>45</v>
      </c>
      <c r="B1566" s="8" t="s">
        <v>41</v>
      </c>
      <c r="C1566" s="8" t="s">
        <v>60</v>
      </c>
      <c r="D1566" s="21" t="n">
        <v>45833.3784722222</v>
      </c>
      <c r="E1566" s="21" t="n">
        <v>45833.78125</v>
      </c>
      <c r="F1566" s="22" t="n">
        <f aca="false">DATE(YEAR(E1566),MONTH(E1566),1)</f>
        <v>45809</v>
      </c>
      <c r="G1566" s="23" t="n">
        <v>117248</v>
      </c>
      <c r="H1566" s="8" t="s">
        <v>61</v>
      </c>
      <c r="I1566" s="24" t="n">
        <v>-250.45</v>
      </c>
      <c r="J1566" s="25" t="n">
        <f aca="false">Summary!$B$4</f>
        <v>1</v>
      </c>
      <c r="K1566" s="11" t="n">
        <f aca="false">I1566*J1566*IF(A1566="SILVER",Summary!$B$5,Summary!$B$6)</f>
        <v>-25045</v>
      </c>
      <c r="L1566" s="26" t="n">
        <v>-0.566</v>
      </c>
      <c r="M1566" s="27" t="n">
        <f aca="false">IF(K1566&gt;0,1,0)</f>
        <v>0</v>
      </c>
      <c r="N1566" s="11" t="n">
        <f aca="false">SUMIFS(K$2:K1566,A$2:A1566,A1566,B$2:B1566,B1566)</f>
        <v>1005839</v>
      </c>
      <c r="O1566" s="11" t="n">
        <f aca="false">MAX(0,_xlfn.MAXIFS(N$2:N1566,A$2:A1566,A1566,B$2:B1566,B1566))</f>
        <v>1289255</v>
      </c>
      <c r="P1566" s="11" t="n">
        <f aca="false">N1566-O1566</f>
        <v>-283416</v>
      </c>
    </row>
    <row r="1567" customFormat="false" ht="15" hidden="false" customHeight="false" outlineLevel="0" collapsed="false">
      <c r="A1567" s="8" t="s">
        <v>45</v>
      </c>
      <c r="B1567" s="8" t="s">
        <v>41</v>
      </c>
      <c r="C1567" s="8" t="s">
        <v>60</v>
      </c>
      <c r="D1567" s="21" t="n">
        <v>45833.9236111111</v>
      </c>
      <c r="E1567" s="21" t="n">
        <v>45834.3868055556</v>
      </c>
      <c r="F1567" s="22" t="n">
        <f aca="false">DATE(YEAR(E1567),MONTH(E1567),1)</f>
        <v>45809</v>
      </c>
      <c r="G1567" s="23" t="n">
        <v>117324</v>
      </c>
      <c r="H1567" s="8" t="s">
        <v>64</v>
      </c>
      <c r="I1567" s="24" t="n">
        <v>-0.67</v>
      </c>
      <c r="J1567" s="25" t="n">
        <f aca="false">Summary!$B$4</f>
        <v>1</v>
      </c>
      <c r="K1567" s="11" t="n">
        <f aca="false">I1567*J1567*IF(A1567="SILVER",Summary!$B$5,Summary!$B$6)</f>
        <v>-67</v>
      </c>
      <c r="L1567" s="26" t="n">
        <v>-0.002</v>
      </c>
      <c r="M1567" s="27" t="n">
        <f aca="false">IF(K1567&gt;0,1,0)</f>
        <v>0</v>
      </c>
      <c r="N1567" s="11" t="n">
        <f aca="false">SUMIFS(K$2:K1567,A$2:A1567,A1567,B$2:B1567,B1567)</f>
        <v>1005772</v>
      </c>
      <c r="O1567" s="11" t="n">
        <f aca="false">MAX(0,_xlfn.MAXIFS(N$2:N1567,A$2:A1567,A1567,B$2:B1567,B1567))</f>
        <v>1289255</v>
      </c>
      <c r="P1567" s="11" t="n">
        <f aca="false">N1567-O1567</f>
        <v>-283483</v>
      </c>
    </row>
    <row r="1568" customFormat="false" ht="15" hidden="false" customHeight="false" outlineLevel="0" collapsed="false">
      <c r="A1568" s="8" t="s">
        <v>45</v>
      </c>
      <c r="B1568" s="8" t="s">
        <v>41</v>
      </c>
      <c r="C1568" s="8" t="s">
        <v>60</v>
      </c>
      <c r="D1568" s="21" t="n">
        <v>45834.5416666667</v>
      </c>
      <c r="E1568" s="21" t="n">
        <v>45834.7152777778</v>
      </c>
      <c r="F1568" s="22" t="n">
        <f aca="false">DATE(YEAR(E1568),MONTH(E1568),1)</f>
        <v>45809</v>
      </c>
      <c r="G1568" s="23" t="n">
        <v>117408</v>
      </c>
      <c r="H1568" s="8" t="s">
        <v>61</v>
      </c>
      <c r="I1568" s="24" t="n">
        <v>-298.48</v>
      </c>
      <c r="J1568" s="25" t="n">
        <f aca="false">Summary!$B$4</f>
        <v>1</v>
      </c>
      <c r="K1568" s="11" t="n">
        <f aca="false">I1568*J1568*IF(A1568="SILVER",Summary!$B$5,Summary!$B$6)</f>
        <v>-29848</v>
      </c>
      <c r="L1568" s="26" t="n">
        <v>-0.874</v>
      </c>
      <c r="M1568" s="27" t="n">
        <f aca="false">IF(K1568&gt;0,1,0)</f>
        <v>0</v>
      </c>
      <c r="N1568" s="11" t="n">
        <f aca="false">SUMIFS(K$2:K1568,A$2:A1568,A1568,B$2:B1568,B1568)</f>
        <v>975924</v>
      </c>
      <c r="O1568" s="11" t="n">
        <f aca="false">MAX(0,_xlfn.MAXIFS(N$2:N1568,A$2:A1568,A1568,B$2:B1568,B1568))</f>
        <v>1289255</v>
      </c>
      <c r="P1568" s="11" t="n">
        <f aca="false">N1568-O1568</f>
        <v>-313331</v>
      </c>
    </row>
    <row r="1569" customFormat="false" ht="15" hidden="false" customHeight="false" outlineLevel="0" collapsed="false">
      <c r="A1569" s="8" t="s">
        <v>45</v>
      </c>
      <c r="B1569" s="8" t="s">
        <v>41</v>
      </c>
      <c r="C1569" s="8" t="s">
        <v>60</v>
      </c>
      <c r="D1569" s="21" t="n">
        <v>45835.9722222222</v>
      </c>
      <c r="E1569" s="21" t="n">
        <v>45838.7048611111</v>
      </c>
      <c r="F1569" s="22" t="n">
        <f aca="false">DATE(YEAR(E1569),MONTH(E1569),1)</f>
        <v>45809</v>
      </c>
      <c r="G1569" s="23" t="n">
        <v>115434</v>
      </c>
      <c r="H1569" s="8" t="s">
        <v>61</v>
      </c>
      <c r="I1569" s="24" t="n">
        <v>169.87</v>
      </c>
      <c r="J1569" s="25" t="n">
        <f aca="false">Summary!$B$4</f>
        <v>1</v>
      </c>
      <c r="K1569" s="11" t="n">
        <f aca="false">I1569*J1569*IF(A1569="SILVER",Summary!$B$5,Summary!$B$6)</f>
        <v>16987</v>
      </c>
      <c r="L1569" s="26" t="n">
        <v>0.411</v>
      </c>
      <c r="M1569" s="27" t="n">
        <f aca="false">IF(K1569&gt;0,1,0)</f>
        <v>1</v>
      </c>
      <c r="N1569" s="11" t="n">
        <f aca="false">SUMIFS(K$2:K1569,A$2:A1569,A1569,B$2:B1569,B1569)</f>
        <v>992911</v>
      </c>
      <c r="O1569" s="11" t="n">
        <f aca="false">MAX(0,_xlfn.MAXIFS(N$2:N1569,A$2:A1569,A1569,B$2:B1569,B1569))</f>
        <v>1289255</v>
      </c>
      <c r="P1569" s="11" t="n">
        <f aca="false">N1569-O1569</f>
        <v>-296344</v>
      </c>
    </row>
    <row r="1570" customFormat="false" ht="15" hidden="false" customHeight="false" outlineLevel="0" collapsed="false">
      <c r="A1570" s="8" t="s">
        <v>45</v>
      </c>
      <c r="B1570" s="8" t="s">
        <v>41</v>
      </c>
      <c r="C1570" s="8" t="s">
        <v>60</v>
      </c>
      <c r="D1570" s="21" t="n">
        <v>45838.9201388889</v>
      </c>
      <c r="E1570" s="21" t="n">
        <v>45839.8819444445</v>
      </c>
      <c r="F1570" s="22" t="n">
        <f aca="false">DATE(YEAR(E1570),MONTH(E1570),1)</f>
        <v>45839</v>
      </c>
      <c r="G1570" s="23" t="n">
        <v>115987</v>
      </c>
      <c r="H1570" s="8" t="s">
        <v>61</v>
      </c>
      <c r="I1570" s="24" t="n">
        <v>1127.67</v>
      </c>
      <c r="J1570" s="25" t="n">
        <f aca="false">Summary!$B$4</f>
        <v>1</v>
      </c>
      <c r="K1570" s="11" t="n">
        <f aca="false">I1570*J1570*IF(A1570="SILVER",Summary!$B$5,Summary!$B$6)</f>
        <v>112767</v>
      </c>
      <c r="L1570" s="26" t="n">
        <v>3.492</v>
      </c>
      <c r="M1570" s="27" t="n">
        <f aca="false">IF(K1570&gt;0,1,0)</f>
        <v>1</v>
      </c>
      <c r="N1570" s="11" t="n">
        <f aca="false">SUMIFS(K$2:K1570,A$2:A1570,A1570,B$2:B1570,B1570)</f>
        <v>1105678</v>
      </c>
      <c r="O1570" s="11" t="n">
        <f aca="false">MAX(0,_xlfn.MAXIFS(N$2:N1570,A$2:A1570,A1570,B$2:B1570,B1570))</f>
        <v>1289255</v>
      </c>
      <c r="P1570" s="11" t="n">
        <f aca="false">N1570-O1570</f>
        <v>-183577</v>
      </c>
    </row>
    <row r="1571" customFormat="false" ht="15" hidden="false" customHeight="false" outlineLevel="0" collapsed="false">
      <c r="A1571" s="8" t="s">
        <v>45</v>
      </c>
      <c r="B1571" s="8" t="s">
        <v>41</v>
      </c>
      <c r="C1571" s="8" t="s">
        <v>60</v>
      </c>
      <c r="D1571" s="21" t="n">
        <v>45840.6319444445</v>
      </c>
      <c r="E1571" s="21" t="n">
        <v>45840.7736111111</v>
      </c>
      <c r="F1571" s="22" t="n">
        <f aca="false">DATE(YEAR(E1571),MONTH(E1571),1)</f>
        <v>45839</v>
      </c>
      <c r="G1571" s="23" t="n">
        <v>117218</v>
      </c>
      <c r="H1571" s="8" t="s">
        <v>64</v>
      </c>
      <c r="I1571" s="24" t="n">
        <v>0.42</v>
      </c>
      <c r="J1571" s="25" t="n">
        <f aca="false">Summary!$B$4</f>
        <v>1</v>
      </c>
      <c r="K1571" s="11" t="n">
        <f aca="false">I1571*J1571*IF(A1571="SILVER",Summary!$B$5,Summary!$B$6)</f>
        <v>42</v>
      </c>
      <c r="L1571" s="26" t="n">
        <v>0.001</v>
      </c>
      <c r="M1571" s="27" t="n">
        <f aca="false">IF(K1571&gt;0,1,0)</f>
        <v>1</v>
      </c>
      <c r="N1571" s="11" t="n">
        <f aca="false">SUMIFS(K$2:K1571,A$2:A1571,A1571,B$2:B1571,B1571)</f>
        <v>1105720</v>
      </c>
      <c r="O1571" s="11" t="n">
        <f aca="false">MAX(0,_xlfn.MAXIFS(N$2:N1571,A$2:A1571,A1571,B$2:B1571,B1571))</f>
        <v>1289255</v>
      </c>
      <c r="P1571" s="11" t="n">
        <f aca="false">N1571-O1571</f>
        <v>-183535</v>
      </c>
    </row>
    <row r="1572" customFormat="false" ht="15" hidden="false" customHeight="false" outlineLevel="0" collapsed="false">
      <c r="A1572" s="8" t="s">
        <v>45</v>
      </c>
      <c r="B1572" s="8" t="s">
        <v>41</v>
      </c>
      <c r="C1572" s="8" t="s">
        <v>60</v>
      </c>
      <c r="D1572" s="21" t="n">
        <v>45841.3854166667</v>
      </c>
      <c r="E1572" s="21" t="n">
        <v>45841.5361111111</v>
      </c>
      <c r="F1572" s="22" t="n">
        <f aca="false">DATE(YEAR(E1572),MONTH(E1572),1)</f>
        <v>45839</v>
      </c>
      <c r="G1572" s="23" t="n">
        <v>117373</v>
      </c>
      <c r="H1572" s="8" t="s">
        <v>64</v>
      </c>
      <c r="I1572" s="24" t="n">
        <v>-4.39</v>
      </c>
      <c r="J1572" s="25" t="n">
        <f aca="false">Summary!$B$4</f>
        <v>1</v>
      </c>
      <c r="K1572" s="11" t="n">
        <f aca="false">I1572*J1572*IF(A1572="SILVER",Summary!$B$5,Summary!$B$6)</f>
        <v>-439</v>
      </c>
      <c r="L1572" s="26" t="n">
        <v>-0.017</v>
      </c>
      <c r="M1572" s="27" t="n">
        <f aca="false">IF(K1572&gt;0,1,0)</f>
        <v>0</v>
      </c>
      <c r="N1572" s="11" t="n">
        <f aca="false">SUMIFS(K$2:K1572,A$2:A1572,A1572,B$2:B1572,B1572)</f>
        <v>1105281</v>
      </c>
      <c r="O1572" s="11" t="n">
        <f aca="false">MAX(0,_xlfn.MAXIFS(N$2:N1572,A$2:A1572,A1572,B$2:B1572,B1572))</f>
        <v>1289255</v>
      </c>
      <c r="P1572" s="11" t="n">
        <f aca="false">N1572-O1572</f>
        <v>-183974</v>
      </c>
    </row>
    <row r="1573" customFormat="false" ht="15" hidden="false" customHeight="false" outlineLevel="0" collapsed="false">
      <c r="A1573" s="8" t="s">
        <v>45</v>
      </c>
      <c r="B1573" s="8" t="s">
        <v>41</v>
      </c>
      <c r="C1573" s="8" t="s">
        <v>60</v>
      </c>
      <c r="D1573" s="21" t="n">
        <v>45842.4097222222</v>
      </c>
      <c r="E1573" s="21" t="n">
        <v>45842.6319444445</v>
      </c>
      <c r="F1573" s="22" t="n">
        <f aca="false">DATE(YEAR(E1573),MONTH(E1573),1)</f>
        <v>45839</v>
      </c>
      <c r="G1573" s="23" t="n">
        <v>116968</v>
      </c>
      <c r="H1573" s="8" t="s">
        <v>61</v>
      </c>
      <c r="I1573" s="24" t="n">
        <v>-219.39</v>
      </c>
      <c r="J1573" s="25" t="n">
        <f aca="false">Summary!$B$4</f>
        <v>1</v>
      </c>
      <c r="K1573" s="11" t="n">
        <f aca="false">I1573*J1573*IF(A1573="SILVER",Summary!$B$5,Summary!$B$6)</f>
        <v>-21939</v>
      </c>
      <c r="L1573" s="26" t="n">
        <v>-0.649</v>
      </c>
      <c r="M1573" s="27" t="n">
        <f aca="false">IF(K1573&gt;0,1,0)</f>
        <v>0</v>
      </c>
      <c r="N1573" s="11" t="n">
        <f aca="false">SUMIFS(K$2:K1573,A$2:A1573,A1573,B$2:B1573,B1573)</f>
        <v>1083342</v>
      </c>
      <c r="O1573" s="11" t="n">
        <f aca="false">MAX(0,_xlfn.MAXIFS(N$2:N1573,A$2:A1573,A1573,B$2:B1573,B1573))</f>
        <v>1289255</v>
      </c>
      <c r="P1573" s="11" t="n">
        <f aca="false">N1573-O1573</f>
        <v>-205913</v>
      </c>
    </row>
    <row r="1574" customFormat="false" ht="15" hidden="false" customHeight="false" outlineLevel="0" collapsed="false">
      <c r="A1574" s="8" t="s">
        <v>45</v>
      </c>
      <c r="B1574" s="8" t="s">
        <v>41</v>
      </c>
      <c r="C1574" s="8" t="s">
        <v>60</v>
      </c>
      <c r="D1574" s="21" t="n">
        <v>45845.5347222222</v>
      </c>
      <c r="E1574" s="21" t="n">
        <v>45845.6770833333</v>
      </c>
      <c r="F1574" s="22" t="n">
        <f aca="false">DATE(YEAR(E1574),MONTH(E1574),1)</f>
        <v>45839</v>
      </c>
      <c r="G1574" s="23" t="n">
        <v>116612</v>
      </c>
      <c r="H1574" s="8" t="s">
        <v>61</v>
      </c>
      <c r="I1574" s="24" t="n">
        <v>-368.31</v>
      </c>
      <c r="J1574" s="25" t="n">
        <f aca="false">Summary!$B$4</f>
        <v>1</v>
      </c>
      <c r="K1574" s="11" t="n">
        <f aca="false">I1574*J1574*IF(A1574="SILVER",Summary!$B$5,Summary!$B$6)</f>
        <v>-36831</v>
      </c>
      <c r="L1574" s="26" t="n">
        <v>-1.059</v>
      </c>
      <c r="M1574" s="27" t="n">
        <f aca="false">IF(K1574&gt;0,1,0)</f>
        <v>0</v>
      </c>
      <c r="N1574" s="11" t="n">
        <f aca="false">SUMIFS(K$2:K1574,A$2:A1574,A1574,B$2:B1574,B1574)</f>
        <v>1046511</v>
      </c>
      <c r="O1574" s="11" t="n">
        <f aca="false">MAX(0,_xlfn.MAXIFS(N$2:N1574,A$2:A1574,A1574,B$2:B1574,B1574))</f>
        <v>1289255</v>
      </c>
      <c r="P1574" s="11" t="n">
        <f aca="false">N1574-O1574</f>
        <v>-242744</v>
      </c>
    </row>
    <row r="1575" customFormat="false" ht="15" hidden="false" customHeight="false" outlineLevel="0" collapsed="false">
      <c r="A1575" s="8" t="s">
        <v>45</v>
      </c>
      <c r="B1575" s="8" t="s">
        <v>41</v>
      </c>
      <c r="C1575" s="8" t="s">
        <v>60</v>
      </c>
      <c r="D1575" s="21" t="n">
        <v>45845.8263888889</v>
      </c>
      <c r="E1575" s="21" t="n">
        <v>45846.5763888889</v>
      </c>
      <c r="F1575" s="22" t="n">
        <f aca="false">DATE(YEAR(E1575),MONTH(E1575),1)</f>
        <v>45839</v>
      </c>
      <c r="G1575" s="23" t="n">
        <v>116710</v>
      </c>
      <c r="H1575" s="8" t="s">
        <v>61</v>
      </c>
      <c r="I1575" s="24" t="n">
        <v>113.62</v>
      </c>
      <c r="J1575" s="25" t="n">
        <f aca="false">Summary!$B$4</f>
        <v>1</v>
      </c>
      <c r="K1575" s="11" t="n">
        <f aca="false">I1575*J1575*IF(A1575="SILVER",Summary!$B$5,Summary!$B$6)</f>
        <v>11362</v>
      </c>
      <c r="L1575" s="26" t="n">
        <v>0.305</v>
      </c>
      <c r="M1575" s="27" t="n">
        <f aca="false">IF(K1575&gt;0,1,0)</f>
        <v>1</v>
      </c>
      <c r="N1575" s="11" t="n">
        <f aca="false">SUMIFS(K$2:K1575,A$2:A1575,A1575,B$2:B1575,B1575)</f>
        <v>1057873</v>
      </c>
      <c r="O1575" s="11" t="n">
        <f aca="false">MAX(0,_xlfn.MAXIFS(N$2:N1575,A$2:A1575,A1575,B$2:B1575,B1575))</f>
        <v>1289255</v>
      </c>
      <c r="P1575" s="11" t="n">
        <f aca="false">N1575-O1575</f>
        <v>-231382</v>
      </c>
    </row>
    <row r="1576" customFormat="false" ht="15" hidden="false" customHeight="false" outlineLevel="0" collapsed="false">
      <c r="A1576" s="8" t="s">
        <v>45</v>
      </c>
      <c r="B1576" s="8" t="s">
        <v>41</v>
      </c>
      <c r="C1576" s="8" t="s">
        <v>60</v>
      </c>
      <c r="D1576" s="21" t="n">
        <v>45847.78125</v>
      </c>
      <c r="E1576" s="21" t="n">
        <v>45848.8125</v>
      </c>
      <c r="F1576" s="22" t="n">
        <f aca="false">DATE(YEAR(E1576),MONTH(E1576),1)</f>
        <v>45839</v>
      </c>
      <c r="G1576" s="23" t="n">
        <v>116050</v>
      </c>
      <c r="H1576" s="8" t="s">
        <v>61</v>
      </c>
      <c r="I1576" s="24" t="n">
        <v>433.72</v>
      </c>
      <c r="J1576" s="25" t="n">
        <f aca="false">Summary!$B$4</f>
        <v>1</v>
      </c>
      <c r="K1576" s="11" t="n">
        <f aca="false">I1576*J1576*IF(A1576="SILVER",Summary!$B$5,Summary!$B$6)</f>
        <v>43372</v>
      </c>
      <c r="L1576" s="26" t="n">
        <v>1.329</v>
      </c>
      <c r="M1576" s="27" t="n">
        <f aca="false">IF(K1576&gt;0,1,0)</f>
        <v>1</v>
      </c>
      <c r="N1576" s="11" t="n">
        <f aca="false">SUMIFS(K$2:K1576,A$2:A1576,A1576,B$2:B1576,B1576)</f>
        <v>1101245</v>
      </c>
      <c r="O1576" s="11" t="n">
        <f aca="false">MAX(0,_xlfn.MAXIFS(N$2:N1576,A$2:A1576,A1576,B$2:B1576,B1576))</f>
        <v>1289255</v>
      </c>
      <c r="P1576" s="11" t="n">
        <f aca="false">N1576-O1576</f>
        <v>-188010</v>
      </c>
    </row>
    <row r="1577" customFormat="false" ht="15" hidden="false" customHeight="false" outlineLevel="0" collapsed="false">
      <c r="A1577" s="8" t="s">
        <v>45</v>
      </c>
      <c r="B1577" s="8" t="s">
        <v>41</v>
      </c>
      <c r="C1577" s="8" t="s">
        <v>60</v>
      </c>
      <c r="D1577" s="21" t="n">
        <v>45849.3784722222</v>
      </c>
      <c r="E1577" s="21" t="n">
        <v>45849.4694444445</v>
      </c>
      <c r="F1577" s="22" t="n">
        <f aca="false">DATE(YEAR(E1577),MONTH(E1577),1)</f>
        <v>45839</v>
      </c>
      <c r="G1577" s="23" t="n">
        <v>117164</v>
      </c>
      <c r="H1577" s="8" t="s">
        <v>64</v>
      </c>
      <c r="I1577" s="24" t="n">
        <v>14.08</v>
      </c>
      <c r="J1577" s="25" t="n">
        <f aca="false">Summary!$B$4</f>
        <v>1</v>
      </c>
      <c r="K1577" s="11" t="n">
        <f aca="false">I1577*J1577*IF(A1577="SILVER",Summary!$B$5,Summary!$B$6)</f>
        <v>1408</v>
      </c>
      <c r="L1577" s="26" t="n">
        <v>0.032</v>
      </c>
      <c r="M1577" s="27" t="n">
        <f aca="false">IF(K1577&gt;0,1,0)</f>
        <v>1</v>
      </c>
      <c r="N1577" s="11" t="n">
        <f aca="false">SUMIFS(K$2:K1577,A$2:A1577,A1577,B$2:B1577,B1577)</f>
        <v>1102653</v>
      </c>
      <c r="O1577" s="11" t="n">
        <f aca="false">MAX(0,_xlfn.MAXIFS(N$2:N1577,A$2:A1577,A1577,B$2:B1577,B1577))</f>
        <v>1289255</v>
      </c>
      <c r="P1577" s="11" t="n">
        <f aca="false">N1577-O1577</f>
        <v>-186602</v>
      </c>
    </row>
    <row r="1578" customFormat="false" ht="15" hidden="false" customHeight="false" outlineLevel="0" collapsed="false">
      <c r="A1578" s="8" t="s">
        <v>45</v>
      </c>
      <c r="B1578" s="8" t="s">
        <v>41</v>
      </c>
      <c r="C1578" s="8" t="s">
        <v>60</v>
      </c>
      <c r="D1578" s="21" t="n">
        <v>45853.4618055556</v>
      </c>
      <c r="E1578" s="21" t="n">
        <v>45853.5763888889</v>
      </c>
      <c r="F1578" s="22" t="n">
        <f aca="false">DATE(YEAR(E1578),MONTH(E1578),1)</f>
        <v>45839</v>
      </c>
      <c r="G1578" s="23" t="n">
        <v>117927</v>
      </c>
      <c r="H1578" s="8" t="s">
        <v>61</v>
      </c>
      <c r="I1578" s="24" t="n">
        <v>-222.59</v>
      </c>
      <c r="J1578" s="25" t="n">
        <f aca="false">Summary!$B$4</f>
        <v>1</v>
      </c>
      <c r="K1578" s="11" t="n">
        <f aca="false">I1578*J1578*IF(A1578="SILVER",Summary!$B$5,Summary!$B$6)</f>
        <v>-22259</v>
      </c>
      <c r="L1578" s="26" t="n">
        <v>-0.907</v>
      </c>
      <c r="M1578" s="27" t="n">
        <f aca="false">IF(K1578&gt;0,1,0)</f>
        <v>0</v>
      </c>
      <c r="N1578" s="11" t="n">
        <f aca="false">SUMIFS(K$2:K1578,A$2:A1578,A1578,B$2:B1578,B1578)</f>
        <v>1080394</v>
      </c>
      <c r="O1578" s="11" t="n">
        <f aca="false">MAX(0,_xlfn.MAXIFS(N$2:N1578,A$2:A1578,A1578,B$2:B1578,B1578))</f>
        <v>1289255</v>
      </c>
      <c r="P1578" s="11" t="n">
        <f aca="false">N1578-O1578</f>
        <v>-208861</v>
      </c>
    </row>
    <row r="1579" customFormat="false" ht="15" hidden="false" customHeight="false" outlineLevel="0" collapsed="false">
      <c r="A1579" s="8" t="s">
        <v>45</v>
      </c>
      <c r="B1579" s="8" t="s">
        <v>41</v>
      </c>
      <c r="C1579" s="8" t="s">
        <v>60</v>
      </c>
      <c r="D1579" s="21" t="n">
        <v>45854.5972222222</v>
      </c>
      <c r="E1579" s="21" t="n">
        <v>45854.7638888889</v>
      </c>
      <c r="F1579" s="22" t="n">
        <f aca="false">DATE(YEAR(E1579),MONTH(E1579),1)</f>
        <v>45839</v>
      </c>
      <c r="G1579" s="23" t="n">
        <v>117388</v>
      </c>
      <c r="H1579" s="8" t="s">
        <v>61</v>
      </c>
      <c r="I1579" s="24" t="n">
        <v>-219.48</v>
      </c>
      <c r="J1579" s="25" t="n">
        <f aca="false">Summary!$B$4</f>
        <v>1</v>
      </c>
      <c r="K1579" s="11" t="n">
        <f aca="false">I1579*J1579*IF(A1579="SILVER",Summary!$B$5,Summary!$B$6)</f>
        <v>-21948</v>
      </c>
      <c r="L1579" s="26" t="n">
        <v>-0.943</v>
      </c>
      <c r="M1579" s="27" t="n">
        <f aca="false">IF(K1579&gt;0,1,0)</f>
        <v>0</v>
      </c>
      <c r="N1579" s="11" t="n">
        <f aca="false">SUMIFS(K$2:K1579,A$2:A1579,A1579,B$2:B1579,B1579)</f>
        <v>1058446</v>
      </c>
      <c r="O1579" s="11" t="n">
        <f aca="false">MAX(0,_xlfn.MAXIFS(N$2:N1579,A$2:A1579,A1579,B$2:B1579,B1579))</f>
        <v>1289255</v>
      </c>
      <c r="P1579" s="11" t="n">
        <f aca="false">N1579-O1579</f>
        <v>-230809</v>
      </c>
    </row>
    <row r="1580" customFormat="false" ht="15" hidden="false" customHeight="false" outlineLevel="0" collapsed="false">
      <c r="A1580" s="8" t="s">
        <v>45</v>
      </c>
      <c r="B1580" s="8" t="s">
        <v>41</v>
      </c>
      <c r="C1580" s="8" t="s">
        <v>60</v>
      </c>
      <c r="D1580" s="21" t="n">
        <v>45854.8576388889</v>
      </c>
      <c r="E1580" s="21" t="n">
        <v>45854.8923611111</v>
      </c>
      <c r="F1580" s="22" t="n">
        <f aca="false">DATE(YEAR(E1580),MONTH(E1580),1)</f>
        <v>45839</v>
      </c>
      <c r="G1580" s="23" t="n">
        <v>117515</v>
      </c>
      <c r="H1580" s="8" t="s">
        <v>64</v>
      </c>
      <c r="I1580" s="24" t="n">
        <v>19.59</v>
      </c>
      <c r="J1580" s="25" t="n">
        <f aca="false">Summary!$B$4</f>
        <v>1</v>
      </c>
      <c r="K1580" s="11" t="n">
        <f aca="false">I1580*J1580*IF(A1580="SILVER",Summary!$B$5,Summary!$B$6)</f>
        <v>1959</v>
      </c>
      <c r="L1580" s="26" t="n">
        <v>0.04</v>
      </c>
      <c r="M1580" s="27" t="n">
        <f aca="false">IF(K1580&gt;0,1,0)</f>
        <v>1</v>
      </c>
      <c r="N1580" s="11" t="n">
        <f aca="false">SUMIFS(K$2:K1580,A$2:A1580,A1580,B$2:B1580,B1580)</f>
        <v>1060405</v>
      </c>
      <c r="O1580" s="11" t="n">
        <f aca="false">MAX(0,_xlfn.MAXIFS(N$2:N1580,A$2:A1580,A1580,B$2:B1580,B1580))</f>
        <v>1289255</v>
      </c>
      <c r="P1580" s="11" t="n">
        <f aca="false">N1580-O1580</f>
        <v>-228850</v>
      </c>
    </row>
    <row r="1581" customFormat="false" ht="15" hidden="false" customHeight="false" outlineLevel="0" collapsed="false">
      <c r="A1581" s="8" t="s">
        <v>45</v>
      </c>
      <c r="B1581" s="8" t="s">
        <v>41</v>
      </c>
      <c r="C1581" s="8" t="s">
        <v>60</v>
      </c>
      <c r="D1581" s="21" t="n">
        <v>45855.8368055556</v>
      </c>
      <c r="E1581" s="21" t="n">
        <v>45860.5</v>
      </c>
      <c r="F1581" s="22" t="n">
        <f aca="false">DATE(YEAR(E1581),MONTH(E1581),1)</f>
        <v>45839</v>
      </c>
      <c r="G1581" s="23" t="n">
        <v>117244</v>
      </c>
      <c r="H1581" s="8" t="s">
        <v>61</v>
      </c>
      <c r="I1581" s="24" t="n">
        <v>1740.35</v>
      </c>
      <c r="J1581" s="25" t="n">
        <f aca="false">Summary!$B$4</f>
        <v>1</v>
      </c>
      <c r="K1581" s="11" t="n">
        <f aca="false">I1581*J1581*IF(A1581="SILVER",Summary!$B$5,Summary!$B$6)</f>
        <v>174035</v>
      </c>
      <c r="L1581" s="26" t="n">
        <v>3.784</v>
      </c>
      <c r="M1581" s="27" t="n">
        <f aca="false">IF(K1581&gt;0,1,0)</f>
        <v>1</v>
      </c>
      <c r="N1581" s="11" t="n">
        <f aca="false">SUMIFS(K$2:K1581,A$2:A1581,A1581,B$2:B1581,B1581)</f>
        <v>1234440</v>
      </c>
      <c r="O1581" s="11" t="n">
        <f aca="false">MAX(0,_xlfn.MAXIFS(N$2:N1581,A$2:A1581,A1581,B$2:B1581,B1581))</f>
        <v>1289255</v>
      </c>
      <c r="P1581" s="11" t="n">
        <f aca="false">N1581-O1581</f>
        <v>-54815</v>
      </c>
    </row>
    <row r="1582" customFormat="false" ht="15" hidden="false" customHeight="false" outlineLevel="0" collapsed="false">
      <c r="A1582" s="8" t="s">
        <v>45</v>
      </c>
      <c r="B1582" s="8" t="s">
        <v>41</v>
      </c>
      <c r="C1582" s="8" t="s">
        <v>60</v>
      </c>
      <c r="D1582" s="21" t="n">
        <v>45860.5798611111</v>
      </c>
      <c r="E1582" s="21" t="n">
        <v>45861.7708333333</v>
      </c>
      <c r="F1582" s="22" t="n">
        <f aca="false">DATE(YEAR(E1582),MONTH(E1582),1)</f>
        <v>45839</v>
      </c>
      <c r="G1582" s="23" t="n">
        <v>119316</v>
      </c>
      <c r="H1582" s="8" t="s">
        <v>61</v>
      </c>
      <c r="I1582" s="24" t="n">
        <v>731.04</v>
      </c>
      <c r="J1582" s="25" t="n">
        <f aca="false">Summary!$B$4</f>
        <v>1</v>
      </c>
      <c r="K1582" s="11" t="n">
        <f aca="false">I1582*J1582*IF(A1582="SILVER",Summary!$B$5,Summary!$B$6)</f>
        <v>73104</v>
      </c>
      <c r="L1582" s="26" t="n">
        <v>2.657</v>
      </c>
      <c r="M1582" s="27" t="n">
        <f aca="false">IF(K1582&gt;0,1,0)</f>
        <v>1</v>
      </c>
      <c r="N1582" s="11" t="n">
        <f aca="false">SUMIFS(K$2:K1582,A$2:A1582,A1582,B$2:B1582,B1582)</f>
        <v>1307544</v>
      </c>
      <c r="O1582" s="11" t="n">
        <f aca="false">MAX(0,_xlfn.MAXIFS(N$2:N1582,A$2:A1582,A1582,B$2:B1582,B1582))</f>
        <v>1307544</v>
      </c>
      <c r="P1582" s="11" t="n">
        <f aca="false">N1582-O1582</f>
        <v>0</v>
      </c>
    </row>
    <row r="1583" customFormat="false" ht="15" hidden="false" customHeight="false" outlineLevel="0" collapsed="false">
      <c r="A1583" s="8" t="s">
        <v>45</v>
      </c>
      <c r="B1583" s="8" t="s">
        <v>41</v>
      </c>
      <c r="C1583" s="8" t="s">
        <v>60</v>
      </c>
      <c r="D1583" s="21" t="n">
        <v>45862.8055555556</v>
      </c>
      <c r="E1583" s="21" t="n">
        <v>45863.3958333333</v>
      </c>
      <c r="F1583" s="22" t="n">
        <f aca="false">DATE(YEAR(E1583),MONTH(E1583),1)</f>
        <v>45839</v>
      </c>
      <c r="G1583" s="23" t="n">
        <v>118667</v>
      </c>
      <c r="H1583" s="8" t="s">
        <v>61</v>
      </c>
      <c r="I1583" s="24" t="n">
        <v>-296.73</v>
      </c>
      <c r="J1583" s="25" t="n">
        <f aca="false">Summary!$B$4</f>
        <v>1</v>
      </c>
      <c r="K1583" s="11" t="n">
        <f aca="false">I1583*J1583*IF(A1583="SILVER",Summary!$B$5,Summary!$B$6)</f>
        <v>-29673</v>
      </c>
      <c r="L1583" s="26" t="n">
        <v>-0.577</v>
      </c>
      <c r="M1583" s="27" t="n">
        <f aca="false">IF(K1583&gt;0,1,0)</f>
        <v>0</v>
      </c>
      <c r="N1583" s="11" t="n">
        <f aca="false">SUMIFS(K$2:K1583,A$2:A1583,A1583,B$2:B1583,B1583)</f>
        <v>1277871</v>
      </c>
      <c r="O1583" s="11" t="n">
        <f aca="false">MAX(0,_xlfn.MAXIFS(N$2:N1583,A$2:A1583,A1583,B$2:B1583,B1583))</f>
        <v>1307544</v>
      </c>
      <c r="P1583" s="11" t="n">
        <f aca="false">N1583-O1583</f>
        <v>-29673</v>
      </c>
    </row>
    <row r="1584" customFormat="false" ht="15" hidden="false" customHeight="false" outlineLevel="0" collapsed="false">
      <c r="A1584" s="8" t="s">
        <v>45</v>
      </c>
      <c r="B1584" s="8" t="s">
        <v>41</v>
      </c>
      <c r="C1584" s="8" t="s">
        <v>60</v>
      </c>
      <c r="D1584" s="21" t="n">
        <v>45866.4347222222</v>
      </c>
      <c r="E1584" s="21" t="n">
        <v>45866.7569444445</v>
      </c>
      <c r="F1584" s="22" t="n">
        <f aca="false">DATE(YEAR(E1584),MONTH(E1584),1)</f>
        <v>45839</v>
      </c>
      <c r="G1584" s="23" t="n">
        <v>117920</v>
      </c>
      <c r="H1584" s="8" t="s">
        <v>61</v>
      </c>
      <c r="I1584" s="24" t="n">
        <v>-196.59</v>
      </c>
      <c r="J1584" s="25" t="n">
        <f aca="false">Summary!$B$4</f>
        <v>1</v>
      </c>
      <c r="K1584" s="11" t="n">
        <f aca="false">I1584*J1584*IF(A1584="SILVER",Summary!$B$5,Summary!$B$6)</f>
        <v>-19659</v>
      </c>
      <c r="L1584" s="26" t="n">
        <v>-0.816</v>
      </c>
      <c r="M1584" s="27" t="n">
        <f aca="false">IF(K1584&gt;0,1,0)</f>
        <v>0</v>
      </c>
      <c r="N1584" s="11" t="n">
        <f aca="false">SUMIFS(K$2:K1584,A$2:A1584,A1584,B$2:B1584,B1584)</f>
        <v>1258212</v>
      </c>
      <c r="O1584" s="11" t="n">
        <f aca="false">MAX(0,_xlfn.MAXIFS(N$2:N1584,A$2:A1584,A1584,B$2:B1584,B1584))</f>
        <v>1307544</v>
      </c>
      <c r="P1584" s="11" t="n">
        <f aca="false">N1584-O1584</f>
        <v>-49332</v>
      </c>
    </row>
    <row r="1585" customFormat="false" ht="15" hidden="false" customHeight="false" outlineLevel="0" collapsed="false">
      <c r="A1585" s="8" t="s">
        <v>45</v>
      </c>
      <c r="B1585" s="8" t="s">
        <v>41</v>
      </c>
      <c r="C1585" s="8" t="s">
        <v>60</v>
      </c>
      <c r="D1585" s="21" t="n">
        <v>45867.4583333333</v>
      </c>
      <c r="E1585" s="21" t="n">
        <v>45867.61875</v>
      </c>
      <c r="F1585" s="22" t="n">
        <f aca="false">DATE(YEAR(E1585),MONTH(E1585),1)</f>
        <v>45839</v>
      </c>
      <c r="G1585" s="23" t="n">
        <v>117773</v>
      </c>
      <c r="H1585" s="8" t="s">
        <v>64</v>
      </c>
      <c r="I1585" s="24" t="n">
        <v>2.79</v>
      </c>
      <c r="J1585" s="25" t="n">
        <f aca="false">Summary!$B$4</f>
        <v>1</v>
      </c>
      <c r="K1585" s="11" t="n">
        <f aca="false">I1585*J1585*IF(A1585="SILVER",Summary!$B$5,Summary!$B$6)</f>
        <v>279</v>
      </c>
      <c r="L1585" s="26" t="n">
        <v>0.009</v>
      </c>
      <c r="M1585" s="27" t="n">
        <f aca="false">IF(K1585&gt;0,1,0)</f>
        <v>1</v>
      </c>
      <c r="N1585" s="11" t="n">
        <f aca="false">SUMIFS(K$2:K1585,A$2:A1585,A1585,B$2:B1585,B1585)</f>
        <v>1258491</v>
      </c>
      <c r="O1585" s="11" t="n">
        <f aca="false">MAX(0,_xlfn.MAXIFS(N$2:N1585,A$2:A1585,A1585,B$2:B1585,B1585))</f>
        <v>1307544</v>
      </c>
      <c r="P1585" s="11" t="n">
        <f aca="false">N1585-O1585</f>
        <v>-49053</v>
      </c>
    </row>
    <row r="1586" customFormat="false" ht="15" hidden="false" customHeight="false" outlineLevel="0" collapsed="false">
      <c r="A1586" s="8" t="s">
        <v>45</v>
      </c>
      <c r="B1586" s="8" t="s">
        <v>41</v>
      </c>
      <c r="C1586" s="8" t="s">
        <v>60</v>
      </c>
      <c r="D1586" s="21" t="n">
        <v>45868.7402777778</v>
      </c>
      <c r="E1586" s="21" t="n">
        <v>45868.7673611111</v>
      </c>
      <c r="F1586" s="22" t="n">
        <f aca="false">DATE(YEAR(E1586),MONTH(E1586),1)</f>
        <v>45839</v>
      </c>
      <c r="G1586" s="23" t="n">
        <v>118768</v>
      </c>
      <c r="H1586" s="8" t="s">
        <v>61</v>
      </c>
      <c r="I1586" s="24" t="n">
        <v>-354.74</v>
      </c>
      <c r="J1586" s="25" t="n">
        <f aca="false">Summary!$B$4</f>
        <v>1</v>
      </c>
      <c r="K1586" s="11" t="n">
        <f aca="false">I1586*J1586*IF(A1586="SILVER",Summary!$B$5,Summary!$B$6)</f>
        <v>-35474</v>
      </c>
      <c r="L1586" s="26" t="n">
        <v>-0.854</v>
      </c>
      <c r="M1586" s="27" t="n">
        <f aca="false">IF(K1586&gt;0,1,0)</f>
        <v>0</v>
      </c>
      <c r="N1586" s="11" t="n">
        <f aca="false">SUMIFS(K$2:K1586,A$2:A1586,A1586,B$2:B1586,B1586)</f>
        <v>1223017</v>
      </c>
      <c r="O1586" s="11" t="n">
        <f aca="false">MAX(0,_xlfn.MAXIFS(N$2:N1586,A$2:A1586,A1586,B$2:B1586,B1586))</f>
        <v>1307544</v>
      </c>
      <c r="P1586" s="11" t="n">
        <f aca="false">N1586-O1586</f>
        <v>-84527</v>
      </c>
    </row>
    <row r="1587" customFormat="false" ht="15" hidden="false" customHeight="false" outlineLevel="0" collapsed="false">
      <c r="A1587" s="8" t="s">
        <v>45</v>
      </c>
      <c r="B1587" s="8" t="s">
        <v>41</v>
      </c>
      <c r="C1587" s="8" t="s">
        <v>60</v>
      </c>
      <c r="D1587" s="21" t="n">
        <v>45869.55625</v>
      </c>
      <c r="E1587" s="21" t="n">
        <v>45869.6826388889</v>
      </c>
      <c r="F1587" s="22" t="n">
        <f aca="false">DATE(YEAR(E1587),MONTH(E1587),1)</f>
        <v>45839</v>
      </c>
      <c r="G1587" s="23" t="n">
        <v>118188</v>
      </c>
      <c r="H1587" s="8" t="s">
        <v>64</v>
      </c>
      <c r="I1587" s="24" t="n">
        <v>-99.66</v>
      </c>
      <c r="J1587" s="25" t="n">
        <f aca="false">Summary!$B$4</f>
        <v>1</v>
      </c>
      <c r="K1587" s="11" t="n">
        <f aca="false">I1587*J1587*IF(A1587="SILVER",Summary!$B$5,Summary!$B$6)</f>
        <v>-9966</v>
      </c>
      <c r="L1587" s="26" t="n">
        <v>-0.358</v>
      </c>
      <c r="M1587" s="27" t="n">
        <f aca="false">IF(K1587&gt;0,1,0)</f>
        <v>0</v>
      </c>
      <c r="N1587" s="11" t="n">
        <f aca="false">SUMIFS(K$2:K1587,A$2:A1587,A1587,B$2:B1587,B1587)</f>
        <v>1213051</v>
      </c>
      <c r="O1587" s="11" t="n">
        <f aca="false">MAX(0,_xlfn.MAXIFS(N$2:N1587,A$2:A1587,A1587,B$2:B1587,B1587))</f>
        <v>1307544</v>
      </c>
      <c r="P1587" s="11" t="n">
        <f aca="false">N1587-O1587</f>
        <v>-94493</v>
      </c>
    </row>
    <row r="1588" customFormat="false" ht="15" hidden="false" customHeight="false" outlineLevel="0" collapsed="false">
      <c r="A1588" s="8" t="s">
        <v>45</v>
      </c>
      <c r="B1588" s="8" t="s">
        <v>41</v>
      </c>
      <c r="C1588" s="8" t="s">
        <v>60</v>
      </c>
      <c r="D1588" s="21" t="n">
        <v>45870.7645833333</v>
      </c>
      <c r="E1588" s="21" t="n">
        <v>45874.4375</v>
      </c>
      <c r="F1588" s="22" t="n">
        <f aca="false">DATE(YEAR(E1588),MONTH(E1588),1)</f>
        <v>45870</v>
      </c>
      <c r="G1588" s="23" t="n">
        <v>118783</v>
      </c>
      <c r="H1588" s="8" t="s">
        <v>61</v>
      </c>
      <c r="I1588" s="24" t="n">
        <v>1290.14</v>
      </c>
      <c r="J1588" s="25" t="n">
        <f aca="false">Summary!$B$4</f>
        <v>1</v>
      </c>
      <c r="K1588" s="11" t="n">
        <f aca="false">I1588*J1588*IF(A1588="SILVER",Summary!$B$5,Summary!$B$6)</f>
        <v>129014</v>
      </c>
      <c r="L1588" s="26" t="n">
        <v>1.035</v>
      </c>
      <c r="M1588" s="27" t="n">
        <f aca="false">IF(K1588&gt;0,1,0)</f>
        <v>1</v>
      </c>
      <c r="N1588" s="11" t="n">
        <f aca="false">SUMIFS(K$2:K1588,A$2:A1588,A1588,B$2:B1588,B1588)</f>
        <v>1342065</v>
      </c>
      <c r="O1588" s="11" t="n">
        <f aca="false">MAX(0,_xlfn.MAXIFS(N$2:N1588,A$2:A1588,A1588,B$2:B1588,B1588))</f>
        <v>1342065</v>
      </c>
      <c r="P1588" s="11" t="n">
        <f aca="false">N1588-O1588</f>
        <v>0</v>
      </c>
    </row>
    <row r="1589" customFormat="false" ht="15" hidden="false" customHeight="false" outlineLevel="0" collapsed="false">
      <c r="A1589" s="8" t="s">
        <v>45</v>
      </c>
      <c r="B1589" s="8" t="s">
        <v>41</v>
      </c>
      <c r="C1589" s="8" t="s">
        <v>60</v>
      </c>
      <c r="D1589" s="21" t="n">
        <v>45874.8208333333</v>
      </c>
      <c r="E1589" s="21" t="n">
        <v>45875.5868055556</v>
      </c>
      <c r="F1589" s="22" t="n">
        <f aca="false">DATE(YEAR(E1589),MONTH(E1589),1)</f>
        <v>45870</v>
      </c>
      <c r="G1589" s="23" t="n">
        <v>120458</v>
      </c>
      <c r="H1589" s="8" t="s">
        <v>61</v>
      </c>
      <c r="I1589" s="24" t="n">
        <v>219.86</v>
      </c>
      <c r="J1589" s="25" t="n">
        <f aca="false">Summary!$B$4</f>
        <v>1</v>
      </c>
      <c r="K1589" s="11" t="n">
        <f aca="false">I1589*J1589*IF(A1589="SILVER",Summary!$B$5,Summary!$B$6)</f>
        <v>21986</v>
      </c>
      <c r="L1589" s="26" t="n">
        <v>0.23</v>
      </c>
      <c r="M1589" s="27" t="n">
        <f aca="false">IF(K1589&gt;0,1,0)</f>
        <v>1</v>
      </c>
      <c r="N1589" s="11" t="n">
        <f aca="false">SUMIFS(K$2:K1589,A$2:A1589,A1589,B$2:B1589,B1589)</f>
        <v>1364051</v>
      </c>
      <c r="O1589" s="11" t="n">
        <f aca="false">MAX(0,_xlfn.MAXIFS(N$2:N1589,A$2:A1589,A1589,B$2:B1589,B1589))</f>
        <v>1364051</v>
      </c>
      <c r="P1589" s="11" t="n">
        <f aca="false">N1589-O1589</f>
        <v>0</v>
      </c>
    </row>
    <row r="1590" customFormat="false" ht="15" hidden="false" customHeight="false" outlineLevel="0" collapsed="false">
      <c r="A1590" s="8" t="s">
        <v>45</v>
      </c>
      <c r="B1590" s="8" t="s">
        <v>41</v>
      </c>
      <c r="C1590" s="8" t="s">
        <v>60</v>
      </c>
      <c r="D1590" s="21" t="n">
        <v>45875.8125</v>
      </c>
      <c r="E1590" s="21" t="n">
        <v>45876.5694444445</v>
      </c>
      <c r="F1590" s="22" t="n">
        <f aca="false">DATE(YEAR(E1590),MONTH(E1590),1)</f>
        <v>45870</v>
      </c>
      <c r="G1590" s="23" t="n">
        <v>121055</v>
      </c>
      <c r="H1590" s="8" t="s">
        <v>61</v>
      </c>
      <c r="I1590" s="24" t="n">
        <v>529.71</v>
      </c>
      <c r="J1590" s="25" t="n">
        <f aca="false">Summary!$B$4</f>
        <v>1</v>
      </c>
      <c r="K1590" s="11" t="n">
        <f aca="false">I1590*J1590*IF(A1590="SILVER",Summary!$B$5,Summary!$B$6)</f>
        <v>52971</v>
      </c>
      <c r="L1590" s="26" t="n">
        <v>1.061</v>
      </c>
      <c r="M1590" s="27" t="n">
        <f aca="false">IF(K1590&gt;0,1,0)</f>
        <v>1</v>
      </c>
      <c r="N1590" s="11" t="n">
        <f aca="false">SUMIFS(K$2:K1590,A$2:A1590,A1590,B$2:B1590,B1590)</f>
        <v>1417022</v>
      </c>
      <c r="O1590" s="11" t="n">
        <f aca="false">MAX(0,_xlfn.MAXIFS(N$2:N1590,A$2:A1590,A1590,B$2:B1590,B1590))</f>
        <v>1417022</v>
      </c>
      <c r="P1590" s="11" t="n">
        <f aca="false">N1590-O1590</f>
        <v>0</v>
      </c>
    </row>
    <row r="1591" customFormat="false" ht="15" hidden="false" customHeight="false" outlineLevel="0" collapsed="false">
      <c r="A1591" s="8" t="s">
        <v>45</v>
      </c>
      <c r="B1591" s="8" t="s">
        <v>41</v>
      </c>
      <c r="C1591" s="8" t="s">
        <v>60</v>
      </c>
      <c r="D1591" s="21" t="n">
        <v>45877.3784722222</v>
      </c>
      <c r="E1591" s="21" t="n">
        <v>45877.6701388889</v>
      </c>
      <c r="F1591" s="22" t="n">
        <f aca="false">DATE(YEAR(E1591),MONTH(E1591),1)</f>
        <v>45870</v>
      </c>
      <c r="G1591" s="23" t="n">
        <v>121916</v>
      </c>
      <c r="H1591" s="8" t="s">
        <v>61</v>
      </c>
      <c r="I1591" s="24" t="n">
        <v>-323.37</v>
      </c>
      <c r="J1591" s="25" t="n">
        <f aca="false">Summary!$B$4</f>
        <v>1</v>
      </c>
      <c r="K1591" s="11" t="n">
        <f aca="false">I1591*J1591*IF(A1591="SILVER",Summary!$B$5,Summary!$B$6)</f>
        <v>-32337</v>
      </c>
      <c r="L1591" s="26" t="n">
        <v>-0.402</v>
      </c>
      <c r="M1591" s="27" t="n">
        <f aca="false">IF(K1591&gt;0,1,0)</f>
        <v>0</v>
      </c>
      <c r="N1591" s="11" t="n">
        <f aca="false">SUMIFS(K$2:K1591,A$2:A1591,A1591,B$2:B1591,B1591)</f>
        <v>1384685</v>
      </c>
      <c r="O1591" s="11" t="n">
        <f aca="false">MAX(0,_xlfn.MAXIFS(N$2:N1591,A$2:A1591,A1591,B$2:B1591,B1591))</f>
        <v>1417022</v>
      </c>
      <c r="P1591" s="11" t="n">
        <f aca="false">N1591-O1591</f>
        <v>-32337</v>
      </c>
    </row>
    <row r="1592" customFormat="false" ht="15" hidden="false" customHeight="false" outlineLevel="0" collapsed="false">
      <c r="A1592" s="8" t="s">
        <v>45</v>
      </c>
      <c r="B1592" s="8" t="s">
        <v>41</v>
      </c>
      <c r="C1592" s="8" t="s">
        <v>60</v>
      </c>
      <c r="D1592" s="21" t="n">
        <v>45877.7534722222</v>
      </c>
      <c r="E1592" s="21" t="n">
        <v>45880.375</v>
      </c>
      <c r="F1592" s="22" t="n">
        <f aca="false">DATE(YEAR(E1592),MONTH(E1592),1)</f>
        <v>45870</v>
      </c>
      <c r="G1592" s="23" t="n">
        <v>122085</v>
      </c>
      <c r="H1592" s="8" t="s">
        <v>61</v>
      </c>
      <c r="I1592" s="24" t="n">
        <v>-1014.38</v>
      </c>
      <c r="J1592" s="25" t="n">
        <f aca="false">Summary!$B$4</f>
        <v>1</v>
      </c>
      <c r="K1592" s="11" t="n">
        <f aca="false">I1592*J1592*IF(A1592="SILVER",Summary!$B$5,Summary!$B$6)</f>
        <v>-101438</v>
      </c>
      <c r="L1592" s="26" t="n">
        <v>-1.721</v>
      </c>
      <c r="M1592" s="27" t="n">
        <f aca="false">IF(K1592&gt;0,1,0)</f>
        <v>0</v>
      </c>
      <c r="N1592" s="11" t="n">
        <f aca="false">SUMIFS(K$2:K1592,A$2:A1592,A1592,B$2:B1592,B1592)</f>
        <v>1283247</v>
      </c>
      <c r="O1592" s="11" t="n">
        <f aca="false">MAX(0,_xlfn.MAXIFS(N$2:N1592,A$2:A1592,A1592,B$2:B1592,B1592))</f>
        <v>1417022</v>
      </c>
      <c r="P1592" s="11" t="n">
        <f aca="false">N1592-O1592</f>
        <v>-133775</v>
      </c>
    </row>
    <row r="1593" customFormat="false" ht="15" hidden="false" customHeight="false" outlineLevel="0" collapsed="false">
      <c r="A1593" s="8" t="s">
        <v>45</v>
      </c>
      <c r="B1593" s="8" t="s">
        <v>41</v>
      </c>
      <c r="C1593" s="8" t="s">
        <v>60</v>
      </c>
      <c r="D1593" s="21" t="n">
        <v>45881.7638888889</v>
      </c>
      <c r="E1593" s="21" t="n">
        <v>45881.8263888889</v>
      </c>
      <c r="F1593" s="22" t="n">
        <f aca="false">DATE(YEAR(E1593),MONTH(E1593),1)</f>
        <v>45870</v>
      </c>
      <c r="G1593" s="23" t="n">
        <v>120243</v>
      </c>
      <c r="H1593" s="8" t="s">
        <v>61</v>
      </c>
      <c r="I1593" s="24" t="n">
        <v>-574.01</v>
      </c>
      <c r="J1593" s="25" t="n">
        <f aca="false">Summary!$B$4</f>
        <v>1</v>
      </c>
      <c r="K1593" s="11" t="n">
        <f aca="false">I1593*J1593*IF(A1593="SILVER",Summary!$B$5,Summary!$B$6)</f>
        <v>-57401</v>
      </c>
      <c r="L1593" s="26" t="n">
        <v>-1.068</v>
      </c>
      <c r="M1593" s="27" t="n">
        <f aca="false">IF(K1593&gt;0,1,0)</f>
        <v>0</v>
      </c>
      <c r="N1593" s="11" t="n">
        <f aca="false">SUMIFS(K$2:K1593,A$2:A1593,A1593,B$2:B1593,B1593)</f>
        <v>1225846</v>
      </c>
      <c r="O1593" s="11" t="n">
        <f aca="false">MAX(0,_xlfn.MAXIFS(N$2:N1593,A$2:A1593,A1593,B$2:B1593,B1593))</f>
        <v>1417022</v>
      </c>
      <c r="P1593" s="11" t="n">
        <f aca="false">N1593-O1593</f>
        <v>-191176</v>
      </c>
    </row>
    <row r="1594" customFormat="false" ht="15" hidden="false" customHeight="false" outlineLevel="0" collapsed="false">
      <c r="A1594" s="8" t="s">
        <v>45</v>
      </c>
      <c r="B1594" s="8" t="s">
        <v>41</v>
      </c>
      <c r="C1594" s="8" t="s">
        <v>60</v>
      </c>
      <c r="D1594" s="21" t="n">
        <v>45882.4965277778</v>
      </c>
      <c r="E1594" s="21" t="n">
        <v>45882.5833333333</v>
      </c>
      <c r="F1594" s="22" t="n">
        <f aca="false">DATE(YEAR(E1594),MONTH(E1594),1)</f>
        <v>45870</v>
      </c>
      <c r="G1594" s="23" t="n">
        <v>120343</v>
      </c>
      <c r="H1594" s="8" t="s">
        <v>61</v>
      </c>
      <c r="I1594" s="24" t="n">
        <v>-266.07</v>
      </c>
      <c r="J1594" s="25" t="n">
        <f aca="false">Summary!$B$4</f>
        <v>1</v>
      </c>
      <c r="K1594" s="11" t="n">
        <f aca="false">I1594*J1594*IF(A1594="SILVER",Summary!$B$5,Summary!$B$6)</f>
        <v>-26607</v>
      </c>
      <c r="L1594" s="26" t="n">
        <v>-0.889</v>
      </c>
      <c r="M1594" s="27" t="n">
        <f aca="false">IF(K1594&gt;0,1,0)</f>
        <v>0</v>
      </c>
      <c r="N1594" s="11" t="n">
        <f aca="false">SUMIFS(K$2:K1594,A$2:A1594,A1594,B$2:B1594,B1594)</f>
        <v>1199239</v>
      </c>
      <c r="O1594" s="11" t="n">
        <f aca="false">MAX(0,_xlfn.MAXIFS(N$2:N1594,A$2:A1594,A1594,B$2:B1594,B1594))</f>
        <v>1417022</v>
      </c>
      <c r="P1594" s="11" t="n">
        <f aca="false">N1594-O1594</f>
        <v>-217783</v>
      </c>
    </row>
    <row r="1595" customFormat="false" ht="15" hidden="false" customHeight="false" outlineLevel="0" collapsed="false">
      <c r="A1595" s="8" t="s">
        <v>45</v>
      </c>
      <c r="B1595" s="8" t="s">
        <v>41</v>
      </c>
      <c r="C1595" s="8" t="s">
        <v>60</v>
      </c>
      <c r="D1595" s="21" t="n">
        <v>45883.5381944445</v>
      </c>
      <c r="E1595" s="21" t="n">
        <v>45883.5555555556</v>
      </c>
      <c r="F1595" s="22" t="n">
        <f aca="false">DATE(YEAR(E1595),MONTH(E1595),1)</f>
        <v>45870</v>
      </c>
      <c r="G1595" s="23" t="n">
        <v>120193</v>
      </c>
      <c r="H1595" s="8" t="s">
        <v>61</v>
      </c>
      <c r="I1595" s="24" t="n">
        <v>-356.05</v>
      </c>
      <c r="J1595" s="25" t="n">
        <f aca="false">Summary!$B$4</f>
        <v>1</v>
      </c>
      <c r="K1595" s="11" t="n">
        <f aca="false">I1595*J1595*IF(A1595="SILVER",Summary!$B$5,Summary!$B$6)</f>
        <v>-35605</v>
      </c>
      <c r="L1595" s="26" t="n">
        <v>-1.263</v>
      </c>
      <c r="M1595" s="27" t="n">
        <f aca="false">IF(K1595&gt;0,1,0)</f>
        <v>0</v>
      </c>
      <c r="N1595" s="11" t="n">
        <f aca="false">SUMIFS(K$2:K1595,A$2:A1595,A1595,B$2:B1595,B1595)</f>
        <v>1163634</v>
      </c>
      <c r="O1595" s="11" t="n">
        <f aca="false">MAX(0,_xlfn.MAXIFS(N$2:N1595,A$2:A1595,A1595,B$2:B1595,B1595))</f>
        <v>1417022</v>
      </c>
      <c r="P1595" s="11" t="n">
        <f aca="false">N1595-O1595</f>
        <v>-253388</v>
      </c>
    </row>
    <row r="1596" customFormat="false" ht="15" hidden="false" customHeight="false" outlineLevel="0" collapsed="false">
      <c r="A1596" s="8" t="s">
        <v>45</v>
      </c>
      <c r="B1596" s="8" t="s">
        <v>41</v>
      </c>
      <c r="C1596" s="8" t="s">
        <v>60</v>
      </c>
      <c r="D1596" s="21" t="n">
        <v>45888.6631944445</v>
      </c>
      <c r="E1596" s="21" t="n">
        <v>45888.7777777778</v>
      </c>
      <c r="F1596" s="22" t="n">
        <f aca="false">DATE(YEAR(E1596),MONTH(E1596),1)</f>
        <v>45870</v>
      </c>
      <c r="G1596" s="23" t="n">
        <v>119068</v>
      </c>
      <c r="H1596" s="8" t="s">
        <v>61</v>
      </c>
      <c r="I1596" s="24" t="n">
        <v>-316.84</v>
      </c>
      <c r="J1596" s="25" t="n">
        <f aca="false">Summary!$B$4</f>
        <v>1</v>
      </c>
      <c r="K1596" s="11" t="n">
        <f aca="false">I1596*J1596*IF(A1596="SILVER",Summary!$B$5,Summary!$B$6)</f>
        <v>-31684</v>
      </c>
      <c r="L1596" s="26" t="n">
        <v>-1.166</v>
      </c>
      <c r="M1596" s="27" t="n">
        <f aca="false">IF(K1596&gt;0,1,0)</f>
        <v>0</v>
      </c>
      <c r="N1596" s="11" t="n">
        <f aca="false">SUMIFS(K$2:K1596,A$2:A1596,A1596,B$2:B1596,B1596)</f>
        <v>1131950</v>
      </c>
      <c r="O1596" s="11" t="n">
        <f aca="false">MAX(0,_xlfn.MAXIFS(N$2:N1596,A$2:A1596,A1596,B$2:B1596,B1596))</f>
        <v>1417022</v>
      </c>
      <c r="P1596" s="11" t="n">
        <f aca="false">N1596-O1596</f>
        <v>-285072</v>
      </c>
    </row>
    <row r="1597" customFormat="false" ht="15" hidden="false" customHeight="false" outlineLevel="0" collapsed="false">
      <c r="A1597" s="8" t="s">
        <v>45</v>
      </c>
      <c r="B1597" s="8" t="s">
        <v>41</v>
      </c>
      <c r="C1597" s="8" t="s">
        <v>60</v>
      </c>
      <c r="D1597" s="21" t="n">
        <v>45889.4930555556</v>
      </c>
      <c r="E1597" s="21" t="n">
        <v>45890.3888888889</v>
      </c>
      <c r="F1597" s="22" t="n">
        <f aca="false">DATE(YEAR(E1597),MONTH(E1597),1)</f>
        <v>45870</v>
      </c>
      <c r="G1597" s="23" t="n">
        <v>118626</v>
      </c>
      <c r="H1597" s="8" t="s">
        <v>61</v>
      </c>
      <c r="I1597" s="24" t="n">
        <v>200.2</v>
      </c>
      <c r="J1597" s="25" t="n">
        <f aca="false">Summary!$B$4</f>
        <v>1</v>
      </c>
      <c r="K1597" s="11" t="n">
        <f aca="false">I1597*J1597*IF(A1597="SILVER",Summary!$B$5,Summary!$B$6)</f>
        <v>20020</v>
      </c>
      <c r="L1597" s="26" t="n">
        <v>0.765</v>
      </c>
      <c r="M1597" s="27" t="n">
        <f aca="false">IF(K1597&gt;0,1,0)</f>
        <v>1</v>
      </c>
      <c r="N1597" s="11" t="n">
        <f aca="false">SUMIFS(K$2:K1597,A$2:A1597,A1597,B$2:B1597,B1597)</f>
        <v>1151970</v>
      </c>
      <c r="O1597" s="11" t="n">
        <f aca="false">MAX(0,_xlfn.MAXIFS(N$2:N1597,A$2:A1597,A1597,B$2:B1597,B1597))</f>
        <v>1417022</v>
      </c>
      <c r="P1597" s="11" t="n">
        <f aca="false">N1597-O1597</f>
        <v>-265052</v>
      </c>
    </row>
    <row r="1598" customFormat="false" ht="15" hidden="false" customHeight="false" outlineLevel="0" collapsed="false">
      <c r="A1598" s="8" t="s">
        <v>45</v>
      </c>
      <c r="B1598" s="8" t="s">
        <v>41</v>
      </c>
      <c r="C1598" s="8" t="s">
        <v>60</v>
      </c>
      <c r="D1598" s="21" t="n">
        <v>45890.5590277778</v>
      </c>
      <c r="E1598" s="21" t="n">
        <v>45890.6708333333</v>
      </c>
      <c r="F1598" s="22" t="n">
        <f aca="false">DATE(YEAR(E1598),MONTH(E1598),1)</f>
        <v>45870</v>
      </c>
      <c r="G1598" s="23" t="n">
        <v>118936</v>
      </c>
      <c r="H1598" s="8" t="s">
        <v>64</v>
      </c>
      <c r="I1598" s="24" t="n">
        <v>-5.07</v>
      </c>
      <c r="J1598" s="25" t="n">
        <f aca="false">Summary!$B$4</f>
        <v>1</v>
      </c>
      <c r="K1598" s="11" t="n">
        <f aca="false">I1598*J1598*IF(A1598="SILVER",Summary!$B$5,Summary!$B$6)</f>
        <v>-507</v>
      </c>
      <c r="L1598" s="26" t="n">
        <v>-0.02</v>
      </c>
      <c r="M1598" s="27" t="n">
        <f aca="false">IF(K1598&gt;0,1,0)</f>
        <v>0</v>
      </c>
      <c r="N1598" s="11" t="n">
        <f aca="false">SUMIFS(K$2:K1598,A$2:A1598,A1598,B$2:B1598,B1598)</f>
        <v>1151463</v>
      </c>
      <c r="O1598" s="11" t="n">
        <f aca="false">MAX(0,_xlfn.MAXIFS(N$2:N1598,A$2:A1598,A1598,B$2:B1598,B1598))</f>
        <v>1417022</v>
      </c>
      <c r="P1598" s="11" t="n">
        <f aca="false">N1598-O1598</f>
        <v>-265559</v>
      </c>
    </row>
    <row r="1599" customFormat="false" ht="15" hidden="false" customHeight="false" outlineLevel="0" collapsed="false">
      <c r="A1599" s="8" t="s">
        <v>45</v>
      </c>
      <c r="B1599" s="8" t="s">
        <v>41</v>
      </c>
      <c r="C1599" s="8" t="s">
        <v>60</v>
      </c>
      <c r="D1599" s="21" t="n">
        <v>45890.7361111111</v>
      </c>
      <c r="E1599" s="21" t="n">
        <v>45890.8597222222</v>
      </c>
      <c r="F1599" s="22" t="n">
        <f aca="false">DATE(YEAR(E1599),MONTH(E1599),1)</f>
        <v>45870</v>
      </c>
      <c r="G1599" s="23" t="n">
        <v>119136</v>
      </c>
      <c r="H1599" s="8" t="s">
        <v>64</v>
      </c>
      <c r="I1599" s="24" t="n">
        <v>5.57</v>
      </c>
      <c r="J1599" s="25" t="n">
        <f aca="false">Summary!$B$4</f>
        <v>1</v>
      </c>
      <c r="K1599" s="11" t="n">
        <f aca="false">I1599*J1599*IF(A1599="SILVER",Summary!$B$5,Summary!$B$6)</f>
        <v>557</v>
      </c>
      <c r="L1599" s="26" t="n">
        <v>0.016</v>
      </c>
      <c r="M1599" s="27" t="n">
        <f aca="false">IF(K1599&gt;0,1,0)</f>
        <v>1</v>
      </c>
      <c r="N1599" s="11" t="n">
        <f aca="false">SUMIFS(K$2:K1599,A$2:A1599,A1599,B$2:B1599,B1599)</f>
        <v>1152020</v>
      </c>
      <c r="O1599" s="11" t="n">
        <f aca="false">MAX(0,_xlfn.MAXIFS(N$2:N1599,A$2:A1599,A1599,B$2:B1599,B1599))</f>
        <v>1417022</v>
      </c>
      <c r="P1599" s="11" t="n">
        <f aca="false">N1599-O1599</f>
        <v>-265002</v>
      </c>
    </row>
    <row r="1600" customFormat="false" ht="15" hidden="false" customHeight="false" outlineLevel="0" collapsed="false">
      <c r="A1600" s="8" t="s">
        <v>45</v>
      </c>
      <c r="B1600" s="8" t="s">
        <v>41</v>
      </c>
      <c r="C1600" s="8" t="s">
        <v>60</v>
      </c>
      <c r="D1600" s="21" t="n">
        <v>45891.8159722222</v>
      </c>
      <c r="E1600" s="21" t="n">
        <v>45894.7743055556</v>
      </c>
      <c r="F1600" s="22" t="n">
        <f aca="false">DATE(YEAR(E1600),MONTH(E1600),1)</f>
        <v>45870</v>
      </c>
      <c r="G1600" s="23" t="n">
        <v>119396</v>
      </c>
      <c r="H1600" s="8" t="s">
        <v>61</v>
      </c>
      <c r="I1600" s="24" t="n">
        <v>758.99</v>
      </c>
      <c r="J1600" s="25" t="n">
        <f aca="false">Summary!$B$4</f>
        <v>1</v>
      </c>
      <c r="K1600" s="11" t="n">
        <f aca="false">I1600*J1600*IF(A1600="SILVER",Summary!$B$5,Summary!$B$6)</f>
        <v>75899</v>
      </c>
      <c r="L1600" s="26" t="n">
        <v>1.658</v>
      </c>
      <c r="M1600" s="27" t="n">
        <f aca="false">IF(K1600&gt;0,1,0)</f>
        <v>1</v>
      </c>
      <c r="N1600" s="11" t="n">
        <f aca="false">SUMIFS(K$2:K1600,A$2:A1600,A1600,B$2:B1600,B1600)</f>
        <v>1227919</v>
      </c>
      <c r="O1600" s="11" t="n">
        <f aca="false">MAX(0,_xlfn.MAXIFS(N$2:N1600,A$2:A1600,A1600,B$2:B1600,B1600))</f>
        <v>1417022</v>
      </c>
      <c r="P1600" s="11" t="n">
        <f aca="false">N1600-O1600</f>
        <v>-189103</v>
      </c>
    </row>
    <row r="1601" customFormat="false" ht="15" hidden="false" customHeight="false" outlineLevel="0" collapsed="false">
      <c r="A1601" s="8" t="s">
        <v>45</v>
      </c>
      <c r="B1601" s="8" t="s">
        <v>41</v>
      </c>
      <c r="C1601" s="8" t="s">
        <v>60</v>
      </c>
      <c r="D1601" s="21" t="n">
        <v>45894.8159722222</v>
      </c>
      <c r="E1601" s="21" t="n">
        <v>45895.5347222222</v>
      </c>
      <c r="F1601" s="22" t="n">
        <f aca="false">DATE(YEAR(E1601),MONTH(E1601),1)</f>
        <v>45870</v>
      </c>
      <c r="G1601" s="23" t="n">
        <v>120390</v>
      </c>
      <c r="H1601" s="8" t="s">
        <v>61</v>
      </c>
      <c r="I1601" s="24" t="n">
        <v>121.86</v>
      </c>
      <c r="J1601" s="25" t="n">
        <f aca="false">Summary!$B$4</f>
        <v>1</v>
      </c>
      <c r="K1601" s="11" t="n">
        <f aca="false">I1601*J1601*IF(A1601="SILVER",Summary!$B$5,Summary!$B$6)</f>
        <v>12186</v>
      </c>
      <c r="L1601" s="26" t="n">
        <v>0.435</v>
      </c>
      <c r="M1601" s="27" t="n">
        <f aca="false">IF(K1601&gt;0,1,0)</f>
        <v>1</v>
      </c>
      <c r="N1601" s="11" t="n">
        <f aca="false">SUMIFS(K$2:K1601,A$2:A1601,A1601,B$2:B1601,B1601)</f>
        <v>1240105</v>
      </c>
      <c r="O1601" s="11" t="n">
        <f aca="false">MAX(0,_xlfn.MAXIFS(N$2:N1601,A$2:A1601,A1601,B$2:B1601,B1601))</f>
        <v>1417022</v>
      </c>
      <c r="P1601" s="11" t="n">
        <f aca="false">N1601-O1601</f>
        <v>-176917</v>
      </c>
    </row>
    <row r="1602" customFormat="false" ht="15" hidden="false" customHeight="false" outlineLevel="0" collapsed="false">
      <c r="A1602" s="8" t="s">
        <v>45</v>
      </c>
      <c r="B1602" s="8" t="s">
        <v>41</v>
      </c>
      <c r="C1602" s="8" t="s">
        <v>60</v>
      </c>
      <c r="D1602" s="21" t="n">
        <v>45895.8784722222</v>
      </c>
      <c r="E1602" s="21" t="n">
        <v>45896.8020833333</v>
      </c>
      <c r="F1602" s="22" t="n">
        <f aca="false">DATE(YEAR(E1602),MONTH(E1602),1)</f>
        <v>45870</v>
      </c>
      <c r="G1602" s="23" t="n">
        <v>120805</v>
      </c>
      <c r="H1602" s="8" t="s">
        <v>64</v>
      </c>
      <c r="I1602" s="24" t="n">
        <v>1.45</v>
      </c>
      <c r="J1602" s="25" t="n">
        <f aca="false">Summary!$B$4</f>
        <v>1</v>
      </c>
      <c r="K1602" s="11" t="n">
        <f aca="false">I1602*J1602*IF(A1602="SILVER",Summary!$B$5,Summary!$B$6)</f>
        <v>145</v>
      </c>
      <c r="L1602" s="26" t="n">
        <v>0.005</v>
      </c>
      <c r="M1602" s="27" t="n">
        <f aca="false">IF(K1602&gt;0,1,0)</f>
        <v>1</v>
      </c>
      <c r="N1602" s="11" t="n">
        <f aca="false">SUMIFS(K$2:K1602,A$2:A1602,A1602,B$2:B1602,B1602)</f>
        <v>1240250</v>
      </c>
      <c r="O1602" s="11" t="n">
        <f aca="false">MAX(0,_xlfn.MAXIFS(N$2:N1602,A$2:A1602,A1602,B$2:B1602,B1602))</f>
        <v>1417022</v>
      </c>
      <c r="P1602" s="11" t="n">
        <f aca="false">N1602-O1602</f>
        <v>-176772</v>
      </c>
    </row>
    <row r="1603" customFormat="false" ht="15" hidden="false" customHeight="false" outlineLevel="0" collapsed="false">
      <c r="A1603" s="8" t="s">
        <v>45</v>
      </c>
      <c r="B1603" s="8" t="s">
        <v>41</v>
      </c>
      <c r="C1603" s="8" t="s">
        <v>60</v>
      </c>
      <c r="D1603" s="21" t="n">
        <v>45902.3784722222</v>
      </c>
      <c r="E1603" s="21" t="n">
        <v>45902.5</v>
      </c>
      <c r="F1603" s="22" t="n">
        <f aca="false">DATE(YEAR(E1603),MONTH(E1603),1)</f>
        <v>45901</v>
      </c>
      <c r="G1603" s="23" t="n">
        <v>124987</v>
      </c>
      <c r="H1603" s="8" t="s">
        <v>61</v>
      </c>
      <c r="I1603" s="24" t="n">
        <v>-321.02</v>
      </c>
      <c r="J1603" s="25" t="n">
        <f aca="false">Summary!$B$4</f>
        <v>1</v>
      </c>
      <c r="K1603" s="11" t="n">
        <f aca="false">I1603*J1603*IF(A1603="SILVER",Summary!$B$5,Summary!$B$6)</f>
        <v>-32102</v>
      </c>
      <c r="L1603" s="26" t="n">
        <v>-0.627</v>
      </c>
      <c r="M1603" s="27" t="n">
        <f aca="false">IF(K1603&gt;0,1,0)</f>
        <v>0</v>
      </c>
      <c r="N1603" s="11" t="n">
        <f aca="false">SUMIFS(K$2:K1603,A$2:A1603,A1603,B$2:B1603,B1603)</f>
        <v>1208148</v>
      </c>
      <c r="O1603" s="11" t="n">
        <f aca="false">MAX(0,_xlfn.MAXIFS(N$2:N1603,A$2:A1603,A1603,B$2:B1603,B1603))</f>
        <v>1417022</v>
      </c>
      <c r="P1603" s="11" t="n">
        <f aca="false">N1603-O1603</f>
        <v>-208874</v>
      </c>
    </row>
    <row r="1604" customFormat="false" ht="15" hidden="false" customHeight="false" outlineLevel="0" collapsed="false">
      <c r="A1604" s="8" t="s">
        <v>45</v>
      </c>
      <c r="B1604" s="8" t="s">
        <v>41</v>
      </c>
      <c r="C1604" s="8" t="s">
        <v>60</v>
      </c>
      <c r="D1604" s="21" t="n">
        <v>45902.7326388889</v>
      </c>
      <c r="E1604" s="21" t="n">
        <v>45904.3784722222</v>
      </c>
      <c r="F1604" s="22" t="n">
        <f aca="false">DATE(YEAR(E1604),MONTH(E1604),1)</f>
        <v>45901</v>
      </c>
      <c r="G1604" s="23" t="n">
        <v>124907</v>
      </c>
      <c r="H1604" s="8" t="s">
        <v>61</v>
      </c>
      <c r="I1604" s="24" t="n">
        <v>684.9</v>
      </c>
      <c r="J1604" s="25" t="n">
        <f aca="false">Summary!$B$4</f>
        <v>1</v>
      </c>
      <c r="K1604" s="11" t="n">
        <f aca="false">I1604*J1604*IF(A1604="SILVER",Summary!$B$5,Summary!$B$6)</f>
        <v>68490</v>
      </c>
      <c r="L1604" s="26" t="n">
        <v>1.398</v>
      </c>
      <c r="M1604" s="27" t="n">
        <f aca="false">IF(K1604&gt;0,1,0)</f>
        <v>1</v>
      </c>
      <c r="N1604" s="11" t="n">
        <f aca="false">SUMIFS(K$2:K1604,A$2:A1604,A1604,B$2:B1604,B1604)</f>
        <v>1276638</v>
      </c>
      <c r="O1604" s="11" t="n">
        <f aca="false">MAX(0,_xlfn.MAXIFS(N$2:N1604,A$2:A1604,A1604,B$2:B1604,B1604))</f>
        <v>1417022</v>
      </c>
      <c r="P1604" s="11" t="n">
        <f aca="false">N1604-O1604</f>
        <v>-140384</v>
      </c>
    </row>
    <row r="1605" customFormat="false" ht="15" hidden="false" customHeight="false" outlineLevel="0" collapsed="false">
      <c r="A1605" s="8" t="s">
        <v>45</v>
      </c>
      <c r="B1605" s="8" t="s">
        <v>41</v>
      </c>
      <c r="C1605" s="8" t="s">
        <v>60</v>
      </c>
      <c r="D1605" s="21" t="n">
        <v>45904.5659722222</v>
      </c>
      <c r="E1605" s="21" t="n">
        <v>45904.8020833333</v>
      </c>
      <c r="F1605" s="22" t="n">
        <f aca="false">DATE(YEAR(E1605),MONTH(E1605),1)</f>
        <v>45901</v>
      </c>
      <c r="G1605" s="23" t="n">
        <v>126231</v>
      </c>
      <c r="H1605" s="8" t="s">
        <v>64</v>
      </c>
      <c r="I1605" s="24" t="n">
        <v>11.17</v>
      </c>
      <c r="J1605" s="25" t="n">
        <f aca="false">Summary!$B$4</f>
        <v>1</v>
      </c>
      <c r="K1605" s="11" t="n">
        <f aca="false">I1605*J1605*IF(A1605="SILVER",Summary!$B$5,Summary!$B$6)</f>
        <v>1117</v>
      </c>
      <c r="L1605" s="26" t="n">
        <v>0.026</v>
      </c>
      <c r="M1605" s="27" t="n">
        <f aca="false">IF(K1605&gt;0,1,0)</f>
        <v>1</v>
      </c>
      <c r="N1605" s="11" t="n">
        <f aca="false">SUMIFS(K$2:K1605,A$2:A1605,A1605,B$2:B1605,B1605)</f>
        <v>1277755</v>
      </c>
      <c r="O1605" s="11" t="n">
        <f aca="false">MAX(0,_xlfn.MAXIFS(N$2:N1605,A$2:A1605,A1605,B$2:B1605,B1605))</f>
        <v>1417022</v>
      </c>
      <c r="P1605" s="11" t="n">
        <f aca="false">N1605-O1605</f>
        <v>-139267</v>
      </c>
    </row>
    <row r="1606" customFormat="false" ht="15" hidden="false" customHeight="false" outlineLevel="0" collapsed="false">
      <c r="A1606" s="8" t="s">
        <v>45</v>
      </c>
      <c r="B1606" s="8" t="s">
        <v>41</v>
      </c>
      <c r="C1606" s="8" t="s">
        <v>60</v>
      </c>
      <c r="D1606" s="21" t="n">
        <v>45905.3784722222</v>
      </c>
      <c r="E1606" s="21" t="n">
        <v>45905.49375</v>
      </c>
      <c r="F1606" s="22" t="n">
        <f aca="false">DATE(YEAR(E1606),MONTH(E1606),1)</f>
        <v>45901</v>
      </c>
      <c r="G1606" s="23" t="n">
        <v>126543</v>
      </c>
      <c r="H1606" s="8" t="s">
        <v>64</v>
      </c>
      <c r="I1606" s="24" t="n">
        <v>24.15</v>
      </c>
      <c r="J1606" s="25" t="n">
        <f aca="false">Summary!$B$4</f>
        <v>1</v>
      </c>
      <c r="K1606" s="11" t="n">
        <f aca="false">I1606*J1606*IF(A1606="SILVER",Summary!$B$5,Summary!$B$6)</f>
        <v>2415</v>
      </c>
      <c r="L1606" s="26" t="n">
        <v>0.044</v>
      </c>
      <c r="M1606" s="27" t="n">
        <f aca="false">IF(K1606&gt;0,1,0)</f>
        <v>1</v>
      </c>
      <c r="N1606" s="11" t="n">
        <f aca="false">SUMIFS(K$2:K1606,A$2:A1606,A1606,B$2:B1606,B1606)</f>
        <v>1280170</v>
      </c>
      <c r="O1606" s="11" t="n">
        <f aca="false">MAX(0,_xlfn.MAXIFS(N$2:N1606,A$2:A1606,A1606,B$2:B1606,B1606))</f>
        <v>1417022</v>
      </c>
      <c r="P1606" s="11" t="n">
        <f aca="false">N1606-O1606</f>
        <v>-136852</v>
      </c>
    </row>
    <row r="1607" customFormat="false" ht="15" hidden="false" customHeight="false" outlineLevel="0" collapsed="false">
      <c r="A1607" s="8" t="s">
        <v>45</v>
      </c>
      <c r="B1607" s="8" t="s">
        <v>41</v>
      </c>
      <c r="C1607" s="8" t="s">
        <v>60</v>
      </c>
      <c r="D1607" s="21" t="n">
        <v>45905.7534722222</v>
      </c>
      <c r="E1607" s="21" t="n">
        <v>45905.8319444444</v>
      </c>
      <c r="F1607" s="22" t="n">
        <f aca="false">DATE(YEAR(E1607),MONTH(E1607),1)</f>
        <v>45901</v>
      </c>
      <c r="G1607" s="23" t="n">
        <v>127125</v>
      </c>
      <c r="H1607" s="8" t="s">
        <v>64</v>
      </c>
      <c r="I1607" s="24" t="n">
        <v>35.63</v>
      </c>
      <c r="J1607" s="25" t="n">
        <f aca="false">Summary!$B$4</f>
        <v>1</v>
      </c>
      <c r="K1607" s="11" t="n">
        <f aca="false">I1607*J1607*IF(A1607="SILVER",Summary!$B$5,Summary!$B$6)</f>
        <v>3563</v>
      </c>
      <c r="L1607" s="26" t="n">
        <v>0.053</v>
      </c>
      <c r="M1607" s="27" t="n">
        <f aca="false">IF(K1607&gt;0,1,0)</f>
        <v>1</v>
      </c>
      <c r="N1607" s="11" t="n">
        <f aca="false">SUMIFS(K$2:K1607,A$2:A1607,A1607,B$2:B1607,B1607)</f>
        <v>1283733</v>
      </c>
      <c r="O1607" s="11" t="n">
        <f aca="false">MAX(0,_xlfn.MAXIFS(N$2:N1607,A$2:A1607,A1607,B$2:B1607,B1607))</f>
        <v>1417022</v>
      </c>
      <c r="P1607" s="11" t="n">
        <f aca="false">N1607-O1607</f>
        <v>-133289</v>
      </c>
    </row>
    <row r="1608" customFormat="false" ht="15" hidden="false" customHeight="false" outlineLevel="0" collapsed="false">
      <c r="A1608" s="8" t="s">
        <v>45</v>
      </c>
      <c r="B1608" s="8" t="s">
        <v>41</v>
      </c>
      <c r="C1608" s="8" t="s">
        <v>60</v>
      </c>
      <c r="D1608" s="21" t="n">
        <v>45908.53125</v>
      </c>
      <c r="E1608" s="21" t="n">
        <v>45909.5</v>
      </c>
      <c r="F1608" s="22" t="n">
        <f aca="false">DATE(YEAR(E1608),MONTH(E1608),1)</f>
        <v>45901</v>
      </c>
      <c r="G1608" s="23" t="n">
        <v>127397</v>
      </c>
      <c r="H1608" s="8" t="s">
        <v>61</v>
      </c>
      <c r="I1608" s="24" t="n">
        <v>1207.35</v>
      </c>
      <c r="J1608" s="25" t="n">
        <f aca="false">Summary!$B$4</f>
        <v>1</v>
      </c>
      <c r="K1608" s="11" t="n">
        <f aca="false">I1608*J1608*IF(A1608="SILVER",Summary!$B$5,Summary!$B$6)</f>
        <v>120735</v>
      </c>
      <c r="L1608" s="26" t="n">
        <v>2.765</v>
      </c>
      <c r="M1608" s="27" t="n">
        <f aca="false">IF(K1608&gt;0,1,0)</f>
        <v>1</v>
      </c>
      <c r="N1608" s="11" t="n">
        <f aca="false">SUMIFS(K$2:K1608,A$2:A1608,A1608,B$2:B1608,B1608)</f>
        <v>1404468</v>
      </c>
      <c r="O1608" s="11" t="n">
        <f aca="false">MAX(0,_xlfn.MAXIFS(N$2:N1608,A$2:A1608,A1608,B$2:B1608,B1608))</f>
        <v>1417022</v>
      </c>
      <c r="P1608" s="11" t="n">
        <f aca="false">N1608-O1608</f>
        <v>-12554</v>
      </c>
    </row>
    <row r="1609" customFormat="false" ht="15" hidden="false" customHeight="false" outlineLevel="0" collapsed="false">
      <c r="A1609" s="8" t="s">
        <v>45</v>
      </c>
      <c r="B1609" s="8" t="s">
        <v>41</v>
      </c>
      <c r="C1609" s="8" t="s">
        <v>60</v>
      </c>
      <c r="D1609" s="21" t="n">
        <v>45909.7916666667</v>
      </c>
      <c r="E1609" s="21" t="n">
        <v>45909.8145833333</v>
      </c>
      <c r="F1609" s="22" t="n">
        <f aca="false">DATE(YEAR(E1609),MONTH(E1609),1)</f>
        <v>45901</v>
      </c>
      <c r="G1609" s="23" t="n">
        <v>129250</v>
      </c>
      <c r="H1609" s="8" t="s">
        <v>64</v>
      </c>
      <c r="I1609" s="24" t="n">
        <v>14.9</v>
      </c>
      <c r="J1609" s="25" t="n">
        <f aca="false">Summary!$B$4</f>
        <v>1</v>
      </c>
      <c r="K1609" s="11" t="n">
        <f aca="false">I1609*J1609*IF(A1609="SILVER",Summary!$B$5,Summary!$B$6)</f>
        <v>1490</v>
      </c>
      <c r="L1609" s="26" t="n">
        <v>0.032</v>
      </c>
      <c r="M1609" s="27" t="n">
        <f aca="false">IF(K1609&gt;0,1,0)</f>
        <v>1</v>
      </c>
      <c r="N1609" s="11" t="n">
        <f aca="false">SUMIFS(K$2:K1609,A$2:A1609,A1609,B$2:B1609,B1609)</f>
        <v>1405958</v>
      </c>
      <c r="O1609" s="11" t="n">
        <f aca="false">MAX(0,_xlfn.MAXIFS(N$2:N1609,A$2:A1609,A1609,B$2:B1609,B1609))</f>
        <v>1417022</v>
      </c>
      <c r="P1609" s="11" t="n">
        <f aca="false">N1609-O1609</f>
        <v>-11064</v>
      </c>
    </row>
    <row r="1610" customFormat="false" ht="15" hidden="false" customHeight="false" outlineLevel="0" collapsed="false">
      <c r="A1610" s="8" t="s">
        <v>45</v>
      </c>
      <c r="B1610" s="8" t="s">
        <v>41</v>
      </c>
      <c r="C1610" s="8" t="s">
        <v>60</v>
      </c>
      <c r="D1610" s="21" t="n">
        <v>45910.6631944445</v>
      </c>
      <c r="E1610" s="21" t="n">
        <v>45910.7638888889</v>
      </c>
      <c r="F1610" s="22" t="n">
        <f aca="false">DATE(YEAR(E1610),MONTH(E1610),1)</f>
        <v>45901</v>
      </c>
      <c r="G1610" s="23" t="n">
        <v>129057</v>
      </c>
      <c r="H1610" s="8" t="s">
        <v>61</v>
      </c>
      <c r="I1610" s="24" t="n">
        <v>-306.83</v>
      </c>
      <c r="J1610" s="25" t="n">
        <f aca="false">Summary!$B$4</f>
        <v>1</v>
      </c>
      <c r="K1610" s="11" t="n">
        <f aca="false">I1610*J1610*IF(A1610="SILVER",Summary!$B$5,Summary!$B$6)</f>
        <v>-30683</v>
      </c>
      <c r="L1610" s="26" t="n">
        <v>-0.892</v>
      </c>
      <c r="M1610" s="27" t="n">
        <f aca="false">IF(K1610&gt;0,1,0)</f>
        <v>0</v>
      </c>
      <c r="N1610" s="11" t="n">
        <f aca="false">SUMIFS(K$2:K1610,A$2:A1610,A1610,B$2:B1610,B1610)</f>
        <v>1375275</v>
      </c>
      <c r="O1610" s="11" t="n">
        <f aca="false">MAX(0,_xlfn.MAXIFS(N$2:N1610,A$2:A1610,A1610,B$2:B1610,B1610))</f>
        <v>1417022</v>
      </c>
      <c r="P1610" s="11" t="n">
        <f aca="false">N1610-O1610</f>
        <v>-41747</v>
      </c>
    </row>
    <row r="1611" customFormat="false" ht="15" hidden="false" customHeight="false" outlineLevel="0" collapsed="false">
      <c r="A1611" s="8" t="s">
        <v>45</v>
      </c>
      <c r="B1611" s="8" t="s">
        <v>41</v>
      </c>
      <c r="C1611" s="8" t="s">
        <v>60</v>
      </c>
      <c r="D1611" s="21" t="n">
        <v>45911.7534722222</v>
      </c>
      <c r="E1611" s="21" t="n">
        <v>45912.5729166667</v>
      </c>
      <c r="F1611" s="22" t="n">
        <f aca="false">DATE(YEAR(E1611),MONTH(E1611),1)</f>
        <v>45901</v>
      </c>
      <c r="G1611" s="23" t="n">
        <v>128812</v>
      </c>
      <c r="H1611" s="8" t="s">
        <v>61</v>
      </c>
      <c r="I1611" s="24" t="n">
        <v>145.17</v>
      </c>
      <c r="J1611" s="25" t="n">
        <f aca="false">Summary!$B$4</f>
        <v>1</v>
      </c>
      <c r="K1611" s="11" t="n">
        <f aca="false">I1611*J1611*IF(A1611="SILVER",Summary!$B$5,Summary!$B$6)</f>
        <v>14517</v>
      </c>
      <c r="L1611" s="26" t="n">
        <v>0.21</v>
      </c>
      <c r="M1611" s="27" t="n">
        <f aca="false">IF(K1611&gt;0,1,0)</f>
        <v>1</v>
      </c>
      <c r="N1611" s="11" t="n">
        <f aca="false">SUMIFS(K$2:K1611,A$2:A1611,A1611,B$2:B1611,B1611)</f>
        <v>1389792</v>
      </c>
      <c r="O1611" s="11" t="n">
        <f aca="false">MAX(0,_xlfn.MAXIFS(N$2:N1611,A$2:A1611,A1611,B$2:B1611,B1611))</f>
        <v>1417022</v>
      </c>
      <c r="P1611" s="11" t="n">
        <f aca="false">N1611-O1611</f>
        <v>-27230</v>
      </c>
    </row>
    <row r="1612" customFormat="false" ht="15" hidden="false" customHeight="false" outlineLevel="0" collapsed="false">
      <c r="A1612" s="8" t="s">
        <v>45</v>
      </c>
      <c r="B1612" s="8" t="s">
        <v>41</v>
      </c>
      <c r="C1612" s="8" t="s">
        <v>60</v>
      </c>
      <c r="D1612" s="21" t="n">
        <v>45915.7881944445</v>
      </c>
      <c r="E1612" s="21" t="n">
        <v>45916.7743055556</v>
      </c>
      <c r="F1612" s="22" t="n">
        <f aca="false">DATE(YEAR(E1612),MONTH(E1612),1)</f>
        <v>45901</v>
      </c>
      <c r="G1612" s="23" t="n">
        <v>129039</v>
      </c>
      <c r="H1612" s="8" t="s">
        <v>61</v>
      </c>
      <c r="I1612" s="24" t="n">
        <v>970.05</v>
      </c>
      <c r="J1612" s="25" t="n">
        <f aca="false">Summary!$B$4</f>
        <v>1</v>
      </c>
      <c r="K1612" s="11" t="n">
        <f aca="false">I1612*J1612*IF(A1612="SILVER",Summary!$B$5,Summary!$B$6)</f>
        <v>97005</v>
      </c>
      <c r="L1612" s="26" t="n">
        <v>2.77</v>
      </c>
      <c r="M1612" s="27" t="n">
        <f aca="false">IF(K1612&gt;0,1,0)</f>
        <v>1</v>
      </c>
      <c r="N1612" s="11" t="n">
        <f aca="false">SUMIFS(K$2:K1612,A$2:A1612,A1612,B$2:B1612,B1612)</f>
        <v>1486797</v>
      </c>
      <c r="O1612" s="11" t="n">
        <f aca="false">MAX(0,_xlfn.MAXIFS(N$2:N1612,A$2:A1612,A1612,B$2:B1612,B1612))</f>
        <v>1486797</v>
      </c>
      <c r="P1612" s="11" t="n">
        <f aca="false">N1612-O1612</f>
        <v>0</v>
      </c>
    </row>
    <row r="1613" customFormat="false" ht="15" hidden="false" customHeight="false" outlineLevel="0" collapsed="false">
      <c r="A1613" s="8" t="s">
        <v>45</v>
      </c>
      <c r="B1613" s="8" t="s">
        <v>41</v>
      </c>
      <c r="C1613" s="8" t="s">
        <v>60</v>
      </c>
      <c r="D1613" s="21" t="n">
        <v>45917.7569444445</v>
      </c>
      <c r="E1613" s="21" t="n">
        <v>45917.8027777778</v>
      </c>
      <c r="F1613" s="22" t="n">
        <f aca="false">DATE(YEAR(E1613),MONTH(E1613),1)</f>
        <v>45901</v>
      </c>
      <c r="G1613" s="23" t="n">
        <v>129357</v>
      </c>
      <c r="H1613" s="8" t="s">
        <v>64</v>
      </c>
      <c r="I1613" s="24" t="n">
        <v>7.33</v>
      </c>
      <c r="J1613" s="25" t="n">
        <f aca="false">Summary!$B$4</f>
        <v>1</v>
      </c>
      <c r="K1613" s="11" t="n">
        <f aca="false">I1613*J1613*IF(A1613="SILVER",Summary!$B$5,Summary!$B$6)</f>
        <v>733</v>
      </c>
      <c r="L1613" s="26" t="n">
        <v>0.019</v>
      </c>
      <c r="M1613" s="27" t="n">
        <f aca="false">IF(K1613&gt;0,1,0)</f>
        <v>1</v>
      </c>
      <c r="N1613" s="11" t="n">
        <f aca="false">SUMIFS(K$2:K1613,A$2:A1613,A1613,B$2:B1613,B1613)</f>
        <v>1487530</v>
      </c>
      <c r="O1613" s="11" t="n">
        <f aca="false">MAX(0,_xlfn.MAXIFS(N$2:N1613,A$2:A1613,A1613,B$2:B1613,B1613))</f>
        <v>1487530</v>
      </c>
      <c r="P1613" s="11" t="n">
        <f aca="false">N1613-O1613</f>
        <v>0</v>
      </c>
    </row>
    <row r="1614" customFormat="false" ht="15" hidden="false" customHeight="false" outlineLevel="0" collapsed="false">
      <c r="A1614" s="8" t="s">
        <v>45</v>
      </c>
      <c r="B1614" s="8" t="s">
        <v>41</v>
      </c>
      <c r="C1614" s="8" t="s">
        <v>60</v>
      </c>
      <c r="D1614" s="21" t="n">
        <v>45918.5520833333</v>
      </c>
      <c r="E1614" s="21" t="n">
        <v>45918.775</v>
      </c>
      <c r="F1614" s="22" t="n">
        <f aca="false">DATE(YEAR(E1614),MONTH(E1614),1)</f>
        <v>45901</v>
      </c>
      <c r="G1614" s="23" t="n">
        <v>129087</v>
      </c>
      <c r="H1614" s="8" t="s">
        <v>64</v>
      </c>
      <c r="I1614" s="24" t="n">
        <v>27.38</v>
      </c>
      <c r="J1614" s="25" t="n">
        <f aca="false">Summary!$B$4</f>
        <v>1</v>
      </c>
      <c r="K1614" s="11" t="n">
        <f aca="false">I1614*J1614*IF(A1614="SILVER",Summary!$B$5,Summary!$B$6)</f>
        <v>2738</v>
      </c>
      <c r="L1614" s="26" t="n">
        <v>0.046</v>
      </c>
      <c r="M1614" s="27" t="n">
        <f aca="false">IF(K1614&gt;0,1,0)</f>
        <v>1</v>
      </c>
      <c r="N1614" s="11" t="n">
        <f aca="false">SUMIFS(K$2:K1614,A$2:A1614,A1614,B$2:B1614,B1614)</f>
        <v>1490268</v>
      </c>
      <c r="O1614" s="11" t="n">
        <f aca="false">MAX(0,_xlfn.MAXIFS(N$2:N1614,A$2:A1614,A1614,B$2:B1614,B1614))</f>
        <v>1490268</v>
      </c>
      <c r="P1614" s="11" t="n">
        <f aca="false">N1614-O1614</f>
        <v>0</v>
      </c>
    </row>
    <row r="1615" customFormat="false" ht="15" hidden="false" customHeight="false" outlineLevel="0" collapsed="false">
      <c r="A1615" s="8" t="s">
        <v>45</v>
      </c>
      <c r="B1615" s="8" t="s">
        <v>41</v>
      </c>
      <c r="C1615" s="8" t="s">
        <v>60</v>
      </c>
      <c r="D1615" s="21" t="n">
        <v>45919.3784722222</v>
      </c>
      <c r="E1615" s="21" t="n">
        <v>45919.4618055556</v>
      </c>
      <c r="F1615" s="22" t="n">
        <f aca="false">DATE(YEAR(E1615),MONTH(E1615),1)</f>
        <v>45901</v>
      </c>
      <c r="G1615" s="23" t="n">
        <v>129160</v>
      </c>
      <c r="H1615" s="8" t="s">
        <v>64</v>
      </c>
      <c r="I1615" s="24" t="n">
        <v>16.42</v>
      </c>
      <c r="J1615" s="25" t="n">
        <f aca="false">Summary!$B$4</f>
        <v>1</v>
      </c>
      <c r="K1615" s="11" t="n">
        <f aca="false">I1615*J1615*IF(A1615="SILVER",Summary!$B$5,Summary!$B$6)</f>
        <v>1642</v>
      </c>
      <c r="L1615" s="26" t="n">
        <v>0.034</v>
      </c>
      <c r="M1615" s="27" t="n">
        <f aca="false">IF(K1615&gt;0,1,0)</f>
        <v>1</v>
      </c>
      <c r="N1615" s="11" t="n">
        <f aca="false">SUMIFS(K$2:K1615,A$2:A1615,A1615,B$2:B1615,B1615)</f>
        <v>1491910</v>
      </c>
      <c r="O1615" s="11" t="n">
        <f aca="false">MAX(0,_xlfn.MAXIFS(N$2:N1615,A$2:A1615,A1615,B$2:B1615,B1615))</f>
        <v>1491910</v>
      </c>
      <c r="P1615" s="11" t="n">
        <f aca="false">N1615-O1615</f>
        <v>0</v>
      </c>
    </row>
    <row r="1616" customFormat="false" ht="15" hidden="false" customHeight="false" outlineLevel="0" collapsed="false">
      <c r="A1616" s="8" t="s">
        <v>45</v>
      </c>
      <c r="B1616" s="8" t="s">
        <v>41</v>
      </c>
      <c r="C1616" s="8" t="s">
        <v>60</v>
      </c>
      <c r="D1616" s="21" t="n">
        <v>45919.8090277778</v>
      </c>
      <c r="E1616" s="21" t="n">
        <v>45922.7465277778</v>
      </c>
      <c r="F1616" s="22" t="n">
        <f aca="false">DATE(YEAR(E1616),MONTH(E1616),1)</f>
        <v>45901</v>
      </c>
      <c r="G1616" s="23" t="n">
        <v>129177</v>
      </c>
      <c r="H1616" s="8" t="s">
        <v>61</v>
      </c>
      <c r="I1616" s="24" t="n">
        <v>1809.93</v>
      </c>
      <c r="J1616" s="25" t="n">
        <f aca="false">Summary!$B$4</f>
        <v>1</v>
      </c>
      <c r="K1616" s="11" t="n">
        <f aca="false">I1616*J1616*IF(A1616="SILVER",Summary!$B$5,Summary!$B$6)</f>
        <v>180993</v>
      </c>
      <c r="L1616" s="26" t="n">
        <v>4.517</v>
      </c>
      <c r="M1616" s="27" t="n">
        <f aca="false">IF(K1616&gt;0,1,0)</f>
        <v>1</v>
      </c>
      <c r="N1616" s="11" t="n">
        <f aca="false">SUMIFS(K$2:K1616,A$2:A1616,A1616,B$2:B1616,B1616)</f>
        <v>1672903</v>
      </c>
      <c r="O1616" s="11" t="n">
        <f aca="false">MAX(0,_xlfn.MAXIFS(N$2:N1616,A$2:A1616,A1616,B$2:B1616,B1616))</f>
        <v>1672903</v>
      </c>
      <c r="P1616" s="11" t="n">
        <f aca="false">N1616-O1616</f>
        <v>0</v>
      </c>
    </row>
    <row r="1617" customFormat="false" ht="15" hidden="false" customHeight="false" outlineLevel="0" collapsed="false">
      <c r="A1617" s="8" t="s">
        <v>45</v>
      </c>
      <c r="B1617" s="8" t="s">
        <v>41</v>
      </c>
      <c r="C1617" s="8" t="s">
        <v>60</v>
      </c>
      <c r="D1617" s="21" t="n">
        <v>45922.875</v>
      </c>
      <c r="E1617" s="21" t="n">
        <v>45923.8263888889</v>
      </c>
      <c r="F1617" s="22" t="n">
        <f aca="false">DATE(YEAR(E1617),MONTH(E1617),1)</f>
        <v>45901</v>
      </c>
      <c r="G1617" s="23" t="n">
        <v>131553</v>
      </c>
      <c r="H1617" s="8" t="s">
        <v>61</v>
      </c>
      <c r="I1617" s="24" t="n">
        <v>1766.46</v>
      </c>
      <c r="J1617" s="25" t="n">
        <f aca="false">Summary!$B$4</f>
        <v>1</v>
      </c>
      <c r="K1617" s="11" t="n">
        <f aca="false">I1617*J1617*IF(A1617="SILVER",Summary!$B$5,Summary!$B$6)</f>
        <v>176646</v>
      </c>
      <c r="L1617" s="26" t="n">
        <v>3.194</v>
      </c>
      <c r="M1617" s="27" t="n">
        <f aca="false">IF(K1617&gt;0,1,0)</f>
        <v>1</v>
      </c>
      <c r="N1617" s="11" t="n">
        <f aca="false">SUMIFS(K$2:K1617,A$2:A1617,A1617,B$2:B1617,B1617)</f>
        <v>1849549</v>
      </c>
      <c r="O1617" s="11" t="n">
        <f aca="false">MAX(0,_xlfn.MAXIFS(N$2:N1617,A$2:A1617,A1617,B$2:B1617,B1617))</f>
        <v>1849549</v>
      </c>
      <c r="P1617" s="11" t="n">
        <f aca="false">N1617-O1617</f>
        <v>0</v>
      </c>
    </row>
    <row r="1618" customFormat="false" ht="15" hidden="false" customHeight="false" outlineLevel="0" collapsed="false">
      <c r="A1618" s="8" t="s">
        <v>45</v>
      </c>
      <c r="B1618" s="8" t="s">
        <v>41</v>
      </c>
      <c r="C1618" s="8" t="s">
        <v>60</v>
      </c>
      <c r="D1618" s="21" t="n">
        <v>45925.4895833333</v>
      </c>
      <c r="E1618" s="21" t="n">
        <v>45925.6951388889</v>
      </c>
      <c r="F1618" s="22" t="n">
        <f aca="false">DATE(YEAR(E1618),MONTH(E1618),1)</f>
        <v>45901</v>
      </c>
      <c r="G1618" s="23" t="n">
        <v>132526</v>
      </c>
      <c r="H1618" s="8" t="s">
        <v>64</v>
      </c>
      <c r="I1618" s="24" t="n">
        <v>18.85</v>
      </c>
      <c r="J1618" s="25" t="n">
        <f aca="false">Summary!$B$4</f>
        <v>1</v>
      </c>
      <c r="K1618" s="11" t="n">
        <f aca="false">I1618*J1618*IF(A1618="SILVER",Summary!$B$5,Summary!$B$6)</f>
        <v>1885</v>
      </c>
      <c r="L1618" s="26" t="n">
        <v>0.037</v>
      </c>
      <c r="M1618" s="27" t="n">
        <f aca="false">IF(K1618&gt;0,1,0)</f>
        <v>1</v>
      </c>
      <c r="N1618" s="11" t="n">
        <f aca="false">SUMIFS(K$2:K1618,A$2:A1618,A1618,B$2:B1618,B1618)</f>
        <v>1851434</v>
      </c>
      <c r="O1618" s="11" t="n">
        <f aca="false">MAX(0,_xlfn.MAXIFS(N$2:N1618,A$2:A1618,A1618,B$2:B1618,B1618))</f>
        <v>1851434</v>
      </c>
      <c r="P1618" s="11" t="n">
        <f aca="false">N1618-O1618</f>
        <v>0</v>
      </c>
    </row>
    <row r="1619" customFormat="false" ht="15" hidden="false" customHeight="false" outlineLevel="0" collapsed="false">
      <c r="A1619" s="8" t="s">
        <v>45</v>
      </c>
      <c r="B1619" s="8" t="s">
        <v>41</v>
      </c>
      <c r="C1619" s="8" t="s">
        <v>60</v>
      </c>
      <c r="D1619" s="21" t="n">
        <v>45926.4930555556</v>
      </c>
      <c r="E1619" s="21" t="n">
        <v>45930.5715277778</v>
      </c>
      <c r="F1619" s="22" t="n">
        <f aca="false">DATE(YEAR(E1619),MONTH(E1619),1)</f>
        <v>45901</v>
      </c>
      <c r="G1619" s="23" t="n">
        <v>132877</v>
      </c>
      <c r="H1619" s="8" t="s">
        <v>61</v>
      </c>
      <c r="I1619" s="24" t="n">
        <v>2780.1</v>
      </c>
      <c r="J1619" s="25" t="n">
        <f aca="false">Summary!$B$4</f>
        <v>1</v>
      </c>
      <c r="K1619" s="11" t="n">
        <f aca="false">I1619*J1619*IF(A1619="SILVER",Summary!$B$5,Summary!$B$6)</f>
        <v>278010</v>
      </c>
      <c r="L1619" s="26" t="n">
        <v>5.244</v>
      </c>
      <c r="M1619" s="27" t="n">
        <f aca="false">IF(K1619&gt;0,1,0)</f>
        <v>1</v>
      </c>
      <c r="N1619" s="11" t="n">
        <f aca="false">SUMIFS(K$2:K1619,A$2:A1619,A1619,B$2:B1619,B1619)</f>
        <v>2129444</v>
      </c>
      <c r="O1619" s="11" t="n">
        <f aca="false">MAX(0,_xlfn.MAXIFS(N$2:N1619,A$2:A1619,A1619,B$2:B1619,B1619))</f>
        <v>2129444</v>
      </c>
      <c r="P1619" s="11" t="n">
        <f aca="false">N1619-O1619</f>
        <v>0</v>
      </c>
    </row>
    <row r="1620" customFormat="false" ht="15" hidden="false" customHeight="false" outlineLevel="0" collapsed="false">
      <c r="A1620" s="8" t="s">
        <v>45</v>
      </c>
      <c r="B1620" s="8" t="s">
        <v>41</v>
      </c>
      <c r="C1620" s="8" t="s">
        <v>60</v>
      </c>
      <c r="D1620" s="21" t="n">
        <v>45930.95625</v>
      </c>
      <c r="E1620" s="21" t="n">
        <v>45933.4131944445</v>
      </c>
      <c r="F1620" s="22" t="n">
        <f aca="false">DATE(YEAR(E1620),MONTH(E1620),1)</f>
        <v>45931</v>
      </c>
      <c r="G1620" s="23" t="n">
        <v>136275</v>
      </c>
      <c r="H1620" s="8" t="s">
        <v>64</v>
      </c>
      <c r="I1620" s="24" t="n">
        <v>47.72</v>
      </c>
      <c r="J1620" s="25" t="n">
        <f aca="false">Summary!$B$4</f>
        <v>1</v>
      </c>
      <c r="K1620" s="11" t="n">
        <f aca="false">I1620*J1620*IF(A1620="SILVER",Summary!$B$5,Summary!$B$6)</f>
        <v>4772</v>
      </c>
      <c r="L1620" s="26" t="n">
        <v>0.029</v>
      </c>
      <c r="M1620" s="27" t="n">
        <f aca="false">IF(K1620&gt;0,1,0)</f>
        <v>1</v>
      </c>
      <c r="N1620" s="11" t="n">
        <f aca="false">SUMIFS(K$2:K1620,A$2:A1620,A1620,B$2:B1620,B1620)</f>
        <v>2134216</v>
      </c>
      <c r="O1620" s="11" t="n">
        <f aca="false">MAX(0,_xlfn.MAXIFS(N$2:N1620,A$2:A1620,A1620,B$2:B1620,B1620))</f>
        <v>2134216</v>
      </c>
      <c r="P1620" s="11" t="n">
        <f aca="false">N1620-O1620</f>
        <v>0</v>
      </c>
    </row>
    <row r="1621" customFormat="false" ht="15" hidden="false" customHeight="false" outlineLevel="0" collapsed="false">
      <c r="A1621" s="8" t="s">
        <v>45</v>
      </c>
      <c r="B1621" s="8" t="s">
        <v>41</v>
      </c>
      <c r="C1621" s="8" t="s">
        <v>60</v>
      </c>
      <c r="D1621" s="21" t="n">
        <v>45933.9027777778</v>
      </c>
      <c r="E1621" s="21" t="n">
        <v>45937.5104166667</v>
      </c>
      <c r="F1621" s="22" t="n">
        <f aca="false">DATE(YEAR(E1621),MONTH(E1621),1)</f>
        <v>45931</v>
      </c>
      <c r="G1621" s="23" t="n">
        <v>137277</v>
      </c>
      <c r="H1621" s="8" t="s">
        <v>61</v>
      </c>
      <c r="I1621" s="24" t="n">
        <v>1355.15</v>
      </c>
      <c r="J1621" s="25" t="n">
        <f aca="false">Summary!$B$4</f>
        <v>1</v>
      </c>
      <c r="K1621" s="11" t="n">
        <f aca="false">I1621*J1621*IF(A1621="SILVER",Summary!$B$5,Summary!$B$6)</f>
        <v>135515</v>
      </c>
      <c r="L1621" s="26" t="n">
        <v>0.866</v>
      </c>
      <c r="M1621" s="27" t="n">
        <f aca="false">IF(K1621&gt;0,1,0)</f>
        <v>1</v>
      </c>
      <c r="N1621" s="11" t="n">
        <f aca="false">SUMIFS(K$2:K1621,A$2:A1621,A1621,B$2:B1621,B1621)</f>
        <v>2269731</v>
      </c>
      <c r="O1621" s="11" t="n">
        <f aca="false">MAX(0,_xlfn.MAXIFS(N$2:N1621,A$2:A1621,A1621,B$2:B1621,B1621))</f>
        <v>2269731</v>
      </c>
      <c r="P1621" s="11" t="n">
        <f aca="false">N1621-O1621</f>
        <v>0</v>
      </c>
    </row>
    <row r="1622" customFormat="false" ht="15" hidden="false" customHeight="false" outlineLevel="0" collapsed="false">
      <c r="A1622" s="8" t="s">
        <v>45</v>
      </c>
      <c r="B1622" s="8" t="s">
        <v>41</v>
      </c>
      <c r="C1622" s="8" t="s">
        <v>60</v>
      </c>
      <c r="D1622" s="21" t="n">
        <v>45937.6840277778</v>
      </c>
      <c r="E1622" s="21" t="n">
        <v>45937.8881944444</v>
      </c>
      <c r="F1622" s="22" t="n">
        <f aca="false">DATE(YEAR(E1622),MONTH(E1622),1)</f>
        <v>45931</v>
      </c>
      <c r="G1622" s="23" t="n">
        <v>138865</v>
      </c>
      <c r="H1622" s="8" t="s">
        <v>64</v>
      </c>
      <c r="I1622" s="24" t="n">
        <v>19.11</v>
      </c>
      <c r="J1622" s="25" t="n">
        <f aca="false">Summary!$B$4</f>
        <v>1</v>
      </c>
      <c r="K1622" s="11" t="n">
        <f aca="false">I1622*J1622*IF(A1622="SILVER",Summary!$B$5,Summary!$B$6)</f>
        <v>1911</v>
      </c>
      <c r="L1622" s="26" t="n">
        <v>0.036</v>
      </c>
      <c r="M1622" s="27" t="n">
        <f aca="false">IF(K1622&gt;0,1,0)</f>
        <v>1</v>
      </c>
      <c r="N1622" s="11" t="n">
        <f aca="false">SUMIFS(K$2:K1622,A$2:A1622,A1622,B$2:B1622,B1622)</f>
        <v>2271642</v>
      </c>
      <c r="O1622" s="11" t="n">
        <f aca="false">MAX(0,_xlfn.MAXIFS(N$2:N1622,A$2:A1622,A1622,B$2:B1622,B1622))</f>
        <v>2271642</v>
      </c>
      <c r="P1622" s="11" t="n">
        <f aca="false">N1622-O1622</f>
        <v>0</v>
      </c>
    </row>
    <row r="1623" customFormat="false" ht="15" hidden="false" customHeight="false" outlineLevel="0" collapsed="false">
      <c r="A1623" s="8" t="s">
        <v>45</v>
      </c>
      <c r="B1623" s="8" t="s">
        <v>41</v>
      </c>
      <c r="C1623" s="8" t="s">
        <v>60</v>
      </c>
      <c r="D1623" s="21" t="n">
        <v>45939.7673611111</v>
      </c>
      <c r="E1623" s="21" t="n">
        <v>45939.78125</v>
      </c>
      <c r="F1623" s="22" t="n">
        <f aca="false">DATE(YEAR(E1623),MONTH(E1623),1)</f>
        <v>45931</v>
      </c>
      <c r="G1623" s="23" t="n">
        <v>141731</v>
      </c>
      <c r="H1623" s="8" t="s">
        <v>64</v>
      </c>
      <c r="I1623" s="24" t="n">
        <v>17.48</v>
      </c>
      <c r="J1623" s="25" t="n">
        <f aca="false">Summary!$B$4</f>
        <v>1</v>
      </c>
      <c r="K1623" s="11" t="n">
        <f aca="false">I1623*J1623*IF(A1623="SILVER",Summary!$B$5,Summary!$B$6)</f>
        <v>1748</v>
      </c>
      <c r="L1623" s="26" t="n">
        <v>0.033</v>
      </c>
      <c r="M1623" s="27" t="n">
        <f aca="false">IF(K1623&gt;0,1,0)</f>
        <v>1</v>
      </c>
      <c r="N1623" s="11" t="n">
        <f aca="false">SUMIFS(K$2:K1623,A$2:A1623,A1623,B$2:B1623,B1623)</f>
        <v>2273390</v>
      </c>
      <c r="O1623" s="11" t="n">
        <f aca="false">MAX(0,_xlfn.MAXIFS(N$2:N1623,A$2:A1623,A1623,B$2:B1623,B1623))</f>
        <v>2273390</v>
      </c>
      <c r="P1623" s="11" t="n">
        <f aca="false">N1623-O1623</f>
        <v>0</v>
      </c>
    </row>
    <row r="1624" customFormat="false" ht="15" hidden="false" customHeight="false" outlineLevel="0" collapsed="false">
      <c r="A1624" s="8" t="s">
        <v>45</v>
      </c>
      <c r="B1624" s="8" t="s">
        <v>41</v>
      </c>
      <c r="C1624" s="8" t="s">
        <v>60</v>
      </c>
      <c r="D1624" s="21" t="n">
        <v>45940.6076388889</v>
      </c>
      <c r="E1624" s="21" t="n">
        <v>45940.6472222222</v>
      </c>
      <c r="F1624" s="22" t="n">
        <f aca="false">DATE(YEAR(E1624),MONTH(E1624),1)</f>
        <v>45931</v>
      </c>
      <c r="G1624" s="23" t="n">
        <v>139630</v>
      </c>
      <c r="H1624" s="8" t="s">
        <v>64</v>
      </c>
      <c r="I1624" s="24" t="n">
        <v>36.13</v>
      </c>
      <c r="J1624" s="25" t="n">
        <f aca="false">Summary!$B$4</f>
        <v>1</v>
      </c>
      <c r="K1624" s="11" t="n">
        <f aca="false">I1624*J1624*IF(A1624="SILVER",Summary!$B$5,Summary!$B$6)</f>
        <v>3613</v>
      </c>
      <c r="L1624" s="26" t="n">
        <v>0.051</v>
      </c>
      <c r="M1624" s="27" t="n">
        <f aca="false">IF(K1624&gt;0,1,0)</f>
        <v>1</v>
      </c>
      <c r="N1624" s="11" t="n">
        <f aca="false">SUMIFS(K$2:K1624,A$2:A1624,A1624,B$2:B1624,B1624)</f>
        <v>2277003</v>
      </c>
      <c r="O1624" s="11" t="n">
        <f aca="false">MAX(0,_xlfn.MAXIFS(N$2:N1624,A$2:A1624,A1624,B$2:B1624,B1624))</f>
        <v>2277003</v>
      </c>
      <c r="P1624" s="11" t="n">
        <f aca="false">N1624-O1624</f>
        <v>0</v>
      </c>
    </row>
    <row r="1625" customFormat="false" ht="15" hidden="false" customHeight="false" outlineLevel="0" collapsed="false">
      <c r="A1625" s="8" t="s">
        <v>45</v>
      </c>
      <c r="B1625" s="8" t="s">
        <v>41</v>
      </c>
      <c r="C1625" s="8" t="s">
        <v>60</v>
      </c>
      <c r="D1625" s="21" t="n">
        <v>45940.8611111111</v>
      </c>
      <c r="E1625" s="21" t="n">
        <v>45940.9444444445</v>
      </c>
      <c r="F1625" s="22" t="n">
        <f aca="false">DATE(YEAR(E1625),MONTH(E1625),1)</f>
        <v>45931</v>
      </c>
      <c r="G1625" s="23" t="n">
        <v>140251</v>
      </c>
      <c r="H1625" s="8" t="s">
        <v>61</v>
      </c>
      <c r="I1625" s="24" t="n">
        <v>-1024.29</v>
      </c>
      <c r="J1625" s="25" t="n">
        <f aca="false">Summary!$B$4</f>
        <v>1</v>
      </c>
      <c r="K1625" s="11" t="n">
        <f aca="false">I1625*J1625*IF(A1625="SILVER",Summary!$B$5,Summary!$B$6)</f>
        <v>-102429</v>
      </c>
      <c r="L1625" s="26" t="n">
        <v>-0.747</v>
      </c>
      <c r="M1625" s="27" t="n">
        <f aca="false">IF(K1625&gt;0,1,0)</f>
        <v>0</v>
      </c>
      <c r="N1625" s="11" t="n">
        <f aca="false">SUMIFS(K$2:K1625,A$2:A1625,A1625,B$2:B1625,B1625)</f>
        <v>2174574</v>
      </c>
      <c r="O1625" s="11" t="n">
        <f aca="false">MAX(0,_xlfn.MAXIFS(N$2:N1625,A$2:A1625,A1625,B$2:B1625,B1625))</f>
        <v>2277003</v>
      </c>
      <c r="P1625" s="11" t="n">
        <f aca="false">N1625-O1625</f>
        <v>-102429</v>
      </c>
    </row>
    <row r="1626" customFormat="false" ht="15" hidden="false" customHeight="false" outlineLevel="0" collapsed="false">
      <c r="A1626" s="8" t="s">
        <v>45</v>
      </c>
      <c r="B1626" s="8" t="s">
        <v>41</v>
      </c>
      <c r="C1626" s="8" t="s">
        <v>60</v>
      </c>
      <c r="D1626" s="21" t="n">
        <v>45943.3784722222</v>
      </c>
      <c r="E1626" s="21" t="n">
        <v>45944.46875</v>
      </c>
      <c r="F1626" s="22" t="n">
        <f aca="false">DATE(YEAR(E1626),MONTH(E1626),1)</f>
        <v>45931</v>
      </c>
      <c r="G1626" s="23" t="n">
        <v>141520</v>
      </c>
      <c r="H1626" s="8" t="s">
        <v>61</v>
      </c>
      <c r="I1626" s="24" t="n">
        <v>1885.17</v>
      </c>
      <c r="J1626" s="25" t="n">
        <f aca="false">Summary!$B$4</f>
        <v>1</v>
      </c>
      <c r="K1626" s="11" t="n">
        <f aca="false">I1626*J1626*IF(A1626="SILVER",Summary!$B$5,Summary!$B$6)</f>
        <v>188517</v>
      </c>
      <c r="L1626" s="26" t="n">
        <v>1.188</v>
      </c>
      <c r="M1626" s="27" t="n">
        <f aca="false">IF(K1626&gt;0,1,0)</f>
        <v>1</v>
      </c>
      <c r="N1626" s="11" t="n">
        <f aca="false">SUMIFS(K$2:K1626,A$2:A1626,A1626,B$2:B1626,B1626)</f>
        <v>2363091</v>
      </c>
      <c r="O1626" s="11" t="n">
        <f aca="false">MAX(0,_xlfn.MAXIFS(N$2:N1626,A$2:A1626,A1626,B$2:B1626,B1626))</f>
        <v>2363091</v>
      </c>
      <c r="P1626" s="11" t="n">
        <f aca="false">N1626-O1626</f>
        <v>0</v>
      </c>
    </row>
    <row r="1627" customFormat="false" ht="15" hidden="false" customHeight="false" outlineLevel="0" collapsed="false">
      <c r="A1627" s="8" t="s">
        <v>45</v>
      </c>
      <c r="B1627" s="8" t="s">
        <v>41</v>
      </c>
      <c r="C1627" s="8" t="s">
        <v>60</v>
      </c>
      <c r="D1627" s="21" t="n">
        <v>45944.9305555556</v>
      </c>
      <c r="E1627" s="21" t="n">
        <v>45945.6145833333</v>
      </c>
      <c r="F1627" s="22" t="n">
        <f aca="false">DATE(YEAR(E1627),MONTH(E1627),1)</f>
        <v>45931</v>
      </c>
      <c r="G1627" s="23" t="n">
        <v>144542</v>
      </c>
      <c r="H1627" s="8" t="s">
        <v>61</v>
      </c>
      <c r="I1627" s="24" t="n">
        <v>762.68</v>
      </c>
      <c r="J1627" s="25" t="n">
        <f aca="false">Summary!$B$4</f>
        <v>1</v>
      </c>
      <c r="K1627" s="11" t="n">
        <f aca="false">I1627*J1627*IF(A1627="SILVER",Summary!$B$5,Summary!$B$6)</f>
        <v>76268</v>
      </c>
      <c r="L1627" s="26" t="n">
        <v>0.722</v>
      </c>
      <c r="M1627" s="27" t="n">
        <f aca="false">IF(K1627&gt;0,1,0)</f>
        <v>1</v>
      </c>
      <c r="N1627" s="11" t="n">
        <f aca="false">SUMIFS(K$2:K1627,A$2:A1627,A1627,B$2:B1627,B1627)</f>
        <v>2439359</v>
      </c>
      <c r="O1627" s="11" t="n">
        <f aca="false">MAX(0,_xlfn.MAXIFS(N$2:N1627,A$2:A1627,A1627,B$2:B1627,B1627))</f>
        <v>2439359</v>
      </c>
      <c r="P1627" s="11" t="n">
        <f aca="false">N1627-O1627</f>
        <v>0</v>
      </c>
    </row>
    <row r="1628" customFormat="false" ht="15" hidden="false" customHeight="false" outlineLevel="0" collapsed="false">
      <c r="A1628" s="8" t="s">
        <v>45</v>
      </c>
      <c r="B1628" s="8" t="s">
        <v>41</v>
      </c>
      <c r="C1628" s="8" t="s">
        <v>60</v>
      </c>
      <c r="D1628" s="21" t="n">
        <v>45945.8194444445</v>
      </c>
      <c r="E1628" s="21" t="n">
        <v>45946.4604166667</v>
      </c>
      <c r="F1628" s="22" t="n">
        <f aca="false">DATE(YEAR(E1628),MONTH(E1628),1)</f>
        <v>45931</v>
      </c>
      <c r="G1628" s="23" t="n">
        <v>145859</v>
      </c>
      <c r="H1628" s="8" t="s">
        <v>64</v>
      </c>
      <c r="I1628" s="24" t="n">
        <v>64</v>
      </c>
      <c r="J1628" s="25" t="n">
        <f aca="false">Summary!$B$4</f>
        <v>1</v>
      </c>
      <c r="K1628" s="11" t="n">
        <f aca="false">I1628*J1628*IF(A1628="SILVER",Summary!$B$5,Summary!$B$6)</f>
        <v>6400</v>
      </c>
      <c r="L1628" s="26" t="n">
        <v>0.064</v>
      </c>
      <c r="M1628" s="27" t="n">
        <f aca="false">IF(K1628&gt;0,1,0)</f>
        <v>1</v>
      </c>
      <c r="N1628" s="11" t="n">
        <f aca="false">SUMIFS(K$2:K1628,A$2:A1628,A1628,B$2:B1628,B1628)</f>
        <v>2445759</v>
      </c>
      <c r="O1628" s="11" t="n">
        <f aca="false">MAX(0,_xlfn.MAXIFS(N$2:N1628,A$2:A1628,A1628,B$2:B1628,B1628))</f>
        <v>2445759</v>
      </c>
      <c r="P1628" s="11" t="n">
        <f aca="false">N1628-O1628</f>
        <v>0</v>
      </c>
    </row>
    <row r="1629" customFormat="false" ht="15" hidden="false" customHeight="false" outlineLevel="0" collapsed="false">
      <c r="A1629" s="8" t="s">
        <v>45</v>
      </c>
      <c r="B1629" s="8" t="s">
        <v>41</v>
      </c>
      <c r="C1629" s="8" t="s">
        <v>60</v>
      </c>
      <c r="D1629" s="21" t="n">
        <v>45950.3958333333</v>
      </c>
      <c r="E1629" s="21" t="n">
        <v>45951.5729166667</v>
      </c>
      <c r="F1629" s="22" t="n">
        <f aca="false">DATE(YEAR(E1629),MONTH(E1629),1)</f>
        <v>45931</v>
      </c>
      <c r="G1629" s="23" t="n">
        <v>146767</v>
      </c>
      <c r="H1629" s="8" t="s">
        <v>64</v>
      </c>
      <c r="I1629" s="24" t="n">
        <v>-282.66</v>
      </c>
      <c r="J1629" s="25" t="n">
        <f aca="false">Summary!$B$4</f>
        <v>1</v>
      </c>
      <c r="K1629" s="11" t="n">
        <f aca="false">I1629*J1629*IF(A1629="SILVER",Summary!$B$5,Summary!$B$6)</f>
        <v>-28266</v>
      </c>
      <c r="L1629" s="26" t="n">
        <v>-0.126</v>
      </c>
      <c r="M1629" s="27" t="n">
        <f aca="false">IF(K1629&gt;0,1,0)</f>
        <v>0</v>
      </c>
      <c r="N1629" s="11" t="n">
        <f aca="false">SUMIFS(K$2:K1629,A$2:A1629,A1629,B$2:B1629,B1629)</f>
        <v>2417493</v>
      </c>
      <c r="O1629" s="11" t="n">
        <f aca="false">MAX(0,_xlfn.MAXIFS(N$2:N1629,A$2:A1629,A1629,B$2:B1629,B1629))</f>
        <v>2445759</v>
      </c>
      <c r="P1629" s="11" t="n">
        <f aca="false">N1629-O1629</f>
        <v>-28266</v>
      </c>
    </row>
    <row r="1630" customFormat="false" ht="15" hidden="false" customHeight="false" outlineLevel="0" collapsed="false">
      <c r="A1630" s="8" t="s">
        <v>45</v>
      </c>
      <c r="B1630" s="8" t="s">
        <v>41</v>
      </c>
      <c r="C1630" s="8" t="s">
        <v>60</v>
      </c>
      <c r="D1630" s="21" t="n">
        <v>45953.3784722222</v>
      </c>
      <c r="E1630" s="21" t="n">
        <v>45954.40625</v>
      </c>
      <c r="F1630" s="22" t="n">
        <f aca="false">DATE(YEAR(E1630),MONTH(E1630),1)</f>
        <v>45931</v>
      </c>
      <c r="G1630" s="23" t="n">
        <v>141095</v>
      </c>
      <c r="H1630" s="8" t="s">
        <v>61</v>
      </c>
      <c r="I1630" s="24" t="n">
        <v>578.38</v>
      </c>
      <c r="J1630" s="25" t="n">
        <f aca="false">Summary!$B$4</f>
        <v>1</v>
      </c>
      <c r="K1630" s="11" t="n">
        <f aca="false">I1630*J1630*IF(A1630="SILVER",Summary!$B$5,Summary!$B$6)</f>
        <v>57838</v>
      </c>
      <c r="L1630" s="26" t="n">
        <v>0.32</v>
      </c>
      <c r="M1630" s="27" t="n">
        <f aca="false">IF(K1630&gt;0,1,0)</f>
        <v>1</v>
      </c>
      <c r="N1630" s="11" t="n">
        <f aca="false">SUMIFS(K$2:K1630,A$2:A1630,A1630,B$2:B1630,B1630)</f>
        <v>2475331</v>
      </c>
      <c r="O1630" s="11" t="n">
        <f aca="false">MAX(0,_xlfn.MAXIFS(N$2:N1630,A$2:A1630,A1630,B$2:B1630,B1630))</f>
        <v>2475331</v>
      </c>
      <c r="P1630" s="11" t="n">
        <f aca="false">N1630-O1630</f>
        <v>0</v>
      </c>
    </row>
    <row r="1631" customFormat="false" ht="15" hidden="false" customHeight="false" outlineLevel="0" collapsed="false">
      <c r="A1631" s="8" t="s">
        <v>45</v>
      </c>
      <c r="B1631" s="8" t="s">
        <v>41</v>
      </c>
      <c r="C1631" s="8" t="s">
        <v>60</v>
      </c>
      <c r="D1631" s="21" t="n">
        <v>45954.7534722222</v>
      </c>
      <c r="E1631" s="21" t="n">
        <v>45957.375</v>
      </c>
      <c r="F1631" s="22" t="n">
        <f aca="false">DATE(YEAR(E1631),MONTH(E1631),1)</f>
        <v>45931</v>
      </c>
      <c r="G1631" s="23" t="n">
        <v>140997</v>
      </c>
      <c r="H1631" s="8" t="s">
        <v>64</v>
      </c>
      <c r="I1631" s="24" t="n">
        <v>-211.51</v>
      </c>
      <c r="J1631" s="25" t="n">
        <f aca="false">Summary!$B$4</f>
        <v>1</v>
      </c>
      <c r="K1631" s="11" t="n">
        <f aca="false">I1631*J1631*IF(A1631="SILVER",Summary!$B$5,Summary!$B$6)</f>
        <v>-21151</v>
      </c>
      <c r="L1631" s="26" t="n">
        <v>-0.175</v>
      </c>
      <c r="M1631" s="27" t="n">
        <f aca="false">IF(K1631&gt;0,1,0)</f>
        <v>0</v>
      </c>
      <c r="N1631" s="11" t="n">
        <f aca="false">SUMIFS(K$2:K1631,A$2:A1631,A1631,B$2:B1631,B1631)</f>
        <v>2454180</v>
      </c>
      <c r="O1631" s="11" t="n">
        <f aca="false">MAX(0,_xlfn.MAXIFS(N$2:N1631,A$2:A1631,A1631,B$2:B1631,B1631))</f>
        <v>2475331</v>
      </c>
      <c r="P1631" s="11" t="n">
        <f aca="false">N1631-O1631</f>
        <v>-21151</v>
      </c>
    </row>
    <row r="1632" customFormat="false" ht="15" hidden="false" customHeight="false" outlineLevel="0" collapsed="false">
      <c r="A1632" s="8" t="s">
        <v>45</v>
      </c>
      <c r="B1632" s="8" t="s">
        <v>41</v>
      </c>
      <c r="C1632" s="8" t="s">
        <v>60</v>
      </c>
      <c r="D1632" s="21" t="n">
        <v>45958.8333333333</v>
      </c>
      <c r="E1632" s="21" t="n">
        <v>45959.40625</v>
      </c>
      <c r="F1632" s="22" t="n">
        <f aca="false">DATE(YEAR(E1632),MONTH(E1632),1)</f>
        <v>45931</v>
      </c>
      <c r="G1632" s="23" t="n">
        <v>137704</v>
      </c>
      <c r="H1632" s="8" t="s">
        <v>64</v>
      </c>
      <c r="I1632" s="24" t="n">
        <v>95.32</v>
      </c>
      <c r="J1632" s="25" t="n">
        <f aca="false">Summary!$B$4</f>
        <v>1</v>
      </c>
      <c r="K1632" s="11" t="n">
        <f aca="false">I1632*J1632*IF(A1632="SILVER",Summary!$B$5,Summary!$B$6)</f>
        <v>9532</v>
      </c>
      <c r="L1632" s="26" t="n">
        <v>0.074</v>
      </c>
      <c r="M1632" s="27" t="n">
        <f aca="false">IF(K1632&gt;0,1,0)</f>
        <v>1</v>
      </c>
      <c r="N1632" s="11" t="n">
        <f aca="false">SUMIFS(K$2:K1632,A$2:A1632,A1632,B$2:B1632,B1632)</f>
        <v>2463712</v>
      </c>
      <c r="O1632" s="11" t="n">
        <f aca="false">MAX(0,_xlfn.MAXIFS(N$2:N1632,A$2:A1632,A1632,B$2:B1632,B1632))</f>
        <v>2475331</v>
      </c>
      <c r="P1632" s="11" t="n">
        <f aca="false">N1632-O1632</f>
        <v>-11619</v>
      </c>
    </row>
    <row r="1633" customFormat="false" ht="15" hidden="false" customHeight="false" outlineLevel="0" collapsed="false">
      <c r="A1633" s="8" t="s">
        <v>45</v>
      </c>
      <c r="B1633" s="8" t="s">
        <v>41</v>
      </c>
      <c r="C1633" s="8" t="s">
        <v>60</v>
      </c>
      <c r="D1633" s="21" t="n">
        <v>45960.4201388889</v>
      </c>
      <c r="E1633" s="21" t="n">
        <v>45960.7083333333</v>
      </c>
      <c r="F1633" s="22" t="n">
        <f aca="false">DATE(YEAR(E1633),MONTH(E1633),1)</f>
        <v>45931</v>
      </c>
      <c r="G1633" s="23" t="n">
        <v>138409</v>
      </c>
      <c r="H1633" s="8" t="s">
        <v>61</v>
      </c>
      <c r="I1633" s="24" t="n">
        <v>136.96</v>
      </c>
      <c r="J1633" s="25" t="n">
        <f aca="false">Summary!$B$4</f>
        <v>1</v>
      </c>
      <c r="K1633" s="11" t="n">
        <f aca="false">I1633*J1633*IF(A1633="SILVER",Summary!$B$5,Summary!$B$6)</f>
        <v>13696</v>
      </c>
      <c r="L1633" s="26" t="n">
        <v>0.101</v>
      </c>
      <c r="M1633" s="27" t="n">
        <f aca="false">IF(K1633&gt;0,1,0)</f>
        <v>1</v>
      </c>
      <c r="N1633" s="11" t="n">
        <f aca="false">SUMIFS(K$2:K1633,A$2:A1633,A1633,B$2:B1633,B1633)</f>
        <v>2477408</v>
      </c>
      <c r="O1633" s="11" t="n">
        <f aca="false">MAX(0,_xlfn.MAXIFS(N$2:N1633,A$2:A1633,A1633,B$2:B1633,B1633))</f>
        <v>2477408</v>
      </c>
      <c r="P1633" s="11" t="n">
        <f aca="false">N1633-O1633</f>
        <v>0</v>
      </c>
    </row>
    <row r="1634" customFormat="false" ht="15" hidden="false" customHeight="false" outlineLevel="0" collapsed="false">
      <c r="A1634" s="8" t="s">
        <v>45</v>
      </c>
      <c r="B1634" s="8" t="s">
        <v>41</v>
      </c>
      <c r="C1634" s="8" t="s">
        <v>60</v>
      </c>
      <c r="D1634" s="21" t="n">
        <v>45960.8194444445</v>
      </c>
      <c r="E1634" s="21" t="n">
        <v>45961.8479166667</v>
      </c>
      <c r="F1634" s="22" t="n">
        <f aca="false">DATE(YEAR(E1634),MONTH(E1634),1)</f>
        <v>45931</v>
      </c>
      <c r="G1634" s="23" t="n">
        <v>139872</v>
      </c>
      <c r="H1634" s="8" t="s">
        <v>64</v>
      </c>
      <c r="I1634" s="24" t="n">
        <v>107.36</v>
      </c>
      <c r="J1634" s="25" t="n">
        <f aca="false">Summary!$B$4</f>
        <v>1</v>
      </c>
      <c r="K1634" s="11" t="n">
        <f aca="false">I1634*J1634*IF(A1634="SILVER",Summary!$B$5,Summary!$B$6)</f>
        <v>10736</v>
      </c>
      <c r="L1634" s="26" t="n">
        <v>0.076</v>
      </c>
      <c r="M1634" s="27" t="n">
        <f aca="false">IF(K1634&gt;0,1,0)</f>
        <v>1</v>
      </c>
      <c r="N1634" s="11" t="n">
        <f aca="false">SUMIFS(K$2:K1634,A$2:A1634,A1634,B$2:B1634,B1634)</f>
        <v>2488144</v>
      </c>
      <c r="O1634" s="11" t="n">
        <f aca="false">MAX(0,_xlfn.MAXIFS(N$2:N1634,A$2:A1634,A1634,B$2:B1634,B1634))</f>
        <v>2488144</v>
      </c>
      <c r="P1634" s="11" t="n">
        <f aca="false">N1634-O1634</f>
        <v>0</v>
      </c>
    </row>
    <row r="1635" customFormat="false" ht="15" hidden="false" customHeight="false" outlineLevel="0" collapsed="false">
      <c r="A1635" s="8" t="s">
        <v>45</v>
      </c>
      <c r="B1635" s="8" t="s">
        <v>41</v>
      </c>
      <c r="C1635" s="8" t="s">
        <v>60</v>
      </c>
      <c r="D1635" s="21" t="n">
        <v>45964.4652777778</v>
      </c>
      <c r="E1635" s="21" t="n">
        <v>45964.6284722222</v>
      </c>
      <c r="F1635" s="22" t="n">
        <f aca="false">DATE(YEAR(E1635),MONTH(E1635),1)</f>
        <v>45962</v>
      </c>
      <c r="G1635" s="23" t="n">
        <v>140115</v>
      </c>
      <c r="H1635" s="8" t="s">
        <v>61</v>
      </c>
      <c r="I1635" s="24" t="n">
        <v>-300.33</v>
      </c>
      <c r="J1635" s="25" t="n">
        <f aca="false">Summary!$B$4</f>
        <v>1</v>
      </c>
      <c r="K1635" s="11" t="n">
        <f aca="false">I1635*J1635*IF(A1635="SILVER",Summary!$B$5,Summary!$B$6)</f>
        <v>-30033</v>
      </c>
      <c r="L1635" s="26" t="n">
        <v>-0.383</v>
      </c>
      <c r="M1635" s="27" t="n">
        <f aca="false">IF(K1635&gt;0,1,0)</f>
        <v>0</v>
      </c>
      <c r="N1635" s="11" t="n">
        <f aca="false">SUMIFS(K$2:K1635,A$2:A1635,A1635,B$2:B1635,B1635)</f>
        <v>2458111</v>
      </c>
      <c r="O1635" s="11" t="n">
        <f aca="false">MAX(0,_xlfn.MAXIFS(N$2:N1635,A$2:A1635,A1635,B$2:B1635,B1635))</f>
        <v>2488144</v>
      </c>
      <c r="P1635" s="11" t="n">
        <f aca="false">N1635-O1635</f>
        <v>-30033</v>
      </c>
    </row>
    <row r="1636" customFormat="false" ht="15" hidden="false" customHeight="false" outlineLevel="0" collapsed="false">
      <c r="A1636" s="8" t="s">
        <v>45</v>
      </c>
      <c r="B1636" s="8" t="s">
        <v>41</v>
      </c>
      <c r="C1636" s="8" t="s">
        <v>60</v>
      </c>
      <c r="D1636" s="21" t="n">
        <v>45964.8506944445</v>
      </c>
      <c r="E1636" s="21" t="n">
        <v>45964.9201388889</v>
      </c>
      <c r="F1636" s="22" t="n">
        <f aca="false">DATE(YEAR(E1636),MONTH(E1636),1)</f>
        <v>45962</v>
      </c>
      <c r="G1636" s="23" t="n">
        <v>140336</v>
      </c>
      <c r="H1636" s="8" t="s">
        <v>61</v>
      </c>
      <c r="I1636" s="24" t="n">
        <v>-820.33</v>
      </c>
      <c r="J1636" s="25" t="n">
        <f aca="false">Summary!$B$4</f>
        <v>1</v>
      </c>
      <c r="K1636" s="11" t="n">
        <f aca="false">I1636*J1636*IF(A1636="SILVER",Summary!$B$5,Summary!$B$6)</f>
        <v>-82033</v>
      </c>
      <c r="L1636" s="26" t="n">
        <v>-1.09</v>
      </c>
      <c r="M1636" s="27" t="n">
        <f aca="false">IF(K1636&gt;0,1,0)</f>
        <v>0</v>
      </c>
      <c r="N1636" s="11" t="n">
        <f aca="false">SUMIFS(K$2:K1636,A$2:A1636,A1636,B$2:B1636,B1636)</f>
        <v>2376078</v>
      </c>
      <c r="O1636" s="11" t="n">
        <f aca="false">MAX(0,_xlfn.MAXIFS(N$2:N1636,A$2:A1636,A1636,B$2:B1636,B1636))</f>
        <v>2488144</v>
      </c>
      <c r="P1636" s="11" t="n">
        <f aca="false">N1636-O1636</f>
        <v>-112066</v>
      </c>
    </row>
    <row r="1637" customFormat="false" ht="15" hidden="false" customHeight="false" outlineLevel="0" collapsed="false">
      <c r="A1637" s="8" t="s">
        <v>45</v>
      </c>
      <c r="B1637" s="8" t="s">
        <v>41</v>
      </c>
      <c r="C1637" s="8" t="s">
        <v>60</v>
      </c>
      <c r="D1637" s="21" t="n">
        <v>45965.5659722222</v>
      </c>
      <c r="E1637" s="21" t="n">
        <v>45965.8055555556</v>
      </c>
      <c r="F1637" s="22" t="n">
        <f aca="false">DATE(YEAR(E1637),MONTH(E1637),1)</f>
        <v>45962</v>
      </c>
      <c r="G1637" s="23" t="n">
        <v>139390</v>
      </c>
      <c r="H1637" s="8" t="s">
        <v>61</v>
      </c>
      <c r="I1637" s="24" t="n">
        <v>-554.16</v>
      </c>
      <c r="J1637" s="25" t="n">
        <f aca="false">Summary!$B$4</f>
        <v>1</v>
      </c>
      <c r="K1637" s="11" t="n">
        <f aca="false">I1637*J1637*IF(A1637="SILVER",Summary!$B$5,Summary!$B$6)</f>
        <v>-55416</v>
      </c>
      <c r="L1637" s="26" t="n">
        <v>-0.634</v>
      </c>
      <c r="M1637" s="27" t="n">
        <f aca="false">IF(K1637&gt;0,1,0)</f>
        <v>0</v>
      </c>
      <c r="N1637" s="11" t="n">
        <f aca="false">SUMIFS(K$2:K1637,A$2:A1637,A1637,B$2:B1637,B1637)</f>
        <v>2320662</v>
      </c>
      <c r="O1637" s="11" t="n">
        <f aca="false">MAX(0,_xlfn.MAXIFS(N$2:N1637,A$2:A1637,A1637,B$2:B1637,B1637))</f>
        <v>2488144</v>
      </c>
      <c r="P1637" s="11" t="n">
        <f aca="false">N1637-O1637</f>
        <v>-167482</v>
      </c>
    </row>
    <row r="1638" customFormat="false" ht="15" hidden="false" customHeight="false" outlineLevel="0" collapsed="false">
      <c r="A1638" s="8" t="s">
        <v>45</v>
      </c>
      <c r="B1638" s="8" t="s">
        <v>41</v>
      </c>
      <c r="C1638" s="8" t="s">
        <v>60</v>
      </c>
      <c r="D1638" s="21" t="n">
        <v>45966.8090277778</v>
      </c>
      <c r="E1638" s="21" t="n">
        <v>45967.8263888889</v>
      </c>
      <c r="F1638" s="22" t="n">
        <f aca="false">DATE(YEAR(E1638),MONTH(E1638),1)</f>
        <v>45962</v>
      </c>
      <c r="G1638" s="23" t="n">
        <v>138815</v>
      </c>
      <c r="H1638" s="8" t="s">
        <v>61</v>
      </c>
      <c r="I1638" s="24" t="n">
        <v>445.85</v>
      </c>
      <c r="J1638" s="25" t="n">
        <f aca="false">Summary!$B$4</f>
        <v>1</v>
      </c>
      <c r="K1638" s="11" t="n">
        <f aca="false">I1638*J1638*IF(A1638="SILVER",Summary!$B$5,Summary!$B$6)</f>
        <v>44585</v>
      </c>
      <c r="L1638" s="26" t="n">
        <v>0.537</v>
      </c>
      <c r="M1638" s="27" t="n">
        <f aca="false">IF(K1638&gt;0,1,0)</f>
        <v>1</v>
      </c>
      <c r="N1638" s="11" t="n">
        <f aca="false">SUMIFS(K$2:K1638,A$2:A1638,A1638,B$2:B1638,B1638)</f>
        <v>2365247</v>
      </c>
      <c r="O1638" s="11" t="n">
        <f aca="false">MAX(0,_xlfn.MAXIFS(N$2:N1638,A$2:A1638,A1638,B$2:B1638,B1638))</f>
        <v>2488144</v>
      </c>
      <c r="P1638" s="11" t="n">
        <f aca="false">N1638-O1638</f>
        <v>-122897</v>
      </c>
    </row>
    <row r="1639" customFormat="false" ht="15" hidden="false" customHeight="false" outlineLevel="0" collapsed="false">
      <c r="A1639" s="8" t="s">
        <v>45</v>
      </c>
      <c r="B1639" s="8" t="s">
        <v>41</v>
      </c>
      <c r="C1639" s="8" t="s">
        <v>60</v>
      </c>
      <c r="D1639" s="21" t="n">
        <v>45968.4340277778</v>
      </c>
      <c r="E1639" s="21" t="n">
        <v>45968.6513888889</v>
      </c>
      <c r="F1639" s="22" t="n">
        <f aca="false">DATE(YEAR(E1639),MONTH(E1639),1)</f>
        <v>45962</v>
      </c>
      <c r="G1639" s="23" t="n">
        <v>139375</v>
      </c>
      <c r="H1639" s="8" t="s">
        <v>64</v>
      </c>
      <c r="I1639" s="24" t="n">
        <v>25.1</v>
      </c>
      <c r="J1639" s="25" t="n">
        <f aca="false">Summary!$B$4</f>
        <v>1</v>
      </c>
      <c r="K1639" s="11" t="n">
        <f aca="false">I1639*J1639*IF(A1639="SILVER",Summary!$B$5,Summary!$B$6)</f>
        <v>2510</v>
      </c>
      <c r="L1639" s="26" t="n">
        <v>0.042</v>
      </c>
      <c r="M1639" s="27" t="n">
        <f aca="false">IF(K1639&gt;0,1,0)</f>
        <v>1</v>
      </c>
      <c r="N1639" s="11" t="n">
        <f aca="false">SUMIFS(K$2:K1639,A$2:A1639,A1639,B$2:B1639,B1639)</f>
        <v>2367757</v>
      </c>
      <c r="O1639" s="11" t="n">
        <f aca="false">MAX(0,_xlfn.MAXIFS(N$2:N1639,A$2:A1639,A1639,B$2:B1639,B1639))</f>
        <v>2488144</v>
      </c>
      <c r="P1639" s="11" t="n">
        <f aca="false">N1639-O1639</f>
        <v>-120387</v>
      </c>
    </row>
    <row r="1640" customFormat="false" ht="15" hidden="false" customHeight="false" outlineLevel="0" collapsed="false">
      <c r="A1640" s="8" t="s">
        <v>45</v>
      </c>
      <c r="B1640" s="8" t="s">
        <v>41</v>
      </c>
      <c r="C1640" s="8" t="s">
        <v>60</v>
      </c>
      <c r="D1640" s="21" t="n">
        <v>45968.9201388889</v>
      </c>
      <c r="E1640" s="21" t="n">
        <v>45971.8263888889</v>
      </c>
      <c r="F1640" s="22" t="n">
        <f aca="false">DATE(YEAR(E1640),MONTH(E1640),1)</f>
        <v>45962</v>
      </c>
      <c r="G1640" s="23" t="n">
        <v>139720</v>
      </c>
      <c r="H1640" s="8" t="s">
        <v>61</v>
      </c>
      <c r="I1640" s="24" t="n">
        <v>1843.53</v>
      </c>
      <c r="J1640" s="25" t="n">
        <f aca="false">Summary!$B$4</f>
        <v>1</v>
      </c>
      <c r="K1640" s="11" t="n">
        <f aca="false">I1640*J1640*IF(A1640="SILVER",Summary!$B$5,Summary!$B$6)</f>
        <v>184353</v>
      </c>
      <c r="L1640" s="26" t="n">
        <v>2.304</v>
      </c>
      <c r="M1640" s="27" t="n">
        <f aca="false">IF(K1640&gt;0,1,0)</f>
        <v>1</v>
      </c>
      <c r="N1640" s="11" t="n">
        <f aca="false">SUMIFS(K$2:K1640,A$2:A1640,A1640,B$2:B1640,B1640)</f>
        <v>2552110</v>
      </c>
      <c r="O1640" s="11" t="n">
        <f aca="false">MAX(0,_xlfn.MAXIFS(N$2:N1640,A$2:A1640,A1640,B$2:B1640,B1640))</f>
        <v>2552110</v>
      </c>
      <c r="P1640" s="11" t="n">
        <f aca="false">N1640-O1640</f>
        <v>0</v>
      </c>
    </row>
    <row r="1641" customFormat="false" ht="15" hidden="false" customHeight="false" outlineLevel="0" collapsed="false">
      <c r="A1641" s="8" t="s">
        <v>45</v>
      </c>
      <c r="B1641" s="8" t="s">
        <v>41</v>
      </c>
      <c r="C1641" s="8" t="s">
        <v>60</v>
      </c>
      <c r="D1641" s="21" t="n">
        <v>45971.9861111111</v>
      </c>
      <c r="E1641" s="21" t="n">
        <v>45972.8368055556</v>
      </c>
      <c r="F1641" s="22" t="n">
        <f aca="false">DATE(YEAR(E1641),MONTH(E1641),1)</f>
        <v>45962</v>
      </c>
      <c r="G1641" s="23" t="n">
        <v>142220</v>
      </c>
      <c r="H1641" s="8" t="s">
        <v>61</v>
      </c>
      <c r="I1641" s="24" t="n">
        <v>345.18</v>
      </c>
      <c r="J1641" s="25" t="n">
        <f aca="false">Summary!$B$4</f>
        <v>1</v>
      </c>
      <c r="K1641" s="11" t="n">
        <f aca="false">I1641*J1641*IF(A1641="SILVER",Summary!$B$5,Summary!$B$6)</f>
        <v>34518</v>
      </c>
      <c r="L1641" s="26" t="n">
        <v>0.673</v>
      </c>
      <c r="M1641" s="27" t="n">
        <f aca="false">IF(K1641&gt;0,1,0)</f>
        <v>1</v>
      </c>
      <c r="N1641" s="11" t="n">
        <f aca="false">SUMIFS(K$2:K1641,A$2:A1641,A1641,B$2:B1641,B1641)</f>
        <v>2586628</v>
      </c>
      <c r="O1641" s="11" t="n">
        <f aca="false">MAX(0,_xlfn.MAXIFS(N$2:N1641,A$2:A1641,A1641,B$2:B1641,B1641))</f>
        <v>2586628</v>
      </c>
      <c r="P1641" s="11" t="n">
        <f aca="false">N1641-O1641</f>
        <v>0</v>
      </c>
    </row>
    <row r="1642" customFormat="false" ht="15" hidden="false" customHeight="false" outlineLevel="0" collapsed="false">
      <c r="A1642" s="8" t="s">
        <v>45</v>
      </c>
      <c r="B1642" s="8" t="s">
        <v>41</v>
      </c>
      <c r="C1642" s="8" t="s">
        <v>60</v>
      </c>
      <c r="D1642" s="21" t="n">
        <v>45973.5798611111</v>
      </c>
      <c r="E1642" s="21" t="n">
        <v>45974.8194444445</v>
      </c>
      <c r="F1642" s="22" t="n">
        <f aca="false">DATE(YEAR(E1642),MONTH(E1642),1)</f>
        <v>45962</v>
      </c>
      <c r="G1642" s="23" t="n">
        <v>142818</v>
      </c>
      <c r="H1642" s="8" t="s">
        <v>61</v>
      </c>
      <c r="I1642" s="24" t="n">
        <v>2557.85</v>
      </c>
      <c r="J1642" s="25" t="n">
        <f aca="false">Summary!$B$4</f>
        <v>1</v>
      </c>
      <c r="K1642" s="11" t="n">
        <f aca="false">I1642*J1642*IF(A1642="SILVER",Summary!$B$5,Summary!$B$6)</f>
        <v>255785</v>
      </c>
      <c r="L1642" s="26" t="n">
        <v>3.433</v>
      </c>
      <c r="M1642" s="27" t="n">
        <f aca="false">IF(K1642&gt;0,1,0)</f>
        <v>1</v>
      </c>
      <c r="N1642" s="11" t="n">
        <f aca="false">SUMIFS(K$2:K1642,A$2:A1642,A1642,B$2:B1642,B1642)</f>
        <v>2842413</v>
      </c>
      <c r="O1642" s="11" t="n">
        <f aca="false">MAX(0,_xlfn.MAXIFS(N$2:N1642,A$2:A1642,A1642,B$2:B1642,B1642))</f>
        <v>2842413</v>
      </c>
      <c r="P1642" s="11" t="n">
        <f aca="false">N1642-O1642</f>
        <v>0</v>
      </c>
    </row>
    <row r="1643" customFormat="false" ht="15" hidden="false" customHeight="false" outlineLevel="0" collapsed="false">
      <c r="A1643" s="8" t="s">
        <v>45</v>
      </c>
      <c r="B1643" s="8" t="s">
        <v>41</v>
      </c>
      <c r="C1643" s="8" t="s">
        <v>60</v>
      </c>
      <c r="D1643" s="21" t="n">
        <v>45975.9236111111</v>
      </c>
      <c r="E1643" s="21" t="n">
        <v>45978.4513888889</v>
      </c>
      <c r="F1643" s="22" t="n">
        <f aca="false">DATE(YEAR(E1643),MONTH(E1643),1)</f>
        <v>45962</v>
      </c>
      <c r="G1643" s="23" t="n">
        <v>142423</v>
      </c>
      <c r="H1643" s="8" t="s">
        <v>61</v>
      </c>
      <c r="I1643" s="24" t="n">
        <v>-1489.67</v>
      </c>
      <c r="J1643" s="25" t="n">
        <f aca="false">Summary!$B$4</f>
        <v>1</v>
      </c>
      <c r="K1643" s="11" t="n">
        <f aca="false">I1643*J1643*IF(A1643="SILVER",Summary!$B$5,Summary!$B$6)</f>
        <v>-148967</v>
      </c>
      <c r="L1643" s="26" t="n">
        <v>-0.826</v>
      </c>
      <c r="M1643" s="27" t="n">
        <f aca="false">IF(K1643&gt;0,1,0)</f>
        <v>0</v>
      </c>
      <c r="N1643" s="11" t="n">
        <f aca="false">SUMIFS(K$2:K1643,A$2:A1643,A1643,B$2:B1643,B1643)</f>
        <v>2693446</v>
      </c>
      <c r="O1643" s="11" t="n">
        <f aca="false">MAX(0,_xlfn.MAXIFS(N$2:N1643,A$2:A1643,A1643,B$2:B1643,B1643))</f>
        <v>2842413</v>
      </c>
      <c r="P1643" s="11" t="n">
        <f aca="false">N1643-O1643</f>
        <v>-148967</v>
      </c>
    </row>
    <row r="1644" customFormat="false" ht="15" hidden="false" customHeight="false" outlineLevel="0" collapsed="false">
      <c r="A1644" s="8" t="s">
        <v>45</v>
      </c>
      <c r="B1644" s="8" t="s">
        <v>41</v>
      </c>
      <c r="C1644" s="8" t="s">
        <v>60</v>
      </c>
      <c r="D1644" s="21" t="n">
        <v>45978.55625</v>
      </c>
      <c r="E1644" s="21" t="n">
        <v>45978.6909722222</v>
      </c>
      <c r="F1644" s="22" t="n">
        <f aca="false">DATE(YEAR(E1644),MONTH(E1644),1)</f>
        <v>45962</v>
      </c>
      <c r="G1644" s="23" t="n">
        <v>141655</v>
      </c>
      <c r="H1644" s="8" t="s">
        <v>61</v>
      </c>
      <c r="I1644" s="24" t="n">
        <v>-686.6</v>
      </c>
      <c r="J1644" s="25" t="n">
        <f aca="false">Summary!$B$4</f>
        <v>1</v>
      </c>
      <c r="K1644" s="11" t="n">
        <f aca="false">I1644*J1644*IF(A1644="SILVER",Summary!$B$5,Summary!$B$6)</f>
        <v>-68660</v>
      </c>
      <c r="L1644" s="26" t="n">
        <v>-0.778</v>
      </c>
      <c r="M1644" s="27" t="n">
        <f aca="false">IF(K1644&gt;0,1,0)</f>
        <v>0</v>
      </c>
      <c r="N1644" s="11" t="n">
        <f aca="false">SUMIFS(K$2:K1644,A$2:A1644,A1644,B$2:B1644,B1644)</f>
        <v>2624786</v>
      </c>
      <c r="O1644" s="11" t="n">
        <f aca="false">MAX(0,_xlfn.MAXIFS(N$2:N1644,A$2:A1644,A1644,B$2:B1644,B1644))</f>
        <v>2842413</v>
      </c>
      <c r="P1644" s="11" t="n">
        <f aca="false">N1644-O1644</f>
        <v>-217627</v>
      </c>
    </row>
    <row r="1645" customFormat="false" ht="15" hidden="false" customHeight="false" outlineLevel="0" collapsed="false">
      <c r="A1645" s="8" t="s">
        <v>45</v>
      </c>
      <c r="B1645" s="8" t="s">
        <v>41</v>
      </c>
      <c r="C1645" s="8" t="s">
        <v>60</v>
      </c>
      <c r="D1645" s="21" t="n">
        <v>45979.5868055556</v>
      </c>
      <c r="E1645" s="21" t="n">
        <v>45980.8923611111</v>
      </c>
      <c r="F1645" s="22" t="n">
        <f aca="false">DATE(YEAR(E1645),MONTH(E1645),1)</f>
        <v>45962</v>
      </c>
      <c r="G1645" s="23" t="n">
        <v>140120</v>
      </c>
      <c r="H1645" s="8" t="s">
        <v>61</v>
      </c>
      <c r="I1645" s="24" t="n">
        <v>1538.48</v>
      </c>
      <c r="J1645" s="25" t="n">
        <f aca="false">Summary!$B$4</f>
        <v>1</v>
      </c>
      <c r="K1645" s="11" t="n">
        <f aca="false">I1645*J1645*IF(A1645="SILVER",Summary!$B$5,Summary!$B$6)</f>
        <v>153848</v>
      </c>
      <c r="L1645" s="26" t="n">
        <v>1.395</v>
      </c>
      <c r="M1645" s="27" t="n">
        <f aca="false">IF(K1645&gt;0,1,0)</f>
        <v>1</v>
      </c>
      <c r="N1645" s="11" t="n">
        <f aca="false">SUMIFS(K$2:K1645,A$2:A1645,A1645,B$2:B1645,B1645)</f>
        <v>2778634</v>
      </c>
      <c r="O1645" s="11" t="n">
        <f aca="false">MAX(0,_xlfn.MAXIFS(N$2:N1645,A$2:A1645,A1645,B$2:B1645,B1645))</f>
        <v>2842413</v>
      </c>
      <c r="P1645" s="11" t="n">
        <f aca="false">N1645-O1645</f>
        <v>-63779</v>
      </c>
    </row>
    <row r="1646" customFormat="false" ht="15" hidden="false" customHeight="false" outlineLevel="0" collapsed="false">
      <c r="A1646" s="8" t="s">
        <v>45</v>
      </c>
      <c r="B1646" s="8" t="s">
        <v>41</v>
      </c>
      <c r="C1646" s="8" t="s">
        <v>60</v>
      </c>
      <c r="D1646" s="21" t="n">
        <v>45981.7430555556</v>
      </c>
      <c r="E1646" s="21" t="n">
        <v>45981.7916666667</v>
      </c>
      <c r="F1646" s="22" t="n">
        <f aca="false">DATE(YEAR(E1646),MONTH(E1646),1)</f>
        <v>45962</v>
      </c>
      <c r="G1646" s="23" t="n">
        <v>141368</v>
      </c>
      <c r="H1646" s="8" t="s">
        <v>64</v>
      </c>
      <c r="I1646" s="24" t="n">
        <v>50.8</v>
      </c>
      <c r="J1646" s="25" t="n">
        <f aca="false">Summary!$B$4</f>
        <v>1</v>
      </c>
      <c r="K1646" s="11" t="n">
        <f aca="false">I1646*J1646*IF(A1646="SILVER",Summary!$B$5,Summary!$B$6)</f>
        <v>5080</v>
      </c>
      <c r="L1646" s="26" t="n">
        <v>0.059</v>
      </c>
      <c r="M1646" s="27" t="n">
        <f aca="false">IF(K1646&gt;0,1,0)</f>
        <v>1</v>
      </c>
      <c r="N1646" s="11" t="n">
        <f aca="false">SUMIFS(K$2:K1646,A$2:A1646,A1646,B$2:B1646,B1646)</f>
        <v>2783714</v>
      </c>
      <c r="O1646" s="11" t="n">
        <f aca="false">MAX(0,_xlfn.MAXIFS(N$2:N1646,A$2:A1646,A1646,B$2:B1646,B1646))</f>
        <v>2842413</v>
      </c>
      <c r="P1646" s="11" t="n">
        <f aca="false">N1646-O1646</f>
        <v>-58699</v>
      </c>
    </row>
    <row r="1647" customFormat="false" ht="15" hidden="false" customHeight="false" outlineLevel="0" collapsed="false">
      <c r="A1647" s="8" t="s">
        <v>45</v>
      </c>
      <c r="B1647" s="8" t="s">
        <v>41</v>
      </c>
      <c r="C1647" s="8" t="s">
        <v>60</v>
      </c>
      <c r="D1647" s="21" t="n">
        <v>45982.6145833333</v>
      </c>
      <c r="E1647" s="21" t="n">
        <v>45985.375</v>
      </c>
      <c r="F1647" s="22" t="n">
        <f aca="false">DATE(YEAR(E1647),MONTH(E1647),1)</f>
        <v>45962</v>
      </c>
      <c r="G1647" s="23" t="n">
        <v>141469</v>
      </c>
      <c r="H1647" s="8" t="s">
        <v>64</v>
      </c>
      <c r="I1647" s="24" t="n">
        <v>-440.63</v>
      </c>
      <c r="J1647" s="25" t="n">
        <f aca="false">Summary!$B$4</f>
        <v>1</v>
      </c>
      <c r="K1647" s="11" t="n">
        <f aca="false">I1647*J1647*IF(A1647="SILVER",Summary!$B$5,Summary!$B$6)</f>
        <v>-44063</v>
      </c>
      <c r="L1647" s="26" t="n">
        <v>-0.32</v>
      </c>
      <c r="M1647" s="27" t="n">
        <f aca="false">IF(K1647&gt;0,1,0)</f>
        <v>0</v>
      </c>
      <c r="N1647" s="11" t="n">
        <f aca="false">SUMIFS(K$2:K1647,A$2:A1647,A1647,B$2:B1647,B1647)</f>
        <v>2739651</v>
      </c>
      <c r="O1647" s="11" t="n">
        <f aca="false">MAX(0,_xlfn.MAXIFS(N$2:N1647,A$2:A1647,A1647,B$2:B1647,B1647))</f>
        <v>2842413</v>
      </c>
      <c r="P1647" s="11" t="n">
        <f aca="false">N1647-O1647</f>
        <v>-102762</v>
      </c>
    </row>
    <row r="1648" customFormat="false" ht="15" hidden="false" customHeight="false" outlineLevel="0" collapsed="false">
      <c r="A1648" s="8" t="s">
        <v>45</v>
      </c>
      <c r="B1648" s="8" t="s">
        <v>41</v>
      </c>
      <c r="C1648" s="8" t="s">
        <v>60</v>
      </c>
      <c r="D1648" s="21" t="n">
        <v>45985.6145833333</v>
      </c>
      <c r="E1648" s="21" t="n">
        <v>45985.8006944444</v>
      </c>
      <c r="F1648" s="22" t="n">
        <f aca="false">DATE(YEAR(E1648),MONTH(E1648),1)</f>
        <v>45962</v>
      </c>
      <c r="G1648" s="23" t="n">
        <v>141856</v>
      </c>
      <c r="H1648" s="8" t="s">
        <v>64</v>
      </c>
      <c r="I1648" s="24" t="n">
        <v>24.12</v>
      </c>
      <c r="J1648" s="25" t="n">
        <f aca="false">Summary!$B$4</f>
        <v>1</v>
      </c>
      <c r="K1648" s="11" t="n">
        <f aca="false">I1648*J1648*IF(A1648="SILVER",Summary!$B$5,Summary!$B$6)</f>
        <v>2412</v>
      </c>
      <c r="L1648" s="26" t="n">
        <v>0.041</v>
      </c>
      <c r="M1648" s="27" t="n">
        <f aca="false">IF(K1648&gt;0,1,0)</f>
        <v>1</v>
      </c>
      <c r="N1648" s="11" t="n">
        <f aca="false">SUMIFS(K$2:K1648,A$2:A1648,A1648,B$2:B1648,B1648)</f>
        <v>2742063</v>
      </c>
      <c r="O1648" s="11" t="n">
        <f aca="false">MAX(0,_xlfn.MAXIFS(N$2:N1648,A$2:A1648,A1648,B$2:B1648,B1648))</f>
        <v>2842413</v>
      </c>
      <c r="P1648" s="11" t="n">
        <f aca="false">N1648-O1648</f>
        <v>-100350</v>
      </c>
    </row>
    <row r="1649" customFormat="false" ht="15" hidden="false" customHeight="false" outlineLevel="0" collapsed="false">
      <c r="A1649" s="8" t="s">
        <v>45</v>
      </c>
      <c r="B1649" s="8" t="s">
        <v>41</v>
      </c>
      <c r="C1649" s="8" t="s">
        <v>60</v>
      </c>
      <c r="D1649" s="21" t="n">
        <v>45986.9444444445</v>
      </c>
      <c r="E1649" s="21" t="n">
        <v>45987.7673611111</v>
      </c>
      <c r="F1649" s="22" t="n">
        <f aca="false">DATE(YEAR(E1649),MONTH(E1649),1)</f>
        <v>45962</v>
      </c>
      <c r="G1649" s="23" t="n">
        <v>143635</v>
      </c>
      <c r="H1649" s="8" t="s">
        <v>61</v>
      </c>
      <c r="I1649" s="24" t="n">
        <v>349.89</v>
      </c>
      <c r="J1649" s="25" t="n">
        <f aca="false">Summary!$B$4</f>
        <v>1</v>
      </c>
      <c r="K1649" s="11" t="n">
        <f aca="false">I1649*J1649*IF(A1649="SILVER",Summary!$B$5,Summary!$B$6)</f>
        <v>34989</v>
      </c>
      <c r="L1649" s="26" t="n">
        <v>0.437</v>
      </c>
      <c r="M1649" s="27" t="n">
        <f aca="false">IF(K1649&gt;0,1,0)</f>
        <v>1</v>
      </c>
      <c r="N1649" s="11" t="n">
        <f aca="false">SUMIFS(K$2:K1649,A$2:A1649,A1649,B$2:B1649,B1649)</f>
        <v>2777052</v>
      </c>
      <c r="O1649" s="11" t="n">
        <f aca="false">MAX(0,_xlfn.MAXIFS(N$2:N1649,A$2:A1649,A1649,B$2:B1649,B1649))</f>
        <v>2842413</v>
      </c>
      <c r="P1649" s="11" t="n">
        <f aca="false">N1649-O1649</f>
        <v>-65361</v>
      </c>
    </row>
    <row r="1650" customFormat="false" ht="15" hidden="false" customHeight="false" outlineLevel="0" collapsed="false">
      <c r="A1650" s="8" t="s">
        <v>45</v>
      </c>
      <c r="B1650" s="8" t="s">
        <v>41</v>
      </c>
      <c r="C1650" s="8" t="s">
        <v>60</v>
      </c>
      <c r="D1650" s="21" t="n">
        <v>45988.5729166667</v>
      </c>
      <c r="E1650" s="21" t="n">
        <v>45988.6180555556</v>
      </c>
      <c r="F1650" s="22" t="n">
        <f aca="false">DATE(YEAR(E1650),MONTH(E1650),1)</f>
        <v>45962</v>
      </c>
      <c r="G1650" s="23" t="n">
        <v>144120</v>
      </c>
      <c r="H1650" s="8" t="s">
        <v>61</v>
      </c>
      <c r="I1650" s="24" t="n">
        <v>-345.13</v>
      </c>
      <c r="J1650" s="25" t="n">
        <f aca="false">Summary!$B$4</f>
        <v>1</v>
      </c>
      <c r="K1650" s="11" t="n">
        <f aca="false">I1650*J1650*IF(A1650="SILVER",Summary!$B$5,Summary!$B$6)</f>
        <v>-34513</v>
      </c>
      <c r="L1650" s="26" t="n">
        <v>-0.849</v>
      </c>
      <c r="M1650" s="27" t="n">
        <f aca="false">IF(K1650&gt;0,1,0)</f>
        <v>0</v>
      </c>
      <c r="N1650" s="11" t="n">
        <f aca="false">SUMIFS(K$2:K1650,A$2:A1650,A1650,B$2:B1650,B1650)</f>
        <v>2742539</v>
      </c>
      <c r="O1650" s="11" t="n">
        <f aca="false">MAX(0,_xlfn.MAXIFS(N$2:N1650,A$2:A1650,A1650,B$2:B1650,B1650))</f>
        <v>2842413</v>
      </c>
      <c r="P1650" s="11" t="n">
        <f aca="false">N1650-O1650</f>
        <v>-99874</v>
      </c>
    </row>
    <row r="1651" customFormat="false" ht="15" hidden="false" customHeight="false" outlineLevel="0" collapsed="false">
      <c r="A1651" s="8" t="s">
        <v>45</v>
      </c>
      <c r="B1651" s="8" t="s">
        <v>41</v>
      </c>
      <c r="C1651" s="8" t="s">
        <v>60</v>
      </c>
      <c r="D1651" s="21" t="n">
        <v>45989.3784722222</v>
      </c>
      <c r="E1651" s="21" t="n">
        <v>45989.5520833333</v>
      </c>
      <c r="F1651" s="22" t="n">
        <f aca="false">DATE(YEAR(E1651),MONTH(E1651),1)</f>
        <v>45962</v>
      </c>
      <c r="G1651" s="23" t="n">
        <v>144319</v>
      </c>
      <c r="H1651" s="8" t="s">
        <v>61</v>
      </c>
      <c r="I1651" s="24" t="n">
        <v>-191.18</v>
      </c>
      <c r="J1651" s="25" t="n">
        <f aca="false">Summary!$B$4</f>
        <v>1</v>
      </c>
      <c r="K1651" s="11" t="n">
        <f aca="false">I1651*J1651*IF(A1651="SILVER",Summary!$B$5,Summary!$B$6)</f>
        <v>-19118</v>
      </c>
      <c r="L1651" s="26" t="n">
        <v>-0.401</v>
      </c>
      <c r="M1651" s="27" t="n">
        <f aca="false">IF(K1651&gt;0,1,0)</f>
        <v>0</v>
      </c>
      <c r="N1651" s="11" t="n">
        <f aca="false">SUMIFS(K$2:K1651,A$2:A1651,A1651,B$2:B1651,B1651)</f>
        <v>2723421</v>
      </c>
      <c r="O1651" s="11" t="n">
        <f aca="false">MAX(0,_xlfn.MAXIFS(N$2:N1651,A$2:A1651,A1651,B$2:B1651,B1651))</f>
        <v>2842413</v>
      </c>
      <c r="P1651" s="11" t="n">
        <f aca="false">N1651-O1651</f>
        <v>-118992</v>
      </c>
    </row>
    <row r="1652" customFormat="false" ht="15" hidden="false" customHeight="false" outlineLevel="0" collapsed="false">
      <c r="A1652" s="8" t="s">
        <v>45</v>
      </c>
      <c r="B1652" s="8" t="s">
        <v>41</v>
      </c>
      <c r="C1652" s="8" t="s">
        <v>60</v>
      </c>
      <c r="D1652" s="21" t="n">
        <v>45989.8229166667</v>
      </c>
      <c r="E1652" s="21" t="n">
        <v>45989.8555555556</v>
      </c>
      <c r="F1652" s="22" t="n">
        <f aca="false">DATE(YEAR(E1652),MONTH(E1652),1)</f>
        <v>45962</v>
      </c>
      <c r="G1652" s="23" t="n">
        <v>144498</v>
      </c>
      <c r="H1652" s="8" t="s">
        <v>64</v>
      </c>
      <c r="I1652" s="24" t="n">
        <v>13.48</v>
      </c>
      <c r="J1652" s="25" t="n">
        <f aca="false">Summary!$B$4</f>
        <v>1</v>
      </c>
      <c r="K1652" s="11" t="n">
        <f aca="false">I1652*J1652*IF(A1652="SILVER",Summary!$B$5,Summary!$B$6)</f>
        <v>1348</v>
      </c>
      <c r="L1652" s="26" t="n">
        <v>0.028</v>
      </c>
      <c r="M1652" s="27" t="n">
        <f aca="false">IF(K1652&gt;0,1,0)</f>
        <v>1</v>
      </c>
      <c r="N1652" s="11" t="n">
        <f aca="false">SUMIFS(K$2:K1652,A$2:A1652,A1652,B$2:B1652,B1652)</f>
        <v>2724769</v>
      </c>
      <c r="O1652" s="11" t="n">
        <f aca="false">MAX(0,_xlfn.MAXIFS(N$2:N1652,A$2:A1652,A1652,B$2:B1652,B1652))</f>
        <v>2842413</v>
      </c>
      <c r="P1652" s="11" t="n">
        <f aca="false">N1652-O1652</f>
        <v>-117644</v>
      </c>
    </row>
    <row r="1653" customFormat="false" ht="15" hidden="false" customHeight="false" outlineLevel="0" collapsed="false">
      <c r="A1653" s="8" t="s">
        <v>45</v>
      </c>
      <c r="B1653" s="8" t="s">
        <v>41</v>
      </c>
      <c r="C1653" s="8" t="s">
        <v>60</v>
      </c>
      <c r="D1653" s="21" t="n">
        <v>45993.4909722222</v>
      </c>
      <c r="E1653" s="21" t="n">
        <v>45993.4972222222</v>
      </c>
      <c r="F1653" s="22" t="n">
        <f aca="false">DATE(YEAR(E1653),MONTH(E1653),1)</f>
        <v>45992</v>
      </c>
      <c r="G1653" s="23" t="n">
        <v>146089</v>
      </c>
      <c r="H1653" s="8" t="s">
        <v>61</v>
      </c>
      <c r="I1653" s="24" t="n">
        <v>-604.51</v>
      </c>
      <c r="J1653" s="25" t="n">
        <f aca="false">Summary!$B$4</f>
        <v>1</v>
      </c>
      <c r="K1653" s="11" t="n">
        <f aca="false">I1653*J1653*IF(A1653="SILVER",Summary!$B$5,Summary!$B$6)</f>
        <v>-60451</v>
      </c>
      <c r="L1653" s="26" t="n">
        <v>-1.355</v>
      </c>
      <c r="M1653" s="27" t="n">
        <f aca="false">IF(K1653&gt;0,1,0)</f>
        <v>0</v>
      </c>
      <c r="N1653" s="11" t="n">
        <f aca="false">SUMIFS(K$2:K1653,A$2:A1653,A1653,B$2:B1653,B1653)</f>
        <v>2664318</v>
      </c>
      <c r="O1653" s="11" t="n">
        <f aca="false">MAX(0,_xlfn.MAXIFS(N$2:N1653,A$2:A1653,A1653,B$2:B1653,B1653))</f>
        <v>2842413</v>
      </c>
      <c r="P1653" s="11" t="n">
        <f aca="false">N1653-O1653</f>
        <v>-178095</v>
      </c>
    </row>
    <row r="1654" customFormat="false" ht="15" hidden="false" customHeight="false" outlineLevel="0" collapsed="false">
      <c r="A1654" s="8" t="s">
        <v>45</v>
      </c>
      <c r="B1654" s="8" t="s">
        <v>41</v>
      </c>
      <c r="C1654" s="8" t="s">
        <v>60</v>
      </c>
      <c r="D1654" s="21" t="n">
        <v>45993.7770833333</v>
      </c>
      <c r="E1654" s="21" t="n">
        <v>45993.9076388889</v>
      </c>
      <c r="F1654" s="22" t="n">
        <f aca="false">DATE(YEAR(E1654),MONTH(E1654),1)</f>
        <v>45992</v>
      </c>
      <c r="G1654" s="23" t="n">
        <v>145772</v>
      </c>
      <c r="H1654" s="8" t="s">
        <v>61</v>
      </c>
      <c r="I1654" s="24" t="n">
        <v>-929.4</v>
      </c>
      <c r="J1654" s="25" t="n">
        <f aca="false">Summary!$B$4</f>
        <v>1</v>
      </c>
      <c r="K1654" s="11" t="n">
        <f aca="false">I1654*J1654*IF(A1654="SILVER",Summary!$B$5,Summary!$B$6)</f>
        <v>-92940</v>
      </c>
      <c r="L1654" s="26" t="n">
        <v>-1.343</v>
      </c>
      <c r="M1654" s="27" t="n">
        <f aca="false">IF(K1654&gt;0,1,0)</f>
        <v>0</v>
      </c>
      <c r="N1654" s="11" t="n">
        <f aca="false">SUMIFS(K$2:K1654,A$2:A1654,A1654,B$2:B1654,B1654)</f>
        <v>2571378</v>
      </c>
      <c r="O1654" s="11" t="n">
        <f aca="false">MAX(0,_xlfn.MAXIFS(N$2:N1654,A$2:A1654,A1654,B$2:B1654,B1654))</f>
        <v>2842413</v>
      </c>
      <c r="P1654" s="11" t="n">
        <f aca="false">N1654-O1654</f>
        <v>-271035</v>
      </c>
    </row>
    <row r="1655" customFormat="false" ht="15" hidden="false" customHeight="false" outlineLevel="0" collapsed="false">
      <c r="A1655" s="8" t="s">
        <v>45</v>
      </c>
      <c r="B1655" s="8" t="s">
        <v>41</v>
      </c>
      <c r="C1655" s="8" t="s">
        <v>60</v>
      </c>
      <c r="D1655" s="21" t="n">
        <v>45994.3888888889</v>
      </c>
      <c r="E1655" s="21" t="n">
        <v>45995.6090277778</v>
      </c>
      <c r="F1655" s="22" t="n">
        <f aca="false">DATE(YEAR(E1655),MONTH(E1655),1)</f>
        <v>45992</v>
      </c>
      <c r="G1655" s="23" t="n">
        <v>146331</v>
      </c>
      <c r="H1655" s="8" t="s">
        <v>61</v>
      </c>
      <c r="I1655" s="24" t="n">
        <v>-759.54</v>
      </c>
      <c r="J1655" s="25" t="n">
        <f aca="false">Summary!$B$4</f>
        <v>1</v>
      </c>
      <c r="K1655" s="11" t="n">
        <f aca="false">I1655*J1655*IF(A1655="SILVER",Summary!$B$5,Summary!$B$6)</f>
        <v>-75954</v>
      </c>
      <c r="L1655" s="26" t="n">
        <v>-0.59</v>
      </c>
      <c r="M1655" s="27" t="n">
        <f aca="false">IF(K1655&gt;0,1,0)</f>
        <v>0</v>
      </c>
      <c r="N1655" s="11" t="n">
        <f aca="false">SUMIFS(K$2:K1655,A$2:A1655,A1655,B$2:B1655,B1655)</f>
        <v>2495424</v>
      </c>
      <c r="O1655" s="11" t="n">
        <f aca="false">MAX(0,_xlfn.MAXIFS(N$2:N1655,A$2:A1655,A1655,B$2:B1655,B1655))</f>
        <v>2842413</v>
      </c>
      <c r="P1655" s="11" t="n">
        <f aca="false">N1655-O1655</f>
        <v>-346989</v>
      </c>
    </row>
    <row r="1656" customFormat="false" ht="15" hidden="false" customHeight="false" outlineLevel="0" collapsed="false">
      <c r="A1656" s="8" t="s">
        <v>45</v>
      </c>
      <c r="B1656" s="8" t="s">
        <v>41</v>
      </c>
      <c r="C1656" s="8" t="s">
        <v>60</v>
      </c>
      <c r="D1656" s="21" t="n">
        <v>45996.5847222222</v>
      </c>
      <c r="E1656" s="21" t="n">
        <v>45999.7916666667</v>
      </c>
      <c r="F1656" s="22" t="n">
        <f aca="false">DATE(YEAR(E1656),MONTH(E1656),1)</f>
        <v>45992</v>
      </c>
      <c r="G1656" s="23" t="n">
        <v>146595</v>
      </c>
      <c r="H1656" s="8" t="s">
        <v>61</v>
      </c>
      <c r="I1656" s="24" t="n">
        <v>462.13</v>
      </c>
      <c r="J1656" s="25" t="n">
        <f aca="false">Summary!$B$4</f>
        <v>1</v>
      </c>
      <c r="K1656" s="11" t="n">
        <f aca="false">I1656*J1656*IF(A1656="SILVER",Summary!$B$5,Summary!$B$6)</f>
        <v>46213</v>
      </c>
      <c r="L1656" s="26" t="n">
        <v>0.328</v>
      </c>
      <c r="M1656" s="27" t="n">
        <f aca="false">IF(K1656&gt;0,1,0)</f>
        <v>1</v>
      </c>
      <c r="N1656" s="11" t="n">
        <f aca="false">SUMIFS(K$2:K1656,A$2:A1656,A1656,B$2:B1656,B1656)</f>
        <v>2541637</v>
      </c>
      <c r="O1656" s="11" t="n">
        <f aca="false">MAX(0,_xlfn.MAXIFS(N$2:N1656,A$2:A1656,A1656,B$2:B1656,B1656))</f>
        <v>2842413</v>
      </c>
      <c r="P1656" s="11" t="n">
        <f aca="false">N1656-O1656</f>
        <v>-300776</v>
      </c>
    </row>
    <row r="1657" customFormat="false" ht="15" hidden="false" customHeight="false" outlineLevel="0" collapsed="false">
      <c r="A1657" s="8" t="s">
        <v>45</v>
      </c>
      <c r="B1657" s="8" t="s">
        <v>41</v>
      </c>
      <c r="C1657" s="8" t="s">
        <v>60</v>
      </c>
      <c r="D1657" s="21" t="n">
        <v>46000.6076388889</v>
      </c>
      <c r="E1657" s="21" t="n">
        <v>46000.6326388889</v>
      </c>
      <c r="F1657" s="22" t="n">
        <f aca="false">DATE(YEAR(E1657),MONTH(E1657),1)</f>
        <v>45992</v>
      </c>
      <c r="G1657" s="23" t="n">
        <v>146830</v>
      </c>
      <c r="H1657" s="8" t="s">
        <v>64</v>
      </c>
      <c r="I1657" s="24" t="n">
        <v>29.17</v>
      </c>
      <c r="J1657" s="25" t="n">
        <f aca="false">Summary!$B$4</f>
        <v>1</v>
      </c>
      <c r="K1657" s="11" t="n">
        <f aca="false">I1657*J1657*IF(A1657="SILVER",Summary!$B$5,Summary!$B$6)</f>
        <v>2917</v>
      </c>
      <c r="L1657" s="26" t="n">
        <v>0.045</v>
      </c>
      <c r="M1657" s="27" t="n">
        <f aca="false">IF(K1657&gt;0,1,0)</f>
        <v>1</v>
      </c>
      <c r="N1657" s="11" t="n">
        <f aca="false">SUMIFS(K$2:K1657,A$2:A1657,A1657,B$2:B1657,B1657)</f>
        <v>2544554</v>
      </c>
      <c r="O1657" s="11" t="n">
        <f aca="false">MAX(0,_xlfn.MAXIFS(N$2:N1657,A$2:A1657,A1657,B$2:B1657,B1657))</f>
        <v>2842413</v>
      </c>
      <c r="P1657" s="11" t="n">
        <f aca="false">N1657-O1657</f>
        <v>-297859</v>
      </c>
    </row>
    <row r="1658" customFormat="false" ht="15" hidden="false" customHeight="false" outlineLevel="0" collapsed="false">
      <c r="A1658" s="8" t="s">
        <v>45</v>
      </c>
      <c r="B1658" s="8" t="s">
        <v>41</v>
      </c>
      <c r="C1658" s="8" t="s">
        <v>60</v>
      </c>
      <c r="D1658" s="21" t="n">
        <v>46000.8958333333</v>
      </c>
      <c r="E1658" s="21" t="n">
        <v>46001.6458333333</v>
      </c>
      <c r="F1658" s="22" t="n">
        <f aca="false">DATE(YEAR(E1658),MONTH(E1658),1)</f>
        <v>45992</v>
      </c>
      <c r="G1658" s="23" t="n">
        <v>147220</v>
      </c>
      <c r="H1658" s="8" t="s">
        <v>61</v>
      </c>
      <c r="I1658" s="24" t="n">
        <v>-505.01</v>
      </c>
      <c r="J1658" s="25" t="n">
        <f aca="false">Summary!$B$4</f>
        <v>1</v>
      </c>
      <c r="K1658" s="11" t="n">
        <f aca="false">I1658*J1658*IF(A1658="SILVER",Summary!$B$5,Summary!$B$6)</f>
        <v>-50501</v>
      </c>
      <c r="L1658" s="26" t="n">
        <v>-0.584</v>
      </c>
      <c r="M1658" s="27" t="n">
        <f aca="false">IF(K1658&gt;0,1,0)</f>
        <v>0</v>
      </c>
      <c r="N1658" s="11" t="n">
        <f aca="false">SUMIFS(K$2:K1658,A$2:A1658,A1658,B$2:B1658,B1658)</f>
        <v>2494053</v>
      </c>
      <c r="O1658" s="11" t="n">
        <f aca="false">MAX(0,_xlfn.MAXIFS(N$2:N1658,A$2:A1658,A1658,B$2:B1658,B1658))</f>
        <v>2842413</v>
      </c>
      <c r="P1658" s="11" t="n">
        <f aca="false">N1658-O1658</f>
        <v>-348360</v>
      </c>
    </row>
    <row r="1659" customFormat="false" ht="15" hidden="false" customHeight="false" outlineLevel="0" collapsed="false">
      <c r="A1659" s="8" t="s">
        <v>45</v>
      </c>
      <c r="B1659" s="8" t="s">
        <v>41</v>
      </c>
      <c r="C1659" s="8" t="s">
        <v>60</v>
      </c>
      <c r="D1659" s="21" t="n">
        <v>46002.3784722222</v>
      </c>
      <c r="E1659" s="21" t="n">
        <v>46003.8715277778</v>
      </c>
      <c r="F1659" s="22" t="n">
        <f aca="false">DATE(YEAR(E1659),MONTH(E1659),1)</f>
        <v>45992</v>
      </c>
      <c r="G1659" s="23" t="n">
        <v>147286</v>
      </c>
      <c r="H1659" s="8" t="s">
        <v>61</v>
      </c>
      <c r="I1659" s="24" t="n">
        <v>3378.59</v>
      </c>
      <c r="J1659" s="25" t="n">
        <f aca="false">Summary!$B$4</f>
        <v>1</v>
      </c>
      <c r="K1659" s="11" t="n">
        <f aca="false">I1659*J1659*IF(A1659="SILVER",Summary!$B$5,Summary!$B$6)</f>
        <v>337859</v>
      </c>
      <c r="L1659" s="26" t="n">
        <v>4.799</v>
      </c>
      <c r="M1659" s="27" t="n">
        <f aca="false">IF(K1659&gt;0,1,0)</f>
        <v>1</v>
      </c>
      <c r="N1659" s="11" t="n">
        <f aca="false">SUMIFS(K$2:K1659,A$2:A1659,A1659,B$2:B1659,B1659)</f>
        <v>2831912</v>
      </c>
      <c r="O1659" s="11" t="n">
        <f aca="false">MAX(0,_xlfn.MAXIFS(N$2:N1659,A$2:A1659,A1659,B$2:B1659,B1659))</f>
        <v>2842413</v>
      </c>
      <c r="P1659" s="11" t="n">
        <f aca="false">N1659-O1659</f>
        <v>-10501</v>
      </c>
    </row>
    <row r="1660" customFormat="false" ht="15" hidden="false" customHeight="false" outlineLevel="0" collapsed="false">
      <c r="A1660" s="8" t="s">
        <v>45</v>
      </c>
      <c r="B1660" s="8" t="s">
        <v>41</v>
      </c>
      <c r="C1660" s="8" t="s">
        <v>60</v>
      </c>
      <c r="D1660" s="21" t="n">
        <v>46006.3784722222</v>
      </c>
      <c r="E1660" s="21" t="n">
        <v>46006.8194444445</v>
      </c>
      <c r="F1660" s="22" t="n">
        <f aca="false">DATE(YEAR(E1660),MONTH(E1660),1)</f>
        <v>45992</v>
      </c>
      <c r="G1660" s="23" t="n">
        <v>151521</v>
      </c>
      <c r="H1660" s="8" t="s">
        <v>61</v>
      </c>
      <c r="I1660" s="24" t="n">
        <v>293.05</v>
      </c>
      <c r="J1660" s="25" t="n">
        <f aca="false">Summary!$B$4</f>
        <v>1</v>
      </c>
      <c r="K1660" s="11" t="n">
        <f aca="false">I1660*J1660*IF(A1660="SILVER",Summary!$B$5,Summary!$B$6)</f>
        <v>29305</v>
      </c>
      <c r="L1660" s="26" t="n">
        <v>0.157</v>
      </c>
      <c r="M1660" s="27" t="n">
        <f aca="false">IF(K1660&gt;0,1,0)</f>
        <v>1</v>
      </c>
      <c r="N1660" s="11" t="n">
        <f aca="false">SUMIFS(K$2:K1660,A$2:A1660,A1660,B$2:B1660,B1660)</f>
        <v>2861217</v>
      </c>
      <c r="O1660" s="11" t="n">
        <f aca="false">MAX(0,_xlfn.MAXIFS(N$2:N1660,A$2:A1660,A1660,B$2:B1660,B1660))</f>
        <v>2861217</v>
      </c>
      <c r="P1660" s="11" t="n">
        <f aca="false">N1660-O1660</f>
        <v>0</v>
      </c>
    </row>
    <row r="1661" customFormat="false" ht="15" hidden="false" customHeight="false" outlineLevel="0" collapsed="false">
      <c r="A1661" s="8" t="s">
        <v>45</v>
      </c>
      <c r="B1661" s="8" t="s">
        <v>41</v>
      </c>
      <c r="C1661" s="8" t="s">
        <v>60</v>
      </c>
      <c r="D1661" s="21" t="n">
        <v>46007.7430555556</v>
      </c>
      <c r="E1661" s="21" t="n">
        <v>46007.9201388889</v>
      </c>
      <c r="F1661" s="22" t="n">
        <f aca="false">DATE(YEAR(E1661),MONTH(E1661),1)</f>
        <v>45992</v>
      </c>
      <c r="G1661" s="23" t="n">
        <v>151020</v>
      </c>
      <c r="H1661" s="8" t="s">
        <v>61</v>
      </c>
      <c r="I1661" s="24" t="n">
        <v>244.15</v>
      </c>
      <c r="J1661" s="25" t="n">
        <f aca="false">Summary!$B$4</f>
        <v>1</v>
      </c>
      <c r="K1661" s="11" t="n">
        <f aca="false">I1661*J1661*IF(A1661="SILVER",Summary!$B$5,Summary!$B$6)</f>
        <v>24415</v>
      </c>
      <c r="L1661" s="26" t="n">
        <v>0.427</v>
      </c>
      <c r="M1661" s="27" t="n">
        <f aca="false">IF(K1661&gt;0,1,0)</f>
        <v>1</v>
      </c>
      <c r="N1661" s="11" t="n">
        <f aca="false">SUMIFS(K$2:K1661,A$2:A1661,A1661,B$2:B1661,B1661)</f>
        <v>2885632</v>
      </c>
      <c r="O1661" s="11" t="n">
        <f aca="false">MAX(0,_xlfn.MAXIFS(N$2:N1661,A$2:A1661,A1661,B$2:B1661,B1661))</f>
        <v>2885632</v>
      </c>
      <c r="P1661" s="11" t="n">
        <f aca="false">N1661-O1661</f>
        <v>0</v>
      </c>
    </row>
    <row r="1662" customFormat="false" ht="15" hidden="false" customHeight="false" outlineLevel="0" collapsed="false">
      <c r="A1662" s="8" t="s">
        <v>45</v>
      </c>
      <c r="B1662" s="8" t="s">
        <v>41</v>
      </c>
      <c r="C1662" s="8" t="s">
        <v>60</v>
      </c>
      <c r="D1662" s="21" t="n">
        <v>46008.3854166667</v>
      </c>
      <c r="E1662" s="21" t="n">
        <v>46008.3923611111</v>
      </c>
      <c r="F1662" s="22" t="n">
        <f aca="false">DATE(YEAR(E1662),MONTH(E1662),1)</f>
        <v>45992</v>
      </c>
      <c r="G1662" s="23" t="n">
        <v>152107</v>
      </c>
      <c r="H1662" s="8" t="s">
        <v>61</v>
      </c>
      <c r="I1662" s="24" t="n">
        <v>-1254.91</v>
      </c>
      <c r="J1662" s="25" t="n">
        <f aca="false">Summary!$B$4</f>
        <v>1</v>
      </c>
      <c r="K1662" s="11" t="n">
        <f aca="false">I1662*J1662*IF(A1662="SILVER",Summary!$B$5,Summary!$B$6)</f>
        <v>-125491</v>
      </c>
      <c r="L1662" s="26" t="n">
        <v>-1.39</v>
      </c>
      <c r="M1662" s="27" t="n">
        <f aca="false">IF(K1662&gt;0,1,0)</f>
        <v>0</v>
      </c>
      <c r="N1662" s="11" t="n">
        <f aca="false">SUMIFS(K$2:K1662,A$2:A1662,A1662,B$2:B1662,B1662)</f>
        <v>2760141</v>
      </c>
      <c r="O1662" s="11" t="n">
        <f aca="false">MAX(0,_xlfn.MAXIFS(N$2:N1662,A$2:A1662,A1662,B$2:B1662,B1662))</f>
        <v>2885632</v>
      </c>
      <c r="P1662" s="11" t="n">
        <f aca="false">N1662-O1662</f>
        <v>-125491</v>
      </c>
    </row>
    <row r="1663" customFormat="false" ht="15" hidden="false" customHeight="false" outlineLevel="0" collapsed="false">
      <c r="A1663" s="8" t="s">
        <v>45</v>
      </c>
      <c r="B1663" s="8" t="s">
        <v>41</v>
      </c>
      <c r="C1663" s="8" t="s">
        <v>60</v>
      </c>
      <c r="D1663" s="21" t="n">
        <v>46008.7951388889</v>
      </c>
      <c r="E1663" s="21" t="n">
        <v>46008.8791666667</v>
      </c>
      <c r="F1663" s="22" t="n">
        <f aca="false">DATE(YEAR(E1663),MONTH(E1663),1)</f>
        <v>45992</v>
      </c>
      <c r="G1663" s="23" t="n">
        <v>151621</v>
      </c>
      <c r="H1663" s="8" t="s">
        <v>64</v>
      </c>
      <c r="I1663" s="24" t="n">
        <v>27.68</v>
      </c>
      <c r="J1663" s="25" t="n">
        <f aca="false">Summary!$B$4</f>
        <v>1</v>
      </c>
      <c r="K1663" s="11" t="n">
        <f aca="false">I1663*J1663*IF(A1663="SILVER",Summary!$B$5,Summary!$B$6)</f>
        <v>2768</v>
      </c>
      <c r="L1663" s="26" t="n">
        <v>0.043</v>
      </c>
      <c r="M1663" s="27" t="n">
        <f aca="false">IF(K1663&gt;0,1,0)</f>
        <v>1</v>
      </c>
      <c r="N1663" s="11" t="n">
        <f aca="false">SUMIFS(K$2:K1663,A$2:A1663,A1663,B$2:B1663,B1663)</f>
        <v>2762909</v>
      </c>
      <c r="O1663" s="11" t="n">
        <f aca="false">MAX(0,_xlfn.MAXIFS(N$2:N1663,A$2:A1663,A1663,B$2:B1663,B1663))</f>
        <v>2885632</v>
      </c>
      <c r="P1663" s="11" t="n">
        <f aca="false">N1663-O1663</f>
        <v>-122723</v>
      </c>
    </row>
    <row r="1664" customFormat="false" ht="15" hidden="false" customHeight="false" outlineLevel="0" collapsed="false">
      <c r="A1664" s="8" t="s">
        <v>45</v>
      </c>
      <c r="B1664" s="8" t="s">
        <v>41</v>
      </c>
      <c r="C1664" s="8" t="s">
        <v>60</v>
      </c>
      <c r="D1664" s="21" t="n">
        <v>46009.7986111111</v>
      </c>
      <c r="E1664" s="21" t="n">
        <v>46009.84375</v>
      </c>
      <c r="F1664" s="22" t="n">
        <f aca="false">DATE(YEAR(E1664),MONTH(E1664),1)</f>
        <v>45992</v>
      </c>
      <c r="G1664" s="23" t="n">
        <v>151447</v>
      </c>
      <c r="H1664" s="8" t="s">
        <v>61</v>
      </c>
      <c r="I1664" s="24" t="n">
        <v>-691.84</v>
      </c>
      <c r="J1664" s="25" t="n">
        <f aca="false">Summary!$B$4</f>
        <v>1</v>
      </c>
      <c r="K1664" s="11" t="n">
        <f aca="false">I1664*J1664*IF(A1664="SILVER",Summary!$B$5,Summary!$B$6)</f>
        <v>-69184</v>
      </c>
      <c r="L1664" s="26" t="n">
        <v>-1.259</v>
      </c>
      <c r="M1664" s="27" t="n">
        <f aca="false">IF(K1664&gt;0,1,0)</f>
        <v>0</v>
      </c>
      <c r="N1664" s="11" t="n">
        <f aca="false">SUMIFS(K$2:K1664,A$2:A1664,A1664,B$2:B1664,B1664)</f>
        <v>2693725</v>
      </c>
      <c r="O1664" s="11" t="n">
        <f aca="false">MAX(0,_xlfn.MAXIFS(N$2:N1664,A$2:A1664,A1664,B$2:B1664,B1664))</f>
        <v>2885632</v>
      </c>
      <c r="P1664" s="11" t="n">
        <f aca="false">N1664-O1664</f>
        <v>-191907</v>
      </c>
    </row>
    <row r="1665" customFormat="false" ht="15" hidden="false" customHeight="false" outlineLevel="0" collapsed="false">
      <c r="A1665" s="8" t="s">
        <v>45</v>
      </c>
      <c r="B1665" s="8" t="s">
        <v>41</v>
      </c>
      <c r="C1665" s="8" t="s">
        <v>60</v>
      </c>
      <c r="D1665" s="21" t="n">
        <v>46009.8993055556</v>
      </c>
      <c r="E1665" s="21" t="n">
        <v>46009.9423611111</v>
      </c>
      <c r="F1665" s="22" t="n">
        <f aca="false">DATE(YEAR(E1665),MONTH(E1665),1)</f>
        <v>45992</v>
      </c>
      <c r="G1665" s="23" t="n">
        <v>151588</v>
      </c>
      <c r="H1665" s="8" t="s">
        <v>64</v>
      </c>
      <c r="I1665" s="24" t="n">
        <v>52.77</v>
      </c>
      <c r="J1665" s="25" t="n">
        <f aca="false">Summary!$B$4</f>
        <v>1</v>
      </c>
      <c r="K1665" s="11" t="n">
        <f aca="false">I1665*J1665*IF(A1665="SILVER",Summary!$B$5,Summary!$B$6)</f>
        <v>5277</v>
      </c>
      <c r="L1665" s="26" t="n">
        <v>0.059</v>
      </c>
      <c r="M1665" s="27" t="n">
        <f aca="false">IF(K1665&gt;0,1,0)</f>
        <v>1</v>
      </c>
      <c r="N1665" s="11" t="n">
        <f aca="false">SUMIFS(K$2:K1665,A$2:A1665,A1665,B$2:B1665,B1665)</f>
        <v>2699002</v>
      </c>
      <c r="O1665" s="11" t="n">
        <f aca="false">MAX(0,_xlfn.MAXIFS(N$2:N1665,A$2:A1665,A1665,B$2:B1665,B1665))</f>
        <v>2885632</v>
      </c>
      <c r="P1665" s="11" t="n">
        <f aca="false">N1665-O1665</f>
        <v>-186630</v>
      </c>
    </row>
    <row r="1666" customFormat="false" ht="15" hidden="false" customHeight="false" outlineLevel="0" collapsed="false">
      <c r="A1666" s="8" t="s">
        <v>45</v>
      </c>
      <c r="B1666" s="8" t="s">
        <v>41</v>
      </c>
      <c r="C1666" s="8" t="s">
        <v>60</v>
      </c>
      <c r="D1666" s="21" t="n">
        <v>46010.8958333333</v>
      </c>
      <c r="E1666" s="21" t="n">
        <v>46014.8159722222</v>
      </c>
      <c r="F1666" s="22" t="n">
        <f aca="false">DATE(YEAR(E1666),MONTH(E1666),1)</f>
        <v>45992</v>
      </c>
      <c r="G1666" s="23" t="n">
        <v>151091</v>
      </c>
      <c r="H1666" s="8" t="s">
        <v>61</v>
      </c>
      <c r="I1666" s="24" t="n">
        <v>3618.8</v>
      </c>
      <c r="J1666" s="25" t="n">
        <f aca="false">Summary!$B$4</f>
        <v>1</v>
      </c>
      <c r="K1666" s="11" t="n">
        <f aca="false">I1666*J1666*IF(A1666="SILVER",Summary!$B$5,Summary!$B$6)</f>
        <v>361880</v>
      </c>
      <c r="L1666" s="26" t="n">
        <v>5.043</v>
      </c>
      <c r="M1666" s="27" t="n">
        <f aca="false">IF(K1666&gt;0,1,0)</f>
        <v>1</v>
      </c>
      <c r="N1666" s="11" t="n">
        <f aca="false">SUMIFS(K$2:K1666,A$2:A1666,A1666,B$2:B1666,B1666)</f>
        <v>3060882</v>
      </c>
      <c r="O1666" s="11" t="n">
        <f aca="false">MAX(0,_xlfn.MAXIFS(N$2:N1666,A$2:A1666,A1666,B$2:B1666,B1666))</f>
        <v>3060882</v>
      </c>
      <c r="P1666" s="11" t="n">
        <f aca="false">N1666-O1666</f>
        <v>0</v>
      </c>
    </row>
    <row r="1667" customFormat="false" ht="15" hidden="false" customHeight="false" outlineLevel="0" collapsed="false">
      <c r="A1667" s="8" t="s">
        <v>45</v>
      </c>
      <c r="B1667" s="8" t="s">
        <v>41</v>
      </c>
      <c r="C1667" s="8" t="s">
        <v>60</v>
      </c>
      <c r="D1667" s="21" t="n">
        <v>46014.9409722222</v>
      </c>
      <c r="E1667" s="21" t="n">
        <v>46015.5631944445</v>
      </c>
      <c r="F1667" s="22" t="n">
        <f aca="false">DATE(YEAR(E1667),MONTH(E1667),1)</f>
        <v>45992</v>
      </c>
      <c r="G1667" s="23" t="n">
        <v>154971</v>
      </c>
      <c r="H1667" s="8" t="s">
        <v>64</v>
      </c>
      <c r="I1667" s="24" t="n">
        <v>77.37</v>
      </c>
      <c r="J1667" s="25" t="n">
        <f aca="false">Summary!$B$4</f>
        <v>1</v>
      </c>
      <c r="K1667" s="11" t="n">
        <f aca="false">I1667*J1667*IF(A1667="SILVER",Summary!$B$5,Summary!$B$6)</f>
        <v>7737</v>
      </c>
      <c r="L1667" s="26" t="n">
        <v>0.066</v>
      </c>
      <c r="M1667" s="27" t="n">
        <f aca="false">IF(K1667&gt;0,1,0)</f>
        <v>1</v>
      </c>
      <c r="N1667" s="11" t="n">
        <f aca="false">SUMIFS(K$2:K1667,A$2:A1667,A1667,B$2:B1667,B1667)</f>
        <v>3068619</v>
      </c>
      <c r="O1667" s="11" t="n">
        <f aca="false">MAX(0,_xlfn.MAXIFS(N$2:N1667,A$2:A1667,A1667,B$2:B1667,B1667))</f>
        <v>3068619</v>
      </c>
      <c r="P1667" s="11" t="n">
        <f aca="false">N1667-O1667</f>
        <v>0</v>
      </c>
    </row>
    <row r="1668" customFormat="false" ht="15" hidden="false" customHeight="false" outlineLevel="0" collapsed="false">
      <c r="A1668" s="8" t="s">
        <v>45</v>
      </c>
      <c r="B1668" s="8" t="s">
        <v>41</v>
      </c>
      <c r="C1668" s="8" t="s">
        <v>60</v>
      </c>
      <c r="D1668" s="21" t="n">
        <v>46017.3784722222</v>
      </c>
      <c r="E1668" s="21" t="n">
        <v>46020.4965277778</v>
      </c>
      <c r="F1668" s="22" t="n">
        <f aca="false">DATE(YEAR(E1668),MONTH(E1668),1)</f>
        <v>45992</v>
      </c>
      <c r="G1668" s="23" t="n">
        <v>155746</v>
      </c>
      <c r="H1668" s="8" t="s">
        <v>61</v>
      </c>
      <c r="I1668" s="24" t="n">
        <v>577.17</v>
      </c>
      <c r="J1668" s="25" t="n">
        <f aca="false">Summary!$B$4</f>
        <v>1</v>
      </c>
      <c r="K1668" s="11" t="n">
        <f aca="false">I1668*J1668*IF(A1668="SILVER",Summary!$B$5,Summary!$B$6)</f>
        <v>57717</v>
      </c>
      <c r="L1668" s="26" t="n">
        <v>0.596</v>
      </c>
      <c r="M1668" s="27" t="n">
        <f aca="false">IF(K1668&gt;0,1,0)</f>
        <v>1</v>
      </c>
      <c r="N1668" s="11" t="n">
        <f aca="false">SUMIFS(K$2:K1668,A$2:A1668,A1668,B$2:B1668,B1668)</f>
        <v>3126336</v>
      </c>
      <c r="O1668" s="11" t="n">
        <f aca="false">MAX(0,_xlfn.MAXIFS(N$2:N1668,A$2:A1668,A1668,B$2:B1668,B1668))</f>
        <v>3126336</v>
      </c>
      <c r="P1668" s="11" t="n">
        <f aca="false">N1668-O1668</f>
        <v>0</v>
      </c>
    </row>
    <row r="1669" customFormat="false" ht="15" hidden="false" customHeight="false" outlineLevel="0" collapsed="false">
      <c r="A1669" s="8" t="s">
        <v>45</v>
      </c>
      <c r="B1669" s="8" t="s">
        <v>41</v>
      </c>
      <c r="C1669" s="8" t="s">
        <v>60</v>
      </c>
      <c r="D1669" s="21" t="n">
        <v>46021.4652777778</v>
      </c>
      <c r="E1669" s="21" t="n">
        <v>46021.7930555556</v>
      </c>
      <c r="F1669" s="22" t="n">
        <f aca="false">DATE(YEAR(E1669),MONTH(E1669),1)</f>
        <v>45992</v>
      </c>
      <c r="G1669" s="23" t="n">
        <v>153157</v>
      </c>
      <c r="H1669" s="8" t="s">
        <v>64</v>
      </c>
      <c r="I1669" s="24" t="n">
        <v>80.52</v>
      </c>
      <c r="J1669" s="25" t="n">
        <f aca="false">Summary!$B$4</f>
        <v>1</v>
      </c>
      <c r="K1669" s="11" t="n">
        <f aca="false">I1669*J1669*IF(A1669="SILVER",Summary!$B$5,Summary!$B$6)</f>
        <v>8052</v>
      </c>
      <c r="L1669" s="26" t="n">
        <v>0.068</v>
      </c>
      <c r="M1669" s="27" t="n">
        <f aca="false">IF(K1669&gt;0,1,0)</f>
        <v>1</v>
      </c>
      <c r="N1669" s="11" t="n">
        <f aca="false">SUMIFS(K$2:K1669,A$2:A1669,A1669,B$2:B1669,B1669)</f>
        <v>3134388</v>
      </c>
      <c r="O1669" s="11" t="n">
        <f aca="false">MAX(0,_xlfn.MAXIFS(N$2:N1669,A$2:A1669,A1669,B$2:B1669,B1669))</f>
        <v>3134388</v>
      </c>
      <c r="P1669" s="11" t="n">
        <f aca="false">N1669-O1669</f>
        <v>0</v>
      </c>
    </row>
    <row r="1670" customFormat="false" ht="15" hidden="false" customHeight="false" outlineLevel="0" collapsed="false">
      <c r="A1670" s="8" t="s">
        <v>45</v>
      </c>
      <c r="B1670" s="8" t="s">
        <v>41</v>
      </c>
      <c r="C1670" s="8" t="s">
        <v>60</v>
      </c>
      <c r="D1670" s="21" t="n">
        <v>46022.8055555556</v>
      </c>
      <c r="E1670" s="21" t="n">
        <v>46023.4583333333</v>
      </c>
      <c r="F1670" s="22" t="n">
        <f aca="false">DATE(YEAR(E1670),MONTH(E1670),1)</f>
        <v>46023</v>
      </c>
      <c r="G1670" s="23" t="n">
        <v>152813</v>
      </c>
      <c r="H1670" s="8" t="s">
        <v>61</v>
      </c>
      <c r="I1670" s="24" t="n">
        <v>-776.1</v>
      </c>
      <c r="J1670" s="25" t="n">
        <f aca="false">Summary!$B$4</f>
        <v>1</v>
      </c>
      <c r="K1670" s="11" t="n">
        <f aca="false">I1670*J1670*IF(A1670="SILVER",Summary!$B$5,Summary!$B$6)</f>
        <v>-77610</v>
      </c>
      <c r="L1670" s="26" t="n">
        <v>-0.733</v>
      </c>
      <c r="M1670" s="27" t="n">
        <f aca="false">IF(K1670&gt;0,1,0)</f>
        <v>0</v>
      </c>
      <c r="N1670" s="11" t="n">
        <f aca="false">SUMIFS(K$2:K1670,A$2:A1670,A1670,B$2:B1670,B1670)</f>
        <v>3056778</v>
      </c>
      <c r="O1670" s="11" t="n">
        <f aca="false">MAX(0,_xlfn.MAXIFS(N$2:N1670,A$2:A1670,A1670,B$2:B1670,B1670))</f>
        <v>3134388</v>
      </c>
      <c r="P1670" s="11" t="n">
        <f aca="false">N1670-O1670</f>
        <v>-77610</v>
      </c>
    </row>
    <row r="1671" customFormat="false" ht="15" hidden="false" customHeight="false" outlineLevel="0" collapsed="false">
      <c r="A1671" s="8" t="s">
        <v>45</v>
      </c>
      <c r="B1671" s="8" t="s">
        <v>41</v>
      </c>
      <c r="C1671" s="8" t="s">
        <v>60</v>
      </c>
      <c r="D1671" s="21" t="n">
        <v>46023.6076388889</v>
      </c>
      <c r="E1671" s="21" t="n">
        <v>46023.6666666667</v>
      </c>
      <c r="F1671" s="22" t="n">
        <f aca="false">DATE(YEAR(E1671),MONTH(E1671),1)</f>
        <v>46023</v>
      </c>
      <c r="G1671" s="23" t="n">
        <v>152597</v>
      </c>
      <c r="H1671" s="8" t="s">
        <v>64</v>
      </c>
      <c r="I1671" s="24" t="n">
        <v>-0.46</v>
      </c>
      <c r="J1671" s="25" t="n">
        <f aca="false">Summary!$B$4</f>
        <v>1</v>
      </c>
      <c r="K1671" s="11" t="n">
        <f aca="false">I1671*J1671*IF(A1671="SILVER",Summary!$B$5,Summary!$B$6)</f>
        <v>-46</v>
      </c>
      <c r="L1671" s="26" t="n">
        <v>-0.001</v>
      </c>
      <c r="M1671" s="27" t="n">
        <f aca="false">IF(K1671&gt;0,1,0)</f>
        <v>0</v>
      </c>
      <c r="N1671" s="11" t="n">
        <f aca="false">SUMIFS(K$2:K1671,A$2:A1671,A1671,B$2:B1671,B1671)</f>
        <v>3056732</v>
      </c>
      <c r="O1671" s="11" t="n">
        <f aca="false">MAX(0,_xlfn.MAXIFS(N$2:N1671,A$2:A1671,A1671,B$2:B1671,B1671))</f>
        <v>3134388</v>
      </c>
      <c r="P1671" s="11" t="n">
        <f aca="false">N1671-O1671</f>
        <v>-77656</v>
      </c>
    </row>
    <row r="1672" customFormat="false" ht="15" hidden="false" customHeight="false" outlineLevel="0" collapsed="false">
      <c r="A1672" s="8" t="s">
        <v>45</v>
      </c>
      <c r="B1672" s="8" t="s">
        <v>41</v>
      </c>
      <c r="C1672" s="8" t="s">
        <v>60</v>
      </c>
      <c r="D1672" s="21" t="n">
        <v>46027.3784722222</v>
      </c>
      <c r="E1672" s="21" t="n">
        <v>46027.7604166667</v>
      </c>
      <c r="F1672" s="22" t="n">
        <f aca="false">DATE(YEAR(E1672),MONTH(E1672),1)</f>
        <v>46023</v>
      </c>
      <c r="G1672" s="23" t="n">
        <v>154274</v>
      </c>
      <c r="H1672" s="8" t="s">
        <v>61</v>
      </c>
      <c r="I1672" s="24" t="n">
        <v>-45.47</v>
      </c>
      <c r="J1672" s="25" t="n">
        <f aca="false">Summary!$B$4</f>
        <v>1</v>
      </c>
      <c r="K1672" s="11" t="n">
        <f aca="false">I1672*J1672*IF(A1672="SILVER",Summary!$B$5,Summary!$B$6)</f>
        <v>-4547</v>
      </c>
      <c r="L1672" s="26" t="n">
        <v>-0.03</v>
      </c>
      <c r="M1672" s="27" t="n">
        <f aca="false">IF(K1672&gt;0,1,0)</f>
        <v>0</v>
      </c>
      <c r="N1672" s="11" t="n">
        <f aca="false">SUMIFS(K$2:K1672,A$2:A1672,A1672,B$2:B1672,B1672)</f>
        <v>3052185</v>
      </c>
      <c r="O1672" s="11" t="n">
        <f aca="false">MAX(0,_xlfn.MAXIFS(N$2:N1672,A$2:A1672,A1672,B$2:B1672,B1672))</f>
        <v>3134388</v>
      </c>
      <c r="P1672" s="11" t="n">
        <f aca="false">N1672-O1672</f>
        <v>-82203</v>
      </c>
    </row>
    <row r="1673" customFormat="false" ht="15" hidden="false" customHeight="false" outlineLevel="0" collapsed="false">
      <c r="A1673" s="8" t="s">
        <v>45</v>
      </c>
      <c r="B1673" s="8" t="s">
        <v>41</v>
      </c>
      <c r="C1673" s="8" t="s">
        <v>60</v>
      </c>
      <c r="D1673" s="21" t="n">
        <v>46027.8472222222</v>
      </c>
      <c r="E1673" s="21" t="n">
        <v>46028.6479166667</v>
      </c>
      <c r="F1673" s="22" t="n">
        <f aca="false">DATE(YEAR(E1673),MONTH(E1673),1)</f>
        <v>46023</v>
      </c>
      <c r="G1673" s="23" t="n">
        <v>154850</v>
      </c>
      <c r="H1673" s="8" t="s">
        <v>64</v>
      </c>
      <c r="I1673" s="24" t="n">
        <v>58.29</v>
      </c>
      <c r="J1673" s="25" t="n">
        <f aca="false">Summary!$B$4</f>
        <v>1</v>
      </c>
      <c r="K1673" s="11" t="n">
        <f aca="false">I1673*J1673*IF(A1673="SILVER",Summary!$B$5,Summary!$B$6)</f>
        <v>5829</v>
      </c>
      <c r="L1673" s="26" t="n">
        <v>0.061</v>
      </c>
      <c r="M1673" s="27" t="n">
        <f aca="false">IF(K1673&gt;0,1,0)</f>
        <v>1</v>
      </c>
      <c r="N1673" s="11" t="n">
        <f aca="false">SUMIFS(K$2:K1673,A$2:A1673,A1673,B$2:B1673,B1673)</f>
        <v>3058014</v>
      </c>
      <c r="O1673" s="11" t="n">
        <f aca="false">MAX(0,_xlfn.MAXIFS(N$2:N1673,A$2:A1673,A1673,B$2:B1673,B1673))</f>
        <v>3134388</v>
      </c>
      <c r="P1673" s="11" t="n">
        <f aca="false">N1673-O1673</f>
        <v>-76374</v>
      </c>
    </row>
    <row r="1674" customFormat="false" ht="15" hidden="false" customHeight="false" outlineLevel="0" collapsed="false">
      <c r="A1674" s="8" t="s">
        <v>45</v>
      </c>
      <c r="B1674" s="8" t="s">
        <v>41</v>
      </c>
      <c r="C1674" s="8" t="s">
        <v>60</v>
      </c>
      <c r="D1674" s="21" t="n">
        <v>46028.8368055556</v>
      </c>
      <c r="E1674" s="21" t="n">
        <v>46029.375</v>
      </c>
      <c r="F1674" s="22" t="n">
        <f aca="false">DATE(YEAR(E1674),MONTH(E1674),1)</f>
        <v>46023</v>
      </c>
      <c r="G1674" s="23" t="n">
        <v>155696</v>
      </c>
      <c r="H1674" s="8" t="s">
        <v>64</v>
      </c>
      <c r="I1674" s="24" t="n">
        <v>29.81</v>
      </c>
      <c r="J1674" s="25" t="n">
        <f aca="false">Summary!$B$4</f>
        <v>1</v>
      </c>
      <c r="K1674" s="11" t="n">
        <f aca="false">I1674*J1674*IF(A1674="SILVER",Summary!$B$5,Summary!$B$6)</f>
        <v>2981</v>
      </c>
      <c r="L1674" s="26" t="n">
        <v>0.044</v>
      </c>
      <c r="M1674" s="27" t="n">
        <f aca="false">IF(K1674&gt;0,1,0)</f>
        <v>1</v>
      </c>
      <c r="N1674" s="11" t="n">
        <f aca="false">SUMIFS(K$2:K1674,A$2:A1674,A1674,B$2:B1674,B1674)</f>
        <v>3060995</v>
      </c>
      <c r="O1674" s="11" t="n">
        <f aca="false">MAX(0,_xlfn.MAXIFS(N$2:N1674,A$2:A1674,A1674,B$2:B1674,B1674))</f>
        <v>3134388</v>
      </c>
      <c r="P1674" s="11" t="n">
        <f aca="false">N1674-O1674</f>
        <v>-73393</v>
      </c>
    </row>
    <row r="1675" customFormat="false" ht="15" hidden="false" customHeight="false" outlineLevel="0" collapsed="false">
      <c r="A1675" s="8" t="s">
        <v>45</v>
      </c>
      <c r="B1675" s="8" t="s">
        <v>41</v>
      </c>
      <c r="C1675" s="8" t="s">
        <v>60</v>
      </c>
      <c r="D1675" s="21" t="n">
        <v>46029.9201388889</v>
      </c>
      <c r="E1675" s="21" t="n">
        <v>46030.3993055556</v>
      </c>
      <c r="F1675" s="22" t="n">
        <f aca="false">DATE(YEAR(E1675),MONTH(E1675),1)</f>
        <v>46023</v>
      </c>
      <c r="G1675" s="23" t="n">
        <v>155217</v>
      </c>
      <c r="H1675" s="8" t="s">
        <v>61</v>
      </c>
      <c r="I1675" s="24" t="n">
        <v>-977.56</v>
      </c>
      <c r="J1675" s="25" t="n">
        <f aca="false">Summary!$B$4</f>
        <v>1</v>
      </c>
      <c r="K1675" s="11" t="n">
        <f aca="false">I1675*J1675*IF(A1675="SILVER",Summary!$B$5,Summary!$B$6)</f>
        <v>-97756</v>
      </c>
      <c r="L1675" s="26" t="n">
        <v>-1.041</v>
      </c>
      <c r="M1675" s="27" t="n">
        <f aca="false">IF(K1675&gt;0,1,0)</f>
        <v>0</v>
      </c>
      <c r="N1675" s="11" t="n">
        <f aca="false">SUMIFS(K$2:K1675,A$2:A1675,A1675,B$2:B1675,B1675)</f>
        <v>2963239</v>
      </c>
      <c r="O1675" s="11" t="n">
        <f aca="false">MAX(0,_xlfn.MAXIFS(N$2:N1675,A$2:A1675,A1675,B$2:B1675,B1675))</f>
        <v>3134388</v>
      </c>
      <c r="P1675" s="11" t="n">
        <f aca="false">N1675-O1675</f>
        <v>-171149</v>
      </c>
    </row>
    <row r="1676" customFormat="false" ht="15" hidden="false" customHeight="false" outlineLevel="0" collapsed="false">
      <c r="A1676" s="8" t="s">
        <v>45</v>
      </c>
      <c r="B1676" s="8" t="s">
        <v>41</v>
      </c>
      <c r="C1676" s="8" t="s">
        <v>60</v>
      </c>
      <c r="D1676" s="21" t="n">
        <v>46030.8611111111</v>
      </c>
      <c r="E1676" s="21" t="n">
        <v>46031.7534722222</v>
      </c>
      <c r="F1676" s="22" t="n">
        <f aca="false">DATE(YEAR(E1676),MONTH(E1676),1)</f>
        <v>46023</v>
      </c>
      <c r="G1676" s="23" t="n">
        <v>154221</v>
      </c>
      <c r="H1676" s="8" t="s">
        <v>61</v>
      </c>
      <c r="I1676" s="24" t="n">
        <v>819.46</v>
      </c>
      <c r="J1676" s="25" t="n">
        <f aca="false">Summary!$B$4</f>
        <v>1</v>
      </c>
      <c r="K1676" s="11" t="n">
        <f aca="false">I1676*J1676*IF(A1676="SILVER",Summary!$B$5,Summary!$B$6)</f>
        <v>81946</v>
      </c>
      <c r="L1676" s="26" t="n">
        <v>1.084</v>
      </c>
      <c r="M1676" s="27" t="n">
        <f aca="false">IF(K1676&gt;0,1,0)</f>
        <v>1</v>
      </c>
      <c r="N1676" s="11" t="n">
        <f aca="false">SUMIFS(K$2:K1676,A$2:A1676,A1676,B$2:B1676,B1676)</f>
        <v>3045185</v>
      </c>
      <c r="O1676" s="11" t="n">
        <f aca="false">MAX(0,_xlfn.MAXIFS(N$2:N1676,A$2:A1676,A1676,B$2:B1676,B1676))</f>
        <v>3134388</v>
      </c>
      <c r="P1676" s="11" t="n">
        <f aca="false">N1676-O1676</f>
        <v>-89203</v>
      </c>
    </row>
    <row r="1677" customFormat="false" ht="15" hidden="false" customHeight="false" outlineLevel="0" collapsed="false">
      <c r="A1677" s="8" t="s">
        <v>45</v>
      </c>
      <c r="B1677" s="8" t="s">
        <v>41</v>
      </c>
      <c r="C1677" s="8" t="s">
        <v>60</v>
      </c>
      <c r="D1677" s="21" t="n">
        <v>46031.7951388889</v>
      </c>
      <c r="E1677" s="21" t="n">
        <v>46031.975</v>
      </c>
      <c r="F1677" s="22" t="n">
        <f aca="false">DATE(YEAR(E1677),MONTH(E1677),1)</f>
        <v>46023</v>
      </c>
      <c r="G1677" s="23" t="n">
        <v>155620</v>
      </c>
      <c r="H1677" s="8" t="s">
        <v>64</v>
      </c>
      <c r="I1677" s="24" t="n">
        <v>-20.74</v>
      </c>
      <c r="J1677" s="25" t="n">
        <f aca="false">Summary!$B$4</f>
        <v>1</v>
      </c>
      <c r="K1677" s="11" t="n">
        <f aca="false">I1677*J1677*IF(A1677="SILVER",Summary!$B$5,Summary!$B$6)</f>
        <v>-2074</v>
      </c>
      <c r="L1677" s="26" t="n">
        <v>-0.021</v>
      </c>
      <c r="M1677" s="27" t="n">
        <f aca="false">IF(K1677&gt;0,1,0)</f>
        <v>0</v>
      </c>
      <c r="N1677" s="11" t="n">
        <f aca="false">SUMIFS(K$2:K1677,A$2:A1677,A1677,B$2:B1677,B1677)</f>
        <v>3043111</v>
      </c>
      <c r="O1677" s="11" t="n">
        <f aca="false">MAX(0,_xlfn.MAXIFS(N$2:N1677,A$2:A1677,A1677,B$2:B1677,B1677))</f>
        <v>3134388</v>
      </c>
      <c r="P1677" s="11" t="n">
        <f aca="false">N1677-O1677</f>
        <v>-91277</v>
      </c>
    </row>
    <row r="1678" customFormat="false" ht="15" hidden="false" customHeight="false" outlineLevel="0" collapsed="false">
      <c r="A1678" s="8" t="s">
        <v>45</v>
      </c>
      <c r="B1678" s="8" t="s">
        <v>41</v>
      </c>
      <c r="C1678" s="8" t="s">
        <v>60</v>
      </c>
      <c r="D1678" s="21" t="n">
        <v>46034.8784722222</v>
      </c>
      <c r="E1678" s="21" t="n">
        <v>46035.5069444445</v>
      </c>
      <c r="F1678" s="22" t="n">
        <f aca="false">DATE(YEAR(E1678),MONTH(E1678),1)</f>
        <v>46023</v>
      </c>
      <c r="G1678" s="23" t="n">
        <v>159281</v>
      </c>
      <c r="H1678" s="8" t="s">
        <v>61</v>
      </c>
      <c r="I1678" s="24" t="n">
        <v>-909.39</v>
      </c>
      <c r="J1678" s="25" t="n">
        <f aca="false">Summary!$B$4</f>
        <v>1</v>
      </c>
      <c r="K1678" s="11" t="n">
        <f aca="false">I1678*J1678*IF(A1678="SILVER",Summary!$B$5,Summary!$B$6)</f>
        <v>-90939</v>
      </c>
      <c r="L1678" s="26" t="n">
        <v>-0.796</v>
      </c>
      <c r="M1678" s="27" t="n">
        <f aca="false">IF(K1678&gt;0,1,0)</f>
        <v>0</v>
      </c>
      <c r="N1678" s="11" t="n">
        <f aca="false">SUMIFS(K$2:K1678,A$2:A1678,A1678,B$2:B1678,B1678)</f>
        <v>2952172</v>
      </c>
      <c r="O1678" s="11" t="n">
        <f aca="false">MAX(0,_xlfn.MAXIFS(N$2:N1678,A$2:A1678,A1678,B$2:B1678,B1678))</f>
        <v>3134388</v>
      </c>
      <c r="P1678" s="11" t="n">
        <f aca="false">N1678-O1678</f>
        <v>-182216</v>
      </c>
    </row>
    <row r="1679" customFormat="false" ht="15" hidden="false" customHeight="false" outlineLevel="0" collapsed="false">
      <c r="A1679" s="8" t="s">
        <v>45</v>
      </c>
      <c r="B1679" s="8" t="s">
        <v>41</v>
      </c>
      <c r="C1679" s="8" t="s">
        <v>60</v>
      </c>
      <c r="D1679" s="21" t="n">
        <v>46035.7777777778</v>
      </c>
      <c r="E1679" s="21" t="n">
        <v>46035.99375</v>
      </c>
      <c r="F1679" s="22" t="n">
        <f aca="false">DATE(YEAR(E1679),MONTH(E1679),1)</f>
        <v>46023</v>
      </c>
      <c r="G1679" s="23" t="n">
        <v>158880</v>
      </c>
      <c r="H1679" s="8" t="s">
        <v>64</v>
      </c>
      <c r="I1679" s="24" t="n">
        <v>12.59</v>
      </c>
      <c r="J1679" s="25" t="n">
        <f aca="false">Summary!$B$4</f>
        <v>1</v>
      </c>
      <c r="K1679" s="11" t="n">
        <f aca="false">I1679*J1679*IF(A1679="SILVER",Summary!$B$5,Summary!$B$6)</f>
        <v>1259</v>
      </c>
      <c r="L1679" s="26" t="n">
        <v>0.022</v>
      </c>
      <c r="M1679" s="27" t="n">
        <f aca="false">IF(K1679&gt;0,1,0)</f>
        <v>1</v>
      </c>
      <c r="N1679" s="11" t="n">
        <f aca="false">SUMIFS(K$2:K1679,A$2:A1679,A1679,B$2:B1679,B1679)</f>
        <v>2953431</v>
      </c>
      <c r="O1679" s="11" t="n">
        <f aca="false">MAX(0,_xlfn.MAXIFS(N$2:N1679,A$2:A1679,A1679,B$2:B1679,B1679))</f>
        <v>3134388</v>
      </c>
      <c r="P1679" s="11" t="n">
        <f aca="false">N1679-O1679</f>
        <v>-180957</v>
      </c>
    </row>
    <row r="1680" customFormat="false" ht="15" hidden="false" customHeight="false" outlineLevel="0" collapsed="false">
      <c r="A1680" s="8" t="s">
        <v>45</v>
      </c>
      <c r="B1680" s="8" t="s">
        <v>41</v>
      </c>
      <c r="C1680" s="8" t="s">
        <v>60</v>
      </c>
      <c r="D1680" s="21" t="n">
        <v>46037.8680555556</v>
      </c>
      <c r="E1680" s="21" t="n">
        <v>46038.3784722222</v>
      </c>
      <c r="F1680" s="22" t="n">
        <f aca="false">DATE(YEAR(E1680),MONTH(E1680),1)</f>
        <v>46023</v>
      </c>
      <c r="G1680" s="23" t="n">
        <v>159936</v>
      </c>
      <c r="H1680" s="8" t="s">
        <v>61</v>
      </c>
      <c r="I1680" s="24" t="n">
        <v>-652.54</v>
      </c>
      <c r="J1680" s="25" t="n">
        <f aca="false">Summary!$B$4</f>
        <v>1</v>
      </c>
      <c r="K1680" s="11" t="n">
        <f aca="false">I1680*J1680*IF(A1680="SILVER",Summary!$B$5,Summary!$B$6)</f>
        <v>-65254</v>
      </c>
      <c r="L1680" s="26" t="n">
        <v>-0.647</v>
      </c>
      <c r="M1680" s="27" t="n">
        <f aca="false">IF(K1680&gt;0,1,0)</f>
        <v>0</v>
      </c>
      <c r="N1680" s="11" t="n">
        <f aca="false">SUMIFS(K$2:K1680,A$2:A1680,A1680,B$2:B1680,B1680)</f>
        <v>2888177</v>
      </c>
      <c r="O1680" s="11" t="n">
        <f aca="false">MAX(0,_xlfn.MAXIFS(N$2:N1680,A$2:A1680,A1680,B$2:B1680,B1680))</f>
        <v>3134388</v>
      </c>
      <c r="P1680" s="11" t="n">
        <f aca="false">N1680-O1680</f>
        <v>-246211</v>
      </c>
    </row>
    <row r="1681" customFormat="false" ht="15" hidden="false" customHeight="false" outlineLevel="0" collapsed="false">
      <c r="A1681" s="8" t="s">
        <v>45</v>
      </c>
      <c r="B1681" s="8" t="s">
        <v>41</v>
      </c>
      <c r="C1681" s="8" t="s">
        <v>60</v>
      </c>
      <c r="D1681" s="21" t="n">
        <v>46041.3784722222</v>
      </c>
      <c r="E1681" s="21" t="n">
        <v>46042.6111111111</v>
      </c>
      <c r="F1681" s="22" t="n">
        <f aca="false">DATE(YEAR(E1681),MONTH(E1681),1)</f>
        <v>46023</v>
      </c>
      <c r="G1681" s="23" t="n">
        <v>161296</v>
      </c>
      <c r="H1681" s="8" t="s">
        <v>61</v>
      </c>
      <c r="I1681" s="24" t="n">
        <v>4641.65</v>
      </c>
      <c r="J1681" s="25" t="n">
        <f aca="false">Summary!$B$4</f>
        <v>1</v>
      </c>
      <c r="K1681" s="11" t="n">
        <f aca="false">I1681*J1681*IF(A1681="SILVER",Summary!$B$5,Summary!$B$6)</f>
        <v>464165</v>
      </c>
      <c r="L1681" s="26" t="n">
        <v>2.695</v>
      </c>
      <c r="M1681" s="27" t="n">
        <f aca="false">IF(K1681&gt;0,1,0)</f>
        <v>1</v>
      </c>
      <c r="N1681" s="11" t="n">
        <f aca="false">SUMIFS(K$2:K1681,A$2:A1681,A1681,B$2:B1681,B1681)</f>
        <v>3352342</v>
      </c>
      <c r="O1681" s="11" t="n">
        <f aca="false">MAX(0,_xlfn.MAXIFS(N$2:N1681,A$2:A1681,A1681,B$2:B1681,B1681))</f>
        <v>3352342</v>
      </c>
      <c r="P1681" s="11" t="n">
        <f aca="false">N1681-O1681</f>
        <v>0</v>
      </c>
    </row>
    <row r="1682" customFormat="false" ht="15" hidden="false" customHeight="false" outlineLevel="0" collapsed="false">
      <c r="A1682" s="8" t="s">
        <v>45</v>
      </c>
      <c r="B1682" s="8" t="s">
        <v>41</v>
      </c>
      <c r="C1682" s="8" t="s">
        <v>60</v>
      </c>
      <c r="D1682" s="21" t="n">
        <v>46043.3784722222</v>
      </c>
      <c r="E1682" s="21" t="n">
        <v>46043.8472222222</v>
      </c>
      <c r="F1682" s="22" t="n">
        <f aca="false">DATE(YEAR(E1682),MONTH(E1682),1)</f>
        <v>46023</v>
      </c>
      <c r="G1682" s="23" t="n">
        <v>170107</v>
      </c>
      <c r="H1682" s="8" t="s">
        <v>61</v>
      </c>
      <c r="I1682" s="24" t="n">
        <v>4113.95</v>
      </c>
      <c r="J1682" s="25" t="n">
        <f aca="false">Summary!$B$4</f>
        <v>1</v>
      </c>
      <c r="K1682" s="11" t="n">
        <f aca="false">I1682*J1682*IF(A1682="SILVER",Summary!$B$5,Summary!$B$6)</f>
        <v>411395</v>
      </c>
      <c r="L1682" s="26" t="n">
        <v>1.741</v>
      </c>
      <c r="M1682" s="27" t="n">
        <f aca="false">IF(K1682&gt;0,1,0)</f>
        <v>1</v>
      </c>
      <c r="N1682" s="11" t="n">
        <f aca="false">SUMIFS(K$2:K1682,A$2:A1682,A1682,B$2:B1682,B1682)</f>
        <v>3763737</v>
      </c>
      <c r="O1682" s="11" t="n">
        <f aca="false">MAX(0,_xlfn.MAXIFS(N$2:N1682,A$2:A1682,A1682,B$2:B1682,B1682))</f>
        <v>3763737</v>
      </c>
      <c r="P1682" s="11" t="n">
        <f aca="false">N1682-O1682</f>
        <v>0</v>
      </c>
    </row>
    <row r="1683" customFormat="false" ht="15" hidden="false" customHeight="false" outlineLevel="0" collapsed="false">
      <c r="A1683" s="8" t="s">
        <v>45</v>
      </c>
      <c r="B1683" s="8" t="s">
        <v>41</v>
      </c>
      <c r="C1683" s="8" t="s">
        <v>60</v>
      </c>
      <c r="D1683" s="21" t="n">
        <v>46044.875</v>
      </c>
      <c r="E1683" s="21" t="n">
        <v>46045.5798611111</v>
      </c>
      <c r="F1683" s="22" t="n">
        <f aca="false">DATE(YEAR(E1683),MONTH(E1683),1)</f>
        <v>46023</v>
      </c>
      <c r="G1683" s="23" t="n">
        <v>169187</v>
      </c>
      <c r="H1683" s="8" t="s">
        <v>61</v>
      </c>
      <c r="I1683" s="24" t="n">
        <v>3555.18</v>
      </c>
      <c r="J1683" s="25" t="n">
        <f aca="false">Summary!$B$4</f>
        <v>1</v>
      </c>
      <c r="K1683" s="11" t="n">
        <f aca="false">I1683*J1683*IF(A1683="SILVER",Summary!$B$5,Summary!$B$6)</f>
        <v>355518</v>
      </c>
      <c r="L1683" s="26" t="n">
        <v>2.05</v>
      </c>
      <c r="M1683" s="27" t="n">
        <f aca="false">IF(K1683&gt;0,1,0)</f>
        <v>1</v>
      </c>
      <c r="N1683" s="11" t="n">
        <f aca="false">SUMIFS(K$2:K1683,A$2:A1683,A1683,B$2:B1683,B1683)</f>
        <v>4119255</v>
      </c>
      <c r="O1683" s="11" t="n">
        <f aca="false">MAX(0,_xlfn.MAXIFS(N$2:N1683,A$2:A1683,A1683,B$2:B1683,B1683))</f>
        <v>4119255</v>
      </c>
      <c r="P1683" s="11" t="n">
        <f aca="false">N1683-O1683</f>
        <v>0</v>
      </c>
    </row>
    <row r="1684" customFormat="false" ht="15" hidden="false" customHeight="false" outlineLevel="0" collapsed="false">
      <c r="A1684" s="8" t="s">
        <v>45</v>
      </c>
      <c r="B1684" s="8" t="s">
        <v>41</v>
      </c>
      <c r="C1684" s="8" t="s">
        <v>60</v>
      </c>
      <c r="D1684" s="21" t="n">
        <v>46045.7638888889</v>
      </c>
      <c r="E1684" s="21" t="n">
        <v>46045.9895833333</v>
      </c>
      <c r="F1684" s="22" t="n">
        <f aca="false">DATE(YEAR(E1684),MONTH(E1684),1)</f>
        <v>46023</v>
      </c>
      <c r="G1684" s="23" t="n">
        <v>174318</v>
      </c>
      <c r="H1684" s="8" t="s">
        <v>61</v>
      </c>
      <c r="I1684" s="24" t="n">
        <v>-1616.32</v>
      </c>
      <c r="J1684" s="25" t="n">
        <f aca="false">Summary!$B$4</f>
        <v>1</v>
      </c>
      <c r="K1684" s="11" t="n">
        <f aca="false">I1684*J1684*IF(A1684="SILVER",Summary!$B$5,Summary!$B$6)</f>
        <v>-161632</v>
      </c>
      <c r="L1684" s="26" t="n">
        <v>-1.009</v>
      </c>
      <c r="M1684" s="27" t="n">
        <f aca="false">IF(K1684&gt;0,1,0)</f>
        <v>0</v>
      </c>
      <c r="N1684" s="11" t="n">
        <f aca="false">SUMIFS(K$2:K1684,A$2:A1684,A1684,B$2:B1684,B1684)</f>
        <v>3957623</v>
      </c>
      <c r="O1684" s="11" t="n">
        <f aca="false">MAX(0,_xlfn.MAXIFS(N$2:N1684,A$2:A1684,A1684,B$2:B1684,B1684))</f>
        <v>4119255</v>
      </c>
      <c r="P1684" s="11" t="n">
        <f aca="false">N1684-O1684</f>
        <v>-161632</v>
      </c>
    </row>
    <row r="1685" customFormat="false" ht="15" hidden="false" customHeight="false" outlineLevel="0" collapsed="false">
      <c r="A1685" s="8" t="s">
        <v>45</v>
      </c>
      <c r="B1685" s="8" t="s">
        <v>41</v>
      </c>
      <c r="C1685" s="8" t="s">
        <v>60</v>
      </c>
      <c r="D1685" s="21" t="n">
        <v>46049.3784722222</v>
      </c>
      <c r="E1685" s="21" t="n">
        <v>46049.8229166667</v>
      </c>
      <c r="F1685" s="22" t="n">
        <f aca="false">DATE(YEAR(E1685),MONTH(E1685),1)</f>
        <v>46023</v>
      </c>
      <c r="G1685" s="23" t="n">
        <v>175057</v>
      </c>
      <c r="H1685" s="8" t="s">
        <v>61</v>
      </c>
      <c r="I1685" s="24" t="n">
        <v>-10.64</v>
      </c>
      <c r="J1685" s="25" t="n">
        <f aca="false">Summary!$B$4</f>
        <v>1</v>
      </c>
      <c r="K1685" s="11" t="n">
        <f aca="false">I1685*J1685*IF(A1685="SILVER",Summary!$B$5,Summary!$B$6)</f>
        <v>-1064</v>
      </c>
      <c r="L1685" s="26" t="n">
        <v>-0.005</v>
      </c>
      <c r="M1685" s="27" t="n">
        <f aca="false">IF(K1685&gt;0,1,0)</f>
        <v>0</v>
      </c>
      <c r="N1685" s="11" t="n">
        <f aca="false">SUMIFS(K$2:K1685,A$2:A1685,A1685,B$2:B1685,B1685)</f>
        <v>3956559</v>
      </c>
      <c r="O1685" s="11" t="n">
        <f aca="false">MAX(0,_xlfn.MAXIFS(N$2:N1685,A$2:A1685,A1685,B$2:B1685,B1685))</f>
        <v>4119255</v>
      </c>
      <c r="P1685" s="11" t="n">
        <f aca="false">N1685-O1685</f>
        <v>-162696</v>
      </c>
    </row>
    <row r="1686" customFormat="false" ht="15" hidden="false" customHeight="false" outlineLevel="0" collapsed="false">
      <c r="A1686" s="8" t="s">
        <v>45</v>
      </c>
      <c r="B1686" s="8" t="s">
        <v>41</v>
      </c>
      <c r="C1686" s="8" t="s">
        <v>60</v>
      </c>
      <c r="D1686" s="21" t="n">
        <v>46050.3784722222</v>
      </c>
      <c r="E1686" s="21" t="n">
        <v>46050.4131944445</v>
      </c>
      <c r="F1686" s="22" t="n">
        <f aca="false">DATE(YEAR(E1686),MONTH(E1686),1)</f>
        <v>46023</v>
      </c>
      <c r="G1686" s="23" t="n">
        <v>177259</v>
      </c>
      <c r="H1686" s="8" t="s">
        <v>64</v>
      </c>
      <c r="I1686" s="24" t="n">
        <v>123.35</v>
      </c>
      <c r="J1686" s="25" t="n">
        <f aca="false">Summary!$B$4</f>
        <v>1</v>
      </c>
      <c r="K1686" s="11" t="n">
        <f aca="false">I1686*J1686*IF(A1686="SILVER",Summary!$B$5,Summary!$B$6)</f>
        <v>12335</v>
      </c>
      <c r="L1686" s="26" t="n">
        <v>0.075</v>
      </c>
      <c r="M1686" s="27" t="n">
        <f aca="false">IF(K1686&gt;0,1,0)</f>
        <v>1</v>
      </c>
      <c r="N1686" s="11" t="n">
        <f aca="false">SUMIFS(K$2:K1686,A$2:A1686,A1686,B$2:B1686,B1686)</f>
        <v>3968894</v>
      </c>
      <c r="O1686" s="11" t="n">
        <f aca="false">MAX(0,_xlfn.MAXIFS(N$2:N1686,A$2:A1686,A1686,B$2:B1686,B1686))</f>
        <v>4119255</v>
      </c>
      <c r="P1686" s="11" t="n">
        <f aca="false">N1686-O1686</f>
        <v>-150361</v>
      </c>
    </row>
    <row r="1687" customFormat="false" ht="15" hidden="false" customHeight="false" outlineLevel="0" collapsed="false">
      <c r="A1687" s="8" t="s">
        <v>45</v>
      </c>
      <c r="B1687" s="8" t="s">
        <v>41</v>
      </c>
      <c r="C1687" s="8" t="s">
        <v>60</v>
      </c>
      <c r="D1687" s="21" t="n">
        <v>46052.6701388889</v>
      </c>
      <c r="E1687" s="21" t="n">
        <v>46052.8055555556</v>
      </c>
      <c r="F1687" s="22" t="n">
        <f aca="false">DATE(YEAR(E1687),MONTH(E1687),1)</f>
        <v>46023</v>
      </c>
      <c r="G1687" s="23" t="n">
        <v>178121</v>
      </c>
      <c r="H1687" s="8" t="s">
        <v>61</v>
      </c>
      <c r="I1687" s="24" t="n">
        <v>-4426.74</v>
      </c>
      <c r="J1687" s="25" t="n">
        <f aca="false">Summary!$B$4</f>
        <v>1</v>
      </c>
      <c r="K1687" s="11" t="n">
        <f aca="false">I1687*J1687*IF(A1687="SILVER",Summary!$B$5,Summary!$B$6)</f>
        <v>-442674</v>
      </c>
      <c r="L1687" s="26" t="n">
        <v>-0.55</v>
      </c>
      <c r="M1687" s="27" t="n">
        <f aca="false">IF(K1687&gt;0,1,0)</f>
        <v>0</v>
      </c>
      <c r="N1687" s="11" t="n">
        <f aca="false">SUMIFS(K$2:K1687,A$2:A1687,A1687,B$2:B1687,B1687)</f>
        <v>3526220</v>
      </c>
      <c r="O1687" s="11" t="n">
        <f aca="false">MAX(0,_xlfn.MAXIFS(N$2:N1687,A$2:A1687,A1687,B$2:B1687,B1687))</f>
        <v>4119255</v>
      </c>
      <c r="P1687" s="11" t="n">
        <f aca="false">N1687-O1687</f>
        <v>-593035</v>
      </c>
    </row>
    <row r="1688" customFormat="false" ht="15" hidden="false" customHeight="false" outlineLevel="0" collapsed="false">
      <c r="A1688" s="8" t="s">
        <v>45</v>
      </c>
      <c r="B1688" s="8" t="s">
        <v>41</v>
      </c>
      <c r="C1688" s="8" t="s">
        <v>60</v>
      </c>
      <c r="D1688" s="21" t="n">
        <v>46054.6055555556</v>
      </c>
      <c r="E1688" s="21" t="n">
        <v>46055.3923611111</v>
      </c>
      <c r="F1688" s="22" t="n">
        <f aca="false">DATE(YEAR(E1688),MONTH(E1688),1)</f>
        <v>46054</v>
      </c>
      <c r="G1688" s="23" t="n">
        <v>161921</v>
      </c>
      <c r="H1688" s="8" t="s">
        <v>61</v>
      </c>
      <c r="I1688" s="24" t="n">
        <v>-6782.34</v>
      </c>
      <c r="J1688" s="25" t="n">
        <f aca="false">Summary!$B$4</f>
        <v>1</v>
      </c>
      <c r="K1688" s="11" t="n">
        <f aca="false">I1688*J1688*IF(A1688="SILVER",Summary!$B$5,Summary!$B$6)</f>
        <v>-678234</v>
      </c>
      <c r="L1688" s="26" t="n">
        <v>-1.157</v>
      </c>
      <c r="M1688" s="27" t="n">
        <f aca="false">IF(K1688&gt;0,1,0)</f>
        <v>0</v>
      </c>
      <c r="N1688" s="11" t="n">
        <f aca="false">SUMIFS(K$2:K1688,A$2:A1688,A1688,B$2:B1688,B1688)</f>
        <v>2847986</v>
      </c>
      <c r="O1688" s="11" t="n">
        <f aca="false">MAX(0,_xlfn.MAXIFS(N$2:N1688,A$2:A1688,A1688,B$2:B1688,B1688))</f>
        <v>4119255</v>
      </c>
      <c r="P1688" s="11" t="n">
        <f aca="false">N1688-O1688</f>
        <v>-1271269</v>
      </c>
    </row>
    <row r="1689" customFormat="false" ht="15" hidden="false" customHeight="false" outlineLevel="0" collapsed="false">
      <c r="A1689" s="8" t="s">
        <v>45</v>
      </c>
      <c r="B1689" s="8" t="s">
        <v>41</v>
      </c>
      <c r="C1689" s="8" t="s">
        <v>62</v>
      </c>
      <c r="D1689" s="21" t="n">
        <v>46055.3923611111</v>
      </c>
      <c r="E1689" s="21" t="n">
        <v>46055.5479166667</v>
      </c>
      <c r="F1689" s="22" t="n">
        <f aca="false">DATE(YEAR(E1689),MONTH(E1689),1)</f>
        <v>46054</v>
      </c>
      <c r="G1689" s="23" t="n">
        <v>155177</v>
      </c>
      <c r="H1689" s="8" t="s">
        <v>64</v>
      </c>
      <c r="I1689" s="24" t="n">
        <v>516.33</v>
      </c>
      <c r="J1689" s="25" t="n">
        <f aca="false">Summary!$B$4</f>
        <v>1</v>
      </c>
      <c r="K1689" s="11" t="n">
        <f aca="false">I1689*J1689*IF(A1689="SILVER",Summary!$B$5,Summary!$B$6)</f>
        <v>51633</v>
      </c>
      <c r="L1689" s="26" t="n">
        <v>0.085</v>
      </c>
      <c r="M1689" s="27" t="n">
        <f aca="false">IF(K1689&gt;0,1,0)</f>
        <v>1</v>
      </c>
      <c r="N1689" s="11" t="n">
        <f aca="false">SUMIFS(K$2:K1689,A$2:A1689,A1689,B$2:B1689,B1689)</f>
        <v>2899619</v>
      </c>
      <c r="O1689" s="11" t="n">
        <f aca="false">MAX(0,_xlfn.MAXIFS(N$2:N1689,A$2:A1689,A1689,B$2:B1689,B1689))</f>
        <v>4119255</v>
      </c>
      <c r="P1689" s="11" t="n">
        <f aca="false">N1689-O1689</f>
        <v>-1219636</v>
      </c>
    </row>
    <row r="1690" customFormat="false" ht="15" hidden="false" customHeight="false" outlineLevel="0" collapsed="false">
      <c r="A1690" s="8" t="s">
        <v>45</v>
      </c>
      <c r="B1690" s="8" t="s">
        <v>41</v>
      </c>
      <c r="C1690" s="8" t="s">
        <v>62</v>
      </c>
      <c r="D1690" s="21" t="n">
        <v>46055.9201388889</v>
      </c>
      <c r="E1690" s="21" t="n">
        <v>46056.4576388889</v>
      </c>
      <c r="F1690" s="22" t="n">
        <f aca="false">DATE(YEAR(E1690),MONTH(E1690),1)</f>
        <v>46054</v>
      </c>
      <c r="G1690" s="23" t="n">
        <v>159528</v>
      </c>
      <c r="H1690" s="8" t="s">
        <v>64</v>
      </c>
      <c r="I1690" s="24" t="n">
        <v>-3374.78</v>
      </c>
      <c r="J1690" s="25" t="n">
        <f aca="false">Summary!$B$4</f>
        <v>1</v>
      </c>
      <c r="K1690" s="11" t="n">
        <f aca="false">I1690*J1690*IF(A1690="SILVER",Summary!$B$5,Summary!$B$6)</f>
        <v>-337478</v>
      </c>
      <c r="L1690" s="26" t="n">
        <v>-0.846</v>
      </c>
      <c r="M1690" s="27" t="n">
        <f aca="false">IF(K1690&gt;0,1,0)</f>
        <v>0</v>
      </c>
      <c r="N1690" s="11" t="n">
        <f aca="false">SUMIFS(K$2:K1690,A$2:A1690,A1690,B$2:B1690,B1690)</f>
        <v>2562141</v>
      </c>
      <c r="O1690" s="11" t="n">
        <f aca="false">MAX(0,_xlfn.MAXIFS(N$2:N1690,A$2:A1690,A1690,B$2:B1690,B1690))</f>
        <v>4119255</v>
      </c>
      <c r="P1690" s="11" t="n">
        <f aca="false">N1690-O1690</f>
        <v>-1557114</v>
      </c>
    </row>
    <row r="1691" customFormat="false" ht="15" hidden="false" customHeight="false" outlineLevel="0" collapsed="false">
      <c r="A1691" s="8" t="s">
        <v>45</v>
      </c>
      <c r="B1691" s="8" t="s">
        <v>41</v>
      </c>
      <c r="C1691" s="8" t="s">
        <v>62</v>
      </c>
      <c r="D1691" s="21" t="n">
        <v>46057.8368055556</v>
      </c>
      <c r="E1691" s="21" t="n">
        <v>46057.8430555556</v>
      </c>
      <c r="F1691" s="22" t="n">
        <f aca="false">DATE(YEAR(E1691),MONTH(E1691),1)</f>
        <v>46054</v>
      </c>
      <c r="G1691" s="23" t="n">
        <v>165102</v>
      </c>
      <c r="H1691" s="8" t="s">
        <v>64</v>
      </c>
      <c r="I1691" s="24" t="n">
        <v>214.2</v>
      </c>
      <c r="J1691" s="25" t="n">
        <f aca="false">Summary!$B$4</f>
        <v>1</v>
      </c>
      <c r="K1691" s="11" t="n">
        <f aca="false">I1691*J1691*IF(A1691="SILVER",Summary!$B$5,Summary!$B$6)</f>
        <v>21420</v>
      </c>
      <c r="L1691" s="26" t="n">
        <v>0.084</v>
      </c>
      <c r="M1691" s="27" t="n">
        <f aca="false">IF(K1691&gt;0,1,0)</f>
        <v>1</v>
      </c>
      <c r="N1691" s="11" t="n">
        <f aca="false">SUMIFS(K$2:K1691,A$2:A1691,A1691,B$2:B1691,B1691)</f>
        <v>2583561</v>
      </c>
      <c r="O1691" s="11" t="n">
        <f aca="false">MAX(0,_xlfn.MAXIFS(N$2:N1691,A$2:A1691,A1691,B$2:B1691,B1691))</f>
        <v>4119255</v>
      </c>
      <c r="P1691" s="11" t="n">
        <f aca="false">N1691-O1691</f>
        <v>-1535694</v>
      </c>
    </row>
    <row r="1692" customFormat="false" ht="15" hidden="false" customHeight="false" outlineLevel="0" collapsed="false">
      <c r="A1692" s="8" t="s">
        <v>45</v>
      </c>
      <c r="B1692" s="8" t="s">
        <v>41</v>
      </c>
      <c r="C1692" s="8" t="s">
        <v>62</v>
      </c>
      <c r="D1692" s="21" t="n">
        <v>46062.6736111111</v>
      </c>
      <c r="E1692" s="21" t="n">
        <v>46062.8784722222</v>
      </c>
      <c r="F1692" s="22" t="n">
        <f aca="false">DATE(YEAR(E1692),MONTH(E1692),1)</f>
        <v>46054</v>
      </c>
      <c r="G1692" s="23" t="n">
        <v>164002</v>
      </c>
      <c r="H1692" s="8" t="s">
        <v>61</v>
      </c>
      <c r="I1692" s="24" t="n">
        <v>-1368.44</v>
      </c>
      <c r="J1692" s="25" t="n">
        <f aca="false">Summary!$B$4</f>
        <v>1</v>
      </c>
      <c r="K1692" s="11" t="n">
        <f aca="false">I1692*J1692*IF(A1692="SILVER",Summary!$B$5,Summary!$B$6)</f>
        <v>-136844</v>
      </c>
      <c r="L1692" s="26" t="n">
        <v>-0.987</v>
      </c>
      <c r="M1692" s="27" t="n">
        <f aca="false">IF(K1692&gt;0,1,0)</f>
        <v>0</v>
      </c>
      <c r="N1692" s="11" t="n">
        <f aca="false">SUMIFS(K$2:K1692,A$2:A1692,A1692,B$2:B1692,B1692)</f>
        <v>2446717</v>
      </c>
      <c r="O1692" s="11" t="n">
        <f aca="false">MAX(0,_xlfn.MAXIFS(N$2:N1692,A$2:A1692,A1692,B$2:B1692,B1692))</f>
        <v>4119255</v>
      </c>
      <c r="P1692" s="11" t="n">
        <f aca="false">N1692-O1692</f>
        <v>-1672538</v>
      </c>
    </row>
    <row r="1693" customFormat="false" ht="15" hidden="false" customHeight="false" outlineLevel="0" collapsed="false">
      <c r="A1693" s="8" t="s">
        <v>45</v>
      </c>
      <c r="B1693" s="8" t="s">
        <v>41</v>
      </c>
      <c r="C1693" s="8" t="s">
        <v>62</v>
      </c>
      <c r="D1693" s="21" t="n">
        <v>46063.3784722222</v>
      </c>
      <c r="E1693" s="21" t="n">
        <v>46063.6631944445</v>
      </c>
      <c r="F1693" s="22" t="n">
        <f aca="false">DATE(YEAR(E1693),MONTH(E1693),1)</f>
        <v>46054</v>
      </c>
      <c r="G1693" s="23" t="n">
        <v>164810</v>
      </c>
      <c r="H1693" s="8" t="s">
        <v>61</v>
      </c>
      <c r="I1693" s="24" t="n">
        <v>-833.55</v>
      </c>
      <c r="J1693" s="25" t="n">
        <f aca="false">Summary!$B$4</f>
        <v>1</v>
      </c>
      <c r="K1693" s="11" t="n">
        <f aca="false">I1693*J1693*IF(A1693="SILVER",Summary!$B$5,Summary!$B$6)</f>
        <v>-83355</v>
      </c>
      <c r="L1693" s="26" t="n">
        <v>-0.46</v>
      </c>
      <c r="M1693" s="27" t="n">
        <f aca="false">IF(K1693&gt;0,1,0)</f>
        <v>0</v>
      </c>
      <c r="N1693" s="11" t="n">
        <f aca="false">SUMIFS(K$2:K1693,A$2:A1693,A1693,B$2:B1693,B1693)</f>
        <v>2363362</v>
      </c>
      <c r="O1693" s="11" t="n">
        <f aca="false">MAX(0,_xlfn.MAXIFS(N$2:N1693,A$2:A1693,A1693,B$2:B1693,B1693))</f>
        <v>4119255</v>
      </c>
      <c r="P1693" s="11" t="n">
        <f aca="false">N1693-O1693</f>
        <v>-1755893</v>
      </c>
    </row>
    <row r="1694" customFormat="false" ht="15" hidden="false" customHeight="false" outlineLevel="0" collapsed="false">
      <c r="A1694" s="8" t="s">
        <v>45</v>
      </c>
      <c r="B1694" s="8" t="s">
        <v>41</v>
      </c>
      <c r="C1694" s="8" t="s">
        <v>62</v>
      </c>
      <c r="D1694" s="21" t="n">
        <v>46063.8472222222</v>
      </c>
      <c r="E1694" s="21" t="n">
        <v>46063.9548611111</v>
      </c>
      <c r="F1694" s="22" t="n">
        <f aca="false">DATE(YEAR(E1694),MONTH(E1694),1)</f>
        <v>46054</v>
      </c>
      <c r="G1694" s="23" t="n">
        <v>165090</v>
      </c>
      <c r="H1694" s="8" t="s">
        <v>64</v>
      </c>
      <c r="I1694" s="24" t="n">
        <v>90.5</v>
      </c>
      <c r="J1694" s="25" t="n">
        <f aca="false">Summary!$B$4</f>
        <v>1</v>
      </c>
      <c r="K1694" s="11" t="n">
        <f aca="false">I1694*J1694*IF(A1694="SILVER",Summary!$B$5,Summary!$B$6)</f>
        <v>9050</v>
      </c>
      <c r="L1694" s="26" t="n">
        <v>0.059</v>
      </c>
      <c r="M1694" s="27" t="n">
        <f aca="false">IF(K1694&gt;0,1,0)</f>
        <v>1</v>
      </c>
      <c r="N1694" s="11" t="n">
        <f aca="false">SUMIFS(K$2:K1694,A$2:A1694,A1694,B$2:B1694,B1694)</f>
        <v>2372412</v>
      </c>
      <c r="O1694" s="11" t="n">
        <f aca="false">MAX(0,_xlfn.MAXIFS(N$2:N1694,A$2:A1694,A1694,B$2:B1694,B1694))</f>
        <v>4119255</v>
      </c>
      <c r="P1694" s="11" t="n">
        <f aca="false">N1694-O1694</f>
        <v>-1746843</v>
      </c>
    </row>
    <row r="1695" customFormat="false" ht="15" hidden="false" customHeight="false" outlineLevel="0" collapsed="false">
      <c r="A1695" s="8" t="s">
        <v>45</v>
      </c>
      <c r="B1695" s="8" t="s">
        <v>41</v>
      </c>
      <c r="C1695" s="8" t="s">
        <v>62</v>
      </c>
      <c r="D1695" s="21" t="n">
        <v>46064.7604166667</v>
      </c>
      <c r="E1695" s="21" t="n">
        <v>46064.7986111111</v>
      </c>
      <c r="F1695" s="22" t="n">
        <f aca="false">DATE(YEAR(E1695),MONTH(E1695),1)</f>
        <v>46054</v>
      </c>
      <c r="G1695" s="23" t="n">
        <v>166301</v>
      </c>
      <c r="H1695" s="8" t="s">
        <v>64</v>
      </c>
      <c r="I1695" s="24" t="n">
        <v>93.1</v>
      </c>
      <c r="J1695" s="25" t="n">
        <f aca="false">Summary!$B$4</f>
        <v>1</v>
      </c>
      <c r="K1695" s="11" t="n">
        <f aca="false">I1695*J1695*IF(A1695="SILVER",Summary!$B$5,Summary!$B$6)</f>
        <v>9310</v>
      </c>
      <c r="L1695" s="26" t="n">
        <v>0.069</v>
      </c>
      <c r="M1695" s="27" t="n">
        <f aca="false">IF(K1695&gt;0,1,0)</f>
        <v>1</v>
      </c>
      <c r="N1695" s="11" t="n">
        <f aca="false">SUMIFS(K$2:K1695,A$2:A1695,A1695,B$2:B1695,B1695)</f>
        <v>2381722</v>
      </c>
      <c r="O1695" s="11" t="n">
        <f aca="false">MAX(0,_xlfn.MAXIFS(N$2:N1695,A$2:A1695,A1695,B$2:B1695,B1695))</f>
        <v>4119255</v>
      </c>
      <c r="P1695" s="11" t="n">
        <f aca="false">N1695-O1695</f>
        <v>-1737533</v>
      </c>
    </row>
    <row r="1696" customFormat="false" ht="15" hidden="false" customHeight="false" outlineLevel="0" collapsed="false">
      <c r="A1696" s="8" t="s">
        <v>45</v>
      </c>
      <c r="B1696" s="8" t="s">
        <v>41</v>
      </c>
      <c r="C1696" s="8" t="s">
        <v>62</v>
      </c>
      <c r="D1696" s="21" t="n">
        <v>46066.7048611111</v>
      </c>
      <c r="E1696" s="21" t="n">
        <v>46066.7951388889</v>
      </c>
      <c r="F1696" s="22" t="n">
        <f aca="false">DATE(YEAR(E1696),MONTH(E1696),1)</f>
        <v>46054</v>
      </c>
      <c r="G1696" s="23" t="n">
        <v>160901</v>
      </c>
      <c r="H1696" s="8" t="s">
        <v>61</v>
      </c>
      <c r="I1696" s="24" t="n">
        <v>-1599.84</v>
      </c>
      <c r="J1696" s="25" t="n">
        <f aca="false">Summary!$B$4</f>
        <v>1</v>
      </c>
      <c r="K1696" s="11" t="n">
        <f aca="false">I1696*J1696*IF(A1696="SILVER",Summary!$B$5,Summary!$B$6)</f>
        <v>-159984</v>
      </c>
      <c r="L1696" s="26" t="n">
        <v>-1.336</v>
      </c>
      <c r="M1696" s="27" t="n">
        <f aca="false">IF(K1696&gt;0,1,0)</f>
        <v>0</v>
      </c>
      <c r="N1696" s="11" t="n">
        <f aca="false">SUMIFS(K$2:K1696,A$2:A1696,A1696,B$2:B1696,B1696)</f>
        <v>2221738</v>
      </c>
      <c r="O1696" s="11" t="n">
        <f aca="false">MAX(0,_xlfn.MAXIFS(N$2:N1696,A$2:A1696,A1696,B$2:B1696,B1696))</f>
        <v>4119255</v>
      </c>
      <c r="P1696" s="11" t="n">
        <f aca="false">N1696-O1696</f>
        <v>-1897517</v>
      </c>
    </row>
    <row r="1697" customFormat="false" ht="15" hidden="false" customHeight="false" outlineLevel="0" collapsed="false">
      <c r="A1697" s="8" t="s">
        <v>45</v>
      </c>
      <c r="B1697" s="8" t="s">
        <v>41</v>
      </c>
      <c r="C1697" s="8" t="s">
        <v>62</v>
      </c>
      <c r="D1697" s="21" t="n">
        <v>46069.3888888889</v>
      </c>
      <c r="E1697" s="21" t="n">
        <v>46070.7444444444</v>
      </c>
      <c r="F1697" s="22" t="n">
        <f aca="false">DATE(YEAR(E1697),MONTH(E1697),1)</f>
        <v>46054</v>
      </c>
      <c r="G1697" s="23" t="n">
        <v>162151</v>
      </c>
      <c r="H1697" s="8" t="s">
        <v>61</v>
      </c>
      <c r="I1697" s="24" t="n">
        <v>1129.19</v>
      </c>
      <c r="J1697" s="25" t="n">
        <f aca="false">Summary!$B$4</f>
        <v>1</v>
      </c>
      <c r="K1697" s="11" t="n">
        <f aca="false">I1697*J1697*IF(A1697="SILVER",Summary!$B$5,Summary!$B$6)</f>
        <v>112919</v>
      </c>
      <c r="L1697" s="26" t="n">
        <v>0.632</v>
      </c>
      <c r="M1697" s="27" t="n">
        <f aca="false">IF(K1697&gt;0,1,0)</f>
        <v>1</v>
      </c>
      <c r="N1697" s="11" t="n">
        <f aca="false">SUMIFS(K$2:K1697,A$2:A1697,A1697,B$2:B1697,B1697)</f>
        <v>2334657</v>
      </c>
      <c r="O1697" s="11" t="n">
        <f aca="false">MAX(0,_xlfn.MAXIFS(N$2:N1697,A$2:A1697,A1697,B$2:B1697,B1697))</f>
        <v>4119255</v>
      </c>
      <c r="P1697" s="11" t="n">
        <f aca="false">N1697-O1697</f>
        <v>-1784598</v>
      </c>
    </row>
    <row r="1698" customFormat="false" ht="15" hidden="false" customHeight="false" outlineLevel="0" collapsed="false">
      <c r="A1698" s="8" t="s">
        <v>45</v>
      </c>
      <c r="B1698" s="8" t="s">
        <v>41</v>
      </c>
      <c r="C1698" s="8" t="s">
        <v>62</v>
      </c>
      <c r="D1698" s="21" t="n">
        <v>46070.7951388889</v>
      </c>
      <c r="E1698" s="21" t="n">
        <v>46071.375</v>
      </c>
      <c r="F1698" s="22" t="n">
        <f aca="false">DATE(YEAR(E1698),MONTH(E1698),1)</f>
        <v>46054</v>
      </c>
      <c r="G1698" s="23" t="n">
        <v>160110</v>
      </c>
      <c r="H1698" s="8" t="s">
        <v>64</v>
      </c>
      <c r="I1698" s="24" t="n">
        <v>-734.55</v>
      </c>
      <c r="J1698" s="25" t="n">
        <f aca="false">Summary!$B$4</f>
        <v>1</v>
      </c>
      <c r="K1698" s="11" t="n">
        <f aca="false">I1698*J1698*IF(A1698="SILVER",Summary!$B$5,Summary!$B$6)</f>
        <v>-73455</v>
      </c>
      <c r="L1698" s="26" t="n">
        <v>-0.733</v>
      </c>
      <c r="M1698" s="27" t="n">
        <f aca="false">IF(K1698&gt;0,1,0)</f>
        <v>0</v>
      </c>
      <c r="N1698" s="11" t="n">
        <f aca="false">SUMIFS(K$2:K1698,A$2:A1698,A1698,B$2:B1698,B1698)</f>
        <v>2261202</v>
      </c>
      <c r="O1698" s="11" t="n">
        <f aca="false">MAX(0,_xlfn.MAXIFS(N$2:N1698,A$2:A1698,A1698,B$2:B1698,B1698))</f>
        <v>4119255</v>
      </c>
      <c r="P1698" s="11" t="n">
        <f aca="false">N1698-O1698</f>
        <v>-1858053</v>
      </c>
    </row>
    <row r="1699" customFormat="false" ht="15" hidden="false" customHeight="false" outlineLevel="0" collapsed="false">
      <c r="A1699" s="8" t="s">
        <v>45</v>
      </c>
      <c r="B1699" s="8" t="s">
        <v>41</v>
      </c>
      <c r="C1699" s="8" t="s">
        <v>62</v>
      </c>
      <c r="D1699" s="21" t="n">
        <v>46072.6527777778</v>
      </c>
      <c r="E1699" s="21" t="n">
        <v>46072.8486111111</v>
      </c>
      <c r="F1699" s="22" t="n">
        <f aca="false">DATE(YEAR(E1699),MONTH(E1699),1)</f>
        <v>46054</v>
      </c>
      <c r="G1699" s="23" t="n">
        <v>163451</v>
      </c>
      <c r="H1699" s="8" t="s">
        <v>64</v>
      </c>
      <c r="I1699" s="24" t="n">
        <v>81.11</v>
      </c>
      <c r="J1699" s="25" t="n">
        <f aca="false">Summary!$B$4</f>
        <v>1</v>
      </c>
      <c r="K1699" s="11" t="n">
        <f aca="false">I1699*J1699*IF(A1699="SILVER",Summary!$B$5,Summary!$B$6)</f>
        <v>8111</v>
      </c>
      <c r="L1699" s="26" t="n">
        <v>0.066</v>
      </c>
      <c r="M1699" s="27" t="n">
        <f aca="false">IF(K1699&gt;0,1,0)</f>
        <v>1</v>
      </c>
      <c r="N1699" s="11" t="n">
        <f aca="false">SUMIFS(K$2:K1699,A$2:A1699,A1699,B$2:B1699,B1699)</f>
        <v>2269313</v>
      </c>
      <c r="O1699" s="11" t="n">
        <f aca="false">MAX(0,_xlfn.MAXIFS(N$2:N1699,A$2:A1699,A1699,B$2:B1699,B1699))</f>
        <v>4119255</v>
      </c>
      <c r="P1699" s="11" t="n">
        <f aca="false">N1699-O1699</f>
        <v>-1849942</v>
      </c>
    </row>
    <row r="1700" customFormat="false" ht="15" hidden="false" customHeight="false" outlineLevel="0" collapsed="false">
      <c r="A1700" s="8" t="s">
        <v>45</v>
      </c>
      <c r="B1700" s="8" t="s">
        <v>41</v>
      </c>
      <c r="C1700" s="8" t="s">
        <v>62</v>
      </c>
      <c r="D1700" s="21" t="n">
        <v>46073.8611111111</v>
      </c>
      <c r="E1700" s="21" t="n">
        <v>46076.3784722222</v>
      </c>
      <c r="F1700" s="22" t="n">
        <f aca="false">DATE(YEAR(E1700),MONTH(E1700),1)</f>
        <v>46054</v>
      </c>
      <c r="G1700" s="23" t="n">
        <v>163411</v>
      </c>
      <c r="H1700" s="8" t="s">
        <v>61</v>
      </c>
      <c r="I1700" s="24" t="n">
        <v>-3953.58</v>
      </c>
      <c r="J1700" s="25" t="n">
        <f aca="false">Summary!$B$4</f>
        <v>1</v>
      </c>
      <c r="K1700" s="11" t="n">
        <f aca="false">I1700*J1700*IF(A1700="SILVER",Summary!$B$5,Summary!$B$6)</f>
        <v>-395358</v>
      </c>
      <c r="L1700" s="26" t="n">
        <v>-2.557</v>
      </c>
      <c r="M1700" s="27" t="n">
        <f aca="false">IF(K1700&gt;0,1,0)</f>
        <v>0</v>
      </c>
      <c r="N1700" s="11" t="n">
        <f aca="false">SUMIFS(K$2:K1700,A$2:A1700,A1700,B$2:B1700,B1700)</f>
        <v>1873955</v>
      </c>
      <c r="O1700" s="11" t="n">
        <f aca="false">MAX(0,_xlfn.MAXIFS(N$2:N1700,A$2:A1700,A1700,B$2:B1700,B1700))</f>
        <v>4119255</v>
      </c>
      <c r="P1700" s="11" t="n">
        <f aca="false">N1700-O1700</f>
        <v>-2245300</v>
      </c>
    </row>
    <row r="1701" customFormat="false" ht="15" hidden="false" customHeight="false" outlineLevel="0" collapsed="false">
      <c r="A1701" s="8" t="s">
        <v>45</v>
      </c>
      <c r="B1701" s="8" t="s">
        <v>41</v>
      </c>
      <c r="C1701" s="8" t="s">
        <v>62</v>
      </c>
      <c r="D1701" s="21" t="n">
        <v>46076.5833333333</v>
      </c>
      <c r="E1701" s="21" t="n">
        <v>46076.6840277778</v>
      </c>
      <c r="F1701" s="22" t="n">
        <f aca="false">DATE(YEAR(E1701),MONTH(E1701),1)</f>
        <v>46054</v>
      </c>
      <c r="G1701" s="23" t="n">
        <v>166331</v>
      </c>
      <c r="H1701" s="8" t="s">
        <v>61</v>
      </c>
      <c r="I1701" s="24" t="n">
        <v>-1091.87</v>
      </c>
      <c r="J1701" s="25" t="n">
        <f aca="false">Summary!$B$4</f>
        <v>1</v>
      </c>
      <c r="K1701" s="11" t="n">
        <f aca="false">I1701*J1701*IF(A1701="SILVER",Summary!$B$5,Summary!$B$6)</f>
        <v>-109187</v>
      </c>
      <c r="L1701" s="26" t="n">
        <v>-1.02</v>
      </c>
      <c r="M1701" s="27" t="n">
        <f aca="false">IF(K1701&gt;0,1,0)</f>
        <v>0</v>
      </c>
      <c r="N1701" s="11" t="n">
        <f aca="false">SUMIFS(K$2:K1701,A$2:A1701,A1701,B$2:B1701,B1701)</f>
        <v>1764768</v>
      </c>
      <c r="O1701" s="11" t="n">
        <f aca="false">MAX(0,_xlfn.MAXIFS(N$2:N1701,A$2:A1701,A1701,B$2:B1701,B1701))</f>
        <v>4119255</v>
      </c>
      <c r="P1701" s="11" t="n">
        <f aca="false">N1701-O1701</f>
        <v>-2354487</v>
      </c>
    </row>
    <row r="1702" customFormat="false" ht="15" hidden="false" customHeight="false" outlineLevel="0" collapsed="false">
      <c r="A1702" s="8" t="s">
        <v>45</v>
      </c>
      <c r="B1702" s="8" t="s">
        <v>41</v>
      </c>
      <c r="C1702" s="8" t="s">
        <v>62</v>
      </c>
      <c r="D1702" s="21" t="n">
        <v>46077.3993055556</v>
      </c>
      <c r="E1702" s="21" t="n">
        <v>46078.375</v>
      </c>
      <c r="F1702" s="22" t="n">
        <f aca="false">DATE(YEAR(E1702),MONTH(E1702),1)</f>
        <v>46054</v>
      </c>
      <c r="G1702" s="23" t="n">
        <v>167876</v>
      </c>
      <c r="H1702" s="8" t="s">
        <v>64</v>
      </c>
      <c r="I1702" s="24" t="n">
        <v>-644.11</v>
      </c>
      <c r="J1702" s="25" t="n">
        <f aca="false">Summary!$B$4</f>
        <v>1</v>
      </c>
      <c r="K1702" s="11" t="n">
        <f aca="false">I1702*J1702*IF(A1702="SILVER",Summary!$B$5,Summary!$B$6)</f>
        <v>-64411</v>
      </c>
      <c r="L1702" s="26" t="n">
        <v>-0.426</v>
      </c>
      <c r="M1702" s="27" t="n">
        <f aca="false">IF(K1702&gt;0,1,0)</f>
        <v>0</v>
      </c>
      <c r="N1702" s="11" t="n">
        <f aca="false">SUMIFS(K$2:K1702,A$2:A1702,A1702,B$2:B1702,B1702)</f>
        <v>1700357</v>
      </c>
      <c r="O1702" s="11" t="n">
        <f aca="false">MAX(0,_xlfn.MAXIFS(N$2:N1702,A$2:A1702,A1702,B$2:B1702,B1702))</f>
        <v>4119255</v>
      </c>
      <c r="P1702" s="11" t="n">
        <f aca="false">N1702-O1702</f>
        <v>-2418898</v>
      </c>
    </row>
    <row r="1703" customFormat="false" ht="15" hidden="false" customHeight="false" outlineLevel="0" collapsed="false">
      <c r="A1703" s="8" t="s">
        <v>45</v>
      </c>
      <c r="B1703" s="8" t="s">
        <v>41</v>
      </c>
      <c r="C1703" s="8" t="s">
        <v>62</v>
      </c>
      <c r="D1703" s="21" t="n">
        <v>46078.6979166667</v>
      </c>
      <c r="E1703" s="21" t="n">
        <v>46078.8576388889</v>
      </c>
      <c r="F1703" s="22" t="n">
        <f aca="false">DATE(YEAR(E1703),MONTH(E1703),1)</f>
        <v>46054</v>
      </c>
      <c r="G1703" s="23" t="n">
        <v>167893</v>
      </c>
      <c r="H1703" s="8" t="s">
        <v>61</v>
      </c>
      <c r="I1703" s="24" t="n">
        <v>-920.17</v>
      </c>
      <c r="J1703" s="25" t="n">
        <f aca="false">Summary!$B$4</f>
        <v>1</v>
      </c>
      <c r="K1703" s="11" t="n">
        <f aca="false">I1703*J1703*IF(A1703="SILVER",Summary!$B$5,Summary!$B$6)</f>
        <v>-92017</v>
      </c>
      <c r="L1703" s="26" t="n">
        <v>-0.999</v>
      </c>
      <c r="M1703" s="27" t="n">
        <f aca="false">IF(K1703&gt;0,1,0)</f>
        <v>0</v>
      </c>
      <c r="N1703" s="11" t="n">
        <f aca="false">SUMIFS(K$2:K1703,A$2:A1703,A1703,B$2:B1703,B1703)</f>
        <v>1608340</v>
      </c>
      <c r="O1703" s="11" t="n">
        <f aca="false">MAX(0,_xlfn.MAXIFS(N$2:N1703,A$2:A1703,A1703,B$2:B1703,B1703))</f>
        <v>4119255</v>
      </c>
      <c r="P1703" s="11" t="n">
        <f aca="false">N1703-O1703</f>
        <v>-2510915</v>
      </c>
    </row>
    <row r="1704" customFormat="false" ht="15" hidden="false" customHeight="false" outlineLevel="0" collapsed="false">
      <c r="A1704" s="8" t="s">
        <v>45</v>
      </c>
      <c r="B1704" s="8" t="s">
        <v>41</v>
      </c>
      <c r="C1704" s="8" t="s">
        <v>62</v>
      </c>
      <c r="D1704" s="21" t="n">
        <v>46079.5</v>
      </c>
      <c r="E1704" s="21" t="n">
        <v>46079.8923611111</v>
      </c>
      <c r="F1704" s="22" t="n">
        <f aca="false">DATE(YEAR(E1704),MONTH(E1704),1)</f>
        <v>46054</v>
      </c>
      <c r="G1704" s="23" t="n">
        <v>168051</v>
      </c>
      <c r="H1704" s="8" t="s">
        <v>61</v>
      </c>
      <c r="I1704" s="24" t="n">
        <v>758.97</v>
      </c>
      <c r="J1704" s="25" t="n">
        <f aca="false">Summary!$B$4</f>
        <v>1</v>
      </c>
      <c r="K1704" s="11" t="n">
        <f aca="false">I1704*J1704*IF(A1704="SILVER",Summary!$B$5,Summary!$B$6)</f>
        <v>75897</v>
      </c>
      <c r="L1704" s="26" t="n">
        <v>1.345</v>
      </c>
      <c r="M1704" s="27" t="n">
        <f aca="false">IF(K1704&gt;0,1,0)</f>
        <v>1</v>
      </c>
      <c r="N1704" s="11" t="n">
        <f aca="false">SUMIFS(K$2:K1704,A$2:A1704,A1704,B$2:B1704,B1704)</f>
        <v>1684237</v>
      </c>
      <c r="O1704" s="11" t="n">
        <f aca="false">MAX(0,_xlfn.MAXIFS(N$2:N1704,A$2:A1704,A1704,B$2:B1704,B1704))</f>
        <v>4119255</v>
      </c>
      <c r="P1704" s="11" t="n">
        <f aca="false">N1704-O1704</f>
        <v>-2435018</v>
      </c>
    </row>
    <row r="1705" customFormat="false" ht="15" hidden="false" customHeight="false" outlineLevel="0" collapsed="false">
      <c r="A1705" s="8" t="s">
        <v>45</v>
      </c>
      <c r="B1705" s="8" t="s">
        <v>41</v>
      </c>
      <c r="C1705" s="8" t="s">
        <v>62</v>
      </c>
      <c r="D1705" s="21" t="n">
        <v>46083.8263888889</v>
      </c>
      <c r="E1705" s="21" t="n">
        <v>46085.3923611111</v>
      </c>
      <c r="F1705" s="22" t="n">
        <f aca="false">DATE(YEAR(E1705),MONTH(E1705),1)</f>
        <v>46082</v>
      </c>
      <c r="G1705" s="23" t="n">
        <v>175902</v>
      </c>
      <c r="H1705" s="8" t="s">
        <v>61</v>
      </c>
      <c r="I1705" s="24" t="n">
        <v>4807.8</v>
      </c>
      <c r="J1705" s="25" t="n">
        <f aca="false">Summary!$B$4</f>
        <v>1</v>
      </c>
      <c r="K1705" s="11" t="n">
        <f aca="false">I1705*J1705*IF(A1705="SILVER",Summary!$B$5,Summary!$B$6)</f>
        <v>480780</v>
      </c>
      <c r="L1705" s="26" t="n">
        <v>3.32</v>
      </c>
      <c r="M1705" s="27" t="n">
        <f aca="false">IF(K1705&gt;0,1,0)</f>
        <v>1</v>
      </c>
      <c r="N1705" s="11" t="n">
        <f aca="false">SUMIFS(K$2:K1705,A$2:A1705,A1705,B$2:B1705,B1705)</f>
        <v>2165017</v>
      </c>
      <c r="O1705" s="11" t="n">
        <f aca="false">MAX(0,_xlfn.MAXIFS(N$2:N1705,A$2:A1705,A1705,B$2:B1705,B1705))</f>
        <v>4119255</v>
      </c>
      <c r="P1705" s="11" t="n">
        <f aca="false">N1705-O1705</f>
        <v>-1954238</v>
      </c>
    </row>
    <row r="1706" customFormat="false" ht="15" hidden="false" customHeight="false" outlineLevel="0" collapsed="false">
      <c r="A1706" s="8" t="s">
        <v>45</v>
      </c>
      <c r="B1706" s="8" t="s">
        <v>41</v>
      </c>
      <c r="C1706" s="8" t="s">
        <v>62</v>
      </c>
      <c r="D1706" s="21" t="n">
        <v>46085.8125</v>
      </c>
      <c r="E1706" s="21" t="n">
        <v>46085.8791666667</v>
      </c>
      <c r="F1706" s="22" t="n">
        <f aca="false">DATE(YEAR(E1706),MONTH(E1706),1)</f>
        <v>46082</v>
      </c>
      <c r="G1706" s="23" t="n">
        <v>170309</v>
      </c>
      <c r="H1706" s="8" t="s">
        <v>64</v>
      </c>
      <c r="I1706" s="24" t="n">
        <v>66.49</v>
      </c>
      <c r="J1706" s="25" t="n">
        <f aca="false">Summary!$B$4</f>
        <v>1</v>
      </c>
      <c r="K1706" s="11" t="n">
        <f aca="false">I1706*J1706*IF(A1706="SILVER",Summary!$B$5,Summary!$B$6)</f>
        <v>6649</v>
      </c>
      <c r="L1706" s="26" t="n">
        <v>0.05</v>
      </c>
      <c r="M1706" s="27" t="n">
        <f aca="false">IF(K1706&gt;0,1,0)</f>
        <v>1</v>
      </c>
      <c r="N1706" s="11" t="n">
        <f aca="false">SUMIFS(K$2:K1706,A$2:A1706,A1706,B$2:B1706,B1706)</f>
        <v>2171666</v>
      </c>
      <c r="O1706" s="11" t="n">
        <f aca="false">MAX(0,_xlfn.MAXIFS(N$2:N1706,A$2:A1706,A1706,B$2:B1706,B1706))</f>
        <v>4119255</v>
      </c>
      <c r="P1706" s="11" t="n">
        <f aca="false">N1706-O1706</f>
        <v>-1947589</v>
      </c>
    </row>
    <row r="1707" customFormat="false" ht="15" hidden="false" customHeight="false" outlineLevel="0" collapsed="false">
      <c r="A1707" s="8" t="s">
        <v>45</v>
      </c>
      <c r="B1707" s="8" t="s">
        <v>41</v>
      </c>
      <c r="C1707" s="8" t="s">
        <v>62</v>
      </c>
      <c r="D1707" s="21" t="n">
        <v>46090.3819444445</v>
      </c>
      <c r="E1707" s="21" t="n">
        <v>46090.4722222222</v>
      </c>
      <c r="F1707" s="22" t="n">
        <f aca="false">DATE(YEAR(E1707),MONTH(E1707),1)</f>
        <v>46082</v>
      </c>
      <c r="G1707" s="23" t="n">
        <v>167889</v>
      </c>
      <c r="H1707" s="8" t="s">
        <v>61</v>
      </c>
      <c r="I1707" s="24" t="n">
        <v>-1154.19</v>
      </c>
      <c r="J1707" s="25" t="n">
        <f aca="false">Summary!$B$4</f>
        <v>1</v>
      </c>
      <c r="K1707" s="11" t="n">
        <f aca="false">I1707*J1707*IF(A1707="SILVER",Summary!$B$5,Summary!$B$6)</f>
        <v>-115419</v>
      </c>
      <c r="L1707" s="26" t="n">
        <v>-0.709</v>
      </c>
      <c r="M1707" s="27" t="n">
        <f aca="false">IF(K1707&gt;0,1,0)</f>
        <v>0</v>
      </c>
      <c r="N1707" s="11" t="n">
        <f aca="false">SUMIFS(K$2:K1707,A$2:A1707,A1707,B$2:B1707,B1707)</f>
        <v>2056247</v>
      </c>
      <c r="O1707" s="11" t="n">
        <f aca="false">MAX(0,_xlfn.MAXIFS(N$2:N1707,A$2:A1707,A1707,B$2:B1707,B1707))</f>
        <v>4119255</v>
      </c>
      <c r="P1707" s="11" t="n">
        <f aca="false">N1707-O1707</f>
        <v>-2063008</v>
      </c>
    </row>
    <row r="1708" customFormat="false" ht="15" hidden="false" customHeight="false" outlineLevel="0" collapsed="false">
      <c r="A1708" s="8" t="s">
        <v>45</v>
      </c>
      <c r="B1708" s="8" t="s">
        <v>41</v>
      </c>
      <c r="C1708" s="8" t="s">
        <v>62</v>
      </c>
      <c r="D1708" s="21" t="n">
        <v>46090.7048611111</v>
      </c>
      <c r="E1708" s="21" t="n">
        <v>46090.8333333333</v>
      </c>
      <c r="F1708" s="22" t="n">
        <f aca="false">DATE(YEAR(E1708),MONTH(E1708),1)</f>
        <v>46082</v>
      </c>
      <c r="G1708" s="23" t="n">
        <v>167601</v>
      </c>
      <c r="H1708" s="8" t="s">
        <v>64</v>
      </c>
      <c r="I1708" s="24" t="n">
        <v>58.96</v>
      </c>
      <c r="J1708" s="25" t="n">
        <f aca="false">Summary!$B$4</f>
        <v>1</v>
      </c>
      <c r="K1708" s="11" t="n">
        <f aca="false">I1708*J1708*IF(A1708="SILVER",Summary!$B$5,Summary!$B$6)</f>
        <v>5896</v>
      </c>
      <c r="L1708" s="26" t="n">
        <v>0.054</v>
      </c>
      <c r="M1708" s="27" t="n">
        <f aca="false">IF(K1708&gt;0,1,0)</f>
        <v>1</v>
      </c>
      <c r="N1708" s="11" t="n">
        <f aca="false">SUMIFS(K$2:K1708,A$2:A1708,A1708,B$2:B1708,B1708)</f>
        <v>2062143</v>
      </c>
      <c r="O1708" s="11" t="n">
        <f aca="false">MAX(0,_xlfn.MAXIFS(N$2:N1708,A$2:A1708,A1708,B$2:B1708,B1708))</f>
        <v>4119255</v>
      </c>
      <c r="P1708" s="11" t="n">
        <f aca="false">N1708-O1708</f>
        <v>-2057112</v>
      </c>
    </row>
    <row r="1709" customFormat="false" ht="15" hidden="false" customHeight="false" outlineLevel="0" collapsed="false">
      <c r="A1709" s="8" t="s">
        <v>45</v>
      </c>
      <c r="B1709" s="8" t="s">
        <v>41</v>
      </c>
      <c r="C1709" s="8" t="s">
        <v>62</v>
      </c>
      <c r="D1709" s="21" t="n">
        <v>46091.5381944445</v>
      </c>
      <c r="E1709" s="21" t="n">
        <v>46091.7743055556</v>
      </c>
      <c r="F1709" s="22" t="n">
        <f aca="false">DATE(YEAR(E1709),MONTH(E1709),1)</f>
        <v>46082</v>
      </c>
      <c r="G1709" s="23" t="n">
        <v>168871</v>
      </c>
      <c r="H1709" s="8" t="s">
        <v>61</v>
      </c>
      <c r="I1709" s="24" t="n">
        <v>-1140.38</v>
      </c>
      <c r="J1709" s="25" t="n">
        <f aca="false">Summary!$B$4</f>
        <v>1</v>
      </c>
      <c r="K1709" s="11" t="n">
        <f aca="false">I1709*J1709*IF(A1709="SILVER",Summary!$B$5,Summary!$B$6)</f>
        <v>-114038</v>
      </c>
      <c r="L1709" s="26" t="n">
        <v>-1.084</v>
      </c>
      <c r="M1709" s="27" t="n">
        <f aca="false">IF(K1709&gt;0,1,0)</f>
        <v>0</v>
      </c>
      <c r="N1709" s="11" t="n">
        <f aca="false">SUMIFS(K$2:K1709,A$2:A1709,A1709,B$2:B1709,B1709)</f>
        <v>1948105</v>
      </c>
      <c r="O1709" s="11" t="n">
        <f aca="false">MAX(0,_xlfn.MAXIFS(N$2:N1709,A$2:A1709,A1709,B$2:B1709,B1709))</f>
        <v>4119255</v>
      </c>
      <c r="P1709" s="11" t="n">
        <f aca="false">N1709-O1709</f>
        <v>-2171150</v>
      </c>
    </row>
    <row r="1710" customFormat="false" ht="15" hidden="false" customHeight="false" outlineLevel="0" collapsed="false">
      <c r="A1710" s="8" t="s">
        <v>45</v>
      </c>
      <c r="B1710" s="8" t="s">
        <v>41</v>
      </c>
      <c r="C1710" s="8" t="s">
        <v>62</v>
      </c>
      <c r="D1710" s="21" t="n">
        <v>46092.4618055556</v>
      </c>
      <c r="E1710" s="21" t="n">
        <v>46092.5555555556</v>
      </c>
      <c r="F1710" s="22" t="n">
        <f aca="false">DATE(YEAR(E1710),MONTH(E1710),1)</f>
        <v>46082</v>
      </c>
      <c r="G1710" s="23" t="n">
        <v>169981</v>
      </c>
      <c r="H1710" s="8" t="s">
        <v>64</v>
      </c>
      <c r="I1710" s="24" t="n">
        <v>-14.49</v>
      </c>
      <c r="J1710" s="25" t="n">
        <f aca="false">Summary!$B$4</f>
        <v>1</v>
      </c>
      <c r="K1710" s="11" t="n">
        <f aca="false">I1710*J1710*IF(A1710="SILVER",Summary!$B$5,Summary!$B$6)</f>
        <v>-1449</v>
      </c>
      <c r="L1710" s="26" t="n">
        <v>-0.02</v>
      </c>
      <c r="M1710" s="27" t="n">
        <f aca="false">IF(K1710&gt;0,1,0)</f>
        <v>0</v>
      </c>
      <c r="N1710" s="11" t="n">
        <f aca="false">SUMIFS(K$2:K1710,A$2:A1710,A1710,B$2:B1710,B1710)</f>
        <v>1946656</v>
      </c>
      <c r="O1710" s="11" t="n">
        <f aca="false">MAX(0,_xlfn.MAXIFS(N$2:N1710,A$2:A1710,A1710,B$2:B1710,B1710))</f>
        <v>4119255</v>
      </c>
      <c r="P1710" s="11" t="n">
        <f aca="false">N1710-O1710</f>
        <v>-2172599</v>
      </c>
    </row>
    <row r="1711" customFormat="false" ht="15" hidden="false" customHeight="false" outlineLevel="0" collapsed="false">
      <c r="A1711" s="8" t="s">
        <v>45</v>
      </c>
      <c r="B1711" s="8" t="s">
        <v>41</v>
      </c>
      <c r="C1711" s="8" t="s">
        <v>62</v>
      </c>
      <c r="D1711" s="21" t="n">
        <v>46093.7951388889</v>
      </c>
      <c r="E1711" s="21" t="n">
        <v>46094.7291666667</v>
      </c>
      <c r="F1711" s="22" t="n">
        <f aca="false">DATE(YEAR(E1711),MONTH(E1711),1)</f>
        <v>46082</v>
      </c>
      <c r="G1711" s="23" t="n">
        <v>169084</v>
      </c>
      <c r="H1711" s="8" t="s">
        <v>61</v>
      </c>
      <c r="I1711" s="24" t="n">
        <v>1440.85</v>
      </c>
      <c r="J1711" s="25" t="n">
        <f aca="false">Summary!$B$4</f>
        <v>1</v>
      </c>
      <c r="K1711" s="11" t="n">
        <f aca="false">I1711*J1711*IF(A1711="SILVER",Summary!$B$5,Summary!$B$6)</f>
        <v>144085</v>
      </c>
      <c r="L1711" s="26" t="n">
        <v>2.284</v>
      </c>
      <c r="M1711" s="27" t="n">
        <f aca="false">IF(K1711&gt;0,1,0)</f>
        <v>1</v>
      </c>
      <c r="N1711" s="11" t="n">
        <f aca="false">SUMIFS(K$2:K1711,A$2:A1711,A1711,B$2:B1711,B1711)</f>
        <v>2090741</v>
      </c>
      <c r="O1711" s="11" t="n">
        <f aca="false">MAX(0,_xlfn.MAXIFS(N$2:N1711,A$2:A1711,A1711,B$2:B1711,B1711))</f>
        <v>4119255</v>
      </c>
      <c r="P1711" s="11" t="n">
        <f aca="false">N1711-O1711</f>
        <v>-2028514</v>
      </c>
    </row>
    <row r="1712" customFormat="false" ht="15" hidden="false" customHeight="false" outlineLevel="0" collapsed="false">
      <c r="A1712" s="8" t="s">
        <v>45</v>
      </c>
      <c r="B1712" s="8" t="s">
        <v>41</v>
      </c>
      <c r="C1712" s="8" t="s">
        <v>62</v>
      </c>
      <c r="D1712" s="21" t="n">
        <v>46094.8229166667</v>
      </c>
      <c r="E1712" s="21" t="n">
        <v>46097.7013888889</v>
      </c>
      <c r="F1712" s="22" t="n">
        <f aca="false">DATE(YEAR(E1712),MONTH(E1712),1)</f>
        <v>46082</v>
      </c>
      <c r="G1712" s="23" t="n">
        <v>167023</v>
      </c>
      <c r="H1712" s="8" t="s">
        <v>61</v>
      </c>
      <c r="I1712" s="24" t="n">
        <v>3308.43</v>
      </c>
      <c r="J1712" s="25" t="n">
        <f aca="false">Summary!$B$4</f>
        <v>1</v>
      </c>
      <c r="K1712" s="11" t="n">
        <f aca="false">I1712*J1712*IF(A1712="SILVER",Summary!$B$5,Summary!$B$6)</f>
        <v>330843</v>
      </c>
      <c r="L1712" s="26" t="n">
        <v>2.513</v>
      </c>
      <c r="M1712" s="27" t="n">
        <f aca="false">IF(K1712&gt;0,1,0)</f>
        <v>1</v>
      </c>
      <c r="N1712" s="11" t="n">
        <f aca="false">SUMIFS(K$2:K1712,A$2:A1712,A1712,B$2:B1712,B1712)</f>
        <v>2421584</v>
      </c>
      <c r="O1712" s="11" t="n">
        <f aca="false">MAX(0,_xlfn.MAXIFS(N$2:N1712,A$2:A1712,A1712,B$2:B1712,B1712))</f>
        <v>4119255</v>
      </c>
      <c r="P1712" s="11" t="n">
        <f aca="false">N1712-O1712</f>
        <v>-1697671</v>
      </c>
    </row>
    <row r="1713" customFormat="false" ht="15" hidden="false" customHeight="false" outlineLevel="0" collapsed="false">
      <c r="A1713" s="8" t="s">
        <v>45</v>
      </c>
      <c r="B1713" s="8" t="s">
        <v>41</v>
      </c>
      <c r="C1713" s="8" t="s">
        <v>62</v>
      </c>
      <c r="D1713" s="21" t="n">
        <v>46097.8958333333</v>
      </c>
      <c r="E1713" s="21" t="n">
        <v>46098.3784722222</v>
      </c>
      <c r="F1713" s="22" t="n">
        <f aca="false">DATE(YEAR(E1713),MONTH(E1713),1)</f>
        <v>46082</v>
      </c>
      <c r="G1713" s="23" t="n">
        <v>163045</v>
      </c>
      <c r="H1713" s="8" t="s">
        <v>61</v>
      </c>
      <c r="I1713" s="24" t="n">
        <v>-1297.22</v>
      </c>
      <c r="J1713" s="25" t="n">
        <f aca="false">Summary!$B$4</f>
        <v>1</v>
      </c>
      <c r="K1713" s="11" t="n">
        <f aca="false">I1713*J1713*IF(A1713="SILVER",Summary!$B$5,Summary!$B$6)</f>
        <v>-129722</v>
      </c>
      <c r="L1713" s="26" t="n">
        <v>-0.958</v>
      </c>
      <c r="M1713" s="27" t="n">
        <f aca="false">IF(K1713&gt;0,1,0)</f>
        <v>0</v>
      </c>
      <c r="N1713" s="11" t="n">
        <f aca="false">SUMIFS(K$2:K1713,A$2:A1713,A1713,B$2:B1713,B1713)</f>
        <v>2291862</v>
      </c>
      <c r="O1713" s="11" t="n">
        <f aca="false">MAX(0,_xlfn.MAXIFS(N$2:N1713,A$2:A1713,A1713,B$2:B1713,B1713))</f>
        <v>4119255</v>
      </c>
      <c r="P1713" s="11" t="n">
        <f aca="false">N1713-O1713</f>
        <v>-1827393</v>
      </c>
    </row>
    <row r="1714" customFormat="false" ht="15" hidden="false" customHeight="false" outlineLevel="0" collapsed="false">
      <c r="A1714" s="8" t="s">
        <v>45</v>
      </c>
      <c r="B1714" s="8" t="s">
        <v>41</v>
      </c>
      <c r="C1714" s="8" t="s">
        <v>62</v>
      </c>
      <c r="D1714" s="21" t="n">
        <v>46098.4861111111</v>
      </c>
      <c r="E1714" s="21" t="n">
        <v>46098.7</v>
      </c>
      <c r="F1714" s="22" t="n">
        <f aca="false">DATE(YEAR(E1714),MONTH(E1714),1)</f>
        <v>46082</v>
      </c>
      <c r="G1714" s="23" t="n">
        <v>163869</v>
      </c>
      <c r="H1714" s="8" t="s">
        <v>64</v>
      </c>
      <c r="I1714" s="24" t="n">
        <v>75.74</v>
      </c>
      <c r="J1714" s="25" t="n">
        <f aca="false">Summary!$B$4</f>
        <v>1</v>
      </c>
      <c r="K1714" s="11" t="n">
        <f aca="false">I1714*J1714*IF(A1714="SILVER",Summary!$B$5,Summary!$B$6)</f>
        <v>7574</v>
      </c>
      <c r="L1714" s="26" t="n">
        <v>0.063</v>
      </c>
      <c r="M1714" s="27" t="n">
        <f aca="false">IF(K1714&gt;0,1,0)</f>
        <v>1</v>
      </c>
      <c r="N1714" s="11" t="n">
        <f aca="false">SUMIFS(K$2:K1714,A$2:A1714,A1714,B$2:B1714,B1714)</f>
        <v>2299436</v>
      </c>
      <c r="O1714" s="11" t="n">
        <f aca="false">MAX(0,_xlfn.MAXIFS(N$2:N1714,A$2:A1714,A1714,B$2:B1714,B1714))</f>
        <v>4119255</v>
      </c>
      <c r="P1714" s="11" t="n">
        <f aca="false">N1714-O1714</f>
        <v>-1819819</v>
      </c>
    </row>
    <row r="1715" customFormat="false" ht="15" hidden="false" customHeight="false" outlineLevel="0" collapsed="false">
      <c r="A1715" s="8" t="s">
        <v>45</v>
      </c>
      <c r="B1715" s="8" t="s">
        <v>41</v>
      </c>
      <c r="C1715" s="8" t="s">
        <v>62</v>
      </c>
      <c r="D1715" s="21" t="n">
        <v>46099.6909722222</v>
      </c>
      <c r="E1715" s="21" t="n">
        <v>46100.8125</v>
      </c>
      <c r="F1715" s="22" t="n">
        <f aca="false">DATE(YEAR(E1715),MONTH(E1715),1)</f>
        <v>46082</v>
      </c>
      <c r="G1715" s="23" t="n">
        <v>162579</v>
      </c>
      <c r="H1715" s="8" t="s">
        <v>61</v>
      </c>
      <c r="I1715" s="24" t="n">
        <v>9741.97</v>
      </c>
      <c r="J1715" s="25" t="n">
        <f aca="false">Summary!$B$4</f>
        <v>1</v>
      </c>
      <c r="K1715" s="11" t="n">
        <f aca="false">I1715*J1715*IF(A1715="SILVER",Summary!$B$5,Summary!$B$6)</f>
        <v>974197</v>
      </c>
      <c r="L1715" s="26" t="n">
        <v>11.29</v>
      </c>
      <c r="M1715" s="27" t="n">
        <f aca="false">IF(K1715&gt;0,1,0)</f>
        <v>1</v>
      </c>
      <c r="N1715" s="11" t="n">
        <f aca="false">SUMIFS(K$2:K1715,A$2:A1715,A1715,B$2:B1715,B1715)</f>
        <v>3273633</v>
      </c>
      <c r="O1715" s="11" t="n">
        <f aca="false">MAX(0,_xlfn.MAXIFS(N$2:N1715,A$2:A1715,A1715,B$2:B1715,B1715))</f>
        <v>4119255</v>
      </c>
      <c r="P1715" s="11" t="n">
        <f aca="false">N1715-O1715</f>
        <v>-845622.000000001</v>
      </c>
    </row>
    <row r="1716" customFormat="false" ht="15" hidden="false" customHeight="false" outlineLevel="0" collapsed="false">
      <c r="A1716" s="8" t="s">
        <v>45</v>
      </c>
      <c r="B1716" s="8" t="s">
        <v>41</v>
      </c>
      <c r="C1716" s="8" t="s">
        <v>62</v>
      </c>
      <c r="D1716" s="21" t="n">
        <v>46101.5104166667</v>
      </c>
      <c r="E1716" s="21" t="n">
        <v>46101.5729166667</v>
      </c>
      <c r="F1716" s="22" t="n">
        <f aca="false">DATE(YEAR(E1716),MONTH(E1716),1)</f>
        <v>46082</v>
      </c>
      <c r="G1716" s="23" t="n">
        <v>153291</v>
      </c>
      <c r="H1716" s="8" t="s">
        <v>61</v>
      </c>
      <c r="I1716" s="24" t="n">
        <v>-2216.38</v>
      </c>
      <c r="J1716" s="25" t="n">
        <f aca="false">Summary!$B$4</f>
        <v>1</v>
      </c>
      <c r="K1716" s="11" t="n">
        <f aca="false">I1716*J1716*IF(A1716="SILVER",Summary!$B$5,Summary!$B$6)</f>
        <v>-221638</v>
      </c>
      <c r="L1716" s="26" t="n">
        <v>-1.039</v>
      </c>
      <c r="M1716" s="27" t="n">
        <f aca="false">IF(K1716&gt;0,1,0)</f>
        <v>0</v>
      </c>
      <c r="N1716" s="11" t="n">
        <f aca="false">SUMIFS(K$2:K1716,A$2:A1716,A1716,B$2:B1716,B1716)</f>
        <v>3051995</v>
      </c>
      <c r="O1716" s="11" t="n">
        <f aca="false">MAX(0,_xlfn.MAXIFS(N$2:N1716,A$2:A1716,A1716,B$2:B1716,B1716))</f>
        <v>4119255</v>
      </c>
      <c r="P1716" s="11" t="n">
        <f aca="false">N1716-O1716</f>
        <v>-1067260</v>
      </c>
    </row>
    <row r="1717" customFormat="false" ht="15" hidden="false" customHeight="false" outlineLevel="0" collapsed="false">
      <c r="A1717" s="8" t="s">
        <v>45</v>
      </c>
      <c r="B1717" s="8" t="s">
        <v>41</v>
      </c>
      <c r="C1717" s="8" t="s">
        <v>62</v>
      </c>
      <c r="D1717" s="21" t="n">
        <v>46101.6493055556</v>
      </c>
      <c r="E1717" s="21" t="n">
        <v>46104.6180555556</v>
      </c>
      <c r="F1717" s="22" t="n">
        <f aca="false">DATE(YEAR(E1717),MONTH(E1717),1)</f>
        <v>46082</v>
      </c>
      <c r="G1717" s="23" t="n">
        <v>153849</v>
      </c>
      <c r="H1717" s="8" t="s">
        <v>61</v>
      </c>
      <c r="I1717" s="24" t="n">
        <v>11009.84</v>
      </c>
      <c r="J1717" s="25" t="n">
        <f aca="false">Summary!$B$4</f>
        <v>1</v>
      </c>
      <c r="K1717" s="11" t="n">
        <f aca="false">I1717*J1717*IF(A1717="SILVER",Summary!$B$5,Summary!$B$6)</f>
        <v>1100984</v>
      </c>
      <c r="L1717" s="26" t="n">
        <v>5.207</v>
      </c>
      <c r="M1717" s="27" t="n">
        <f aca="false">IF(K1717&gt;0,1,0)</f>
        <v>1</v>
      </c>
      <c r="N1717" s="11" t="n">
        <f aca="false">SUMIFS(K$2:K1717,A$2:A1717,A1717,B$2:B1717,B1717)</f>
        <v>4152979</v>
      </c>
      <c r="O1717" s="11" t="n">
        <f aca="false">MAX(0,_xlfn.MAXIFS(N$2:N1717,A$2:A1717,A1717,B$2:B1717,B1717))</f>
        <v>4152979</v>
      </c>
      <c r="P1717" s="11" t="n">
        <f aca="false">N1717-O1717</f>
        <v>0</v>
      </c>
    </row>
    <row r="1718" customFormat="false" ht="15" hidden="false" customHeight="false" outlineLevel="0" collapsed="false">
      <c r="A1718" s="8" t="s">
        <v>45</v>
      </c>
      <c r="B1718" s="8" t="s">
        <v>41</v>
      </c>
      <c r="C1718" s="8" t="s">
        <v>62</v>
      </c>
      <c r="D1718" s="21" t="n">
        <v>46105.4444444445</v>
      </c>
      <c r="E1718" s="21" t="n">
        <v>46105.5208333333</v>
      </c>
      <c r="F1718" s="22" t="n">
        <f aca="false">DATE(YEAR(E1718),MONTH(E1718),1)</f>
        <v>46082</v>
      </c>
      <c r="G1718" s="23" t="n">
        <v>143985</v>
      </c>
      <c r="H1718" s="8" t="s">
        <v>61</v>
      </c>
      <c r="I1718" s="24" t="n">
        <v>-2980.59</v>
      </c>
      <c r="J1718" s="25" t="n">
        <f aca="false">Summary!$B$4</f>
        <v>1</v>
      </c>
      <c r="K1718" s="11" t="n">
        <f aca="false">I1718*J1718*IF(A1718="SILVER",Summary!$B$5,Summary!$B$6)</f>
        <v>-298059</v>
      </c>
      <c r="L1718" s="26" t="n">
        <v>-0.99</v>
      </c>
      <c r="M1718" s="27" t="n">
        <f aca="false">IF(K1718&gt;0,1,0)</f>
        <v>0</v>
      </c>
      <c r="N1718" s="11" t="n">
        <f aca="false">SUMIFS(K$2:K1718,A$2:A1718,A1718,B$2:B1718,B1718)</f>
        <v>3854920</v>
      </c>
      <c r="O1718" s="11" t="n">
        <f aca="false">MAX(0,_xlfn.MAXIFS(N$2:N1718,A$2:A1718,A1718,B$2:B1718,B1718))</f>
        <v>4152979</v>
      </c>
      <c r="P1718" s="11" t="n">
        <f aca="false">N1718-O1718</f>
        <v>-298059</v>
      </c>
    </row>
    <row r="1719" customFormat="false" ht="15" hidden="false" customHeight="false" outlineLevel="0" collapsed="false">
      <c r="A1719" s="8" t="s">
        <v>45</v>
      </c>
      <c r="B1719" s="8" t="s">
        <v>41</v>
      </c>
      <c r="C1719" s="8" t="s">
        <v>62</v>
      </c>
      <c r="D1719" s="21" t="n">
        <v>46105.7569444445</v>
      </c>
      <c r="E1719" s="21" t="n">
        <v>46106.3784722222</v>
      </c>
      <c r="F1719" s="22" t="n">
        <f aca="false">DATE(YEAR(E1719),MONTH(E1719),1)</f>
        <v>46082</v>
      </c>
      <c r="G1719" s="23" t="n">
        <v>145551</v>
      </c>
      <c r="H1719" s="8" t="s">
        <v>61</v>
      </c>
      <c r="I1719" s="24" t="n">
        <v>-5656.17</v>
      </c>
      <c r="J1719" s="25" t="n">
        <f aca="false">Summary!$B$4</f>
        <v>1</v>
      </c>
      <c r="K1719" s="11" t="n">
        <f aca="false">I1719*J1719*IF(A1719="SILVER",Summary!$B$5,Summary!$B$6)</f>
        <v>-565617</v>
      </c>
      <c r="L1719" s="26" t="n">
        <v>-2</v>
      </c>
      <c r="M1719" s="27" t="n">
        <f aca="false">IF(K1719&gt;0,1,0)</f>
        <v>0</v>
      </c>
      <c r="N1719" s="11" t="n">
        <f aca="false">SUMIFS(K$2:K1719,A$2:A1719,A1719,B$2:B1719,B1719)</f>
        <v>3289303</v>
      </c>
      <c r="O1719" s="11" t="n">
        <f aca="false">MAX(0,_xlfn.MAXIFS(N$2:N1719,A$2:A1719,A1719,B$2:B1719,B1719))</f>
        <v>4152979</v>
      </c>
      <c r="P1719" s="11" t="n">
        <f aca="false">N1719-O1719</f>
        <v>-863676</v>
      </c>
    </row>
    <row r="1720" customFormat="false" ht="15" hidden="false" customHeight="false" outlineLevel="0" collapsed="false">
      <c r="A1720" s="8" t="s">
        <v>45</v>
      </c>
      <c r="B1720" s="8" t="s">
        <v>41</v>
      </c>
      <c r="C1720" s="8" t="s">
        <v>62</v>
      </c>
      <c r="D1720" s="21" t="n">
        <v>46106.8194444445</v>
      </c>
      <c r="E1720" s="21" t="n">
        <v>46108.3854166667</v>
      </c>
      <c r="F1720" s="22" t="n">
        <f aca="false">DATE(YEAR(E1720),MONTH(E1720),1)</f>
        <v>46082</v>
      </c>
      <c r="G1720" s="23" t="n">
        <v>151531</v>
      </c>
      <c r="H1720" s="8" t="s">
        <v>61</v>
      </c>
      <c r="I1720" s="24" t="n">
        <v>2792.48</v>
      </c>
      <c r="J1720" s="25" t="n">
        <f aca="false">Summary!$B$4</f>
        <v>1</v>
      </c>
      <c r="K1720" s="11" t="n">
        <f aca="false">I1720*J1720*IF(A1720="SILVER",Summary!$B$5,Summary!$B$6)</f>
        <v>279248</v>
      </c>
      <c r="L1720" s="26" t="n">
        <v>1.848</v>
      </c>
      <c r="M1720" s="27" t="n">
        <f aca="false">IF(K1720&gt;0,1,0)</f>
        <v>1</v>
      </c>
      <c r="N1720" s="11" t="n">
        <f aca="false">SUMIFS(K$2:K1720,A$2:A1720,A1720,B$2:B1720,B1720)</f>
        <v>3568551</v>
      </c>
      <c r="O1720" s="11" t="n">
        <f aca="false">MAX(0,_xlfn.MAXIFS(N$2:N1720,A$2:A1720,A1720,B$2:B1720,B1720))</f>
        <v>4152979</v>
      </c>
      <c r="P1720" s="11" t="n">
        <f aca="false">N1720-O1720</f>
        <v>-584428</v>
      </c>
    </row>
    <row r="1721" customFormat="false" ht="15" hidden="false" customHeight="false" outlineLevel="0" collapsed="false">
      <c r="A1721" s="8" t="s">
        <v>45</v>
      </c>
      <c r="B1721" s="8" t="s">
        <v>41</v>
      </c>
      <c r="C1721" s="8" t="s">
        <v>62</v>
      </c>
      <c r="D1721" s="21" t="n">
        <v>46108.68125</v>
      </c>
      <c r="E1721" s="21" t="n">
        <v>46108.8159722222</v>
      </c>
      <c r="F1721" s="22" t="n">
        <f aca="false">DATE(YEAR(E1721),MONTH(E1721),1)</f>
        <v>46082</v>
      </c>
      <c r="G1721" s="23" t="n">
        <v>148901</v>
      </c>
      <c r="H1721" s="8" t="s">
        <v>61</v>
      </c>
      <c r="I1721" s="24" t="n">
        <v>-1438.4</v>
      </c>
      <c r="J1721" s="25" t="n">
        <f aca="false">Summary!$B$4</f>
        <v>1</v>
      </c>
      <c r="K1721" s="11" t="n">
        <f aca="false">I1721*J1721*IF(A1721="SILVER",Summary!$B$5,Summary!$B$6)</f>
        <v>-143840</v>
      </c>
      <c r="L1721" s="26" t="n">
        <v>-1.006</v>
      </c>
      <c r="M1721" s="27" t="n">
        <f aca="false">IF(K1721&gt;0,1,0)</f>
        <v>0</v>
      </c>
      <c r="N1721" s="11" t="n">
        <f aca="false">SUMIFS(K$2:K1721,A$2:A1721,A1721,B$2:B1721,B1721)</f>
        <v>3424711</v>
      </c>
      <c r="O1721" s="11" t="n">
        <f aca="false">MAX(0,_xlfn.MAXIFS(N$2:N1721,A$2:A1721,A1721,B$2:B1721,B1721))</f>
        <v>4152979</v>
      </c>
      <c r="P1721" s="11" t="n">
        <f aca="false">N1721-O1721</f>
        <v>-728268</v>
      </c>
    </row>
    <row r="1722" customFormat="false" ht="15" hidden="false" customHeight="false" outlineLevel="0" collapsed="false">
      <c r="A1722" s="8" t="s">
        <v>45</v>
      </c>
      <c r="B1722" s="8" t="s">
        <v>41</v>
      </c>
      <c r="C1722" s="8" t="s">
        <v>62</v>
      </c>
      <c r="D1722" s="21" t="n">
        <v>46111.3784722222</v>
      </c>
      <c r="E1722" s="21" t="n">
        <v>46111.5277777778</v>
      </c>
      <c r="F1722" s="22" t="n">
        <f aca="false">DATE(YEAR(E1722),MONTH(E1722),1)</f>
        <v>46082</v>
      </c>
      <c r="G1722" s="23" t="n">
        <v>151011</v>
      </c>
      <c r="H1722" s="8" t="s">
        <v>61</v>
      </c>
      <c r="I1722" s="24" t="n">
        <v>-1830.88</v>
      </c>
      <c r="J1722" s="25" t="n">
        <f aca="false">Summary!$B$4</f>
        <v>1</v>
      </c>
      <c r="K1722" s="11" t="n">
        <f aca="false">I1722*J1722*IF(A1722="SILVER",Summary!$B$5,Summary!$B$6)</f>
        <v>-183088</v>
      </c>
      <c r="L1722" s="26" t="n">
        <v>-0.933</v>
      </c>
      <c r="M1722" s="27" t="n">
        <f aca="false">IF(K1722&gt;0,1,0)</f>
        <v>0</v>
      </c>
      <c r="N1722" s="11" t="n">
        <f aca="false">SUMIFS(K$2:K1722,A$2:A1722,A1722,B$2:B1722,B1722)</f>
        <v>3241623</v>
      </c>
      <c r="O1722" s="11" t="n">
        <f aca="false">MAX(0,_xlfn.MAXIFS(N$2:N1722,A$2:A1722,A1722,B$2:B1722,B1722))</f>
        <v>4152979</v>
      </c>
      <c r="P1722" s="11" t="n">
        <f aca="false">N1722-O1722</f>
        <v>-911356</v>
      </c>
    </row>
    <row r="1723" customFormat="false" ht="15" hidden="false" customHeight="false" outlineLevel="0" collapsed="false">
      <c r="A1723" s="8" t="s">
        <v>45</v>
      </c>
      <c r="B1723" s="8" t="s">
        <v>41</v>
      </c>
      <c r="C1723" s="8" t="s">
        <v>62</v>
      </c>
      <c r="D1723" s="21" t="n">
        <v>46112.7215277778</v>
      </c>
      <c r="E1723" s="21" t="n">
        <v>46112.7270833333</v>
      </c>
      <c r="F1723" s="22" t="n">
        <f aca="false">DATE(YEAR(E1723),MONTH(E1723),1)</f>
        <v>46082</v>
      </c>
      <c r="G1723" s="23" t="n">
        <v>154053</v>
      </c>
      <c r="H1723" s="8" t="s">
        <v>61</v>
      </c>
      <c r="I1723" s="24" t="n">
        <v>210.76</v>
      </c>
      <c r="J1723" s="25" t="n">
        <f aca="false">Summary!$B$4</f>
        <v>1</v>
      </c>
      <c r="K1723" s="11" t="n">
        <f aca="false">I1723*J1723*IF(A1723="SILVER",Summary!$B$5,Summary!$B$6)</f>
        <v>21076</v>
      </c>
      <c r="L1723" s="26" t="n">
        <v>1.507</v>
      </c>
      <c r="M1723" s="27" t="n">
        <f aca="false">IF(K1723&gt;0,1,0)</f>
        <v>1</v>
      </c>
      <c r="N1723" s="11" t="n">
        <f aca="false">SUMIFS(K$2:K1723,A$2:A1723,A1723,B$2:B1723,B1723)</f>
        <v>3262699</v>
      </c>
      <c r="O1723" s="11" t="n">
        <f aca="false">MAX(0,_xlfn.MAXIFS(N$2:N1723,A$2:A1723,A1723,B$2:B1723,B1723))</f>
        <v>4152979</v>
      </c>
      <c r="P1723" s="11" t="n">
        <f aca="false">N1723-O1723</f>
        <v>-890280</v>
      </c>
    </row>
    <row r="1724" customFormat="false" ht="15" hidden="false" customHeight="false" outlineLevel="0" collapsed="false">
      <c r="A1724" s="8" t="s">
        <v>45</v>
      </c>
      <c r="B1724" s="8" t="s">
        <v>41</v>
      </c>
      <c r="C1724" s="8" t="s">
        <v>62</v>
      </c>
      <c r="D1724" s="21" t="n">
        <v>46114.3875</v>
      </c>
      <c r="E1724" s="21" t="n">
        <v>46118.6284722222</v>
      </c>
      <c r="F1724" s="22" t="n">
        <f aca="false">DATE(YEAR(E1724),MONTH(E1724),1)</f>
        <v>46113</v>
      </c>
      <c r="G1724" s="23" t="n">
        <v>154307</v>
      </c>
      <c r="H1724" s="8" t="s">
        <v>61</v>
      </c>
      <c r="I1724" s="24" t="n">
        <v>-1376.08</v>
      </c>
      <c r="J1724" s="25" t="n">
        <f aca="false">Summary!$B$4</f>
        <v>1</v>
      </c>
      <c r="K1724" s="11" t="n">
        <f aca="false">I1724*J1724*IF(A1724="SILVER",Summary!$B$5,Summary!$B$6)</f>
        <v>-137608</v>
      </c>
      <c r="L1724" s="26" t="n">
        <v>-0.365</v>
      </c>
      <c r="M1724" s="27" t="n">
        <f aca="false">IF(K1724&gt;0,1,0)</f>
        <v>0</v>
      </c>
      <c r="N1724" s="11" t="n">
        <f aca="false">SUMIFS(K$2:K1724,A$2:A1724,A1724,B$2:B1724,B1724)</f>
        <v>3125091</v>
      </c>
      <c r="O1724" s="11" t="n">
        <f aca="false">MAX(0,_xlfn.MAXIFS(N$2:N1724,A$2:A1724,A1724,B$2:B1724,B1724))</f>
        <v>4152979</v>
      </c>
      <c r="P1724" s="11" t="n">
        <f aca="false">N1724-O1724</f>
        <v>-1027888</v>
      </c>
    </row>
    <row r="1725" customFormat="false" ht="15" hidden="false" customHeight="false" outlineLevel="0" collapsed="false">
      <c r="A1725" s="8" t="s">
        <v>45</v>
      </c>
      <c r="B1725" s="8" t="s">
        <v>41</v>
      </c>
      <c r="C1725" s="8" t="s">
        <v>62</v>
      </c>
      <c r="D1725" s="21" t="n">
        <v>46118.7847222222</v>
      </c>
      <c r="E1725" s="21" t="n">
        <v>46119.5090277778</v>
      </c>
      <c r="F1725" s="22" t="n">
        <f aca="false">DATE(YEAR(E1725),MONTH(E1725),1)</f>
        <v>46113</v>
      </c>
      <c r="G1725" s="23" t="n">
        <v>154355</v>
      </c>
      <c r="H1725" s="8" t="s">
        <v>64</v>
      </c>
      <c r="I1725" s="24" t="n">
        <v>81.37</v>
      </c>
      <c r="J1725" s="25" t="n">
        <f aca="false">Summary!$B$4</f>
        <v>1</v>
      </c>
      <c r="K1725" s="11" t="n">
        <f aca="false">I1725*J1725*IF(A1725="SILVER",Summary!$B$5,Summary!$B$6)</f>
        <v>8137</v>
      </c>
      <c r="L1725" s="26" t="n">
        <v>0.067</v>
      </c>
      <c r="M1725" s="27" t="n">
        <f aca="false">IF(K1725&gt;0,1,0)</f>
        <v>1</v>
      </c>
      <c r="N1725" s="11" t="n">
        <f aca="false">SUMIFS(K$2:K1725,A$2:A1725,A1725,B$2:B1725,B1725)</f>
        <v>3133228</v>
      </c>
      <c r="O1725" s="11" t="n">
        <f aca="false">MAX(0,_xlfn.MAXIFS(N$2:N1725,A$2:A1725,A1725,B$2:B1725,B1725))</f>
        <v>4152979</v>
      </c>
      <c r="P1725" s="11" t="n">
        <f aca="false">N1725-O1725</f>
        <v>-1019751</v>
      </c>
    </row>
    <row r="1726" customFormat="false" ht="15" hidden="false" customHeight="false" outlineLevel="0" collapsed="false">
      <c r="A1726" s="8" t="s">
        <v>45</v>
      </c>
      <c r="B1726" s="8" t="s">
        <v>41</v>
      </c>
      <c r="C1726" s="8" t="s">
        <v>62</v>
      </c>
      <c r="D1726" s="21" t="n">
        <v>46119.6979166667</v>
      </c>
      <c r="E1726" s="21" t="n">
        <v>46119.8298611111</v>
      </c>
      <c r="F1726" s="22" t="n">
        <f aca="false">DATE(YEAR(E1726),MONTH(E1726),1)</f>
        <v>46113</v>
      </c>
      <c r="G1726" s="23" t="n">
        <v>153805</v>
      </c>
      <c r="H1726" s="8" t="s">
        <v>64</v>
      </c>
      <c r="I1726" s="24" t="n">
        <v>92.35</v>
      </c>
      <c r="J1726" s="25" t="n">
        <f aca="false">Summary!$B$4</f>
        <v>1</v>
      </c>
      <c r="K1726" s="11" t="n">
        <f aca="false">I1726*J1726*IF(A1726="SILVER",Summary!$B$5,Summary!$B$6)</f>
        <v>9235</v>
      </c>
      <c r="L1726" s="26" t="n">
        <v>0.07</v>
      </c>
      <c r="M1726" s="27" t="n">
        <f aca="false">IF(K1726&gt;0,1,0)</f>
        <v>1</v>
      </c>
      <c r="N1726" s="11" t="n">
        <f aca="false">SUMIFS(K$2:K1726,A$2:A1726,A1726,B$2:B1726,B1726)</f>
        <v>3142463</v>
      </c>
      <c r="O1726" s="11" t="n">
        <f aca="false">MAX(0,_xlfn.MAXIFS(N$2:N1726,A$2:A1726,A1726,B$2:B1726,B1726))</f>
        <v>4152979</v>
      </c>
      <c r="P1726" s="11" t="n">
        <f aca="false">N1726-O1726</f>
        <v>-1010516</v>
      </c>
    </row>
    <row r="1727" customFormat="false" ht="15" hidden="false" customHeight="false" outlineLevel="0" collapsed="false">
      <c r="A1727" s="8" t="s">
        <v>45</v>
      </c>
      <c r="B1727" s="8" t="s">
        <v>41</v>
      </c>
      <c r="C1727" s="8" t="s">
        <v>62</v>
      </c>
      <c r="D1727" s="21" t="n">
        <v>46120.6354166667</v>
      </c>
      <c r="E1727" s="21" t="n">
        <v>46121.6111111111</v>
      </c>
      <c r="F1727" s="22" t="n">
        <f aca="false">DATE(YEAR(E1727),MONTH(E1727),1)</f>
        <v>46113</v>
      </c>
      <c r="G1727" s="23" t="n">
        <v>157305</v>
      </c>
      <c r="H1727" s="8" t="s">
        <v>61</v>
      </c>
      <c r="I1727" s="24" t="n">
        <v>915.49</v>
      </c>
      <c r="J1727" s="25" t="n">
        <f aca="false">Summary!$B$4</f>
        <v>1</v>
      </c>
      <c r="K1727" s="11" t="n">
        <f aca="false">I1727*J1727*IF(A1727="SILVER",Summary!$B$5,Summary!$B$6)</f>
        <v>91549</v>
      </c>
      <c r="L1727" s="26" t="n">
        <v>0.794</v>
      </c>
      <c r="M1727" s="27" t="n">
        <f aca="false">IF(K1727&gt;0,1,0)</f>
        <v>1</v>
      </c>
      <c r="N1727" s="11" t="n">
        <f aca="false">SUMIFS(K$2:K1727,A$2:A1727,A1727,B$2:B1727,B1727)</f>
        <v>3234012</v>
      </c>
      <c r="O1727" s="11" t="n">
        <f aca="false">MAX(0,_xlfn.MAXIFS(N$2:N1727,A$2:A1727,A1727,B$2:B1727,B1727))</f>
        <v>4152979</v>
      </c>
      <c r="P1727" s="11" t="n">
        <f aca="false">N1727-O1727</f>
        <v>-918967</v>
      </c>
    </row>
    <row r="1728" customFormat="false" ht="15" hidden="false" customHeight="false" outlineLevel="0" collapsed="false">
      <c r="A1728" s="8" t="s">
        <v>45</v>
      </c>
      <c r="B1728" s="8" t="s">
        <v>41</v>
      </c>
      <c r="C1728" s="8" t="s">
        <v>62</v>
      </c>
      <c r="D1728" s="21" t="n">
        <v>46122.4895833333</v>
      </c>
      <c r="E1728" s="21" t="n">
        <v>46122.5284722222</v>
      </c>
      <c r="F1728" s="22" t="n">
        <f aca="false">DATE(YEAR(E1728),MONTH(E1728),1)</f>
        <v>46113</v>
      </c>
      <c r="G1728" s="23" t="n">
        <v>156782</v>
      </c>
      <c r="H1728" s="8" t="s">
        <v>64</v>
      </c>
      <c r="I1728" s="24" t="n">
        <v>36.51</v>
      </c>
      <c r="J1728" s="25" t="n">
        <f aca="false">Summary!$B$4</f>
        <v>1</v>
      </c>
      <c r="K1728" s="11" t="n">
        <f aca="false">I1728*J1728*IF(A1728="SILVER",Summary!$B$5,Summary!$B$6)</f>
        <v>3651</v>
      </c>
      <c r="L1728" s="26" t="n">
        <v>0.046</v>
      </c>
      <c r="M1728" s="27" t="n">
        <f aca="false">IF(K1728&gt;0,1,0)</f>
        <v>1</v>
      </c>
      <c r="N1728" s="11" t="n">
        <f aca="false">SUMIFS(K$2:K1728,A$2:A1728,A1728,B$2:B1728,B1728)</f>
        <v>3237663</v>
      </c>
      <c r="O1728" s="11" t="n">
        <f aca="false">MAX(0,_xlfn.MAXIFS(N$2:N1728,A$2:A1728,A1728,B$2:B1728,B1728))</f>
        <v>4152979</v>
      </c>
      <c r="P1728" s="11" t="n">
        <f aca="false">N1728-O1728</f>
        <v>-915316</v>
      </c>
    </row>
    <row r="1729" customFormat="false" ht="15" hidden="false" customHeight="false" outlineLevel="0" collapsed="false">
      <c r="A1729" s="8" t="s">
        <v>45</v>
      </c>
      <c r="B1729" s="8" t="s">
        <v>41</v>
      </c>
      <c r="C1729" s="8" t="s">
        <v>62</v>
      </c>
      <c r="D1729" s="21" t="n">
        <v>46125.3784722222</v>
      </c>
      <c r="E1729" s="21" t="n">
        <v>46125.7847222222</v>
      </c>
      <c r="F1729" s="22" t="n">
        <f aca="false">DATE(YEAR(E1729),MONTH(E1729),1)</f>
        <v>46113</v>
      </c>
      <c r="G1729" s="23" t="n">
        <v>155946</v>
      </c>
      <c r="H1729" s="8" t="s">
        <v>61</v>
      </c>
      <c r="I1729" s="24" t="n">
        <v>-478.38</v>
      </c>
      <c r="J1729" s="25" t="n">
        <f aca="false">Summary!$B$4</f>
        <v>1</v>
      </c>
      <c r="K1729" s="11" t="n">
        <f aca="false">I1729*J1729*IF(A1729="SILVER",Summary!$B$5,Summary!$B$6)</f>
        <v>-47838</v>
      </c>
      <c r="L1729" s="26" t="n">
        <v>-0.45</v>
      </c>
      <c r="M1729" s="27" t="n">
        <f aca="false">IF(K1729&gt;0,1,0)</f>
        <v>0</v>
      </c>
      <c r="N1729" s="11" t="n">
        <f aca="false">SUMIFS(K$2:K1729,A$2:A1729,A1729,B$2:B1729,B1729)</f>
        <v>3189825</v>
      </c>
      <c r="O1729" s="11" t="n">
        <f aca="false">MAX(0,_xlfn.MAXIFS(N$2:N1729,A$2:A1729,A1729,B$2:B1729,B1729))</f>
        <v>4152979</v>
      </c>
      <c r="P1729" s="11" t="n">
        <f aca="false">N1729-O1729</f>
        <v>-963154</v>
      </c>
    </row>
    <row r="1730" customFormat="false" ht="15" hidden="false" customHeight="false" outlineLevel="0" collapsed="false">
      <c r="A1730" s="8" t="s">
        <v>45</v>
      </c>
      <c r="B1730" s="8" t="s">
        <v>41</v>
      </c>
      <c r="C1730" s="8" t="s">
        <v>62</v>
      </c>
      <c r="D1730" s="21" t="n">
        <v>46127.625</v>
      </c>
      <c r="E1730" s="21" t="n">
        <v>46127.7916666667</v>
      </c>
      <c r="F1730" s="22" t="n">
        <f aca="false">DATE(YEAR(E1730),MONTH(E1730),1)</f>
        <v>46113</v>
      </c>
      <c r="G1730" s="23" t="n">
        <v>158336</v>
      </c>
      <c r="H1730" s="8" t="s">
        <v>61</v>
      </c>
      <c r="I1730" s="24" t="n">
        <v>-768.89</v>
      </c>
      <c r="J1730" s="25" t="n">
        <f aca="false">Summary!$B$4</f>
        <v>1</v>
      </c>
      <c r="K1730" s="11" t="n">
        <f aca="false">I1730*J1730*IF(A1730="SILVER",Summary!$B$5,Summary!$B$6)</f>
        <v>-76889</v>
      </c>
      <c r="L1730" s="26" t="n">
        <v>-0.827</v>
      </c>
      <c r="M1730" s="27" t="n">
        <f aca="false">IF(K1730&gt;0,1,0)</f>
        <v>0</v>
      </c>
      <c r="N1730" s="11" t="n">
        <f aca="false">SUMIFS(K$2:K1730,A$2:A1730,A1730,B$2:B1730,B1730)</f>
        <v>3112936</v>
      </c>
      <c r="O1730" s="11" t="n">
        <f aca="false">MAX(0,_xlfn.MAXIFS(N$2:N1730,A$2:A1730,A1730,B$2:B1730,B1730))</f>
        <v>4152979</v>
      </c>
      <c r="P1730" s="11" t="n">
        <f aca="false">N1730-O1730</f>
        <v>-1040043</v>
      </c>
    </row>
    <row r="1731" customFormat="false" ht="15" hidden="false" customHeight="false" outlineLevel="0" collapsed="false">
      <c r="A1731" s="8" t="s">
        <v>45</v>
      </c>
      <c r="B1731" s="8" t="s">
        <v>41</v>
      </c>
      <c r="C1731" s="8" t="s">
        <v>62</v>
      </c>
      <c r="D1731" s="21" t="n">
        <v>46127.8576388889</v>
      </c>
      <c r="E1731" s="21" t="n">
        <v>46127.8819444445</v>
      </c>
      <c r="F1731" s="22" t="n">
        <f aca="false">DATE(YEAR(E1731),MONTH(E1731),1)</f>
        <v>46113</v>
      </c>
      <c r="G1731" s="23" t="n">
        <v>158455</v>
      </c>
      <c r="H1731" s="8" t="s">
        <v>64</v>
      </c>
      <c r="I1731" s="24" t="n">
        <v>48.28</v>
      </c>
      <c r="J1731" s="25" t="n">
        <f aca="false">Summary!$B$4</f>
        <v>1</v>
      </c>
      <c r="K1731" s="11" t="n">
        <f aca="false">I1731*J1731*IF(A1731="SILVER",Summary!$B$5,Summary!$B$6)</f>
        <v>4828</v>
      </c>
      <c r="L1731" s="26" t="n">
        <v>0.054</v>
      </c>
      <c r="M1731" s="27" t="n">
        <f aca="false">IF(K1731&gt;0,1,0)</f>
        <v>1</v>
      </c>
      <c r="N1731" s="11" t="n">
        <f aca="false">SUMIFS(K$2:K1731,A$2:A1731,A1731,B$2:B1731,B1731)</f>
        <v>3117764</v>
      </c>
      <c r="O1731" s="11" t="n">
        <f aca="false">MAX(0,_xlfn.MAXIFS(N$2:N1731,A$2:A1731,A1731,B$2:B1731,B1731))</f>
        <v>4152979</v>
      </c>
      <c r="P1731" s="11" t="n">
        <f aca="false">N1731-O1731</f>
        <v>-1035215</v>
      </c>
    </row>
    <row r="1732" customFormat="false" ht="15" hidden="false" customHeight="false" outlineLevel="0" collapsed="false">
      <c r="A1732" s="8" t="s">
        <v>45</v>
      </c>
      <c r="B1732" s="8" t="s">
        <v>41</v>
      </c>
      <c r="C1732" s="8" t="s">
        <v>62</v>
      </c>
      <c r="D1732" s="21" t="n">
        <v>46128.6319444445</v>
      </c>
      <c r="E1732" s="21" t="n">
        <v>46129.7222222222</v>
      </c>
      <c r="F1732" s="22" t="n">
        <f aca="false">DATE(YEAR(E1732),MONTH(E1732),1)</f>
        <v>46113</v>
      </c>
      <c r="G1732" s="23" t="n">
        <v>158520</v>
      </c>
      <c r="H1732" s="8" t="s">
        <v>61</v>
      </c>
      <c r="I1732" s="24" t="n">
        <v>694.22</v>
      </c>
      <c r="J1732" s="25" t="n">
        <f aca="false">Summary!$B$4</f>
        <v>1</v>
      </c>
      <c r="K1732" s="11" t="n">
        <f aca="false">I1732*J1732*IF(A1732="SILVER",Summary!$B$5,Summary!$B$6)</f>
        <v>69422</v>
      </c>
      <c r="L1732" s="26" t="n">
        <v>1.055</v>
      </c>
      <c r="M1732" s="27" t="n">
        <f aca="false">IF(K1732&gt;0,1,0)</f>
        <v>1</v>
      </c>
      <c r="N1732" s="11" t="n">
        <f aca="false">SUMIFS(K$2:K1732,A$2:A1732,A1732,B$2:B1732,B1732)</f>
        <v>3187186</v>
      </c>
      <c r="O1732" s="11" t="n">
        <f aca="false">MAX(0,_xlfn.MAXIFS(N$2:N1732,A$2:A1732,A1732,B$2:B1732,B1732))</f>
        <v>4152979</v>
      </c>
      <c r="P1732" s="11" t="n">
        <f aca="false">N1732-O1732</f>
        <v>-965793</v>
      </c>
    </row>
    <row r="1733" customFormat="false" ht="15" hidden="false" customHeight="false" outlineLevel="0" collapsed="false">
      <c r="A1733" s="8" t="s">
        <v>45</v>
      </c>
      <c r="B1733" s="8" t="s">
        <v>41</v>
      </c>
      <c r="C1733" s="8" t="s">
        <v>62</v>
      </c>
      <c r="D1733" s="21" t="n">
        <v>46132.3784722222</v>
      </c>
      <c r="E1733" s="21" t="n">
        <v>46132.7256944445</v>
      </c>
      <c r="F1733" s="22" t="n">
        <f aca="false">DATE(YEAR(E1733),MONTH(E1733),1)</f>
        <v>46113</v>
      </c>
      <c r="G1733" s="23" t="n">
        <v>157355</v>
      </c>
      <c r="H1733" s="8" t="s">
        <v>61</v>
      </c>
      <c r="I1733" s="24" t="n">
        <v>-772.69</v>
      </c>
      <c r="J1733" s="25" t="n">
        <f aca="false">Summary!$B$4</f>
        <v>1</v>
      </c>
      <c r="K1733" s="11" t="n">
        <f aca="false">I1733*J1733*IF(A1733="SILVER",Summary!$B$5,Summary!$B$6)</f>
        <v>-77269</v>
      </c>
      <c r="L1733" s="26" t="n">
        <v>-0.648</v>
      </c>
      <c r="M1733" s="27" t="n">
        <f aca="false">IF(K1733&gt;0,1,0)</f>
        <v>0</v>
      </c>
      <c r="N1733" s="11" t="n">
        <f aca="false">SUMIFS(K$2:K1733,A$2:A1733,A1733,B$2:B1733,B1733)</f>
        <v>3109917</v>
      </c>
      <c r="O1733" s="11" t="n">
        <f aca="false">MAX(0,_xlfn.MAXIFS(N$2:N1733,A$2:A1733,A1733,B$2:B1733,B1733))</f>
        <v>4152979</v>
      </c>
      <c r="P1733" s="11" t="n">
        <f aca="false">N1733-O1733</f>
        <v>-1043062</v>
      </c>
    </row>
    <row r="1734" customFormat="false" ht="15" hidden="false" customHeight="false" outlineLevel="0" collapsed="false">
      <c r="A1734" s="8" t="s">
        <v>45</v>
      </c>
      <c r="B1734" s="8" t="s">
        <v>41</v>
      </c>
      <c r="C1734" s="8" t="s">
        <v>62</v>
      </c>
      <c r="D1734" s="21" t="n">
        <v>46133.5</v>
      </c>
      <c r="E1734" s="21" t="n">
        <v>46133.7916666667</v>
      </c>
      <c r="F1734" s="22" t="n">
        <f aca="false">DATE(YEAR(E1734),MONTH(E1734),1)</f>
        <v>46113</v>
      </c>
      <c r="G1734" s="23" t="n">
        <v>157698</v>
      </c>
      <c r="H1734" s="8" t="s">
        <v>64</v>
      </c>
      <c r="I1734" s="24" t="n">
        <v>2.32</v>
      </c>
      <c r="J1734" s="25" t="n">
        <f aca="false">Summary!$B$4</f>
        <v>1</v>
      </c>
      <c r="K1734" s="11" t="n">
        <f aca="false">I1734*J1734*IF(A1734="SILVER",Summary!$B$5,Summary!$B$6)</f>
        <v>232</v>
      </c>
      <c r="L1734" s="26" t="n">
        <v>0.003</v>
      </c>
      <c r="M1734" s="27" t="n">
        <f aca="false">IF(K1734&gt;0,1,0)</f>
        <v>1</v>
      </c>
      <c r="N1734" s="11" t="n">
        <f aca="false">SUMIFS(K$2:K1734,A$2:A1734,A1734,B$2:B1734,B1734)</f>
        <v>3110149</v>
      </c>
      <c r="O1734" s="11" t="n">
        <f aca="false">MAX(0,_xlfn.MAXIFS(N$2:N1734,A$2:A1734,A1734,B$2:B1734,B1734))</f>
        <v>4152979</v>
      </c>
      <c r="P1734" s="11" t="n">
        <f aca="false">N1734-O1734</f>
        <v>-1042830</v>
      </c>
    </row>
    <row r="1735" customFormat="false" ht="15" hidden="false" customHeight="false" outlineLevel="0" collapsed="false">
      <c r="A1735" s="8" t="s">
        <v>45</v>
      </c>
      <c r="B1735" s="8" t="s">
        <v>41</v>
      </c>
      <c r="C1735" s="8" t="s">
        <v>62</v>
      </c>
      <c r="D1735" s="21" t="n">
        <v>46134.71875</v>
      </c>
      <c r="E1735" s="21" t="n">
        <v>46134.7916666667</v>
      </c>
      <c r="F1735" s="22" t="n">
        <f aca="false">DATE(YEAR(E1735),MONTH(E1735),1)</f>
        <v>46113</v>
      </c>
      <c r="G1735" s="23" t="n">
        <v>157222</v>
      </c>
      <c r="H1735" s="8" t="s">
        <v>64</v>
      </c>
      <c r="I1735" s="24" t="n">
        <v>11.42</v>
      </c>
      <c r="J1735" s="25" t="n">
        <f aca="false">Summary!$B$4</f>
        <v>1</v>
      </c>
      <c r="K1735" s="11" t="n">
        <f aca="false">I1735*J1735*IF(A1735="SILVER",Summary!$B$5,Summary!$B$6)</f>
        <v>1142</v>
      </c>
      <c r="L1735" s="26" t="n">
        <v>0.021</v>
      </c>
      <c r="M1735" s="27" t="n">
        <f aca="false">IF(K1735&gt;0,1,0)</f>
        <v>1</v>
      </c>
      <c r="N1735" s="11" t="n">
        <f aca="false">SUMIFS(K$2:K1735,A$2:A1735,A1735,B$2:B1735,B1735)</f>
        <v>3111291</v>
      </c>
      <c r="O1735" s="11" t="n">
        <f aca="false">MAX(0,_xlfn.MAXIFS(N$2:N1735,A$2:A1735,A1735,B$2:B1735,B1735))</f>
        <v>4152979</v>
      </c>
      <c r="P1735" s="11" t="n">
        <f aca="false">N1735-O1735</f>
        <v>-1041688</v>
      </c>
    </row>
    <row r="1736" customFormat="false" ht="15" hidden="false" customHeight="false" outlineLevel="0" collapsed="false">
      <c r="A1736" s="8" t="s">
        <v>45</v>
      </c>
      <c r="B1736" s="8" t="s">
        <v>41</v>
      </c>
      <c r="C1736" s="8" t="s">
        <v>62</v>
      </c>
      <c r="D1736" s="21" t="n">
        <v>46135.9652777778</v>
      </c>
      <c r="E1736" s="21" t="n">
        <v>46135.9743055556</v>
      </c>
      <c r="F1736" s="22" t="n">
        <f aca="false">DATE(YEAR(E1736),MONTH(E1736),1)</f>
        <v>46113</v>
      </c>
      <c r="G1736" s="23" t="n">
        <v>156356</v>
      </c>
      <c r="H1736" s="8" t="s">
        <v>64</v>
      </c>
      <c r="I1736" s="24" t="n">
        <v>46.28</v>
      </c>
      <c r="J1736" s="25" t="n">
        <f aca="false">Summary!$B$4</f>
        <v>1</v>
      </c>
      <c r="K1736" s="11" t="n">
        <f aca="false">I1736*J1736*IF(A1736="SILVER",Summary!$B$5,Summary!$B$6)</f>
        <v>4628</v>
      </c>
      <c r="L1736" s="26" t="n">
        <v>0.053</v>
      </c>
      <c r="M1736" s="27" t="n">
        <f aca="false">IF(K1736&gt;0,1,0)</f>
        <v>1</v>
      </c>
      <c r="N1736" s="11" t="n">
        <f aca="false">SUMIFS(K$2:K1736,A$2:A1736,A1736,B$2:B1736,B1736)</f>
        <v>3115919</v>
      </c>
      <c r="O1736" s="11" t="n">
        <f aca="false">MAX(0,_xlfn.MAXIFS(N$2:N1736,A$2:A1736,A1736,B$2:B1736,B1736))</f>
        <v>4152979</v>
      </c>
      <c r="P1736" s="11" t="n">
        <f aca="false">N1736-O1736</f>
        <v>-1037060</v>
      </c>
    </row>
    <row r="1737" customFormat="false" ht="15" hidden="false" customHeight="false" outlineLevel="0" collapsed="false">
      <c r="A1737" s="8" t="s">
        <v>45</v>
      </c>
      <c r="B1737" s="8" t="s">
        <v>41</v>
      </c>
      <c r="C1737" s="8" t="s">
        <v>62</v>
      </c>
      <c r="D1737" s="21" t="n">
        <v>46139.4756944445</v>
      </c>
      <c r="E1737" s="21" t="n">
        <v>46139.675</v>
      </c>
      <c r="F1737" s="22" t="n">
        <f aca="false">DATE(YEAR(E1737),MONTH(E1737),1)</f>
        <v>46113</v>
      </c>
      <c r="G1737" s="23" t="n">
        <v>156655</v>
      </c>
      <c r="H1737" s="8" t="s">
        <v>64</v>
      </c>
      <c r="I1737" s="24" t="n">
        <v>14.4</v>
      </c>
      <c r="J1737" s="25" t="n">
        <f aca="false">Summary!$B$4</f>
        <v>1</v>
      </c>
      <c r="K1737" s="11" t="n">
        <f aca="false">I1737*J1737*IF(A1737="SILVER",Summary!$B$5,Summary!$B$6)</f>
        <v>1440</v>
      </c>
      <c r="L1737" s="26" t="n">
        <v>0.026</v>
      </c>
      <c r="M1737" s="27" t="n">
        <f aca="false">IF(K1737&gt;0,1,0)</f>
        <v>1</v>
      </c>
      <c r="N1737" s="11" t="n">
        <f aca="false">SUMIFS(K$2:K1737,A$2:A1737,A1737,B$2:B1737,B1737)</f>
        <v>3117359</v>
      </c>
      <c r="O1737" s="11" t="n">
        <f aca="false">MAX(0,_xlfn.MAXIFS(N$2:N1737,A$2:A1737,A1737,B$2:B1737,B1737))</f>
        <v>4152979</v>
      </c>
      <c r="P1737" s="11" t="n">
        <f aca="false">N1737-O1737</f>
        <v>-1035620</v>
      </c>
    </row>
    <row r="1738" customFormat="false" ht="15" hidden="false" customHeight="false" outlineLevel="0" collapsed="false">
      <c r="A1738" s="8" t="s">
        <v>45</v>
      </c>
      <c r="B1738" s="8" t="s">
        <v>41</v>
      </c>
      <c r="C1738" s="8" t="s">
        <v>62</v>
      </c>
      <c r="D1738" s="21" t="n">
        <v>46141.5347222222</v>
      </c>
      <c r="E1738" s="21" t="n">
        <v>46141.5993055556</v>
      </c>
      <c r="F1738" s="22" t="n">
        <f aca="false">DATE(YEAR(E1738),MONTH(E1738),1)</f>
        <v>46113</v>
      </c>
      <c r="G1738" s="23" t="n">
        <v>153657</v>
      </c>
      <c r="H1738" s="8" t="s">
        <v>64</v>
      </c>
      <c r="I1738" s="24" t="n">
        <v>42.6</v>
      </c>
      <c r="J1738" s="25" t="n">
        <f aca="false">Summary!$B$4</f>
        <v>1</v>
      </c>
      <c r="K1738" s="11" t="n">
        <f aca="false">I1738*J1738*IF(A1738="SILVER",Summary!$B$5,Summary!$B$6)</f>
        <v>4260</v>
      </c>
      <c r="L1738" s="26" t="n">
        <v>0.052</v>
      </c>
      <c r="M1738" s="27" t="n">
        <f aca="false">IF(K1738&gt;0,1,0)</f>
        <v>1</v>
      </c>
      <c r="N1738" s="11" t="n">
        <f aca="false">SUMIFS(K$2:K1738,A$2:A1738,A1738,B$2:B1738,B1738)</f>
        <v>3121619</v>
      </c>
      <c r="O1738" s="11" t="n">
        <f aca="false">MAX(0,_xlfn.MAXIFS(N$2:N1738,A$2:A1738,A1738,B$2:B1738,B1738))</f>
        <v>4152979</v>
      </c>
      <c r="P1738" s="11" t="n">
        <f aca="false">N1738-O1738</f>
        <v>-1031360</v>
      </c>
    </row>
    <row r="1739" customFormat="false" ht="15" hidden="false" customHeight="false" outlineLevel="0" collapsed="false">
      <c r="A1739" s="8" t="s">
        <v>45</v>
      </c>
      <c r="B1739" s="8" t="s">
        <v>41</v>
      </c>
      <c r="C1739" s="8" t="s">
        <v>62</v>
      </c>
      <c r="D1739" s="21" t="n">
        <v>46142.8090277778</v>
      </c>
      <c r="E1739" s="21" t="n">
        <v>46143.7465277778</v>
      </c>
      <c r="F1739" s="22" t="n">
        <f aca="false">DATE(YEAR(E1739),MONTH(E1739),1)</f>
        <v>46143</v>
      </c>
      <c r="G1739" s="23" t="n">
        <v>155250</v>
      </c>
      <c r="H1739" s="8" t="s">
        <v>64</v>
      </c>
      <c r="I1739" s="24" t="n">
        <v>52.76</v>
      </c>
      <c r="J1739" s="25" t="n">
        <f aca="false">Summary!$B$4</f>
        <v>1</v>
      </c>
      <c r="K1739" s="11" t="n">
        <f aca="false">I1739*J1739*IF(A1739="SILVER",Summary!$B$5,Summary!$B$6)</f>
        <v>5276</v>
      </c>
      <c r="L1739" s="26" t="n">
        <v>0.057</v>
      </c>
      <c r="M1739" s="27" t="n">
        <f aca="false">IF(K1739&gt;0,1,0)</f>
        <v>1</v>
      </c>
      <c r="N1739" s="11" t="n">
        <f aca="false">SUMIFS(K$2:K1739,A$2:A1739,A1739,B$2:B1739,B1739)</f>
        <v>3126895</v>
      </c>
      <c r="O1739" s="11" t="n">
        <f aca="false">MAX(0,_xlfn.MAXIFS(N$2:N1739,A$2:A1739,A1739,B$2:B1739,B1739))</f>
        <v>4152979</v>
      </c>
      <c r="P1739" s="11" t="n">
        <f aca="false">N1739-O1739</f>
        <v>-1026084</v>
      </c>
    </row>
    <row r="1740" customFormat="false" ht="15" hidden="false" customHeight="false" outlineLevel="0" collapsed="false">
      <c r="A1740" s="8" t="s">
        <v>45</v>
      </c>
      <c r="B1740" s="8" t="s">
        <v>41</v>
      </c>
      <c r="C1740" s="8" t="s">
        <v>62</v>
      </c>
      <c r="D1740" s="21" t="n">
        <v>46146.4479166667</v>
      </c>
      <c r="E1740" s="21" t="n">
        <v>46146.7013888889</v>
      </c>
      <c r="F1740" s="22" t="n">
        <f aca="false">DATE(YEAR(E1740),MONTH(E1740),1)</f>
        <v>46143</v>
      </c>
      <c r="G1740" s="23" t="n">
        <v>154975</v>
      </c>
      <c r="H1740" s="8" t="s">
        <v>61</v>
      </c>
      <c r="I1740" s="24" t="n">
        <v>585.91</v>
      </c>
      <c r="J1740" s="25" t="n">
        <f aca="false">Summary!$B$4</f>
        <v>1</v>
      </c>
      <c r="K1740" s="11" t="n">
        <f aca="false">I1740*J1740*IF(A1740="SILVER",Summary!$B$5,Summary!$B$6)</f>
        <v>58591</v>
      </c>
      <c r="L1740" s="26" t="n">
        <v>0.774</v>
      </c>
      <c r="M1740" s="27" t="n">
        <f aca="false">IF(K1740&gt;0,1,0)</f>
        <v>1</v>
      </c>
      <c r="N1740" s="11" t="n">
        <f aca="false">SUMIFS(K$2:K1740,A$2:A1740,A1740,B$2:B1740,B1740)</f>
        <v>3185486</v>
      </c>
      <c r="O1740" s="11" t="n">
        <f aca="false">MAX(0,_xlfn.MAXIFS(N$2:N1740,A$2:A1740,A1740,B$2:B1740,B1740))</f>
        <v>4152979</v>
      </c>
      <c r="P1740" s="11" t="n">
        <f aca="false">N1740-O1740</f>
        <v>-967493</v>
      </c>
    </row>
    <row r="1741" customFormat="false" ht="15" hidden="false" customHeight="false" outlineLevel="0" collapsed="false">
      <c r="A1741" s="8" t="s">
        <v>45</v>
      </c>
      <c r="B1741" s="8" t="s">
        <v>41</v>
      </c>
      <c r="C1741" s="8" t="s">
        <v>62</v>
      </c>
      <c r="D1741" s="21" t="n">
        <v>46146.8715277778</v>
      </c>
      <c r="E1741" s="21" t="n">
        <v>46147.7465277778</v>
      </c>
      <c r="F1741" s="22" t="n">
        <f aca="false">DATE(YEAR(E1741),MONTH(E1741),1)</f>
        <v>46143</v>
      </c>
      <c r="G1741" s="23" t="n">
        <v>153454</v>
      </c>
      <c r="H1741" s="8" t="s">
        <v>61</v>
      </c>
      <c r="I1741" s="24" t="n">
        <v>-940.93</v>
      </c>
      <c r="J1741" s="25" t="n">
        <f aca="false">Summary!$B$4</f>
        <v>1</v>
      </c>
      <c r="K1741" s="11" t="n">
        <f aca="false">I1741*J1741*IF(A1741="SILVER",Summary!$B$5,Summary!$B$6)</f>
        <v>-94093</v>
      </c>
      <c r="L1741" s="26" t="n">
        <v>-0.69</v>
      </c>
      <c r="M1741" s="27" t="n">
        <f aca="false">IF(K1741&gt;0,1,0)</f>
        <v>0</v>
      </c>
      <c r="N1741" s="11" t="n">
        <f aca="false">SUMIFS(K$2:K1741,A$2:A1741,A1741,B$2:B1741,B1741)</f>
        <v>3091393</v>
      </c>
      <c r="O1741" s="11" t="n">
        <f aca="false">MAX(0,_xlfn.MAXIFS(N$2:N1741,A$2:A1741,A1741,B$2:B1741,B1741))</f>
        <v>4152979</v>
      </c>
      <c r="P1741" s="11" t="n">
        <f aca="false">N1741-O1741</f>
        <v>-1061586</v>
      </c>
    </row>
    <row r="1742" customFormat="false" ht="15" hidden="false" customHeight="false" outlineLevel="0" collapsed="false">
      <c r="A1742" s="8" t="s">
        <v>45</v>
      </c>
      <c r="B1742" s="8" t="s">
        <v>41</v>
      </c>
      <c r="C1742" s="8" t="s">
        <v>62</v>
      </c>
      <c r="D1742" s="21" t="n">
        <v>46147.9444444445</v>
      </c>
      <c r="E1742" s="21" t="n">
        <v>46148.3784722222</v>
      </c>
      <c r="F1742" s="22" t="n">
        <f aca="false">DATE(YEAR(E1742),MONTH(E1742),1)</f>
        <v>46143</v>
      </c>
      <c r="G1742" s="23" t="n">
        <v>153865</v>
      </c>
      <c r="H1742" s="8" t="s">
        <v>61</v>
      </c>
      <c r="I1742" s="24" t="n">
        <v>-2197.14</v>
      </c>
      <c r="J1742" s="25" t="n">
        <f aca="false">Summary!$B$4</f>
        <v>1</v>
      </c>
      <c r="K1742" s="11" t="n">
        <f aca="false">I1742*J1742*IF(A1742="SILVER",Summary!$B$5,Summary!$B$6)</f>
        <v>-219714</v>
      </c>
      <c r="L1742" s="26" t="n">
        <v>-3.497</v>
      </c>
      <c r="M1742" s="27" t="n">
        <f aca="false">IF(K1742&gt;0,1,0)</f>
        <v>0</v>
      </c>
      <c r="N1742" s="11" t="n">
        <f aca="false">SUMIFS(K$2:K1742,A$2:A1742,A1742,B$2:B1742,B1742)</f>
        <v>2871679</v>
      </c>
      <c r="O1742" s="11" t="n">
        <f aca="false">MAX(0,_xlfn.MAXIFS(N$2:N1742,A$2:A1742,A1742,B$2:B1742,B1742))</f>
        <v>4152979</v>
      </c>
      <c r="P1742" s="11" t="n">
        <f aca="false">N1742-O1742</f>
        <v>-1281300</v>
      </c>
    </row>
    <row r="1743" customFormat="false" ht="15" hidden="false" customHeight="false" outlineLevel="0" collapsed="false">
      <c r="A1743" s="8" t="s">
        <v>45</v>
      </c>
      <c r="B1743" s="8" t="s">
        <v>41</v>
      </c>
      <c r="C1743" s="8" t="s">
        <v>62</v>
      </c>
      <c r="D1743" s="21" t="n">
        <v>46148.7326388889</v>
      </c>
      <c r="E1743" s="21" t="n">
        <v>46149.3784722222</v>
      </c>
      <c r="F1743" s="22" t="n">
        <f aca="false">DATE(YEAR(E1743),MONTH(E1743),1)</f>
        <v>46143</v>
      </c>
      <c r="G1743" s="23" t="n">
        <v>156265</v>
      </c>
      <c r="H1743" s="8" t="s">
        <v>61</v>
      </c>
      <c r="I1743" s="24" t="n">
        <v>-769.47</v>
      </c>
      <c r="J1743" s="25" t="n">
        <f aca="false">Summary!$B$4</f>
        <v>1</v>
      </c>
      <c r="K1743" s="11" t="n">
        <f aca="false">I1743*J1743*IF(A1743="SILVER",Summary!$B$5,Summary!$B$6)</f>
        <v>-76947</v>
      </c>
      <c r="L1743" s="26" t="n">
        <v>-0.773</v>
      </c>
      <c r="M1743" s="27" t="n">
        <f aca="false">IF(K1743&gt;0,1,0)</f>
        <v>0</v>
      </c>
      <c r="N1743" s="11" t="n">
        <f aca="false">SUMIFS(K$2:K1743,A$2:A1743,A1743,B$2:B1743,B1743)</f>
        <v>2794732</v>
      </c>
      <c r="O1743" s="11" t="n">
        <f aca="false">MAX(0,_xlfn.MAXIFS(N$2:N1743,A$2:A1743,A1743,B$2:B1743,B1743))</f>
        <v>4152979</v>
      </c>
      <c r="P1743" s="11" t="n">
        <f aca="false">N1743-O1743</f>
        <v>-1358247</v>
      </c>
    </row>
    <row r="1744" customFormat="false" ht="15" hidden="false" customHeight="false" outlineLevel="0" collapsed="false">
      <c r="A1744" s="8" t="s">
        <v>45</v>
      </c>
      <c r="B1744" s="8" t="s">
        <v>41</v>
      </c>
      <c r="C1744" s="8" t="s">
        <v>62</v>
      </c>
      <c r="D1744" s="21" t="n">
        <v>46149.5868055556</v>
      </c>
      <c r="E1744" s="21" t="n">
        <v>46150.375</v>
      </c>
      <c r="F1744" s="22" t="n">
        <f aca="false">DATE(YEAR(E1744),MONTH(E1744),1)</f>
        <v>46143</v>
      </c>
      <c r="G1744" s="23" t="n">
        <v>157123</v>
      </c>
      <c r="H1744" s="8" t="s">
        <v>64</v>
      </c>
      <c r="I1744" s="24" t="n">
        <v>69.05</v>
      </c>
      <c r="J1744" s="25" t="n">
        <f aca="false">Summary!$B$4</f>
        <v>1</v>
      </c>
      <c r="K1744" s="11" t="n">
        <f aca="false">I1744*J1744*IF(A1744="SILVER",Summary!$B$5,Summary!$B$6)</f>
        <v>6905</v>
      </c>
      <c r="L1744" s="26" t="n">
        <v>0.063</v>
      </c>
      <c r="M1744" s="27" t="n">
        <f aca="false">IF(K1744&gt;0,1,0)</f>
        <v>1</v>
      </c>
      <c r="N1744" s="11" t="n">
        <f aca="false">SUMIFS(K$2:K1744,A$2:A1744,A1744,B$2:B1744,B1744)</f>
        <v>2801637</v>
      </c>
      <c r="O1744" s="11" t="n">
        <f aca="false">MAX(0,_xlfn.MAXIFS(N$2:N1744,A$2:A1744,A1744,B$2:B1744,B1744))</f>
        <v>4152979</v>
      </c>
      <c r="P1744" s="11" t="n">
        <f aca="false">N1744-O1744</f>
        <v>-1351342</v>
      </c>
    </row>
    <row r="1745" customFormat="false" ht="15" hidden="false" customHeight="false" outlineLevel="0" collapsed="false">
      <c r="A1745" s="8" t="s">
        <v>45</v>
      </c>
      <c r="B1745" s="8" t="s">
        <v>41</v>
      </c>
      <c r="C1745" s="8" t="s">
        <v>62</v>
      </c>
      <c r="D1745" s="21" t="n">
        <v>46150.8854166667</v>
      </c>
      <c r="E1745" s="21" t="n">
        <v>46153.5152777778</v>
      </c>
      <c r="F1745" s="22" t="n">
        <f aca="false">DATE(YEAR(E1745),MONTH(E1745),1)</f>
        <v>46143</v>
      </c>
      <c r="G1745" s="23" t="n">
        <v>156581</v>
      </c>
      <c r="H1745" s="8" t="s">
        <v>64</v>
      </c>
      <c r="I1745" s="24" t="n">
        <v>67.59</v>
      </c>
      <c r="J1745" s="25" t="n">
        <f aca="false">Summary!$B$4</f>
        <v>1</v>
      </c>
      <c r="K1745" s="11" t="n">
        <f aca="false">I1745*J1745*IF(A1745="SILVER",Summary!$B$5,Summary!$B$6)</f>
        <v>6759</v>
      </c>
      <c r="L1745" s="26" t="n">
        <v>0.063</v>
      </c>
      <c r="M1745" s="27" t="n">
        <f aca="false">IF(K1745&gt;0,1,0)</f>
        <v>1</v>
      </c>
      <c r="N1745" s="11" t="n">
        <f aca="false">SUMIFS(K$2:K1745,A$2:A1745,A1745,B$2:B1745,B1745)</f>
        <v>2808396</v>
      </c>
      <c r="O1745" s="11" t="n">
        <f aca="false">MAX(0,_xlfn.MAXIFS(N$2:N1745,A$2:A1745,A1745,B$2:B1745,B1745))</f>
        <v>4152979</v>
      </c>
      <c r="P1745" s="11" t="n">
        <f aca="false">N1745-O1745</f>
        <v>-1344583</v>
      </c>
    </row>
    <row r="1746" customFormat="false" ht="15" hidden="false" customHeight="false" outlineLevel="0" collapsed="false">
      <c r="A1746" s="8" t="s">
        <v>45</v>
      </c>
      <c r="B1746" s="8" t="s">
        <v>41</v>
      </c>
      <c r="C1746" s="8" t="s">
        <v>62</v>
      </c>
      <c r="D1746" s="21" t="n">
        <v>46154.5</v>
      </c>
      <c r="E1746" s="21" t="n">
        <v>46154.8770833333</v>
      </c>
      <c r="F1746" s="22" t="n">
        <f aca="false">DATE(YEAR(E1746),MONTH(E1746),1)</f>
        <v>46143</v>
      </c>
      <c r="G1746" s="23" t="n">
        <v>157536</v>
      </c>
      <c r="H1746" s="8" t="s">
        <v>64</v>
      </c>
      <c r="I1746" s="24" t="n">
        <v>53.78</v>
      </c>
      <c r="J1746" s="25" t="n">
        <f aca="false">Summary!$B$4</f>
        <v>1</v>
      </c>
      <c r="K1746" s="11" t="n">
        <f aca="false">I1746*J1746*IF(A1746="SILVER",Summary!$B$5,Summary!$B$6)</f>
        <v>5378</v>
      </c>
      <c r="L1746" s="26" t="n">
        <v>0.057</v>
      </c>
      <c r="M1746" s="27" t="n">
        <f aca="false">IF(K1746&gt;0,1,0)</f>
        <v>1</v>
      </c>
      <c r="N1746" s="11" t="n">
        <f aca="false">SUMIFS(K$2:K1746,A$2:A1746,A1746,B$2:B1746,B1746)</f>
        <v>2813774</v>
      </c>
      <c r="O1746" s="11" t="n">
        <f aca="false">MAX(0,_xlfn.MAXIFS(N$2:N1746,A$2:A1746,A1746,B$2:B1746,B1746))</f>
        <v>4152979</v>
      </c>
      <c r="P1746" s="11" t="n">
        <f aca="false">N1746-O1746</f>
        <v>-1339205</v>
      </c>
    </row>
    <row r="1747" customFormat="false" ht="15" hidden="false" customHeight="false" outlineLevel="0" collapsed="false">
      <c r="A1747" s="8" t="s">
        <v>45</v>
      </c>
      <c r="B1747" s="8" t="s">
        <v>41</v>
      </c>
      <c r="C1747" s="8" t="s">
        <v>62</v>
      </c>
      <c r="D1747" s="21" t="n">
        <v>46155.7638888889</v>
      </c>
      <c r="E1747" s="21" t="n">
        <v>46156.3756944445</v>
      </c>
      <c r="F1747" s="22" t="n">
        <f aca="false">DATE(YEAR(E1747),MONTH(E1747),1)</f>
        <v>46143</v>
      </c>
      <c r="G1747" s="23" t="n">
        <v>166355</v>
      </c>
      <c r="H1747" s="8" t="s">
        <v>64</v>
      </c>
      <c r="I1747" s="24" t="n">
        <v>-82.4</v>
      </c>
      <c r="J1747" s="25" t="n">
        <f aca="false">Summary!$B$4</f>
        <v>1</v>
      </c>
      <c r="K1747" s="11" t="n">
        <f aca="false">I1747*J1747*IF(A1747="SILVER",Summary!$B$5,Summary!$B$6)</f>
        <v>-8240</v>
      </c>
      <c r="L1747" s="26" t="n">
        <v>-0.108</v>
      </c>
      <c r="M1747" s="27" t="n">
        <f aca="false">IF(K1747&gt;0,1,0)</f>
        <v>0</v>
      </c>
      <c r="N1747" s="11" t="n">
        <f aca="false">SUMIFS(K$2:K1747,A$2:A1747,A1747,B$2:B1747,B1747)</f>
        <v>2805534</v>
      </c>
      <c r="O1747" s="11" t="n">
        <f aca="false">MAX(0,_xlfn.MAXIFS(N$2:N1747,A$2:A1747,A1747,B$2:B1747,B1747))</f>
        <v>4152979</v>
      </c>
      <c r="P1747" s="11" t="n">
        <f aca="false">N1747-O1747</f>
        <v>-1347445</v>
      </c>
    </row>
    <row r="1748" customFormat="false" ht="15" hidden="false" customHeight="false" outlineLevel="0" collapsed="false">
      <c r="A1748" s="8" t="s">
        <v>45</v>
      </c>
      <c r="B1748" s="8" t="s">
        <v>41</v>
      </c>
      <c r="C1748" s="8" t="s">
        <v>62</v>
      </c>
      <c r="D1748" s="21" t="n">
        <v>46156.7951388889</v>
      </c>
      <c r="E1748" s="21" t="n">
        <v>46156.8208333333</v>
      </c>
      <c r="F1748" s="22" t="n">
        <f aca="false">DATE(YEAR(E1748),MONTH(E1748),1)</f>
        <v>46143</v>
      </c>
      <c r="G1748" s="23" t="n">
        <v>166137</v>
      </c>
      <c r="H1748" s="8" t="s">
        <v>64</v>
      </c>
      <c r="I1748" s="24" t="n">
        <v>40.63</v>
      </c>
      <c r="J1748" s="25" t="n">
        <f aca="false">Summary!$B$4</f>
        <v>1</v>
      </c>
      <c r="K1748" s="11" t="n">
        <f aca="false">I1748*J1748*IF(A1748="SILVER",Summary!$B$5,Summary!$B$6)</f>
        <v>4063</v>
      </c>
      <c r="L1748" s="26" t="n">
        <v>0.048</v>
      </c>
      <c r="M1748" s="27" t="n">
        <f aca="false">IF(K1748&gt;0,1,0)</f>
        <v>1</v>
      </c>
      <c r="N1748" s="11" t="n">
        <f aca="false">SUMIFS(K$2:K1748,A$2:A1748,A1748,B$2:B1748,B1748)</f>
        <v>2809597</v>
      </c>
      <c r="O1748" s="11" t="n">
        <f aca="false">MAX(0,_xlfn.MAXIFS(N$2:N1748,A$2:A1748,A1748,B$2:B1748,B1748))</f>
        <v>4152979</v>
      </c>
      <c r="P1748" s="11" t="n">
        <f aca="false">N1748-O1748</f>
        <v>-1343382</v>
      </c>
    </row>
    <row r="1749" customFormat="false" ht="15" hidden="false" customHeight="false" outlineLevel="0" collapsed="false">
      <c r="A1749" s="8" t="s">
        <v>45</v>
      </c>
      <c r="B1749" s="8" t="s">
        <v>41</v>
      </c>
      <c r="C1749" s="8" t="s">
        <v>62</v>
      </c>
      <c r="D1749" s="21" t="n">
        <v>46160.875</v>
      </c>
      <c r="E1749" s="21" t="n">
        <v>46161.5625</v>
      </c>
      <c r="F1749" s="22" t="n">
        <f aca="false">DATE(YEAR(E1749),MONTH(E1749),1)</f>
        <v>46143</v>
      </c>
      <c r="G1749" s="23" t="n">
        <v>163375</v>
      </c>
      <c r="H1749" s="8" t="s">
        <v>61</v>
      </c>
      <c r="I1749" s="24" t="n">
        <v>-922.91</v>
      </c>
      <c r="J1749" s="25" t="n">
        <f aca="false">Summary!$B$4</f>
        <v>1</v>
      </c>
      <c r="K1749" s="11" t="n">
        <f aca="false">I1749*J1749*IF(A1749="SILVER",Summary!$B$5,Summary!$B$6)</f>
        <v>-92291</v>
      </c>
      <c r="L1749" s="26" t="n">
        <v>-0.801</v>
      </c>
      <c r="M1749" s="27" t="n">
        <f aca="false">IF(K1749&gt;0,1,0)</f>
        <v>0</v>
      </c>
      <c r="N1749" s="11" t="n">
        <f aca="false">SUMIFS(K$2:K1749,A$2:A1749,A1749,B$2:B1749,B1749)</f>
        <v>2717306</v>
      </c>
      <c r="O1749" s="11" t="n">
        <f aca="false">MAX(0,_xlfn.MAXIFS(N$2:N1749,A$2:A1749,A1749,B$2:B1749,B1749))</f>
        <v>4152979</v>
      </c>
      <c r="P1749" s="11" t="n">
        <f aca="false">N1749-O1749</f>
        <v>-1435673</v>
      </c>
    </row>
    <row r="1750" customFormat="false" ht="15" hidden="false" customHeight="false" outlineLevel="0" collapsed="false">
      <c r="A1750" s="8" t="s">
        <v>45</v>
      </c>
      <c r="B1750" s="8" t="s">
        <v>41</v>
      </c>
      <c r="C1750" s="8" t="s">
        <v>62</v>
      </c>
      <c r="D1750" s="21" t="n">
        <v>46161.7881944445</v>
      </c>
      <c r="E1750" s="21" t="n">
        <v>46161.8090277778</v>
      </c>
      <c r="F1750" s="22" t="n">
        <f aca="false">DATE(YEAR(E1750),MONTH(E1750),1)</f>
        <v>46143</v>
      </c>
      <c r="G1750" s="23" t="n">
        <v>163506</v>
      </c>
      <c r="H1750" s="8" t="s">
        <v>64</v>
      </c>
      <c r="I1750" s="24" t="n">
        <v>49.16</v>
      </c>
      <c r="J1750" s="25" t="n">
        <f aca="false">Summary!$B$4</f>
        <v>1</v>
      </c>
      <c r="K1750" s="11" t="n">
        <f aca="false">I1750*J1750*IF(A1750="SILVER",Summary!$B$5,Summary!$B$6)</f>
        <v>4916</v>
      </c>
      <c r="L1750" s="26" t="n">
        <v>0.052</v>
      </c>
      <c r="M1750" s="27" t="n">
        <f aca="false">IF(K1750&gt;0,1,0)</f>
        <v>1</v>
      </c>
      <c r="N1750" s="11" t="n">
        <f aca="false">SUMIFS(K$2:K1750,A$2:A1750,A1750,B$2:B1750,B1750)</f>
        <v>2722222</v>
      </c>
      <c r="O1750" s="11" t="n">
        <f aca="false">MAX(0,_xlfn.MAXIFS(N$2:N1750,A$2:A1750,A1750,B$2:B1750,B1750))</f>
        <v>4152979</v>
      </c>
      <c r="P1750" s="11" t="n">
        <f aca="false">N1750-O1750</f>
        <v>-1430757</v>
      </c>
    </row>
    <row r="1751" customFormat="false" ht="15" hidden="false" customHeight="false" outlineLevel="0" collapsed="false">
      <c r="A1751" s="8" t="s">
        <v>45</v>
      </c>
      <c r="B1751" s="8" t="s">
        <v>41</v>
      </c>
      <c r="C1751" s="8" t="s">
        <v>62</v>
      </c>
      <c r="D1751" s="21" t="n">
        <v>46163.5208333333</v>
      </c>
      <c r="E1751" s="21" t="n">
        <v>46163.9</v>
      </c>
      <c r="F1751" s="22" t="n">
        <f aca="false">DATE(YEAR(E1751),MONTH(E1751),1)</f>
        <v>46143</v>
      </c>
      <c r="G1751" s="23" t="n">
        <v>163655</v>
      </c>
      <c r="H1751" s="8" t="s">
        <v>64</v>
      </c>
      <c r="I1751" s="24" t="n">
        <v>21.66</v>
      </c>
      <c r="J1751" s="25" t="n">
        <f aca="false">Summary!$B$4</f>
        <v>1</v>
      </c>
      <c r="K1751" s="11" t="n">
        <f aca="false">I1751*J1751*IF(A1751="SILVER",Summary!$B$5,Summary!$B$6)</f>
        <v>2166</v>
      </c>
      <c r="L1751" s="26" t="n">
        <v>0.034</v>
      </c>
      <c r="M1751" s="27" t="n">
        <f aca="false">IF(K1751&gt;0,1,0)</f>
        <v>1</v>
      </c>
      <c r="N1751" s="11" t="n">
        <f aca="false">SUMIFS(K$2:K1751,A$2:A1751,A1751,B$2:B1751,B1751)</f>
        <v>2724388</v>
      </c>
      <c r="O1751" s="11" t="n">
        <f aca="false">MAX(0,_xlfn.MAXIFS(N$2:N1751,A$2:A1751,A1751,B$2:B1751,B1751))</f>
        <v>4152979</v>
      </c>
      <c r="P1751" s="11" t="n">
        <f aca="false">N1751-O1751</f>
        <v>-1428591</v>
      </c>
    </row>
    <row r="1752" customFormat="false" ht="15" hidden="false" customHeight="false" outlineLevel="0" collapsed="false">
      <c r="A1752" s="8" t="s">
        <v>45</v>
      </c>
      <c r="B1752" s="8" t="s">
        <v>41</v>
      </c>
      <c r="C1752" s="8" t="s">
        <v>62</v>
      </c>
      <c r="D1752" s="21" t="n">
        <v>46164.4791666667</v>
      </c>
      <c r="E1752" s="21" t="n">
        <v>46164.9152777778</v>
      </c>
      <c r="F1752" s="22" t="n">
        <f aca="false">DATE(YEAR(E1752),MONTH(E1752),1)</f>
        <v>46143</v>
      </c>
      <c r="G1752" s="23" t="n">
        <v>163169</v>
      </c>
      <c r="H1752" s="8" t="s">
        <v>64</v>
      </c>
      <c r="I1752" s="24" t="n">
        <v>45.53</v>
      </c>
      <c r="J1752" s="25" t="n">
        <f aca="false">Summary!$B$4</f>
        <v>1</v>
      </c>
      <c r="K1752" s="11" t="n">
        <f aca="false">I1752*J1752*IF(A1752="SILVER",Summary!$B$5,Summary!$B$6)</f>
        <v>4553</v>
      </c>
      <c r="L1752" s="26" t="n">
        <v>0.052</v>
      </c>
      <c r="M1752" s="27" t="n">
        <f aca="false">IF(K1752&gt;0,1,0)</f>
        <v>1</v>
      </c>
      <c r="N1752" s="11" t="n">
        <f aca="false">SUMIFS(K$2:K1752,A$2:A1752,A1752,B$2:B1752,B1752)</f>
        <v>2728941</v>
      </c>
      <c r="O1752" s="11" t="n">
        <f aca="false">MAX(0,_xlfn.MAXIFS(N$2:N1752,A$2:A1752,A1752,B$2:B1752,B1752))</f>
        <v>4152979</v>
      </c>
      <c r="P1752" s="11" t="n">
        <f aca="false">N1752-O1752</f>
        <v>-1424038</v>
      </c>
    </row>
    <row r="1753" customFormat="false" ht="15" hidden="false" customHeight="false" outlineLevel="0" collapsed="false">
      <c r="A1753" s="8" t="s">
        <v>45</v>
      </c>
      <c r="B1753" s="8" t="s">
        <v>41</v>
      </c>
      <c r="C1753" s="8" t="s">
        <v>62</v>
      </c>
      <c r="D1753" s="21" t="n">
        <v>46167.9722222222</v>
      </c>
      <c r="E1753" s="21" t="n">
        <v>46168.6701388889</v>
      </c>
      <c r="F1753" s="22" t="n">
        <f aca="false">DATE(YEAR(E1753),MONTH(E1753),1)</f>
        <v>46143</v>
      </c>
      <c r="G1753" s="23" t="n">
        <v>163308</v>
      </c>
      <c r="H1753" s="8" t="s">
        <v>61</v>
      </c>
      <c r="I1753" s="24" t="n">
        <v>672.26</v>
      </c>
      <c r="J1753" s="25" t="n">
        <f aca="false">Summary!$B$4</f>
        <v>1</v>
      </c>
      <c r="K1753" s="11" t="n">
        <f aca="false">I1753*J1753*IF(A1753="SILVER",Summary!$B$5,Summary!$B$6)</f>
        <v>67226</v>
      </c>
      <c r="L1753" s="26" t="n">
        <v>1.821</v>
      </c>
      <c r="M1753" s="27" t="n">
        <f aca="false">IF(K1753&gt;0,1,0)</f>
        <v>1</v>
      </c>
      <c r="N1753" s="11" t="n">
        <f aca="false">SUMIFS(K$2:K1753,A$2:A1753,A1753,B$2:B1753,B1753)</f>
        <v>2796167</v>
      </c>
      <c r="O1753" s="11" t="n">
        <f aca="false">MAX(0,_xlfn.MAXIFS(N$2:N1753,A$2:A1753,A1753,B$2:B1753,B1753))</f>
        <v>4152979</v>
      </c>
      <c r="P1753" s="11" t="n">
        <f aca="false">N1753-O1753</f>
        <v>-1356812</v>
      </c>
    </row>
    <row r="1754" customFormat="false" ht="15" hidden="false" customHeight="false" outlineLevel="0" collapsed="false">
      <c r="A1754" s="8" t="s">
        <v>45</v>
      </c>
      <c r="B1754" s="8" t="s">
        <v>41</v>
      </c>
      <c r="C1754" s="8" t="s">
        <v>62</v>
      </c>
      <c r="D1754" s="21" t="n">
        <v>46168.8694444444</v>
      </c>
      <c r="E1754" s="21" t="n">
        <v>46170.7847222222</v>
      </c>
      <c r="F1754" s="22" t="n">
        <f aca="false">DATE(YEAR(E1754),MONTH(E1754),1)</f>
        <v>46143</v>
      </c>
      <c r="G1754" s="23" t="n">
        <v>161917</v>
      </c>
      <c r="H1754" s="8" t="s">
        <v>61</v>
      </c>
      <c r="I1754" s="24" t="n">
        <v>2919.76</v>
      </c>
      <c r="J1754" s="25" t="n">
        <f aca="false">Summary!$B$4</f>
        <v>1</v>
      </c>
      <c r="K1754" s="11" t="n">
        <f aca="false">I1754*J1754*IF(A1754="SILVER",Summary!$B$5,Summary!$B$6)</f>
        <v>291976</v>
      </c>
      <c r="L1754" s="26" t="n">
        <v>5.296</v>
      </c>
      <c r="M1754" s="27" t="n">
        <f aca="false">IF(K1754&gt;0,1,0)</f>
        <v>1</v>
      </c>
      <c r="N1754" s="11" t="n">
        <f aca="false">SUMIFS(K$2:K1754,A$2:A1754,A1754,B$2:B1754,B1754)</f>
        <v>3088143</v>
      </c>
      <c r="O1754" s="11" t="n">
        <f aca="false">MAX(0,_xlfn.MAXIFS(N$2:N1754,A$2:A1754,A1754,B$2:B1754,B1754))</f>
        <v>4152979</v>
      </c>
      <c r="P1754" s="11" t="n">
        <f aca="false">N1754-O1754</f>
        <v>-1064836</v>
      </c>
    </row>
    <row r="1755" customFormat="false" ht="15" hidden="false" customHeight="false" outlineLevel="0" collapsed="false">
      <c r="A1755" s="8" t="s">
        <v>45</v>
      </c>
      <c r="B1755" s="8" t="s">
        <v>41</v>
      </c>
      <c r="C1755" s="8" t="s">
        <v>62</v>
      </c>
      <c r="D1755" s="21" t="n">
        <v>46171.5763888889</v>
      </c>
      <c r="E1755" s="21" t="n">
        <v>46171.8097222222</v>
      </c>
      <c r="F1755" s="22" t="n">
        <f aca="false">DATE(YEAR(E1755),MONTH(E1755),1)</f>
        <v>46143</v>
      </c>
      <c r="G1755" s="23" t="n">
        <v>160340</v>
      </c>
      <c r="H1755" s="8" t="s">
        <v>64</v>
      </c>
      <c r="I1755" s="24" t="n">
        <v>46.63</v>
      </c>
      <c r="J1755" s="25" t="n">
        <f aca="false">Summary!$B$4</f>
        <v>1</v>
      </c>
      <c r="K1755" s="11" t="n">
        <f aca="false">I1755*J1755*IF(A1755="SILVER",Summary!$B$5,Summary!$B$6)</f>
        <v>4663</v>
      </c>
      <c r="L1755" s="26" t="n">
        <v>0.053</v>
      </c>
      <c r="M1755" s="27" t="n">
        <f aca="false">IF(K1755&gt;0,1,0)</f>
        <v>1</v>
      </c>
      <c r="N1755" s="11" t="n">
        <f aca="false">SUMIFS(K$2:K1755,A$2:A1755,A1755,B$2:B1755,B1755)</f>
        <v>3092806</v>
      </c>
      <c r="O1755" s="11" t="n">
        <f aca="false">MAX(0,_xlfn.MAXIFS(N$2:N1755,A$2:A1755,A1755,B$2:B1755,B1755))</f>
        <v>4152979</v>
      </c>
      <c r="P1755" s="11" t="n">
        <f aca="false">N1755-O1755</f>
        <v>-1060173</v>
      </c>
    </row>
    <row r="1756" customFormat="false" ht="15" hidden="false" customHeight="false" outlineLevel="0" collapsed="false">
      <c r="A1756" s="8" t="s">
        <v>45</v>
      </c>
      <c r="B1756" s="8" t="s">
        <v>41</v>
      </c>
      <c r="C1756" s="8" t="s">
        <v>62</v>
      </c>
      <c r="D1756" s="21" t="n">
        <v>46174.3784722222</v>
      </c>
      <c r="E1756" s="21" t="n">
        <v>46174.9756944445</v>
      </c>
      <c r="F1756" s="22" t="n">
        <f aca="false">DATE(YEAR(E1756),MONTH(E1756),1)</f>
        <v>46174</v>
      </c>
      <c r="G1756" s="23" t="n">
        <v>158905</v>
      </c>
      <c r="H1756" s="8" t="s">
        <v>61</v>
      </c>
      <c r="I1756" s="24" t="n">
        <v>81.09</v>
      </c>
      <c r="J1756" s="25" t="n">
        <f aca="false">Summary!$B$4</f>
        <v>1</v>
      </c>
      <c r="K1756" s="11" t="n">
        <f aca="false">I1756*J1756*IF(A1756="SILVER",Summary!$B$5,Summary!$B$6)</f>
        <v>8109</v>
      </c>
      <c r="L1756" s="26" t="n">
        <v>0.044</v>
      </c>
      <c r="M1756" s="27" t="n">
        <f aca="false">IF(K1756&gt;0,1,0)</f>
        <v>1</v>
      </c>
      <c r="N1756" s="11" t="n">
        <f aca="false">SUMIFS(K$2:K1756,A$2:A1756,A1756,B$2:B1756,B1756)</f>
        <v>3100915</v>
      </c>
      <c r="O1756" s="11" t="n">
        <f aca="false">MAX(0,_xlfn.MAXIFS(N$2:N1756,A$2:A1756,A1756,B$2:B1756,B1756))</f>
        <v>4152979</v>
      </c>
      <c r="P1756" s="11" t="n">
        <f aca="false">N1756-O1756</f>
        <v>-1052064</v>
      </c>
    </row>
    <row r="1757" customFormat="false" ht="15" hidden="false" customHeight="false" outlineLevel="0" collapsed="false">
      <c r="A1757" s="8" t="s">
        <v>45</v>
      </c>
      <c r="B1757" s="8" t="s">
        <v>41</v>
      </c>
      <c r="C1757" s="8" t="s">
        <v>62</v>
      </c>
      <c r="D1757" s="21" t="n">
        <v>46176.3958333333</v>
      </c>
      <c r="E1757" s="21" t="n">
        <v>46176.6694444444</v>
      </c>
      <c r="F1757" s="22" t="n">
        <f aca="false">DATE(YEAR(E1757),MONTH(E1757),1)</f>
        <v>46174</v>
      </c>
      <c r="G1757" s="23" t="n">
        <v>159032</v>
      </c>
      <c r="H1757" s="8" t="s">
        <v>64</v>
      </c>
      <c r="I1757" s="24" t="n">
        <v>-53.95</v>
      </c>
      <c r="J1757" s="25" t="n">
        <f aca="false">Summary!$B$4</f>
        <v>1</v>
      </c>
      <c r="K1757" s="11" t="n">
        <f aca="false">I1757*J1757*IF(A1757="SILVER",Summary!$B$5,Summary!$B$6)</f>
        <v>-5395</v>
      </c>
      <c r="L1757" s="26" t="n">
        <v>-0.05</v>
      </c>
      <c r="M1757" s="27" t="n">
        <f aca="false">IF(K1757&gt;0,1,0)</f>
        <v>0</v>
      </c>
      <c r="N1757" s="11" t="n">
        <f aca="false">SUMIFS(K$2:K1757,A$2:A1757,A1757,B$2:B1757,B1757)</f>
        <v>3095520</v>
      </c>
      <c r="O1757" s="11" t="n">
        <f aca="false">MAX(0,_xlfn.MAXIFS(N$2:N1757,A$2:A1757,A1757,B$2:B1757,B1757))</f>
        <v>4152979</v>
      </c>
      <c r="P1757" s="11" t="n">
        <f aca="false">N1757-O1757</f>
        <v>-1057459</v>
      </c>
    </row>
    <row r="1758" customFormat="false" ht="15" hidden="false" customHeight="false" outlineLevel="0" collapsed="false">
      <c r="A1758" s="8" t="s">
        <v>45</v>
      </c>
      <c r="B1758" s="8" t="s">
        <v>41</v>
      </c>
      <c r="C1758" s="8" t="s">
        <v>62</v>
      </c>
      <c r="D1758" s="21" t="n">
        <v>46178.4027777778</v>
      </c>
      <c r="E1758" s="21" t="n">
        <v>46181.6979166667</v>
      </c>
      <c r="F1758" s="22" t="n">
        <f aca="false">DATE(YEAR(E1758),MONTH(E1758),1)</f>
        <v>46174</v>
      </c>
      <c r="G1758" s="23" t="n">
        <v>158830</v>
      </c>
      <c r="H1758" s="8" t="s">
        <v>61</v>
      </c>
      <c r="I1758" s="24" t="n">
        <v>1759.25</v>
      </c>
      <c r="J1758" s="25" t="n">
        <f aca="false">Summary!$B$4</f>
        <v>1</v>
      </c>
      <c r="K1758" s="11" t="n">
        <f aca="false">I1758*J1758*IF(A1758="SILVER",Summary!$B$5,Summary!$B$6)</f>
        <v>175925</v>
      </c>
      <c r="L1758" s="26" t="n">
        <v>1.124</v>
      </c>
      <c r="M1758" s="27" t="n">
        <f aca="false">IF(K1758&gt;0,1,0)</f>
        <v>1</v>
      </c>
      <c r="N1758" s="11" t="n">
        <f aca="false">SUMIFS(K$2:K1758,A$2:A1758,A1758,B$2:B1758,B1758)</f>
        <v>3271445</v>
      </c>
      <c r="O1758" s="11" t="n">
        <f aca="false">MAX(0,_xlfn.MAXIFS(N$2:N1758,A$2:A1758,A1758,B$2:B1758,B1758))</f>
        <v>4152979</v>
      </c>
      <c r="P1758" s="11" t="n">
        <f aca="false">N1758-O1758</f>
        <v>-881534</v>
      </c>
    </row>
    <row r="1759" customFormat="false" ht="15" hidden="false" customHeight="false" outlineLevel="0" collapsed="false">
      <c r="A1759" s="8" t="s">
        <v>45</v>
      </c>
      <c r="B1759" s="8" t="s">
        <v>41</v>
      </c>
      <c r="C1759" s="8" t="s">
        <v>62</v>
      </c>
      <c r="D1759" s="21" t="n">
        <v>46182.5659722222</v>
      </c>
      <c r="E1759" s="21" t="n">
        <v>46182.8055555556</v>
      </c>
      <c r="F1759" s="22" t="n">
        <f aca="false">DATE(YEAR(E1759),MONTH(E1759),1)</f>
        <v>46174</v>
      </c>
      <c r="G1759" s="23" t="n">
        <v>157179</v>
      </c>
      <c r="H1759" s="8" t="s">
        <v>61</v>
      </c>
      <c r="I1759" s="24" t="n">
        <v>-552.97</v>
      </c>
      <c r="J1759" s="25" t="n">
        <f aca="false">Summary!$B$4</f>
        <v>1</v>
      </c>
      <c r="K1759" s="11" t="n">
        <f aca="false">I1759*J1759*IF(A1759="SILVER",Summary!$B$5,Summary!$B$6)</f>
        <v>-55297</v>
      </c>
      <c r="L1759" s="26" t="n">
        <v>-0.712</v>
      </c>
      <c r="M1759" s="27" t="n">
        <f aca="false">IF(K1759&gt;0,1,0)</f>
        <v>0</v>
      </c>
      <c r="N1759" s="11" t="n">
        <f aca="false">SUMIFS(K$2:K1759,A$2:A1759,A1759,B$2:B1759,B1759)</f>
        <v>3216148</v>
      </c>
      <c r="O1759" s="11" t="n">
        <f aca="false">MAX(0,_xlfn.MAXIFS(N$2:N1759,A$2:A1759,A1759,B$2:B1759,B1759))</f>
        <v>4152979</v>
      </c>
      <c r="P1759" s="11" t="n">
        <f aca="false">N1759-O1759</f>
        <v>-936831</v>
      </c>
    </row>
    <row r="1760" customFormat="false" ht="15" hidden="false" customHeight="false" outlineLevel="0" collapsed="false">
      <c r="A1760" s="8" t="s">
        <v>45</v>
      </c>
      <c r="B1760" s="8" t="s">
        <v>41</v>
      </c>
      <c r="C1760" s="8" t="s">
        <v>62</v>
      </c>
      <c r="D1760" s="21" t="n">
        <v>46182.8263888889</v>
      </c>
      <c r="E1760" s="21" t="n">
        <v>46183.8020833333</v>
      </c>
      <c r="F1760" s="22" t="n">
        <f aca="false">DATE(YEAR(E1760),MONTH(E1760),1)</f>
        <v>46174</v>
      </c>
      <c r="G1760" s="23" t="n">
        <v>156629</v>
      </c>
      <c r="H1760" s="8" t="s">
        <v>61</v>
      </c>
      <c r="I1760" s="24" t="n">
        <v>4170.63</v>
      </c>
      <c r="J1760" s="25" t="n">
        <f aca="false">Summary!$B$4</f>
        <v>1</v>
      </c>
      <c r="K1760" s="11" t="n">
        <f aca="false">I1760*J1760*IF(A1760="SILVER",Summary!$B$5,Summary!$B$6)</f>
        <v>417063</v>
      </c>
      <c r="L1760" s="26" t="n">
        <v>3.207</v>
      </c>
      <c r="M1760" s="27" t="n">
        <f aca="false">IF(K1760&gt;0,1,0)</f>
        <v>1</v>
      </c>
      <c r="N1760" s="11" t="n">
        <f aca="false">SUMIFS(K$2:K1760,A$2:A1760,A1760,B$2:B1760,B1760)</f>
        <v>3633211</v>
      </c>
      <c r="O1760" s="11" t="n">
        <f aca="false">MAX(0,_xlfn.MAXIFS(N$2:N1760,A$2:A1760,A1760,B$2:B1760,B1760))</f>
        <v>4152979</v>
      </c>
      <c r="P1760" s="11" t="n">
        <f aca="false">N1760-O1760</f>
        <v>-519768</v>
      </c>
    </row>
    <row r="1761" customFormat="false" ht="15" hidden="false" customHeight="false" outlineLevel="0" collapsed="false">
      <c r="A1761" s="8" t="s">
        <v>45</v>
      </c>
      <c r="B1761" s="8" t="s">
        <v>41</v>
      </c>
      <c r="C1761" s="8" t="s">
        <v>62</v>
      </c>
      <c r="D1761" s="21" t="n">
        <v>46183.8680555556</v>
      </c>
      <c r="E1761" s="21" t="n">
        <v>46184.4701388889</v>
      </c>
      <c r="F1761" s="22" t="n">
        <f aca="false">DATE(YEAR(E1761),MONTH(E1761),1)</f>
        <v>46174</v>
      </c>
      <c r="G1761" s="23" t="n">
        <v>150784</v>
      </c>
      <c r="H1761" s="8" t="s">
        <v>64</v>
      </c>
      <c r="I1761" s="24" t="n">
        <v>140.29</v>
      </c>
      <c r="J1761" s="25" t="n">
        <f aca="false">Summary!$B$4</f>
        <v>1</v>
      </c>
      <c r="K1761" s="11" t="n">
        <f aca="false">I1761*J1761*IF(A1761="SILVER",Summary!$B$5,Summary!$B$6)</f>
        <v>14029</v>
      </c>
      <c r="L1761" s="26" t="n">
        <v>0.078</v>
      </c>
      <c r="M1761" s="27" t="n">
        <f aca="false">IF(K1761&gt;0,1,0)</f>
        <v>1</v>
      </c>
      <c r="N1761" s="11" t="n">
        <f aca="false">SUMIFS(K$2:K1761,A$2:A1761,A1761,B$2:B1761,B1761)</f>
        <v>3647240</v>
      </c>
      <c r="O1761" s="11" t="n">
        <f aca="false">MAX(0,_xlfn.MAXIFS(N$2:N1761,A$2:A1761,A1761,B$2:B1761,B1761))</f>
        <v>4152979</v>
      </c>
      <c r="P1761" s="11" t="n">
        <f aca="false">N1761-O1761</f>
        <v>-505739</v>
      </c>
    </row>
    <row r="1762" customFormat="false" ht="15" hidden="false" customHeight="false" outlineLevel="0" collapsed="false">
      <c r="A1762" s="8" t="s">
        <v>45</v>
      </c>
      <c r="B1762" s="8" t="s">
        <v>41</v>
      </c>
      <c r="C1762" s="8" t="s">
        <v>62</v>
      </c>
      <c r="D1762" s="21" t="n">
        <v>46185.8125</v>
      </c>
      <c r="E1762" s="21" t="n">
        <v>46185.8715277778</v>
      </c>
      <c r="F1762" s="22" t="n">
        <f aca="false">DATE(YEAR(E1762),MONTH(E1762),1)</f>
        <v>46174</v>
      </c>
      <c r="G1762" s="23" t="n">
        <v>152399</v>
      </c>
      <c r="H1762" s="8" t="s">
        <v>61</v>
      </c>
      <c r="I1762" s="24" t="n">
        <v>-1145.06</v>
      </c>
      <c r="J1762" s="25" t="n">
        <f aca="false">Summary!$B$4</f>
        <v>1</v>
      </c>
      <c r="K1762" s="11" t="n">
        <f aca="false">I1762*J1762*IF(A1762="SILVER",Summary!$B$5,Summary!$B$6)</f>
        <v>-114506</v>
      </c>
      <c r="L1762" s="26" t="n">
        <v>-1.198</v>
      </c>
      <c r="M1762" s="27" t="n">
        <f aca="false">IF(K1762&gt;0,1,0)</f>
        <v>0</v>
      </c>
      <c r="N1762" s="11" t="n">
        <f aca="false">SUMIFS(K$2:K1762,A$2:A1762,A1762,B$2:B1762,B1762)</f>
        <v>3532734</v>
      </c>
      <c r="O1762" s="11" t="n">
        <f aca="false">MAX(0,_xlfn.MAXIFS(N$2:N1762,A$2:A1762,A1762,B$2:B1762,B1762))</f>
        <v>4152979</v>
      </c>
      <c r="P1762" s="11" t="n">
        <f aca="false">N1762-O1762</f>
        <v>-620245</v>
      </c>
    </row>
    <row r="1763" customFormat="false" ht="15" hidden="false" customHeight="false" outlineLevel="0" collapsed="false">
      <c r="A1763" s="8" t="s">
        <v>45</v>
      </c>
      <c r="B1763" s="8" t="s">
        <v>41</v>
      </c>
      <c r="C1763" s="8" t="s">
        <v>62</v>
      </c>
      <c r="D1763" s="21" t="n">
        <v>46188.9513888889</v>
      </c>
      <c r="E1763" s="21" t="n">
        <v>46189.5486111111</v>
      </c>
      <c r="F1763" s="22" t="n">
        <f aca="false">DATE(YEAR(E1763),MONTH(E1763),1)</f>
        <v>46174</v>
      </c>
      <c r="G1763" s="23" t="n">
        <v>155688</v>
      </c>
      <c r="H1763" s="8" t="s">
        <v>64</v>
      </c>
      <c r="I1763" s="24" t="n">
        <v>27.25</v>
      </c>
      <c r="J1763" s="25" t="n">
        <f aca="false">Summary!$B$4</f>
        <v>1</v>
      </c>
      <c r="K1763" s="11" t="n">
        <f aca="false">I1763*J1763*IF(A1763="SILVER",Summary!$B$5,Summary!$B$6)</f>
        <v>2725</v>
      </c>
      <c r="L1763" s="26" t="n">
        <v>0.04</v>
      </c>
      <c r="M1763" s="27" t="n">
        <f aca="false">IF(K1763&gt;0,1,0)</f>
        <v>1</v>
      </c>
      <c r="N1763" s="11" t="n">
        <f aca="false">SUMIFS(K$2:K1763,A$2:A1763,A1763,B$2:B1763,B1763)</f>
        <v>3535459</v>
      </c>
      <c r="O1763" s="11" t="n">
        <f aca="false">MAX(0,_xlfn.MAXIFS(N$2:N1763,A$2:A1763,A1763,B$2:B1763,B1763))</f>
        <v>4152979</v>
      </c>
      <c r="P1763" s="11" t="n">
        <f aca="false">N1763-O1763</f>
        <v>-617520</v>
      </c>
    </row>
    <row r="1764" customFormat="false" ht="15" hidden="false" customHeight="false" outlineLevel="0" collapsed="false">
      <c r="A1764" s="8" t="s">
        <v>45</v>
      </c>
      <c r="B1764" s="8" t="s">
        <v>41</v>
      </c>
      <c r="C1764" s="8" t="s">
        <v>62</v>
      </c>
      <c r="D1764" s="21" t="n">
        <v>46189.8125</v>
      </c>
      <c r="E1764" s="21" t="n">
        <v>46189.8916666667</v>
      </c>
      <c r="F1764" s="22" t="n">
        <f aca="false">DATE(YEAR(E1764),MONTH(E1764),1)</f>
        <v>46174</v>
      </c>
      <c r="G1764" s="23" t="n">
        <v>155571</v>
      </c>
      <c r="H1764" s="8" t="s">
        <v>64</v>
      </c>
      <c r="I1764" s="24" t="n">
        <v>16.41</v>
      </c>
      <c r="J1764" s="25" t="n">
        <f aca="false">Summary!$B$4</f>
        <v>1</v>
      </c>
      <c r="K1764" s="11" t="n">
        <f aca="false">I1764*J1764*IF(A1764="SILVER",Summary!$B$5,Summary!$B$6)</f>
        <v>1641</v>
      </c>
      <c r="L1764" s="26" t="n">
        <v>0.025</v>
      </c>
      <c r="M1764" s="27" t="n">
        <f aca="false">IF(K1764&gt;0,1,0)</f>
        <v>1</v>
      </c>
      <c r="N1764" s="11" t="n">
        <f aca="false">SUMIFS(K$2:K1764,A$2:A1764,A1764,B$2:B1764,B1764)</f>
        <v>3537100</v>
      </c>
      <c r="O1764" s="11" t="n">
        <f aca="false">MAX(0,_xlfn.MAXIFS(N$2:N1764,A$2:A1764,A1764,B$2:B1764,B1764))</f>
        <v>4152979</v>
      </c>
      <c r="P1764" s="11" t="n">
        <f aca="false">N1764-O1764</f>
        <v>-615879</v>
      </c>
    </row>
    <row r="1765" customFormat="false" ht="15" hidden="false" customHeight="false" outlineLevel="0" collapsed="false">
      <c r="A1765" s="8" t="s">
        <v>45</v>
      </c>
      <c r="B1765" s="8" t="s">
        <v>41</v>
      </c>
      <c r="C1765" s="8" t="s">
        <v>62</v>
      </c>
      <c r="D1765" s="21" t="n">
        <v>46190.4166666667</v>
      </c>
      <c r="E1765" s="21" t="n">
        <v>46190.8020833333</v>
      </c>
      <c r="F1765" s="22" t="n">
        <f aca="false">DATE(YEAR(E1765),MONTH(E1765),1)</f>
        <v>46174</v>
      </c>
      <c r="G1765" s="23" t="n">
        <v>155170</v>
      </c>
      <c r="H1765" s="8" t="s">
        <v>61</v>
      </c>
      <c r="I1765" s="24" t="n">
        <v>-451.54</v>
      </c>
      <c r="J1765" s="25" t="n">
        <f aca="false">Summary!$B$4</f>
        <v>1</v>
      </c>
      <c r="K1765" s="11" t="n">
        <f aca="false">I1765*J1765*IF(A1765="SILVER",Summary!$B$5,Summary!$B$6)</f>
        <v>-45154</v>
      </c>
      <c r="L1765" s="26" t="n">
        <v>-0.589</v>
      </c>
      <c r="M1765" s="27" t="n">
        <f aca="false">IF(K1765&gt;0,1,0)</f>
        <v>0</v>
      </c>
      <c r="N1765" s="11" t="n">
        <f aca="false">SUMIFS(K$2:K1765,A$2:A1765,A1765,B$2:B1765,B1765)</f>
        <v>3491946</v>
      </c>
      <c r="O1765" s="11" t="n">
        <f aca="false">MAX(0,_xlfn.MAXIFS(N$2:N1765,A$2:A1765,A1765,B$2:B1765,B1765))</f>
        <v>4152979</v>
      </c>
      <c r="P1765" s="11" t="n">
        <f aca="false">N1765-O1765</f>
        <v>-661033</v>
      </c>
    </row>
    <row r="1766" customFormat="false" ht="15" hidden="false" customHeight="false" outlineLevel="0" collapsed="false">
      <c r="A1766" s="8" t="s">
        <v>45</v>
      </c>
      <c r="B1766" s="8" t="s">
        <v>41</v>
      </c>
      <c r="C1766" s="8" t="s">
        <v>62</v>
      </c>
      <c r="D1766" s="21" t="n">
        <v>46191.3784722222</v>
      </c>
      <c r="E1766" s="21" t="n">
        <v>46192.5277777778</v>
      </c>
      <c r="F1766" s="22" t="n">
        <f aca="false">DATE(YEAR(E1766),MONTH(E1766),1)</f>
        <v>46174</v>
      </c>
      <c r="G1766" s="23" t="n">
        <v>155421</v>
      </c>
      <c r="H1766" s="8" t="s">
        <v>61</v>
      </c>
      <c r="I1766" s="24" t="n">
        <v>5455.99</v>
      </c>
      <c r="J1766" s="25" t="n">
        <f aca="false">Summary!$B$4</f>
        <v>1</v>
      </c>
      <c r="K1766" s="11" t="n">
        <f aca="false">I1766*J1766*IF(A1766="SILVER",Summary!$B$5,Summary!$B$6)</f>
        <v>545599</v>
      </c>
      <c r="L1766" s="26" t="n">
        <v>4.663</v>
      </c>
      <c r="M1766" s="27" t="n">
        <f aca="false">IF(K1766&gt;0,1,0)</f>
        <v>1</v>
      </c>
      <c r="N1766" s="11" t="n">
        <f aca="false">SUMIFS(K$2:K1766,A$2:A1766,A1766,B$2:B1766,B1766)</f>
        <v>4037545</v>
      </c>
      <c r="O1766" s="11" t="n">
        <f aca="false">MAX(0,_xlfn.MAXIFS(N$2:N1766,A$2:A1766,A1766,B$2:B1766,B1766))</f>
        <v>4152979</v>
      </c>
      <c r="P1766" s="11" t="n">
        <f aca="false">N1766-O1766</f>
        <v>-115434</v>
      </c>
    </row>
    <row r="1767" customFormat="false" ht="15" hidden="false" customHeight="false" outlineLevel="0" collapsed="false">
      <c r="A1767" s="8" t="s">
        <v>45</v>
      </c>
      <c r="B1767" s="8" t="s">
        <v>41</v>
      </c>
      <c r="C1767" s="8" t="s">
        <v>62</v>
      </c>
      <c r="D1767" s="21" t="n">
        <v>46192.6979166667</v>
      </c>
      <c r="E1767" s="21" t="n">
        <v>46192.7708333333</v>
      </c>
      <c r="F1767" s="22" t="n">
        <f aca="false">DATE(YEAR(E1767),MONTH(E1767),1)</f>
        <v>46174</v>
      </c>
      <c r="G1767" s="23" t="n">
        <v>149463</v>
      </c>
      <c r="H1767" s="8" t="s">
        <v>61</v>
      </c>
      <c r="I1767" s="24" t="n">
        <v>-1099.47</v>
      </c>
      <c r="J1767" s="25" t="n">
        <f aca="false">Summary!$B$4</f>
        <v>1</v>
      </c>
      <c r="K1767" s="11" t="n">
        <f aca="false">I1767*J1767*IF(A1767="SILVER",Summary!$B$5,Summary!$B$6)</f>
        <v>-109947</v>
      </c>
      <c r="L1767" s="26" t="n">
        <v>-1.156</v>
      </c>
      <c r="M1767" s="27" t="n">
        <f aca="false">IF(K1767&gt;0,1,0)</f>
        <v>0</v>
      </c>
      <c r="N1767" s="11" t="n">
        <f aca="false">SUMIFS(K$2:K1767,A$2:A1767,A1767,B$2:B1767,B1767)</f>
        <v>3927598</v>
      </c>
      <c r="O1767" s="11" t="n">
        <f aca="false">MAX(0,_xlfn.MAXIFS(N$2:N1767,A$2:A1767,A1767,B$2:B1767,B1767))</f>
        <v>4152979</v>
      </c>
      <c r="P1767" s="11" t="n">
        <f aca="false">N1767-O1767</f>
        <v>-225381</v>
      </c>
    </row>
    <row r="1768" customFormat="false" ht="15" hidden="false" customHeight="false" outlineLevel="0" collapsed="false">
      <c r="A1768" s="8" t="s">
        <v>45</v>
      </c>
      <c r="B1768" s="8" t="s">
        <v>41</v>
      </c>
      <c r="C1768" s="8" t="s">
        <v>62</v>
      </c>
      <c r="D1768" s="21" t="n">
        <v>46195.7916666667</v>
      </c>
      <c r="E1768" s="21" t="n">
        <v>46195.9361111111</v>
      </c>
      <c r="F1768" s="22" t="n">
        <f aca="false">DATE(YEAR(E1768),MONTH(E1768),1)</f>
        <v>46174</v>
      </c>
      <c r="G1768" s="23" t="n">
        <v>151109</v>
      </c>
      <c r="H1768" s="8" t="s">
        <v>64</v>
      </c>
      <c r="I1768" s="24" t="n">
        <v>32.34</v>
      </c>
      <c r="J1768" s="25" t="n">
        <f aca="false">Summary!$B$4</f>
        <v>1</v>
      </c>
      <c r="K1768" s="11" t="n">
        <f aca="false">I1768*J1768*IF(A1768="SILVER",Summary!$B$5,Summary!$B$6)</f>
        <v>3234</v>
      </c>
      <c r="L1768" s="26" t="n">
        <v>0.045</v>
      </c>
      <c r="M1768" s="27" t="n">
        <f aca="false">IF(K1768&gt;0,1,0)</f>
        <v>1</v>
      </c>
      <c r="N1768" s="11" t="n">
        <f aca="false">SUMIFS(K$2:K1768,A$2:A1768,A1768,B$2:B1768,B1768)</f>
        <v>3930832</v>
      </c>
      <c r="O1768" s="11" t="n">
        <f aca="false">MAX(0,_xlfn.MAXIFS(N$2:N1768,A$2:A1768,A1768,B$2:B1768,B1768))</f>
        <v>4152979</v>
      </c>
      <c r="P1768" s="11" t="n">
        <f aca="false">N1768-O1768</f>
        <v>-222147</v>
      </c>
    </row>
    <row r="1769" customFormat="false" ht="15" hidden="false" customHeight="false" outlineLevel="0" collapsed="false">
      <c r="A1769" s="8" t="s">
        <v>45</v>
      </c>
      <c r="B1769" s="8" t="s">
        <v>41</v>
      </c>
      <c r="C1769" s="8" t="s">
        <v>62</v>
      </c>
      <c r="D1769" s="21" t="n">
        <v>46197.3784722222</v>
      </c>
      <c r="E1769" s="21" t="n">
        <v>46197.4527777778</v>
      </c>
      <c r="F1769" s="22" t="n">
        <f aca="false">DATE(YEAR(E1769),MONTH(E1769),1)</f>
        <v>46174</v>
      </c>
      <c r="G1769" s="23" t="n">
        <v>147353</v>
      </c>
      <c r="H1769" s="8" t="s">
        <v>64</v>
      </c>
      <c r="I1769" s="24" t="n">
        <v>80.63</v>
      </c>
      <c r="J1769" s="25" t="n">
        <f aca="false">Summary!$B$4</f>
        <v>1</v>
      </c>
      <c r="K1769" s="11" t="n">
        <f aca="false">I1769*J1769*IF(A1769="SILVER",Summary!$B$5,Summary!$B$6)</f>
        <v>8063</v>
      </c>
      <c r="L1769" s="26" t="n">
        <v>0.067</v>
      </c>
      <c r="M1769" s="27" t="n">
        <f aca="false">IF(K1769&gt;0,1,0)</f>
        <v>1</v>
      </c>
      <c r="N1769" s="11" t="n">
        <f aca="false">SUMIFS(K$2:K1769,A$2:A1769,A1769,B$2:B1769,B1769)</f>
        <v>3938895</v>
      </c>
      <c r="O1769" s="11" t="n">
        <f aca="false">MAX(0,_xlfn.MAXIFS(N$2:N1769,A$2:A1769,A1769,B$2:B1769,B1769))</f>
        <v>4152979</v>
      </c>
      <c r="P1769" s="11" t="n">
        <f aca="false">N1769-O1769</f>
        <v>-214084</v>
      </c>
    </row>
    <row r="1770" customFormat="false" ht="15" hidden="false" customHeight="false" outlineLevel="0" collapsed="false">
      <c r="A1770" s="8" t="s">
        <v>45</v>
      </c>
      <c r="B1770" s="8" t="s">
        <v>41</v>
      </c>
      <c r="C1770" s="8" t="s">
        <v>62</v>
      </c>
      <c r="D1770" s="21" t="n">
        <v>46197.6909722222</v>
      </c>
      <c r="E1770" s="21" t="n">
        <v>46197.8125</v>
      </c>
      <c r="F1770" s="22" t="n">
        <f aca="false">DATE(YEAR(E1770),MONTH(E1770),1)</f>
        <v>46174</v>
      </c>
      <c r="G1770" s="23" t="n">
        <v>146777</v>
      </c>
      <c r="H1770" s="8" t="s">
        <v>61</v>
      </c>
      <c r="I1770" s="24" t="n">
        <v>863.26</v>
      </c>
      <c r="J1770" s="25" t="n">
        <f aca="false">Summary!$B$4</f>
        <v>1</v>
      </c>
      <c r="K1770" s="11" t="n">
        <f aca="false">I1770*J1770*IF(A1770="SILVER",Summary!$B$5,Summary!$B$6)</f>
        <v>86326</v>
      </c>
      <c r="L1770" s="26" t="n">
        <v>1.023</v>
      </c>
      <c r="M1770" s="27" t="n">
        <f aca="false">IF(K1770&gt;0,1,0)</f>
        <v>1</v>
      </c>
      <c r="N1770" s="11" t="n">
        <f aca="false">SUMIFS(K$2:K1770,A$2:A1770,A1770,B$2:B1770,B1770)</f>
        <v>4025221</v>
      </c>
      <c r="O1770" s="11" t="n">
        <f aca="false">MAX(0,_xlfn.MAXIFS(N$2:N1770,A$2:A1770,A1770,B$2:B1770,B1770))</f>
        <v>4152979</v>
      </c>
      <c r="P1770" s="11" t="n">
        <f aca="false">N1770-O1770</f>
        <v>-127758</v>
      </c>
    </row>
    <row r="1771" customFormat="false" ht="15" hidden="false" customHeight="false" outlineLevel="0" collapsed="false">
      <c r="A1771" s="8" t="s">
        <v>45</v>
      </c>
      <c r="B1771" s="8" t="s">
        <v>41</v>
      </c>
      <c r="C1771" s="8" t="s">
        <v>62</v>
      </c>
      <c r="D1771" s="21" t="n">
        <v>46198.3819444445</v>
      </c>
      <c r="E1771" s="21" t="n">
        <v>46198.5763888889</v>
      </c>
      <c r="F1771" s="22" t="n">
        <f aca="false">DATE(YEAR(E1771),MONTH(E1771),1)</f>
        <v>46174</v>
      </c>
      <c r="G1771" s="23" t="n">
        <v>143304</v>
      </c>
      <c r="H1771" s="8" t="s">
        <v>61</v>
      </c>
      <c r="I1771" s="24" t="n">
        <v>-1467.28</v>
      </c>
      <c r="J1771" s="25" t="n">
        <f aca="false">Summary!$B$4</f>
        <v>1</v>
      </c>
      <c r="K1771" s="11" t="n">
        <f aca="false">I1771*J1771*IF(A1771="SILVER",Summary!$B$5,Summary!$B$6)</f>
        <v>-146728</v>
      </c>
      <c r="L1771" s="26" t="n">
        <v>-1.036</v>
      </c>
      <c r="M1771" s="27" t="n">
        <f aca="false">IF(K1771&gt;0,1,0)</f>
        <v>0</v>
      </c>
      <c r="N1771" s="11" t="n">
        <f aca="false">SUMIFS(K$2:K1771,A$2:A1771,A1771,B$2:B1771,B1771)</f>
        <v>3878493</v>
      </c>
      <c r="O1771" s="11" t="n">
        <f aca="false">MAX(0,_xlfn.MAXIFS(N$2:N1771,A$2:A1771,A1771,B$2:B1771,B1771))</f>
        <v>4152979</v>
      </c>
      <c r="P1771" s="11" t="n">
        <f aca="false">N1771-O1771</f>
        <v>-274486</v>
      </c>
    </row>
    <row r="1772" customFormat="false" ht="15" hidden="false" customHeight="false" outlineLevel="0" collapsed="false">
      <c r="A1772" s="8" t="s">
        <v>45</v>
      </c>
      <c r="B1772" s="8" t="s">
        <v>41</v>
      </c>
      <c r="C1772" s="8" t="s">
        <v>62</v>
      </c>
      <c r="D1772" s="21" t="n">
        <v>46198.7083333333</v>
      </c>
      <c r="E1772" s="21" t="n">
        <v>46198.7638888889</v>
      </c>
      <c r="F1772" s="22" t="n">
        <f aca="false">DATE(YEAR(E1772),MONTH(E1772),1)</f>
        <v>46174</v>
      </c>
      <c r="G1772" s="23" t="n">
        <v>143921</v>
      </c>
      <c r="H1772" s="8" t="s">
        <v>61</v>
      </c>
      <c r="I1772" s="24" t="n">
        <v>-1250.38</v>
      </c>
      <c r="J1772" s="25" t="n">
        <f aca="false">Summary!$B$4</f>
        <v>1</v>
      </c>
      <c r="K1772" s="11" t="n">
        <f aca="false">I1772*J1772*IF(A1772="SILVER",Summary!$B$5,Summary!$B$6)</f>
        <v>-125038</v>
      </c>
      <c r="L1772" s="26" t="n">
        <v>-1.355</v>
      </c>
      <c r="M1772" s="27" t="n">
        <f aca="false">IF(K1772&gt;0,1,0)</f>
        <v>0</v>
      </c>
      <c r="N1772" s="11" t="n">
        <f aca="false">SUMIFS(K$2:K1772,A$2:A1772,A1772,B$2:B1772,B1772)</f>
        <v>3753455</v>
      </c>
      <c r="O1772" s="11" t="n">
        <f aca="false">MAX(0,_xlfn.MAXIFS(N$2:N1772,A$2:A1772,A1772,B$2:B1772,B1772))</f>
        <v>4152979</v>
      </c>
      <c r="P1772" s="11" t="n">
        <f aca="false">N1772-O1772</f>
        <v>-399524</v>
      </c>
    </row>
    <row r="1773" customFormat="false" ht="15" hidden="false" customHeight="false" outlineLevel="0" collapsed="false">
      <c r="A1773" s="8" t="s">
        <v>45</v>
      </c>
      <c r="B1773" s="8" t="s">
        <v>41</v>
      </c>
      <c r="C1773" s="8" t="s">
        <v>62</v>
      </c>
      <c r="D1773" s="21" t="n">
        <v>46202.3819444445</v>
      </c>
      <c r="E1773" s="21" t="n">
        <v>46202.4993055556</v>
      </c>
      <c r="F1773" s="22" t="n">
        <f aca="false">DATE(YEAR(E1773),MONTH(E1773),1)</f>
        <v>46174</v>
      </c>
      <c r="G1773" s="23" t="n">
        <v>146132</v>
      </c>
      <c r="H1773" s="8" t="s">
        <v>64</v>
      </c>
      <c r="I1773" s="24" t="n">
        <v>81.71</v>
      </c>
      <c r="J1773" s="25" t="n">
        <f aca="false">Summary!$B$4</f>
        <v>1</v>
      </c>
      <c r="K1773" s="11" t="n">
        <f aca="false">I1773*J1773*IF(A1773="SILVER",Summary!$B$5,Summary!$B$6)</f>
        <v>8171</v>
      </c>
      <c r="L1773" s="26" t="n">
        <v>0.068</v>
      </c>
      <c r="M1773" s="27" t="n">
        <f aca="false">IF(K1773&gt;0,1,0)</f>
        <v>1</v>
      </c>
      <c r="N1773" s="11" t="n">
        <f aca="false">SUMIFS(K$2:K1773,A$2:A1773,A1773,B$2:B1773,B1773)</f>
        <v>3761626</v>
      </c>
      <c r="O1773" s="11" t="n">
        <f aca="false">MAX(0,_xlfn.MAXIFS(N$2:N1773,A$2:A1773,A1773,B$2:B1773,B1773))</f>
        <v>4152979</v>
      </c>
      <c r="P1773" s="11" t="n">
        <f aca="false">N1773-O1773</f>
        <v>-391353</v>
      </c>
    </row>
    <row r="1774" customFormat="false" ht="15" hidden="false" customHeight="false" outlineLevel="0" collapsed="false">
      <c r="A1774" s="8" t="s">
        <v>45</v>
      </c>
      <c r="B1774" s="8" t="s">
        <v>41</v>
      </c>
      <c r="C1774" s="8" t="s">
        <v>62</v>
      </c>
      <c r="D1774" s="21" t="n">
        <v>46203.7708333333</v>
      </c>
      <c r="E1774" s="21" t="n">
        <v>46203.8229166667</v>
      </c>
      <c r="F1774" s="22" t="n">
        <f aca="false">DATE(YEAR(E1774),MONTH(E1774),1)</f>
        <v>46174</v>
      </c>
      <c r="G1774" s="23" t="n">
        <v>144638</v>
      </c>
      <c r="H1774" s="8" t="s">
        <v>61</v>
      </c>
      <c r="I1774" s="24" t="n">
        <v>-1078.5</v>
      </c>
      <c r="J1774" s="25" t="n">
        <f aca="false">Summary!$B$4</f>
        <v>1</v>
      </c>
      <c r="K1774" s="11" t="n">
        <f aca="false">I1774*J1774*IF(A1774="SILVER",Summary!$B$5,Summary!$B$6)</f>
        <v>-107850</v>
      </c>
      <c r="L1774" s="26" t="n">
        <v>-1.172</v>
      </c>
      <c r="M1774" s="27" t="n">
        <f aca="false">IF(K1774&gt;0,1,0)</f>
        <v>0</v>
      </c>
      <c r="N1774" s="11" t="n">
        <f aca="false">SUMIFS(K$2:K1774,A$2:A1774,A1774,B$2:B1774,B1774)</f>
        <v>3653776</v>
      </c>
      <c r="O1774" s="11" t="n">
        <f aca="false">MAX(0,_xlfn.MAXIFS(N$2:N1774,A$2:A1774,A1774,B$2:B1774,B1774))</f>
        <v>4152979</v>
      </c>
      <c r="P1774" s="11" t="n">
        <f aca="false">N1774-O1774</f>
        <v>-499203</v>
      </c>
    </row>
    <row r="1775" customFormat="false" ht="15" hidden="false" customHeight="false" outlineLevel="0" collapsed="false">
      <c r="A1775" s="8" t="s">
        <v>45</v>
      </c>
      <c r="B1775" s="8" t="s">
        <v>41</v>
      </c>
      <c r="C1775" s="8" t="s">
        <v>62</v>
      </c>
      <c r="D1775" s="21" t="n">
        <v>46203.9444444445</v>
      </c>
      <c r="E1775" s="21" t="n">
        <v>46204.5763888889</v>
      </c>
      <c r="F1775" s="22" t="n">
        <f aca="false">DATE(YEAR(E1775),MONTH(E1775),1)</f>
        <v>46204</v>
      </c>
      <c r="G1775" s="23" t="n">
        <v>144847</v>
      </c>
      <c r="H1775" s="8" t="s">
        <v>61</v>
      </c>
      <c r="I1775" s="24" t="n">
        <v>649.63</v>
      </c>
      <c r="J1775" s="25" t="n">
        <f aca="false">Summary!$B$4</f>
        <v>1</v>
      </c>
      <c r="K1775" s="11" t="n">
        <f aca="false">I1775*J1775*IF(A1775="SILVER",Summary!$B$5,Summary!$B$6)</f>
        <v>64963</v>
      </c>
      <c r="L1775" s="26" t="n">
        <v>0.579</v>
      </c>
      <c r="M1775" s="27" t="n">
        <f aca="false">IF(K1775&gt;0,1,0)</f>
        <v>1</v>
      </c>
      <c r="N1775" s="11" t="n">
        <f aca="false">SUMIFS(K$2:K1775,A$2:A1775,A1775,B$2:B1775,B1775)</f>
        <v>3718739</v>
      </c>
      <c r="O1775" s="11" t="n">
        <f aca="false">MAX(0,_xlfn.MAXIFS(N$2:N1775,A$2:A1775,A1775,B$2:B1775,B1775))</f>
        <v>4152979</v>
      </c>
      <c r="P1775" s="11" t="n">
        <f aca="false">N1775-O1775</f>
        <v>-434240</v>
      </c>
    </row>
    <row r="1776" customFormat="false" ht="15" hidden="false" customHeight="false" outlineLevel="0" collapsed="false">
      <c r="A1776" s="8" t="s">
        <v>45</v>
      </c>
      <c r="B1776" s="8" t="s">
        <v>41</v>
      </c>
      <c r="C1776" s="8" t="s">
        <v>62</v>
      </c>
      <c r="D1776" s="21" t="n">
        <v>46206.7777777778</v>
      </c>
      <c r="E1776" s="21" t="n">
        <v>46206.8416666667</v>
      </c>
      <c r="F1776" s="22" t="n">
        <f aca="false">DATE(YEAR(E1776),MONTH(E1776),1)</f>
        <v>46204</v>
      </c>
      <c r="G1776" s="23" t="n">
        <v>149883</v>
      </c>
      <c r="H1776" s="8" t="s">
        <v>64</v>
      </c>
      <c r="I1776" s="24" t="n">
        <v>14.57</v>
      </c>
      <c r="J1776" s="25" t="n">
        <f aca="false">Summary!$B$4</f>
        <v>1</v>
      </c>
      <c r="K1776" s="11" t="n">
        <f aca="false">I1776*J1776*IF(A1776="SILVER",Summary!$B$5,Summary!$B$6)</f>
        <v>1457</v>
      </c>
      <c r="L1776" s="26" t="n">
        <v>0.021</v>
      </c>
      <c r="M1776" s="27" t="n">
        <f aca="false">IF(K1776&gt;0,1,0)</f>
        <v>1</v>
      </c>
      <c r="N1776" s="11" t="n">
        <f aca="false">SUMIFS(K$2:K1776,A$2:A1776,A1776,B$2:B1776,B1776)</f>
        <v>3720196</v>
      </c>
      <c r="O1776" s="11" t="n">
        <f aca="false">MAX(0,_xlfn.MAXIFS(N$2:N1776,A$2:A1776,A1776,B$2:B1776,B1776))</f>
        <v>4152979</v>
      </c>
      <c r="P1776" s="11" t="n">
        <f aca="false">N1776-O1776</f>
        <v>-432783</v>
      </c>
    </row>
    <row r="1777" customFormat="false" ht="15" hidden="false" customHeight="false" outlineLevel="0" collapsed="false">
      <c r="A1777" s="8" t="s">
        <v>45</v>
      </c>
      <c r="B1777" s="8" t="s">
        <v>41</v>
      </c>
      <c r="C1777" s="8" t="s">
        <v>62</v>
      </c>
      <c r="D1777" s="21" t="n">
        <v>46210.8402777778</v>
      </c>
      <c r="E1777" s="21" t="n">
        <v>46211.7638888889</v>
      </c>
      <c r="F1777" s="22" t="n">
        <f aca="false">DATE(YEAR(E1777),MONTH(E1777),1)</f>
        <v>46204</v>
      </c>
      <c r="G1777" s="23" t="n">
        <v>148181</v>
      </c>
      <c r="H1777" s="8" t="s">
        <v>61</v>
      </c>
      <c r="I1777" s="24" t="n">
        <v>1413.04</v>
      </c>
      <c r="J1777" s="25" t="n">
        <f aca="false">Summary!$B$4</f>
        <v>1</v>
      </c>
      <c r="K1777" s="11" t="n">
        <f aca="false">I1777*J1777*IF(A1777="SILVER",Summary!$B$5,Summary!$B$6)</f>
        <v>141304</v>
      </c>
      <c r="L1777" s="26" t="n">
        <v>1.476</v>
      </c>
      <c r="M1777" s="27" t="n">
        <f aca="false">IF(K1777&gt;0,1,0)</f>
        <v>1</v>
      </c>
      <c r="N1777" s="11" t="n">
        <f aca="false">SUMIFS(K$2:K1777,A$2:A1777,A1777,B$2:B1777,B1777)</f>
        <v>3861500</v>
      </c>
      <c r="O1777" s="11" t="n">
        <f aca="false">MAX(0,_xlfn.MAXIFS(N$2:N1777,A$2:A1777,A1777,B$2:B1777,B1777))</f>
        <v>4152979</v>
      </c>
      <c r="P1777" s="11" t="n">
        <f aca="false">N1777-O1777</f>
        <v>-291479</v>
      </c>
    </row>
    <row r="1778" customFormat="false" ht="15" hidden="false" customHeight="false" outlineLevel="0" collapsed="false">
      <c r="A1778" s="8" t="s">
        <v>45</v>
      </c>
      <c r="B1778" s="8" t="s">
        <v>41</v>
      </c>
      <c r="C1778" s="8" t="s">
        <v>62</v>
      </c>
      <c r="D1778" s="21" t="n">
        <v>46211.84375</v>
      </c>
      <c r="E1778" s="21" t="n">
        <v>46211.9618055556</v>
      </c>
      <c r="F1778" s="22" t="n">
        <f aca="false">DATE(YEAR(E1778),MONTH(E1778),1)</f>
        <v>46204</v>
      </c>
      <c r="G1778" s="23" t="n">
        <v>145272</v>
      </c>
      <c r="H1778" s="8" t="s">
        <v>61</v>
      </c>
      <c r="I1778" s="24" t="n">
        <v>-1236.65</v>
      </c>
      <c r="J1778" s="25" t="n">
        <f aca="false">Summary!$B$4</f>
        <v>1</v>
      </c>
      <c r="K1778" s="11" t="n">
        <f aca="false">I1778*J1778*IF(A1778="SILVER",Summary!$B$5,Summary!$B$6)</f>
        <v>-123665</v>
      </c>
      <c r="L1778" s="26" t="n">
        <v>-0.834</v>
      </c>
      <c r="M1778" s="27" t="n">
        <f aca="false">IF(K1778&gt;0,1,0)</f>
        <v>0</v>
      </c>
      <c r="N1778" s="11" t="n">
        <f aca="false">SUMIFS(K$2:K1778,A$2:A1778,A1778,B$2:B1778,B1778)</f>
        <v>3737835</v>
      </c>
      <c r="O1778" s="11" t="n">
        <f aca="false">MAX(0,_xlfn.MAXIFS(N$2:N1778,A$2:A1778,A1778,B$2:B1778,B1778))</f>
        <v>4152979</v>
      </c>
      <c r="P1778" s="11" t="n">
        <f aca="false">N1778-O1778</f>
        <v>-415144</v>
      </c>
    </row>
    <row r="1779" customFormat="false" ht="15" hidden="false" customHeight="false" outlineLevel="0" collapsed="false">
      <c r="A1779" s="8" t="s">
        <v>45</v>
      </c>
      <c r="B1779" s="8" t="s">
        <v>41</v>
      </c>
      <c r="C1779" s="8" t="s">
        <v>62</v>
      </c>
      <c r="D1779" s="21" t="n">
        <v>46213.4131944445</v>
      </c>
      <c r="E1779" s="21" t="n">
        <v>46217.3819444445</v>
      </c>
      <c r="F1779" s="22" t="n">
        <f aca="false">DATE(YEAR(E1779),MONTH(E1779),1)</f>
        <v>46204</v>
      </c>
      <c r="G1779" s="23" t="n">
        <v>147306</v>
      </c>
      <c r="H1779" s="8" t="s">
        <v>61</v>
      </c>
      <c r="I1779" s="24" t="n">
        <v>3714.44</v>
      </c>
      <c r="J1779" s="25" t="n">
        <f aca="false">Summary!$B$4</f>
        <v>1</v>
      </c>
      <c r="K1779" s="11" t="n">
        <f aca="false">I1779*J1779*IF(A1779="SILVER",Summary!$B$5,Summary!$B$6)</f>
        <v>371444</v>
      </c>
      <c r="L1779" s="26" t="n">
        <v>5.176</v>
      </c>
      <c r="M1779" s="27" t="n">
        <f aca="false">IF(K1779&gt;0,1,0)</f>
        <v>1</v>
      </c>
      <c r="N1779" s="11" t="n">
        <f aca="false">SUMIFS(K$2:K1779,A$2:A1779,A1779,B$2:B1779,B1779)</f>
        <v>4109279</v>
      </c>
      <c r="O1779" s="11" t="n">
        <f aca="false">MAX(0,_xlfn.MAXIFS(N$2:N1779,A$2:A1779,A1779,B$2:B1779,B1779))</f>
        <v>4152979</v>
      </c>
      <c r="P1779" s="11" t="n">
        <f aca="false">N1779-O1779</f>
        <v>-43700</v>
      </c>
    </row>
    <row r="1780" customFormat="false" ht="15" hidden="false" customHeight="false" outlineLevel="0" collapsed="false">
      <c r="A1780" s="8" t="s">
        <v>45</v>
      </c>
      <c r="B1780" s="8" t="s">
        <v>41</v>
      </c>
      <c r="C1780" s="8" t="s">
        <v>62</v>
      </c>
      <c r="D1780" s="21" t="n">
        <v>46218.3784722222</v>
      </c>
      <c r="E1780" s="21" t="n">
        <v>46218.7166666667</v>
      </c>
      <c r="F1780" s="22" t="n">
        <f aca="false">DATE(YEAR(E1780),MONTH(E1780),1)</f>
        <v>46204</v>
      </c>
      <c r="G1780" s="23" t="n">
        <v>144248</v>
      </c>
      <c r="H1780" s="8" t="s">
        <v>64</v>
      </c>
      <c r="I1780" s="24" t="n">
        <v>29.69</v>
      </c>
      <c r="J1780" s="25" t="n">
        <f aca="false">Summary!$B$4</f>
        <v>1</v>
      </c>
      <c r="K1780" s="11" t="n">
        <f aca="false">I1780*J1780*IF(A1780="SILVER",Summary!$B$5,Summary!$B$6)</f>
        <v>2969</v>
      </c>
      <c r="L1780" s="26" t="n">
        <v>0.037</v>
      </c>
      <c r="M1780" s="27" t="n">
        <f aca="false">IF(K1780&gt;0,1,0)</f>
        <v>1</v>
      </c>
      <c r="N1780" s="11" t="n">
        <f aca="false">SUMIFS(K$2:K1780,A$2:A1780,A1780,B$2:B1780,B1780)</f>
        <v>4112248</v>
      </c>
      <c r="O1780" s="11" t="n">
        <f aca="false">MAX(0,_xlfn.MAXIFS(N$2:N1780,A$2:A1780,A1780,B$2:B1780,B1780))</f>
        <v>4152979</v>
      </c>
      <c r="P1780" s="11" t="n">
        <f aca="false">N1780-O1780</f>
        <v>-40731</v>
      </c>
    </row>
    <row r="1781" customFormat="false" ht="15" hidden="false" customHeight="false" outlineLevel="0" collapsed="false">
      <c r="A1781" s="8" t="s">
        <v>45</v>
      </c>
      <c r="B1781" s="8" t="s">
        <v>41</v>
      </c>
      <c r="C1781" s="8" t="s">
        <v>62</v>
      </c>
      <c r="D1781" s="21" t="n">
        <v>46218.90625</v>
      </c>
      <c r="E1781" s="21" t="n">
        <v>46218.9756944445</v>
      </c>
      <c r="F1781" s="22" t="n">
        <f aca="false">DATE(YEAR(E1781),MONTH(E1781),1)</f>
        <v>46204</v>
      </c>
      <c r="G1781" s="23" t="n">
        <v>144009</v>
      </c>
      <c r="H1781" s="8" t="s">
        <v>61</v>
      </c>
      <c r="I1781" s="24" t="n">
        <v>-648.33</v>
      </c>
      <c r="J1781" s="25" t="n">
        <f aca="false">Summary!$B$4</f>
        <v>1</v>
      </c>
      <c r="K1781" s="11" t="n">
        <f aca="false">I1781*J1781*IF(A1781="SILVER",Summary!$B$5,Summary!$B$6)</f>
        <v>-64833</v>
      </c>
      <c r="L1781" s="26" t="n">
        <v>-0.743</v>
      </c>
      <c r="M1781" s="27" t="n">
        <f aca="false">IF(K1781&gt;0,1,0)</f>
        <v>0</v>
      </c>
      <c r="N1781" s="11" t="n">
        <f aca="false">SUMIFS(K$2:K1781,A$2:A1781,A1781,B$2:B1781,B1781)</f>
        <v>4047415</v>
      </c>
      <c r="O1781" s="11" t="n">
        <f aca="false">MAX(0,_xlfn.MAXIFS(N$2:N1781,A$2:A1781,A1781,B$2:B1781,B1781))</f>
        <v>4152979</v>
      </c>
      <c r="P1781" s="11" t="n">
        <f aca="false">N1781-O1781</f>
        <v>-105564</v>
      </c>
    </row>
    <row r="1782" customFormat="false" ht="15" hidden="false" customHeight="false" outlineLevel="0" collapsed="false">
      <c r="A1782" s="8" t="s">
        <v>45</v>
      </c>
      <c r="B1782" s="8" t="s">
        <v>41</v>
      </c>
      <c r="C1782" s="8" t="s">
        <v>62</v>
      </c>
      <c r="D1782" s="21" t="n">
        <v>46219.7569444445</v>
      </c>
      <c r="E1782" s="21" t="n">
        <v>46219.7888888889</v>
      </c>
      <c r="F1782" s="22" t="n">
        <f aca="false">DATE(YEAR(E1782),MONTH(E1782),1)</f>
        <v>46204</v>
      </c>
      <c r="G1782" s="23" t="n">
        <v>143529</v>
      </c>
      <c r="H1782" s="8" t="s">
        <v>64</v>
      </c>
      <c r="I1782" s="24" t="n">
        <v>68.52</v>
      </c>
      <c r="J1782" s="25" t="n">
        <f aca="false">Summary!$B$4</f>
        <v>1</v>
      </c>
      <c r="K1782" s="11" t="n">
        <f aca="false">I1782*J1782*IF(A1782="SILVER",Summary!$B$5,Summary!$B$6)</f>
        <v>6852</v>
      </c>
      <c r="L1782" s="26" t="n">
        <v>0.064</v>
      </c>
      <c r="M1782" s="27" t="n">
        <f aca="false">IF(K1782&gt;0,1,0)</f>
        <v>1</v>
      </c>
      <c r="N1782" s="11" t="n">
        <f aca="false">SUMIFS(K$2:K1782,A$2:A1782,A1782,B$2:B1782,B1782)</f>
        <v>4054267</v>
      </c>
      <c r="O1782" s="11" t="n">
        <f aca="false">MAX(0,_xlfn.MAXIFS(N$2:N1782,A$2:A1782,A1782,B$2:B1782,B1782))</f>
        <v>4152979</v>
      </c>
      <c r="P1782" s="11" t="n">
        <f aca="false">N1782-O1782</f>
        <v>-98712</v>
      </c>
    </row>
    <row r="1783" customFormat="false" ht="15" hidden="false" customHeight="false" outlineLevel="0" collapsed="false">
      <c r="A1783" s="8" t="s">
        <v>45</v>
      </c>
      <c r="B1783" s="8" t="s">
        <v>41</v>
      </c>
      <c r="C1783" s="8" t="s">
        <v>62</v>
      </c>
      <c r="D1783" s="21" t="n">
        <v>46220.7534722222</v>
      </c>
      <c r="E1783" s="21" t="n">
        <v>46220.8576388889</v>
      </c>
      <c r="F1783" s="22" t="n">
        <f aca="false">DATE(YEAR(E1783),MONTH(E1783),1)</f>
        <v>46204</v>
      </c>
      <c r="G1783" s="23" t="n">
        <v>142771</v>
      </c>
      <c r="H1783" s="8" t="s">
        <v>61</v>
      </c>
      <c r="I1783" s="24" t="n">
        <v>-808.1</v>
      </c>
      <c r="J1783" s="25" t="n">
        <f aca="false">Summary!$B$4</f>
        <v>1</v>
      </c>
      <c r="K1783" s="11" t="n">
        <f aca="false">I1783*J1783*IF(A1783="SILVER",Summary!$B$5,Summary!$B$6)</f>
        <v>-80810</v>
      </c>
      <c r="L1783" s="26" t="n">
        <v>-1.179</v>
      </c>
      <c r="M1783" s="27" t="n">
        <f aca="false">IF(K1783&gt;0,1,0)</f>
        <v>0</v>
      </c>
      <c r="N1783" s="11" t="n">
        <f aca="false">SUMIFS(K$2:K1783,A$2:A1783,A1783,B$2:B1783,B1783)</f>
        <v>3973457</v>
      </c>
      <c r="O1783" s="11" t="n">
        <f aca="false">MAX(0,_xlfn.MAXIFS(N$2:N1783,A$2:A1783,A1783,B$2:B1783,B1783))</f>
        <v>4152979</v>
      </c>
      <c r="P1783" s="11" t="n">
        <f aca="false">N1783-O1783</f>
        <v>-179522</v>
      </c>
    </row>
    <row r="1784" customFormat="false" ht="15" hidden="false" customHeight="false" outlineLevel="0" collapsed="false">
      <c r="A1784" s="8" t="s">
        <v>45</v>
      </c>
      <c r="B1784" s="8" t="s">
        <v>41</v>
      </c>
      <c r="C1784" s="8" t="s">
        <v>62</v>
      </c>
      <c r="D1784" s="21" t="n">
        <v>46223.8159722222</v>
      </c>
      <c r="E1784" s="21" t="n">
        <v>46224.3784722222</v>
      </c>
      <c r="F1784" s="22" t="n">
        <f aca="false">DATE(YEAR(E1784),MONTH(E1784),1)</f>
        <v>46204</v>
      </c>
      <c r="G1784" s="23" t="n">
        <v>144154</v>
      </c>
      <c r="H1784" s="8" t="s">
        <v>61</v>
      </c>
      <c r="I1784" s="24" t="n">
        <v>-761.38</v>
      </c>
      <c r="J1784" s="25" t="n">
        <f aca="false">Summary!$B$4</f>
        <v>1</v>
      </c>
      <c r="K1784" s="11" t="n">
        <f aca="false">I1784*J1784*IF(A1784="SILVER",Summary!$B$5,Summary!$B$6)</f>
        <v>-76138</v>
      </c>
      <c r="L1784" s="26" t="n">
        <v>-1.36</v>
      </c>
      <c r="M1784" s="27" t="n">
        <f aca="false">IF(K1784&gt;0,1,0)</f>
        <v>0</v>
      </c>
      <c r="N1784" s="11" t="n">
        <f aca="false">SUMIFS(K$2:K1784,A$2:A1784,A1784,B$2:B1784,B1784)</f>
        <v>3897319</v>
      </c>
      <c r="O1784" s="11" t="n">
        <f aca="false">MAX(0,_xlfn.MAXIFS(N$2:N1784,A$2:A1784,A1784,B$2:B1784,B1784))</f>
        <v>4152979</v>
      </c>
      <c r="P1784" s="11" t="n">
        <f aca="false">N1784-O1784</f>
        <v>-255660</v>
      </c>
    </row>
    <row r="1785" customFormat="false" ht="15" hidden="false" customHeight="false" outlineLevel="0" collapsed="false">
      <c r="A1785" s="8" t="s">
        <v>45</v>
      </c>
      <c r="B1785" s="8" t="s">
        <v>41</v>
      </c>
      <c r="C1785" s="8" t="s">
        <v>62</v>
      </c>
      <c r="D1785" s="21" t="n">
        <v>46224.7604166667</v>
      </c>
      <c r="E1785" s="21" t="n">
        <v>46224.8715277778</v>
      </c>
      <c r="F1785" s="22" t="n">
        <f aca="false">DATE(YEAR(E1785),MONTH(E1785),1)</f>
        <v>46204</v>
      </c>
      <c r="G1785" s="23" t="n">
        <v>145129</v>
      </c>
      <c r="H1785" s="8" t="s">
        <v>61</v>
      </c>
      <c r="I1785" s="24" t="n">
        <v>-540.55</v>
      </c>
      <c r="J1785" s="25" t="n">
        <f aca="false">Summary!$B$4</f>
        <v>1</v>
      </c>
      <c r="K1785" s="11" t="n">
        <f aca="false">I1785*J1785*IF(A1785="SILVER",Summary!$B$5,Summary!$B$6)</f>
        <v>-54055</v>
      </c>
      <c r="L1785" s="26" t="n">
        <v>-0.964</v>
      </c>
      <c r="M1785" s="27" t="n">
        <f aca="false">IF(K1785&gt;0,1,0)</f>
        <v>0</v>
      </c>
      <c r="N1785" s="11" t="n">
        <f aca="false">SUMIFS(K$2:K1785,A$2:A1785,A1785,B$2:B1785,B1785)</f>
        <v>3843264</v>
      </c>
      <c r="O1785" s="11" t="n">
        <f aca="false">MAX(0,_xlfn.MAXIFS(N$2:N1785,A$2:A1785,A1785,B$2:B1785,B1785))</f>
        <v>4152979</v>
      </c>
      <c r="P1785" s="11" t="n">
        <f aca="false">N1785-O1785</f>
        <v>-309715</v>
      </c>
    </row>
    <row r="1786" customFormat="false" ht="15" hidden="false" customHeight="false" outlineLevel="0" collapsed="false">
      <c r="A1786" s="8" t="s">
        <v>45</v>
      </c>
      <c r="B1786" s="8" t="s">
        <v>41</v>
      </c>
      <c r="C1786" s="8" t="s">
        <v>62</v>
      </c>
      <c r="D1786" s="21" t="n">
        <v>46226.3784722222</v>
      </c>
      <c r="E1786" s="21" t="n">
        <v>46227.5243055556</v>
      </c>
      <c r="F1786" s="22" t="n">
        <f aca="false">DATE(YEAR(E1786),MONTH(E1786),1)</f>
        <v>46204</v>
      </c>
      <c r="G1786" s="23" t="n">
        <v>147862</v>
      </c>
      <c r="H1786" s="8" t="s">
        <v>61</v>
      </c>
      <c r="I1786" s="24" t="n">
        <v>2672.22</v>
      </c>
      <c r="J1786" s="25" t="n">
        <f aca="false">Summary!$B$4</f>
        <v>1</v>
      </c>
      <c r="K1786" s="11" t="n">
        <f aca="false">I1786*J1786*IF(A1786="SILVER",Summary!$B$5,Summary!$B$6)</f>
        <v>267222</v>
      </c>
      <c r="L1786" s="26" t="n">
        <v>3.454</v>
      </c>
      <c r="M1786" s="27" t="n">
        <f aca="false">IF(K1786&gt;0,1,0)</f>
        <v>1</v>
      </c>
      <c r="N1786" s="11" t="n">
        <f aca="false">SUMIFS(K$2:K1786,A$2:A1786,A1786,B$2:B1786,B1786)</f>
        <v>4110486</v>
      </c>
      <c r="O1786" s="11" t="n">
        <f aca="false">MAX(0,_xlfn.MAXIFS(N$2:N1786,A$2:A1786,A1786,B$2:B1786,B1786))</f>
        <v>4152979</v>
      </c>
      <c r="P1786" s="11" t="n">
        <f aca="false">N1786-O1786</f>
        <v>-42493</v>
      </c>
    </row>
    <row r="1787" customFormat="false" ht="15" hidden="false" customHeight="false" outlineLevel="0" collapsed="false">
      <c r="A1787" s="8" t="s">
        <v>45</v>
      </c>
      <c r="B1787" s="8" t="s">
        <v>41</v>
      </c>
      <c r="C1787" s="8" t="s">
        <v>62</v>
      </c>
      <c r="D1787" s="21" t="n">
        <v>46227.7222222222</v>
      </c>
      <c r="E1787" s="21" t="n">
        <v>46230.3784722222</v>
      </c>
      <c r="F1787" s="22" t="n">
        <f aca="false">DATE(YEAR(E1787),MONTH(E1787),1)</f>
        <v>46204</v>
      </c>
      <c r="G1787" s="23" t="n">
        <v>145312</v>
      </c>
      <c r="H1787" s="8" t="s">
        <v>61</v>
      </c>
      <c r="I1787" s="24" t="n">
        <v>-1183.66</v>
      </c>
      <c r="J1787" s="25" t="n">
        <f aca="false">Summary!$B$4</f>
        <v>1</v>
      </c>
      <c r="K1787" s="11" t="n">
        <f aca="false">I1787*J1787*IF(A1787="SILVER",Summary!$B$5,Summary!$B$6)</f>
        <v>-118366</v>
      </c>
      <c r="L1787" s="26" t="n">
        <v>-1.534</v>
      </c>
      <c r="M1787" s="27" t="n">
        <f aca="false">IF(K1787&gt;0,1,0)</f>
        <v>0</v>
      </c>
      <c r="N1787" s="11" t="n">
        <f aca="false">SUMIFS(K$2:K1787,A$2:A1787,A1787,B$2:B1787,B1787)</f>
        <v>3992120</v>
      </c>
      <c r="O1787" s="11" t="n">
        <f aca="false">MAX(0,_xlfn.MAXIFS(N$2:N1787,A$2:A1787,A1787,B$2:B1787,B1787))</f>
        <v>4152979</v>
      </c>
      <c r="P1787" s="11" t="n">
        <f aca="false">N1787-O1787</f>
        <v>-160859</v>
      </c>
    </row>
    <row r="1788" customFormat="false" ht="15" hidden="false" customHeight="false" outlineLevel="0" collapsed="false">
      <c r="A1788" s="8" t="s">
        <v>45</v>
      </c>
      <c r="B1788" s="8" t="s">
        <v>41</v>
      </c>
      <c r="C1788" s="8" t="s">
        <v>62</v>
      </c>
      <c r="D1788" s="21" t="n">
        <v>46230.5868055556</v>
      </c>
      <c r="E1788" s="21" t="n">
        <v>46230.8</v>
      </c>
      <c r="F1788" s="22" t="n">
        <f aca="false">DATE(YEAR(E1788),MONTH(E1788),1)</f>
        <v>46204</v>
      </c>
      <c r="G1788" s="23" t="n">
        <v>146389</v>
      </c>
      <c r="H1788" s="8" t="s">
        <v>64</v>
      </c>
      <c r="I1788" s="24" t="n">
        <v>2.27</v>
      </c>
      <c r="J1788" s="25" t="n">
        <f aca="false">Summary!$B$4</f>
        <v>1</v>
      </c>
      <c r="K1788" s="11" t="n">
        <f aca="false">I1788*J1788*IF(A1788="SILVER",Summary!$B$5,Summary!$B$6)</f>
        <v>227</v>
      </c>
      <c r="L1788" s="26" t="n">
        <v>0.005</v>
      </c>
      <c r="M1788" s="27" t="n">
        <f aca="false">IF(K1788&gt;0,1,0)</f>
        <v>1</v>
      </c>
      <c r="N1788" s="11" t="n">
        <f aca="false">SUMIFS(K$2:K1788,A$2:A1788,A1788,B$2:B1788,B1788)</f>
        <v>3992347</v>
      </c>
      <c r="O1788" s="11" t="n">
        <f aca="false">MAX(0,_xlfn.MAXIFS(N$2:N1788,A$2:A1788,A1788,B$2:B1788,B1788))</f>
        <v>4152979</v>
      </c>
      <c r="P1788" s="11" t="n">
        <f aca="false">N1788-O1788</f>
        <v>-160632</v>
      </c>
    </row>
    <row r="1789" customFormat="false" ht="15" hidden="false" customHeight="false" outlineLevel="0" collapsed="false">
      <c r="A1789" s="8" t="s">
        <v>45</v>
      </c>
      <c r="B1789" s="8" t="s">
        <v>41</v>
      </c>
      <c r="C1789" s="8" t="s">
        <v>62</v>
      </c>
      <c r="D1789" s="21" t="n">
        <v>46232.3784722222</v>
      </c>
      <c r="E1789" s="21" t="n">
        <v>46232.4826388889</v>
      </c>
      <c r="F1789" s="22" t="n">
        <f aca="false">DATE(YEAR(E1789),MONTH(E1789),1)</f>
        <v>46204</v>
      </c>
      <c r="G1789" s="23" t="n">
        <v>143999</v>
      </c>
      <c r="H1789" s="8" t="s">
        <v>61</v>
      </c>
      <c r="I1789" s="24" t="n">
        <v>-459.32</v>
      </c>
      <c r="J1789" s="25" t="n">
        <f aca="false">Summary!$B$4</f>
        <v>1</v>
      </c>
      <c r="K1789" s="11" t="n">
        <f aca="false">I1789*J1789*IF(A1789="SILVER",Summary!$B$5,Summary!$B$6)</f>
        <v>-45932</v>
      </c>
      <c r="L1789" s="26" t="n">
        <v>-0.725</v>
      </c>
      <c r="M1789" s="27" t="n">
        <f aca="false">IF(K1789&gt;0,1,0)</f>
        <v>0</v>
      </c>
      <c r="N1789" s="11" t="n">
        <f aca="false">SUMIFS(K$2:K1789,A$2:A1789,A1789,B$2:B1789,B1789)</f>
        <v>3946415</v>
      </c>
      <c r="O1789" s="11" t="n">
        <f aca="false">MAX(0,_xlfn.MAXIFS(N$2:N1789,A$2:A1789,A1789,B$2:B1789,B1789))</f>
        <v>4152979</v>
      </c>
      <c r="P1789" s="11" t="n">
        <f aca="false">N1789-O1789</f>
        <v>-206564</v>
      </c>
    </row>
    <row r="1790" customFormat="false" ht="15" hidden="false" customHeight="false" outlineLevel="0" collapsed="false">
      <c r="A1790" s="8" t="s">
        <v>45</v>
      </c>
      <c r="B1790" s="8" t="s">
        <v>41</v>
      </c>
      <c r="C1790" s="8" t="s">
        <v>62</v>
      </c>
      <c r="D1790" s="21" t="n">
        <v>46232.6284722222</v>
      </c>
      <c r="E1790" s="21" t="n">
        <v>46232.9340277778</v>
      </c>
      <c r="F1790" s="22" t="n">
        <f aca="false">DATE(YEAR(E1790),MONTH(E1790),1)</f>
        <v>46204</v>
      </c>
      <c r="G1790" s="23" t="n">
        <v>144186</v>
      </c>
      <c r="H1790" s="8" t="s">
        <v>61</v>
      </c>
      <c r="I1790" s="24" t="n">
        <v>205.71</v>
      </c>
      <c r="J1790" s="25" t="n">
        <f aca="false">Summary!$B$4</f>
        <v>1</v>
      </c>
      <c r="K1790" s="11" t="n">
        <f aca="false">I1790*J1790*IF(A1790="SILVER",Summary!$B$5,Summary!$B$6)</f>
        <v>20571</v>
      </c>
      <c r="L1790" s="26" t="n">
        <v>0.457</v>
      </c>
      <c r="M1790" s="27" t="n">
        <f aca="false">IF(K1790&gt;0,1,0)</f>
        <v>1</v>
      </c>
      <c r="N1790" s="11" t="n">
        <f aca="false">SUMIFS(K$2:K1790,A$2:A1790,A1790,B$2:B1790,B1790)</f>
        <v>3966986</v>
      </c>
      <c r="O1790" s="11" t="n">
        <f aca="false">MAX(0,_xlfn.MAXIFS(N$2:N1790,A$2:A1790,A1790,B$2:B1790,B1790))</f>
        <v>4152979</v>
      </c>
      <c r="P1790" s="11" t="n">
        <f aca="false">N1790-O1790</f>
        <v>-185993</v>
      </c>
    </row>
    <row r="1791" customFormat="false" ht="15" hidden="false" customHeight="false" outlineLevel="0" collapsed="false">
      <c r="A1791" s="8" t="s">
        <v>45</v>
      </c>
      <c r="B1791" s="8" t="s">
        <v>41</v>
      </c>
      <c r="C1791" s="8" t="s">
        <v>62</v>
      </c>
      <c r="D1791" s="21" t="n">
        <v>46234.3784722222</v>
      </c>
      <c r="E1791" s="21" t="n">
        <v>46237.3993055556</v>
      </c>
      <c r="F1791" s="22" t="n">
        <f aca="false">DATE(YEAR(E1791),MONTH(E1791),1)</f>
        <v>46235</v>
      </c>
      <c r="G1791" s="23" t="n">
        <v>145118</v>
      </c>
      <c r="H1791" s="8" t="s">
        <v>61</v>
      </c>
      <c r="I1791" s="24" t="n">
        <v>560.56</v>
      </c>
      <c r="J1791" s="25" t="n">
        <f aca="false">Summary!$B$4</f>
        <v>1</v>
      </c>
      <c r="K1791" s="11" t="n">
        <f aca="false">I1791*J1791*IF(A1791="SILVER",Summary!$B$5,Summary!$B$6)</f>
        <v>56056</v>
      </c>
      <c r="L1791" s="26" t="n">
        <v>0.539</v>
      </c>
      <c r="M1791" s="27" t="n">
        <f aca="false">IF(K1791&gt;0,1,0)</f>
        <v>1</v>
      </c>
      <c r="N1791" s="11" t="n">
        <f aca="false">SUMIFS(K$2:K1791,A$2:A1791,A1791,B$2:B1791,B1791)</f>
        <v>4023042</v>
      </c>
      <c r="O1791" s="11" t="n">
        <f aca="false">MAX(0,_xlfn.MAXIFS(N$2:N1791,A$2:A1791,A1791,B$2:B1791,B1791))</f>
        <v>4152979</v>
      </c>
      <c r="P1791" s="11" t="n">
        <f aca="false">N1791-O1791</f>
        <v>-129937</v>
      </c>
    </row>
    <row r="1792" customFormat="false" ht="15" hidden="false" customHeight="false" outlineLevel="0" collapsed="false">
      <c r="A1792" s="8" t="s">
        <v>45</v>
      </c>
      <c r="B1792" s="8" t="s">
        <v>41</v>
      </c>
      <c r="C1792" s="8" t="s">
        <v>62</v>
      </c>
      <c r="D1792" s="21" t="n">
        <v>46237.7604166667</v>
      </c>
      <c r="E1792" s="21" t="n">
        <v>46237.8145833333</v>
      </c>
      <c r="F1792" s="22" t="n">
        <f aca="false">DATE(YEAR(E1792),MONTH(E1792),1)</f>
        <v>46235</v>
      </c>
      <c r="G1792" s="23" t="n">
        <v>144129</v>
      </c>
      <c r="H1792" s="8" t="s">
        <v>64</v>
      </c>
      <c r="I1792" s="24" t="n">
        <v>-22.3</v>
      </c>
      <c r="J1792" s="25" t="n">
        <f aca="false">Summary!$B$4</f>
        <v>1</v>
      </c>
      <c r="K1792" s="11" t="n">
        <f aca="false">I1792*J1792*IF(A1792="SILVER",Summary!$B$5,Summary!$B$6)</f>
        <v>-2230</v>
      </c>
      <c r="L1792" s="26" t="n">
        <v>-0.042</v>
      </c>
      <c r="M1792" s="27" t="n">
        <f aca="false">IF(K1792&gt;0,1,0)</f>
        <v>0</v>
      </c>
      <c r="N1792" s="11" t="n">
        <f aca="false">SUMIFS(K$2:K1792,A$2:A1792,A1792,B$2:B1792,B1792)</f>
        <v>4020812</v>
      </c>
      <c r="O1792" s="11" t="n">
        <f aca="false">MAX(0,_xlfn.MAXIFS(N$2:N1792,A$2:A1792,A1792,B$2:B1792,B1792))</f>
        <v>4152979</v>
      </c>
      <c r="P1792" s="11" t="n">
        <f aca="false">N1792-O1792</f>
        <v>-132167</v>
      </c>
    </row>
    <row r="1793" customFormat="false" ht="15" hidden="false" customHeight="false" outlineLevel="0" collapsed="false">
      <c r="A1793" s="8" t="s">
        <v>45</v>
      </c>
      <c r="B1793" s="8" t="s">
        <v>41</v>
      </c>
      <c r="C1793" s="8" t="s">
        <v>62</v>
      </c>
      <c r="D1793" s="21" t="n">
        <v>46240.7222222222</v>
      </c>
      <c r="E1793" s="21" t="n">
        <v>46240.7965277778</v>
      </c>
      <c r="F1793" s="22" t="n">
        <f aca="false">DATE(YEAR(E1793),MONTH(E1793),1)</f>
        <v>46235</v>
      </c>
      <c r="G1793" s="23" t="n">
        <v>149235</v>
      </c>
      <c r="H1793" s="8" t="s">
        <v>64</v>
      </c>
      <c r="I1793" s="24" t="n">
        <v>31.73</v>
      </c>
      <c r="J1793" s="25" t="n">
        <f aca="false">Summary!$B$4</f>
        <v>1</v>
      </c>
      <c r="K1793" s="11" t="n">
        <f aca="false">I1793*J1793*IF(A1793="SILVER",Summary!$B$5,Summary!$B$6)</f>
        <v>3173</v>
      </c>
      <c r="L1793" s="26" t="n">
        <v>0.044</v>
      </c>
      <c r="M1793" s="27" t="n">
        <f aca="false">IF(K1793&gt;0,1,0)</f>
        <v>1</v>
      </c>
      <c r="N1793" s="11" t="n">
        <f aca="false">SUMIFS(K$2:K1793,A$2:A1793,A1793,B$2:B1793,B1793)</f>
        <v>4023985</v>
      </c>
      <c r="O1793" s="11" t="n">
        <f aca="false">MAX(0,_xlfn.MAXIFS(N$2:N1793,A$2:A1793,A1793,B$2:B1793,B1793))</f>
        <v>4152979</v>
      </c>
      <c r="P1793" s="11" t="n">
        <f aca="false">N1793-O1793</f>
        <v>-128994</v>
      </c>
    </row>
    <row r="1794" customFormat="false" ht="15" hidden="false" customHeight="false" outlineLevel="0" collapsed="false">
      <c r="A1794" s="8" t="s">
        <v>45</v>
      </c>
      <c r="B1794" s="8" t="s">
        <v>41</v>
      </c>
      <c r="C1794" s="8" t="s">
        <v>62</v>
      </c>
      <c r="D1794" s="21" t="n">
        <v>46240.9097222222</v>
      </c>
      <c r="E1794" s="21" t="n">
        <v>46241.3895833333</v>
      </c>
      <c r="F1794" s="22" t="n">
        <f aca="false">DATE(YEAR(E1794),MONTH(E1794),1)</f>
        <v>46235</v>
      </c>
      <c r="G1794" s="23" t="n">
        <v>148292</v>
      </c>
      <c r="H1794" s="8" t="s">
        <v>61</v>
      </c>
      <c r="I1794" s="24" t="n">
        <v>-1294.78</v>
      </c>
      <c r="J1794" s="25" t="n">
        <f aca="false">Summary!$B$4</f>
        <v>1</v>
      </c>
      <c r="K1794" s="11" t="n">
        <f aca="false">I1794*J1794*IF(A1794="SILVER",Summary!$B$5,Summary!$B$6)</f>
        <v>-129478</v>
      </c>
      <c r="L1794" s="26" t="n">
        <v>-0.987</v>
      </c>
      <c r="M1794" s="27" t="n">
        <f aca="false">IF(K1794&gt;0,1,0)</f>
        <v>0</v>
      </c>
      <c r="N1794" s="11" t="n">
        <f aca="false">SUMIFS(K$2:K1794,A$2:A1794,A1794,B$2:B1794,B1794)</f>
        <v>3894507</v>
      </c>
      <c r="O1794" s="11" t="n">
        <f aca="false">MAX(0,_xlfn.MAXIFS(N$2:N1794,A$2:A1794,A1794,B$2:B1794,B1794))</f>
        <v>4152979</v>
      </c>
      <c r="P1794" s="11" t="n">
        <f aca="false">N1794-O1794</f>
        <v>-258472</v>
      </c>
    </row>
    <row r="1795" customFormat="false" ht="15" hidden="false" customHeight="false" outlineLevel="0" collapsed="false">
      <c r="A1795" s="8" t="s">
        <v>45</v>
      </c>
      <c r="B1795" s="8" t="s">
        <v>41</v>
      </c>
      <c r="C1795" s="8" t="s">
        <v>62</v>
      </c>
      <c r="D1795" s="21" t="n">
        <v>46244.6909722222</v>
      </c>
      <c r="E1795" s="21" t="n">
        <v>46244.7513888889</v>
      </c>
      <c r="F1795" s="22" t="n">
        <f aca="false">DATE(YEAR(E1795),MONTH(E1795),1)</f>
        <v>46235</v>
      </c>
      <c r="G1795" s="23" t="n">
        <v>152131</v>
      </c>
      <c r="H1795" s="8" t="s">
        <v>64</v>
      </c>
      <c r="I1795" s="24" t="n">
        <v>25.37</v>
      </c>
      <c r="J1795" s="25" t="n">
        <f aca="false">Summary!$B$4</f>
        <v>1</v>
      </c>
      <c r="K1795" s="11" t="n">
        <f aca="false">I1795*J1795*IF(A1795="SILVER",Summary!$B$5,Summary!$B$6)</f>
        <v>2537</v>
      </c>
      <c r="L1795" s="26" t="n">
        <v>0.039</v>
      </c>
      <c r="M1795" s="27" t="n">
        <f aca="false">IF(K1795&gt;0,1,0)</f>
        <v>1</v>
      </c>
      <c r="N1795" s="11" t="n">
        <f aca="false">SUMIFS(K$2:K1795,A$2:A1795,A1795,B$2:B1795,B1795)</f>
        <v>3897044</v>
      </c>
      <c r="O1795" s="11" t="n">
        <f aca="false">MAX(0,_xlfn.MAXIFS(N$2:N1795,A$2:A1795,A1795,B$2:B1795,B1795))</f>
        <v>4152979</v>
      </c>
      <c r="P1795" s="11" t="n">
        <f aca="false">N1795-O1795</f>
        <v>-255935</v>
      </c>
    </row>
    <row r="1796" customFormat="false" ht="15" hidden="false" customHeight="false" outlineLevel="0" collapsed="false">
      <c r="A1796" s="8" t="s">
        <v>45</v>
      </c>
      <c r="B1796" s="8" t="s">
        <v>41</v>
      </c>
      <c r="C1796" s="8" t="s">
        <v>62</v>
      </c>
      <c r="D1796" s="21" t="n">
        <v>46245.46875</v>
      </c>
      <c r="E1796" s="21" t="n">
        <v>46245.7361111111</v>
      </c>
      <c r="F1796" s="22" t="n">
        <f aca="false">DATE(YEAR(E1796),MONTH(E1796),1)</f>
        <v>46235</v>
      </c>
      <c r="G1796" s="23" t="n">
        <v>153782</v>
      </c>
      <c r="H1796" s="8" t="s">
        <v>61</v>
      </c>
      <c r="I1796" s="24" t="n">
        <v>-567.79</v>
      </c>
      <c r="J1796" s="25" t="n">
        <f aca="false">Summary!$B$4</f>
        <v>1</v>
      </c>
      <c r="K1796" s="11" t="n">
        <f aca="false">I1796*J1796*IF(A1796="SILVER",Summary!$B$5,Summary!$B$6)</f>
        <v>-56779</v>
      </c>
      <c r="L1796" s="26" t="n">
        <v>-0.473</v>
      </c>
      <c r="M1796" s="27" t="n">
        <f aca="false">IF(K1796&gt;0,1,0)</f>
        <v>0</v>
      </c>
      <c r="N1796" s="11" t="n">
        <f aca="false">SUMIFS(K$2:K1796,A$2:A1796,A1796,B$2:B1796,B1796)</f>
        <v>3840265</v>
      </c>
      <c r="O1796" s="11" t="n">
        <f aca="false">MAX(0,_xlfn.MAXIFS(N$2:N1796,A$2:A1796,A1796,B$2:B1796,B1796))</f>
        <v>4152979</v>
      </c>
      <c r="P1796" s="11" t="n">
        <f aca="false">N1796-O1796</f>
        <v>-312714</v>
      </c>
    </row>
    <row r="1797" customFormat="false" ht="15" hidden="false" customHeight="false" outlineLevel="0" collapsed="false">
      <c r="A1797" s="8" t="s">
        <v>45</v>
      </c>
      <c r="B1797" s="8" t="s">
        <v>41</v>
      </c>
      <c r="C1797" s="8" t="s">
        <v>62</v>
      </c>
      <c r="D1797" s="21" t="n">
        <v>46247.3958333333</v>
      </c>
      <c r="E1797" s="21" t="n">
        <v>46247.6458333333</v>
      </c>
      <c r="F1797" s="22" t="n">
        <f aca="false">DATE(YEAR(E1797),MONTH(E1797),1)</f>
        <v>46235</v>
      </c>
      <c r="G1797" s="23" t="n">
        <v>154565</v>
      </c>
      <c r="H1797" s="8" t="s">
        <v>61</v>
      </c>
      <c r="I1797" s="24" t="n">
        <v>356.13</v>
      </c>
      <c r="J1797" s="25" t="n">
        <f aca="false">Summary!$B$4</f>
        <v>1</v>
      </c>
      <c r="K1797" s="11" t="n">
        <f aca="false">I1797*J1797*IF(A1797="SILVER",Summary!$B$5,Summary!$B$6)</f>
        <v>35613</v>
      </c>
      <c r="L1797" s="26" t="n">
        <v>0.376</v>
      </c>
      <c r="M1797" s="27" t="n">
        <f aca="false">IF(K1797&gt;0,1,0)</f>
        <v>1</v>
      </c>
      <c r="N1797" s="11" t="n">
        <f aca="false">SUMIFS(K$2:K1797,A$2:A1797,A1797,B$2:B1797,B1797)</f>
        <v>3875878</v>
      </c>
      <c r="O1797" s="11" t="n">
        <f aca="false">MAX(0,_xlfn.MAXIFS(N$2:N1797,A$2:A1797,A1797,B$2:B1797,B1797))</f>
        <v>4152979</v>
      </c>
      <c r="P1797" s="11" t="n">
        <f aca="false">N1797-O1797</f>
        <v>-277101</v>
      </c>
    </row>
    <row r="1798" customFormat="false" ht="15" hidden="false" customHeight="false" outlineLevel="0" collapsed="false">
      <c r="A1798" s="8" t="s">
        <v>45</v>
      </c>
      <c r="B1798" s="8" t="s">
        <v>41</v>
      </c>
      <c r="C1798" s="8" t="s">
        <v>62</v>
      </c>
      <c r="D1798" s="21" t="n">
        <v>46247.8125</v>
      </c>
      <c r="E1798" s="21" t="n">
        <v>46247.9180555556</v>
      </c>
      <c r="F1798" s="22" t="n">
        <f aca="false">DATE(YEAR(E1798),MONTH(E1798),1)</f>
        <v>46235</v>
      </c>
      <c r="G1798" s="23" t="n">
        <v>153745</v>
      </c>
      <c r="H1798" s="8" t="s">
        <v>64</v>
      </c>
      <c r="I1798" s="24" t="n">
        <v>56.6</v>
      </c>
      <c r="J1798" s="25" t="n">
        <f aca="false">Summary!$B$4</f>
        <v>1</v>
      </c>
      <c r="K1798" s="11" t="n">
        <f aca="false">I1798*J1798*IF(A1798="SILVER",Summary!$B$5,Summary!$B$6)</f>
        <v>5660</v>
      </c>
      <c r="L1798" s="26" t="n">
        <v>0.058</v>
      </c>
      <c r="M1798" s="27" t="n">
        <f aca="false">IF(K1798&gt;0,1,0)</f>
        <v>1</v>
      </c>
      <c r="N1798" s="11" t="n">
        <f aca="false">SUMIFS(K$2:K1798,A$2:A1798,A1798,B$2:B1798,B1798)</f>
        <v>3881538</v>
      </c>
      <c r="O1798" s="11" t="n">
        <f aca="false">MAX(0,_xlfn.MAXIFS(N$2:N1798,A$2:A1798,A1798,B$2:B1798,B1798))</f>
        <v>4152979</v>
      </c>
      <c r="P1798" s="11" t="n">
        <f aca="false">N1798-O1798</f>
        <v>-271441</v>
      </c>
    </row>
    <row r="1799" customFormat="false" ht="15" hidden="false" customHeight="false" outlineLevel="0" collapsed="false">
      <c r="A1799" s="8" t="s">
        <v>45</v>
      </c>
      <c r="B1799" s="8" t="s">
        <v>41</v>
      </c>
      <c r="C1799" s="8" t="s">
        <v>62</v>
      </c>
      <c r="D1799" s="21" t="n">
        <v>46251.7534722222</v>
      </c>
      <c r="E1799" s="21" t="n">
        <v>46251.7708333333</v>
      </c>
      <c r="F1799" s="22" t="n">
        <f aca="false">DATE(YEAR(E1799),MONTH(E1799),1)</f>
        <v>46235</v>
      </c>
      <c r="G1799" s="23" t="n">
        <v>154900</v>
      </c>
      <c r="H1799" s="8" t="s">
        <v>64</v>
      </c>
      <c r="I1799" s="24" t="n">
        <v>14.58</v>
      </c>
      <c r="J1799" s="25" t="n">
        <f aca="false">Summary!$B$4</f>
        <v>1</v>
      </c>
      <c r="K1799" s="11" t="n">
        <f aca="false">I1799*J1799*IF(A1799="SILVER",Summary!$B$5,Summary!$B$6)</f>
        <v>1458</v>
      </c>
      <c r="L1799" s="26" t="n">
        <v>0.026</v>
      </c>
      <c r="M1799" s="27" t="n">
        <f aca="false">IF(K1799&gt;0,1,0)</f>
        <v>1</v>
      </c>
      <c r="N1799" s="11" t="n">
        <f aca="false">SUMIFS(K$2:K1799,A$2:A1799,A1799,B$2:B1799,B1799)</f>
        <v>3882996</v>
      </c>
      <c r="O1799" s="11" t="n">
        <f aca="false">MAX(0,_xlfn.MAXIFS(N$2:N1799,A$2:A1799,A1799,B$2:B1799,B1799))</f>
        <v>4152979</v>
      </c>
      <c r="P1799" s="11" t="n">
        <f aca="false">N1799-O1799</f>
        <v>-269983</v>
      </c>
    </row>
    <row r="1800" customFormat="false" ht="15" hidden="false" customHeight="false" outlineLevel="0" collapsed="false">
      <c r="A1800" s="8" t="s">
        <v>45</v>
      </c>
      <c r="B1800" s="8" t="s">
        <v>41</v>
      </c>
      <c r="C1800" s="8" t="s">
        <v>62</v>
      </c>
      <c r="D1800" s="21" t="n">
        <v>46252.3784722222</v>
      </c>
      <c r="E1800" s="21" t="n">
        <v>46252.7923611111</v>
      </c>
      <c r="F1800" s="22" t="n">
        <f aca="false">DATE(YEAR(E1800),MONTH(E1800),1)</f>
        <v>46235</v>
      </c>
      <c r="G1800" s="23" t="n">
        <v>155282</v>
      </c>
      <c r="H1800" s="8" t="s">
        <v>64</v>
      </c>
      <c r="I1800" s="24" t="n">
        <v>41.84</v>
      </c>
      <c r="J1800" s="25" t="n">
        <f aca="false">Summary!$B$4</f>
        <v>1</v>
      </c>
      <c r="K1800" s="11" t="n">
        <f aca="false">I1800*J1800*IF(A1800="SILVER",Summary!$B$5,Summary!$B$6)</f>
        <v>4184</v>
      </c>
      <c r="L1800" s="26" t="n">
        <v>0.05</v>
      </c>
      <c r="M1800" s="27" t="n">
        <f aca="false">IF(K1800&gt;0,1,0)</f>
        <v>1</v>
      </c>
      <c r="N1800" s="11" t="n">
        <f aca="false">SUMIFS(K$2:K1800,A$2:A1800,A1800,B$2:B1800,B1800)</f>
        <v>3887180</v>
      </c>
      <c r="O1800" s="11" t="n">
        <f aca="false">MAX(0,_xlfn.MAXIFS(N$2:N1800,A$2:A1800,A1800,B$2:B1800,B1800))</f>
        <v>4152979</v>
      </c>
      <c r="P1800" s="11" t="n">
        <f aca="false">N1800-O1800</f>
        <v>-265799</v>
      </c>
    </row>
    <row r="1801" customFormat="false" ht="15" hidden="false" customHeight="false" outlineLevel="0" collapsed="false">
      <c r="A1801" s="8" t="s">
        <v>45</v>
      </c>
      <c r="B1801" s="8" t="s">
        <v>41</v>
      </c>
      <c r="C1801" s="8" t="s">
        <v>62</v>
      </c>
      <c r="D1801" s="21" t="n">
        <v>46252.8506944445</v>
      </c>
      <c r="E1801" s="21" t="n">
        <v>46253.5451388889</v>
      </c>
      <c r="F1801" s="22" t="n">
        <f aca="false">DATE(YEAR(E1801),MONTH(E1801),1)</f>
        <v>46235</v>
      </c>
      <c r="G1801" s="23" t="n">
        <v>154914</v>
      </c>
      <c r="H1801" s="8" t="s">
        <v>61</v>
      </c>
      <c r="I1801" s="24" t="n">
        <v>585.08</v>
      </c>
      <c r="J1801" s="25" t="n">
        <f aca="false">Summary!$B$4</f>
        <v>1</v>
      </c>
      <c r="K1801" s="11" t="n">
        <f aca="false">I1801*J1801*IF(A1801="SILVER",Summary!$B$5,Summary!$B$6)</f>
        <v>58508</v>
      </c>
      <c r="L1801" s="26" t="n">
        <v>0.506</v>
      </c>
      <c r="M1801" s="27" t="n">
        <f aca="false">IF(K1801&gt;0,1,0)</f>
        <v>1</v>
      </c>
      <c r="N1801" s="11" t="n">
        <f aca="false">SUMIFS(K$2:K1801,A$2:A1801,A1801,B$2:B1801,B1801)</f>
        <v>3945688</v>
      </c>
      <c r="O1801" s="11" t="n">
        <f aca="false">MAX(0,_xlfn.MAXIFS(N$2:N1801,A$2:A1801,A1801,B$2:B1801,B1801))</f>
        <v>4152979</v>
      </c>
      <c r="P1801" s="11" t="n">
        <f aca="false">N1801-O1801</f>
        <v>-207291</v>
      </c>
    </row>
    <row r="1802" customFormat="false" ht="15" hidden="false" customHeight="false" outlineLevel="0" collapsed="false">
      <c r="A1802" s="8" t="s">
        <v>45</v>
      </c>
      <c r="B1802" s="8" t="s">
        <v>41</v>
      </c>
      <c r="C1802" s="8" t="s">
        <v>60</v>
      </c>
      <c r="D1802" s="21" t="n">
        <v>46254.7986111111</v>
      </c>
      <c r="E1802" s="21" t="n">
        <v>46255.7569444445</v>
      </c>
      <c r="F1802" s="22" t="n">
        <f aca="false">DATE(YEAR(E1802),MONTH(E1802),1)</f>
        <v>46235</v>
      </c>
      <c r="G1802" s="23" t="n">
        <v>158190</v>
      </c>
      <c r="H1802" s="8" t="s">
        <v>61</v>
      </c>
      <c r="I1802" s="24" t="n">
        <v>2350.13</v>
      </c>
      <c r="J1802" s="25" t="n">
        <f aca="false">Summary!$B$4</f>
        <v>1</v>
      </c>
      <c r="K1802" s="11" t="n">
        <f aca="false">I1802*J1802*IF(A1802="SILVER",Summary!$B$5,Summary!$B$6)</f>
        <v>235013</v>
      </c>
      <c r="L1802" s="26" t="n">
        <v>1.914</v>
      </c>
      <c r="M1802" s="27" t="n">
        <f aca="false">IF(K1802&gt;0,1,0)</f>
        <v>1</v>
      </c>
      <c r="N1802" s="11" t="n">
        <f aca="false">SUMIFS(K$2:K1802,A$2:A1802,A1802,B$2:B1802,B1802)</f>
        <v>4180701</v>
      </c>
      <c r="O1802" s="11" t="n">
        <f aca="false">MAX(0,_xlfn.MAXIFS(N$2:N1802,A$2:A1802,A1802,B$2:B1802,B1802))</f>
        <v>4180701</v>
      </c>
      <c r="P1802" s="11" t="n">
        <f aca="false">N1802-O1802</f>
        <v>0</v>
      </c>
    </row>
    <row r="1803" customFormat="false" ht="15" hidden="false" customHeight="false" outlineLevel="0" collapsed="false">
      <c r="A1803" s="8" t="s">
        <v>45</v>
      </c>
      <c r="B1803" s="8" t="s">
        <v>41</v>
      </c>
      <c r="C1803" s="8" t="s">
        <v>60</v>
      </c>
      <c r="D1803" s="21" t="n">
        <v>46255.8923611111</v>
      </c>
      <c r="E1803" s="21" t="n">
        <v>46258.9548611111</v>
      </c>
      <c r="F1803" s="22" t="n">
        <f aca="false">DATE(YEAR(E1803),MONTH(E1803),1)</f>
        <v>46235</v>
      </c>
      <c r="G1803" s="23" t="n">
        <v>162200</v>
      </c>
      <c r="H1803" s="8" t="s">
        <v>61</v>
      </c>
      <c r="I1803" s="24" t="n">
        <v>1120.44</v>
      </c>
      <c r="J1803" s="25" t="n">
        <f aca="false">Summary!$B$4</f>
        <v>1</v>
      </c>
      <c r="K1803" s="11" t="n">
        <f aca="false">I1803*J1803*IF(A1803="SILVER",Summary!$B$5,Summary!$B$6)</f>
        <v>112044</v>
      </c>
      <c r="L1803" s="26" t="n">
        <v>0.832</v>
      </c>
      <c r="M1803" s="27" t="n">
        <f aca="false">IF(K1803&gt;0,1,0)</f>
        <v>1</v>
      </c>
      <c r="N1803" s="11" t="n">
        <f aca="false">SUMIFS(K$2:K1803,A$2:A1803,A1803,B$2:B1803,B1803)</f>
        <v>4292745</v>
      </c>
      <c r="O1803" s="11" t="n">
        <f aca="false">MAX(0,_xlfn.MAXIFS(N$2:N1803,A$2:A1803,A1803,B$2:B1803,B1803))</f>
        <v>4292745</v>
      </c>
      <c r="P1803" s="11" t="n">
        <f aca="false">N1803-O1803</f>
        <v>0</v>
      </c>
    </row>
    <row r="1804" customFormat="false" ht="15" hidden="false" customHeight="false" outlineLevel="0" collapsed="false">
      <c r="A1804" s="8" t="s">
        <v>45</v>
      </c>
      <c r="B1804" s="8" t="s">
        <v>41</v>
      </c>
      <c r="C1804" s="8" t="s">
        <v>60</v>
      </c>
      <c r="D1804" s="21" t="n">
        <v>46259.8819444445</v>
      </c>
      <c r="E1804" s="21" t="n">
        <v>46260.5</v>
      </c>
      <c r="F1804" s="22" t="n">
        <f aca="false">DATE(YEAR(E1804),MONTH(E1804),1)</f>
        <v>46235</v>
      </c>
      <c r="G1804" s="23" t="n">
        <v>163269</v>
      </c>
      <c r="H1804" s="8" t="s">
        <v>61</v>
      </c>
      <c r="I1804" s="24" t="n">
        <v>-975.56</v>
      </c>
      <c r="J1804" s="25" t="n">
        <f aca="false">Summary!$B$4</f>
        <v>1</v>
      </c>
      <c r="K1804" s="11" t="n">
        <f aca="false">I1804*J1804*IF(A1804="SILVER",Summary!$B$5,Summary!$B$6)</f>
        <v>-97556</v>
      </c>
      <c r="L1804" s="26" t="n">
        <v>-0.699</v>
      </c>
      <c r="M1804" s="27" t="n">
        <f aca="false">IF(K1804&gt;0,1,0)</f>
        <v>0</v>
      </c>
      <c r="N1804" s="11" t="n">
        <f aca="false">SUMIFS(K$2:K1804,A$2:A1804,A1804,B$2:B1804,B1804)</f>
        <v>4195189</v>
      </c>
      <c r="O1804" s="11" t="n">
        <f aca="false">MAX(0,_xlfn.MAXIFS(N$2:N1804,A$2:A1804,A1804,B$2:B1804,B1804))</f>
        <v>4292745</v>
      </c>
      <c r="P1804" s="11" t="n">
        <f aca="false">N1804-O1804</f>
        <v>-97556</v>
      </c>
    </row>
    <row r="1805" customFormat="false" ht="15" hidden="false" customHeight="false" outlineLevel="0" collapsed="false">
      <c r="A1805" s="8" t="s">
        <v>45</v>
      </c>
      <c r="B1805" s="8" t="s">
        <v>41</v>
      </c>
      <c r="C1805" s="8" t="s">
        <v>60</v>
      </c>
      <c r="D1805" s="21" t="n">
        <v>46261.8854166667</v>
      </c>
      <c r="E1805" s="21" t="n">
        <v>46261.8979166667</v>
      </c>
      <c r="F1805" s="22" t="n">
        <f aca="false">DATE(YEAR(E1805),MONTH(E1805),1)</f>
        <v>46235</v>
      </c>
      <c r="G1805" s="23" t="n">
        <v>159282</v>
      </c>
      <c r="H1805" s="8" t="s">
        <v>64</v>
      </c>
      <c r="I1805" s="24" t="n">
        <v>53.68</v>
      </c>
      <c r="J1805" s="25" t="n">
        <f aca="false">Summary!$B$4</f>
        <v>1</v>
      </c>
      <c r="K1805" s="11" t="n">
        <f aca="false">I1805*J1805*IF(A1805="SILVER",Summary!$B$5,Summary!$B$6)</f>
        <v>5368</v>
      </c>
      <c r="L1805" s="26" t="n">
        <v>0.056</v>
      </c>
      <c r="M1805" s="27" t="n">
        <f aca="false">IF(K1805&gt;0,1,0)</f>
        <v>1</v>
      </c>
      <c r="N1805" s="11" t="n">
        <f aca="false">SUMIFS(K$2:K1805,A$2:A1805,A1805,B$2:B1805,B1805)</f>
        <v>4200557</v>
      </c>
      <c r="O1805" s="11" t="n">
        <f aca="false">MAX(0,_xlfn.MAXIFS(N$2:N1805,A$2:A1805,A1805,B$2:B1805,B1805))</f>
        <v>4292745</v>
      </c>
      <c r="P1805" s="11" t="n">
        <f aca="false">N1805-O1805</f>
        <v>-92188</v>
      </c>
    </row>
    <row r="1806" customFormat="false" ht="15" hidden="false" customHeight="false" outlineLevel="0" collapsed="false">
      <c r="A1806" s="8" t="s">
        <v>45</v>
      </c>
      <c r="B1806" s="8" t="s">
        <v>41</v>
      </c>
      <c r="C1806" s="8" t="s">
        <v>60</v>
      </c>
      <c r="D1806" s="21" t="n">
        <v>46262.5138888889</v>
      </c>
      <c r="E1806" s="21" t="n">
        <v>46262.8159722222</v>
      </c>
      <c r="F1806" s="22" t="n">
        <f aca="false">DATE(YEAR(E1806),MONTH(E1806),1)</f>
        <v>46235</v>
      </c>
      <c r="G1806" s="23" t="n">
        <v>158683</v>
      </c>
      <c r="H1806" s="8" t="s">
        <v>64</v>
      </c>
      <c r="I1806" s="24" t="n">
        <v>56.45</v>
      </c>
      <c r="J1806" s="25" t="n">
        <f aca="false">Summary!$B$4</f>
        <v>1</v>
      </c>
      <c r="K1806" s="11" t="n">
        <f aca="false">I1806*J1806*IF(A1806="SILVER",Summary!$B$5,Summary!$B$6)</f>
        <v>5645</v>
      </c>
      <c r="L1806" s="26" t="n">
        <v>0.057</v>
      </c>
      <c r="M1806" s="27" t="n">
        <f aca="false">IF(K1806&gt;0,1,0)</f>
        <v>1</v>
      </c>
      <c r="N1806" s="11" t="n">
        <f aca="false">SUMIFS(K$2:K1806,A$2:A1806,A1806,B$2:B1806,B1806)</f>
        <v>4206202</v>
      </c>
      <c r="O1806" s="11" t="n">
        <f aca="false">MAX(0,_xlfn.MAXIFS(N$2:N1806,A$2:A1806,A1806,B$2:B1806,B1806))</f>
        <v>4292745</v>
      </c>
      <c r="P1806" s="11" t="n">
        <f aca="false">N1806-O1806</f>
        <v>-86543</v>
      </c>
    </row>
    <row r="1807" customFormat="false" ht="15" hidden="false" customHeight="false" outlineLevel="0" collapsed="false">
      <c r="A1807" s="8" t="s">
        <v>45</v>
      </c>
      <c r="B1807" s="8" t="s">
        <v>41</v>
      </c>
      <c r="C1807" s="8" t="s">
        <v>60</v>
      </c>
      <c r="D1807" s="21" t="n">
        <v>46267.7152777778</v>
      </c>
      <c r="E1807" s="21" t="n">
        <v>46269.3854166667</v>
      </c>
      <c r="F1807" s="22" t="n">
        <f aca="false">DATE(YEAR(E1807),MONTH(E1807),1)</f>
        <v>46266</v>
      </c>
      <c r="G1807" s="23" t="n">
        <v>151259</v>
      </c>
      <c r="H1807" s="8" t="s">
        <v>61</v>
      </c>
      <c r="I1807" s="24" t="n">
        <v>3611.38</v>
      </c>
      <c r="J1807" s="25" t="n">
        <f aca="false">Summary!$B$4</f>
        <v>1</v>
      </c>
      <c r="K1807" s="11" t="n">
        <f aca="false">I1807*J1807*IF(A1807="SILVER",Summary!$B$5,Summary!$B$6)</f>
        <v>361138</v>
      </c>
      <c r="L1807" s="26" t="n">
        <v>2.908</v>
      </c>
      <c r="M1807" s="27" t="n">
        <f aca="false">IF(K1807&gt;0,1,0)</f>
        <v>1</v>
      </c>
      <c r="N1807" s="11" t="n">
        <f aca="false">SUMIFS(K$2:K1807,A$2:A1807,A1807,B$2:B1807,B1807)</f>
        <v>4567340</v>
      </c>
      <c r="O1807" s="11" t="n">
        <f aca="false">MAX(0,_xlfn.MAXIFS(N$2:N1807,A$2:A1807,A1807,B$2:B1807,B1807))</f>
        <v>4567340</v>
      </c>
      <c r="P1807" s="11" t="n">
        <f aca="false">N1807-O1807</f>
        <v>0</v>
      </c>
    </row>
    <row r="1808" customFormat="false" ht="15" hidden="false" customHeight="false" outlineLevel="0" collapsed="false">
      <c r="A1808" s="8" t="s">
        <v>45</v>
      </c>
      <c r="B1808" s="8" t="s">
        <v>41</v>
      </c>
      <c r="C1808" s="8" t="s">
        <v>60</v>
      </c>
      <c r="D1808" s="21" t="n">
        <v>46269.5555555556</v>
      </c>
      <c r="E1808" s="21" t="n">
        <v>46269.7534722222</v>
      </c>
      <c r="F1808" s="22" t="n">
        <f aca="false">DATE(YEAR(E1808),MONTH(E1808),1)</f>
        <v>46266</v>
      </c>
      <c r="G1808" s="23" t="n">
        <v>155616</v>
      </c>
      <c r="H1808" s="8" t="s">
        <v>61</v>
      </c>
      <c r="I1808" s="24" t="n">
        <v>-3297.81</v>
      </c>
      <c r="J1808" s="25" t="n">
        <f aca="false">Summary!$B$4</f>
        <v>1</v>
      </c>
      <c r="K1808" s="11" t="n">
        <f aca="false">I1808*J1808*IF(A1808="SILVER",Summary!$B$5,Summary!$B$6)</f>
        <v>-329781</v>
      </c>
      <c r="L1808" s="26" t="n">
        <v>-3.644</v>
      </c>
      <c r="M1808" s="27" t="n">
        <f aca="false">IF(K1808&gt;0,1,0)</f>
        <v>0</v>
      </c>
      <c r="N1808" s="11" t="n">
        <f aca="false">SUMIFS(K$2:K1808,A$2:A1808,A1808,B$2:B1808,B1808)</f>
        <v>4237559</v>
      </c>
      <c r="O1808" s="11" t="n">
        <f aca="false">MAX(0,_xlfn.MAXIFS(N$2:N1808,A$2:A1808,A1808,B$2:B1808,B1808))</f>
        <v>4567340</v>
      </c>
      <c r="P1808" s="11" t="n">
        <f aca="false">N1808-O1808</f>
        <v>-329781</v>
      </c>
    </row>
    <row r="1809" customFormat="false" ht="15" hidden="false" customHeight="false" outlineLevel="0" collapsed="false">
      <c r="A1809" s="8" t="s">
        <v>45</v>
      </c>
      <c r="B1809" s="8" t="s">
        <v>41</v>
      </c>
      <c r="C1809" s="8" t="s">
        <v>60</v>
      </c>
      <c r="D1809" s="21" t="n">
        <v>46272.5763888889</v>
      </c>
      <c r="E1809" s="21" t="n">
        <v>46273.4805555556</v>
      </c>
      <c r="F1809" s="22" t="n">
        <f aca="false">DATE(YEAR(E1809),MONTH(E1809),1)</f>
        <v>46266</v>
      </c>
      <c r="G1809" s="23" t="n">
        <v>153192</v>
      </c>
      <c r="H1809" s="8" t="s">
        <v>64</v>
      </c>
      <c r="I1809" s="24" t="n">
        <v>67.79</v>
      </c>
      <c r="J1809" s="25" t="n">
        <f aca="false">Summary!$B$4</f>
        <v>1</v>
      </c>
      <c r="K1809" s="11" t="n">
        <f aca="false">I1809*J1809*IF(A1809="SILVER",Summary!$B$5,Summary!$B$6)</f>
        <v>6779</v>
      </c>
      <c r="L1809" s="26" t="n">
        <v>0.063</v>
      </c>
      <c r="M1809" s="27" t="n">
        <f aca="false">IF(K1809&gt;0,1,0)</f>
        <v>1</v>
      </c>
      <c r="N1809" s="11" t="n">
        <f aca="false">SUMIFS(K$2:K1809,A$2:A1809,A1809,B$2:B1809,B1809)</f>
        <v>4244338</v>
      </c>
      <c r="O1809" s="11" t="n">
        <f aca="false">MAX(0,_xlfn.MAXIFS(N$2:N1809,A$2:A1809,A1809,B$2:B1809,B1809))</f>
        <v>4567340</v>
      </c>
      <c r="P1809" s="11" t="n">
        <f aca="false">N1809-O1809</f>
        <v>-323002</v>
      </c>
    </row>
    <row r="1810" customFormat="false" ht="15" hidden="false" customHeight="false" outlineLevel="0" collapsed="false">
      <c r="A1810" s="8" t="s">
        <v>45</v>
      </c>
      <c r="B1810" s="8" t="s">
        <v>41</v>
      </c>
      <c r="C1810" s="8" t="s">
        <v>60</v>
      </c>
      <c r="D1810" s="21" t="n">
        <v>46274.4652777778</v>
      </c>
      <c r="E1810" s="21" t="n">
        <v>46274.4986111111</v>
      </c>
      <c r="F1810" s="22" t="n">
        <f aca="false">DATE(YEAR(E1810),MONTH(E1810),1)</f>
        <v>46266</v>
      </c>
      <c r="G1810" s="23" t="n">
        <v>153150</v>
      </c>
      <c r="H1810" s="8" t="s">
        <v>64</v>
      </c>
      <c r="I1810" s="24" t="n">
        <v>43.7</v>
      </c>
      <c r="J1810" s="25" t="n">
        <f aca="false">Summary!$B$4</f>
        <v>1</v>
      </c>
      <c r="K1810" s="11" t="n">
        <f aca="false">I1810*J1810*IF(A1810="SILVER",Summary!$B$5,Summary!$B$6)</f>
        <v>4370</v>
      </c>
      <c r="L1810" s="26" t="n">
        <v>0.052</v>
      </c>
      <c r="M1810" s="27" t="n">
        <f aca="false">IF(K1810&gt;0,1,0)</f>
        <v>1</v>
      </c>
      <c r="N1810" s="11" t="n">
        <f aca="false">SUMIFS(K$2:K1810,A$2:A1810,A1810,B$2:B1810,B1810)</f>
        <v>4248708</v>
      </c>
      <c r="O1810" s="11" t="n">
        <f aca="false">MAX(0,_xlfn.MAXIFS(N$2:N1810,A$2:A1810,A1810,B$2:B1810,B1810))</f>
        <v>4567340</v>
      </c>
      <c r="P1810" s="11" t="n">
        <f aca="false">N1810-O1810</f>
        <v>-318632</v>
      </c>
    </row>
    <row r="1811" customFormat="false" ht="15" hidden="false" customHeight="false" outlineLevel="0" collapsed="false">
      <c r="A1811" s="8" t="s">
        <v>45</v>
      </c>
      <c r="B1811" s="8" t="s">
        <v>41</v>
      </c>
      <c r="C1811" s="8" t="s">
        <v>60</v>
      </c>
      <c r="D1811" s="21" t="n">
        <v>46276.46875</v>
      </c>
      <c r="E1811" s="21" t="n">
        <v>46276.5444444444</v>
      </c>
      <c r="F1811" s="22" t="n">
        <f aca="false">DATE(YEAR(E1811),MONTH(E1811),1)</f>
        <v>46266</v>
      </c>
      <c r="G1811" s="23" t="n">
        <v>152115</v>
      </c>
      <c r="H1811" s="8" t="s">
        <v>64</v>
      </c>
      <c r="I1811" s="24" t="n">
        <v>83.14</v>
      </c>
      <c r="J1811" s="25" t="n">
        <f aca="false">Summary!$B$4</f>
        <v>1</v>
      </c>
      <c r="K1811" s="11" t="n">
        <f aca="false">I1811*J1811*IF(A1811="SILVER",Summary!$B$5,Summary!$B$6)</f>
        <v>8314</v>
      </c>
      <c r="L1811" s="26" t="n">
        <v>0.067</v>
      </c>
      <c r="M1811" s="27" t="n">
        <f aca="false">IF(K1811&gt;0,1,0)</f>
        <v>1</v>
      </c>
      <c r="N1811" s="11" t="n">
        <f aca="false">SUMIFS(K$2:K1811,A$2:A1811,A1811,B$2:B1811,B1811)</f>
        <v>4257022</v>
      </c>
      <c r="O1811" s="11" t="n">
        <f aca="false">MAX(0,_xlfn.MAXIFS(N$2:N1811,A$2:A1811,A1811,B$2:B1811,B1811))</f>
        <v>4567340</v>
      </c>
      <c r="P1811" s="11" t="n">
        <f aca="false">N1811-O1811</f>
        <v>-310318</v>
      </c>
    </row>
    <row r="1812" customFormat="false" ht="15" hidden="false" customHeight="false" outlineLevel="0" collapsed="false">
      <c r="A1812" s="8" t="s">
        <v>45</v>
      </c>
      <c r="B1812" s="8" t="s">
        <v>41</v>
      </c>
      <c r="C1812" s="8" t="s">
        <v>60</v>
      </c>
      <c r="D1812" s="21" t="n">
        <v>46276.7569444445</v>
      </c>
      <c r="E1812" s="21" t="n">
        <v>46276.8631944444</v>
      </c>
      <c r="F1812" s="22" t="n">
        <f aca="false">DATE(YEAR(E1812),MONTH(E1812),1)</f>
        <v>46266</v>
      </c>
      <c r="G1812" s="23" t="n">
        <v>152644</v>
      </c>
      <c r="H1812" s="8" t="s">
        <v>64</v>
      </c>
      <c r="I1812" s="24" t="n">
        <v>95.46</v>
      </c>
      <c r="J1812" s="25" t="n">
        <f aca="false">Summary!$B$4</f>
        <v>1</v>
      </c>
      <c r="K1812" s="11" t="n">
        <f aca="false">I1812*J1812*IF(A1812="SILVER",Summary!$B$5,Summary!$B$6)</f>
        <v>9546</v>
      </c>
      <c r="L1812" s="26" t="n">
        <v>0.062</v>
      </c>
      <c r="M1812" s="27" t="n">
        <f aca="false">IF(K1812&gt;0,1,0)</f>
        <v>1</v>
      </c>
      <c r="N1812" s="11" t="n">
        <f aca="false">SUMIFS(K$2:K1812,A$2:A1812,A1812,B$2:B1812,B1812)</f>
        <v>4266568</v>
      </c>
      <c r="O1812" s="11" t="n">
        <f aca="false">MAX(0,_xlfn.MAXIFS(N$2:N1812,A$2:A1812,A1812,B$2:B1812,B1812))</f>
        <v>4567340</v>
      </c>
      <c r="P1812" s="11" t="n">
        <f aca="false">N1812-O1812</f>
        <v>-300772</v>
      </c>
    </row>
    <row r="1813" customFormat="false" ht="15" hidden="false" customHeight="false" outlineLevel="0" collapsed="false">
      <c r="A1813" s="8" t="s">
        <v>45</v>
      </c>
      <c r="B1813" s="8" t="s">
        <v>41</v>
      </c>
      <c r="C1813" s="8" t="s">
        <v>60</v>
      </c>
      <c r="D1813" s="21" t="n">
        <v>46280.7673611111</v>
      </c>
      <c r="E1813" s="21" t="n">
        <v>46282.375</v>
      </c>
      <c r="F1813" s="22" t="n">
        <f aca="false">DATE(YEAR(E1813),MONTH(E1813),1)</f>
        <v>46266</v>
      </c>
      <c r="G1813" s="23" t="n">
        <v>150863</v>
      </c>
      <c r="H1813" s="8" t="s">
        <v>64</v>
      </c>
      <c r="I1813" s="24" t="n">
        <v>-390.18</v>
      </c>
      <c r="J1813" s="25" t="n">
        <f aca="false">Summary!$B$4</f>
        <v>1</v>
      </c>
      <c r="K1813" s="11" t="n">
        <f aca="false">I1813*J1813*IF(A1813="SILVER",Summary!$B$5,Summary!$B$6)</f>
        <v>-39018</v>
      </c>
      <c r="L1813" s="26" t="n">
        <v>-0.466</v>
      </c>
      <c r="M1813" s="27" t="n">
        <f aca="false">IF(K1813&gt;0,1,0)</f>
        <v>0</v>
      </c>
      <c r="N1813" s="11" t="n">
        <f aca="false">SUMIFS(K$2:K1813,A$2:A1813,A1813,B$2:B1813,B1813)</f>
        <v>4227550</v>
      </c>
      <c r="O1813" s="11" t="n">
        <f aca="false">MAX(0,_xlfn.MAXIFS(N$2:N1813,A$2:A1813,A1813,B$2:B1813,B1813))</f>
        <v>4567340</v>
      </c>
      <c r="P1813" s="11" t="n">
        <f aca="false">N1813-O1813</f>
        <v>-339790</v>
      </c>
    </row>
    <row r="1814" customFormat="false" ht="15" hidden="false" customHeight="false" outlineLevel="0" collapsed="false">
      <c r="A1814" s="8" t="s">
        <v>45</v>
      </c>
      <c r="B1814" s="8" t="s">
        <v>41</v>
      </c>
      <c r="C1814" s="8" t="s">
        <v>60</v>
      </c>
      <c r="D1814" s="21" t="n">
        <v>46282.53125</v>
      </c>
      <c r="E1814" s="21" t="n">
        <v>46283.7256944445</v>
      </c>
      <c r="F1814" s="22" t="n">
        <f aca="false">DATE(YEAR(E1814),MONTH(E1814),1)</f>
        <v>46266</v>
      </c>
      <c r="G1814" s="23" t="n">
        <v>151655</v>
      </c>
      <c r="H1814" s="8" t="s">
        <v>61</v>
      </c>
      <c r="I1814" s="24" t="n">
        <v>2095.46</v>
      </c>
      <c r="J1814" s="25" t="n">
        <f aca="false">Summary!$B$4</f>
        <v>1</v>
      </c>
      <c r="K1814" s="11" t="n">
        <f aca="false">I1814*J1814*IF(A1814="SILVER",Summary!$B$5,Summary!$B$6)</f>
        <v>209546</v>
      </c>
      <c r="L1814" s="26" t="n">
        <v>2.177</v>
      </c>
      <c r="M1814" s="27" t="n">
        <f aca="false">IF(K1814&gt;0,1,0)</f>
        <v>1</v>
      </c>
      <c r="N1814" s="11" t="n">
        <f aca="false">SUMIFS(K$2:K1814,A$2:A1814,A1814,B$2:B1814,B1814)</f>
        <v>4437096</v>
      </c>
      <c r="O1814" s="11" t="n">
        <f aca="false">MAX(0,_xlfn.MAXIFS(N$2:N1814,A$2:A1814,A1814,B$2:B1814,B1814))</f>
        <v>4567340</v>
      </c>
      <c r="P1814" s="11" t="n">
        <f aca="false">N1814-O1814</f>
        <v>-130244</v>
      </c>
    </row>
    <row r="1815" customFormat="false" ht="15" hidden="false" customHeight="false" outlineLevel="0" collapsed="false">
      <c r="A1815" s="8" t="s">
        <v>45</v>
      </c>
      <c r="B1815" s="8" t="s">
        <v>41</v>
      </c>
      <c r="C1815" s="8" t="s">
        <v>60</v>
      </c>
      <c r="D1815" s="21" t="n">
        <v>46283.9201388889</v>
      </c>
      <c r="E1815" s="21" t="n">
        <v>46286.3923611111</v>
      </c>
      <c r="F1815" s="22" t="n">
        <f aca="false">DATE(YEAR(E1815),MONTH(E1815),1)</f>
        <v>46266</v>
      </c>
      <c r="G1815" s="23" t="n">
        <v>154200</v>
      </c>
      <c r="H1815" s="8" t="s">
        <v>61</v>
      </c>
      <c r="I1815" s="24" t="n">
        <v>-600.79</v>
      </c>
      <c r="J1815" s="25" t="n">
        <f aca="false">Summary!$B$4</f>
        <v>1</v>
      </c>
      <c r="K1815" s="11" t="n">
        <f aca="false">I1815*J1815*IF(A1815="SILVER",Summary!$B$5,Summary!$B$6)</f>
        <v>-60079</v>
      </c>
      <c r="L1815" s="26" t="n">
        <v>-0.618</v>
      </c>
      <c r="M1815" s="27" t="n">
        <f aca="false">IF(K1815&gt;0,1,0)</f>
        <v>0</v>
      </c>
      <c r="N1815" s="11" t="n">
        <f aca="false">SUMIFS(K$2:K1815,A$2:A1815,A1815,B$2:B1815,B1815)</f>
        <v>4377017</v>
      </c>
      <c r="O1815" s="11" t="n">
        <f aca="false">MAX(0,_xlfn.MAXIFS(N$2:N1815,A$2:A1815,A1815,B$2:B1815,B1815))</f>
        <v>4567340</v>
      </c>
      <c r="P1815" s="11" t="n">
        <f aca="false">N1815-O1815</f>
        <v>-190323</v>
      </c>
    </row>
    <row r="1816" customFormat="false" ht="15" hidden="false" customHeight="false" outlineLevel="0" collapsed="false">
      <c r="A1816" s="8" t="s">
        <v>45</v>
      </c>
      <c r="B1816" s="8" t="s">
        <v>41</v>
      </c>
      <c r="C1816" s="8" t="s">
        <v>60</v>
      </c>
      <c r="D1816" s="21" t="n">
        <v>46286.7256944445</v>
      </c>
      <c r="E1816" s="21" t="n">
        <v>46286.8159722222</v>
      </c>
      <c r="F1816" s="22" t="n">
        <f aca="false">DATE(YEAR(E1816),MONTH(E1816),1)</f>
        <v>46266</v>
      </c>
      <c r="G1816" s="23" t="n">
        <v>154040</v>
      </c>
      <c r="H1816" s="8" t="s">
        <v>61</v>
      </c>
      <c r="I1816" s="24" t="n">
        <v>-939.72</v>
      </c>
      <c r="J1816" s="25" t="n">
        <f aca="false">Summary!$B$4</f>
        <v>1</v>
      </c>
      <c r="K1816" s="11" t="n">
        <f aca="false">I1816*J1816*IF(A1816="SILVER",Summary!$B$5,Summary!$B$6)</f>
        <v>-93972</v>
      </c>
      <c r="L1816" s="26" t="n">
        <v>-1.295</v>
      </c>
      <c r="M1816" s="27" t="n">
        <f aca="false">IF(K1816&gt;0,1,0)</f>
        <v>0</v>
      </c>
      <c r="N1816" s="11" t="n">
        <f aca="false">SUMIFS(K$2:K1816,A$2:A1816,A1816,B$2:B1816,B1816)</f>
        <v>4283045</v>
      </c>
      <c r="O1816" s="11" t="n">
        <f aca="false">MAX(0,_xlfn.MAXIFS(N$2:N1816,A$2:A1816,A1816,B$2:B1816,B1816))</f>
        <v>4567340</v>
      </c>
      <c r="P1816" s="11" t="n">
        <f aca="false">N1816-O1816</f>
        <v>-284295</v>
      </c>
    </row>
    <row r="1817" customFormat="false" ht="15" hidden="false" customHeight="false" outlineLevel="0" collapsed="false">
      <c r="A1817" s="8" t="s">
        <v>45</v>
      </c>
      <c r="B1817" s="8" t="s">
        <v>41</v>
      </c>
      <c r="C1817" s="8" t="s">
        <v>60</v>
      </c>
      <c r="D1817" s="21" t="n">
        <v>46287.5972222222</v>
      </c>
      <c r="E1817" s="21" t="n">
        <v>46288.5243055556</v>
      </c>
      <c r="F1817" s="22" t="n">
        <f aca="false">DATE(YEAR(E1817),MONTH(E1817),1)</f>
        <v>46266</v>
      </c>
      <c r="G1817" s="23" t="n">
        <v>152503</v>
      </c>
      <c r="H1817" s="8" t="s">
        <v>61</v>
      </c>
      <c r="I1817" s="24" t="n">
        <v>-208.5</v>
      </c>
      <c r="J1817" s="25" t="n">
        <f aca="false">Summary!$B$4</f>
        <v>1</v>
      </c>
      <c r="K1817" s="11" t="n">
        <f aca="false">I1817*J1817*IF(A1817="SILVER",Summary!$B$5,Summary!$B$6)</f>
        <v>-20850</v>
      </c>
      <c r="L1817" s="26" t="n">
        <v>-0.183</v>
      </c>
      <c r="M1817" s="27" t="n">
        <f aca="false">IF(K1817&gt;0,1,0)</f>
        <v>0</v>
      </c>
      <c r="N1817" s="11" t="n">
        <f aca="false">SUMIFS(K$2:K1817,A$2:A1817,A1817,B$2:B1817,B1817)</f>
        <v>4262195</v>
      </c>
      <c r="O1817" s="11" t="n">
        <f aca="false">MAX(0,_xlfn.MAXIFS(N$2:N1817,A$2:A1817,A1817,B$2:B1817,B1817))</f>
        <v>4567340</v>
      </c>
      <c r="P1817" s="11" t="n">
        <f aca="false">N1817-O1817</f>
        <v>-305145</v>
      </c>
    </row>
    <row r="1818" customFormat="false" ht="15" hidden="false" customHeight="false" outlineLevel="0" collapsed="false">
      <c r="A1818" s="8" t="s">
        <v>45</v>
      </c>
      <c r="B1818" s="8" t="s">
        <v>43</v>
      </c>
      <c r="C1818" s="8" t="s">
        <v>60</v>
      </c>
      <c r="D1818" s="21" t="n">
        <v>45693.3909722222</v>
      </c>
      <c r="E1818" s="21" t="n">
        <v>45694.5590277778</v>
      </c>
      <c r="F1818" s="22" t="n">
        <f aca="false">DATE(YEAR(E1818),MONTH(E1818),1)</f>
        <v>45689</v>
      </c>
      <c r="G1818" s="23" t="n">
        <v>104684</v>
      </c>
      <c r="H1818" s="8" t="s">
        <v>61</v>
      </c>
      <c r="I1818" s="24" t="n">
        <v>214.3</v>
      </c>
      <c r="J1818" s="25" t="n">
        <f aca="false">Summary!$B$4</f>
        <v>1</v>
      </c>
      <c r="K1818" s="11" t="n">
        <f aca="false">I1818*J1818*IF(A1818="SILVER",Summary!$B$5,Summary!$B$6)</f>
        <v>21430</v>
      </c>
      <c r="L1818" s="26" t="n">
        <v>0.182</v>
      </c>
      <c r="M1818" s="27" t="n">
        <f aca="false">IF(K1818&gt;0,1,0)</f>
        <v>1</v>
      </c>
      <c r="N1818" s="11" t="n">
        <f aca="false">SUMIFS(K$2:K1818,A$2:A1818,A1818,B$2:B1818,B1818)</f>
        <v>21430</v>
      </c>
      <c r="O1818" s="11" t="n">
        <f aca="false">MAX(0,_xlfn.MAXIFS(N$2:N1818,A$2:A1818,A1818,B$2:B1818,B1818))</f>
        <v>21430</v>
      </c>
      <c r="P1818" s="11" t="n">
        <f aca="false">N1818-O1818</f>
        <v>0</v>
      </c>
    </row>
    <row r="1819" customFormat="false" ht="15" hidden="false" customHeight="false" outlineLevel="0" collapsed="false">
      <c r="A1819" s="8" t="s">
        <v>45</v>
      </c>
      <c r="B1819" s="8" t="s">
        <v>43</v>
      </c>
      <c r="C1819" s="8" t="s">
        <v>60</v>
      </c>
      <c r="D1819" s="21" t="n">
        <v>45694.68125</v>
      </c>
      <c r="E1819" s="21" t="n">
        <v>45694.76875</v>
      </c>
      <c r="F1819" s="22" t="n">
        <f aca="false">DATE(YEAR(E1819),MONTH(E1819),1)</f>
        <v>45689</v>
      </c>
      <c r="G1819" s="23" t="n">
        <v>105173</v>
      </c>
      <c r="H1819" s="8" t="s">
        <v>64</v>
      </c>
      <c r="I1819" s="24" t="n">
        <v>20.84</v>
      </c>
      <c r="J1819" s="25" t="n">
        <f aca="false">Summary!$B$4</f>
        <v>1</v>
      </c>
      <c r="K1819" s="11" t="n">
        <f aca="false">I1819*J1819*IF(A1819="SILVER",Summary!$B$5,Summary!$B$6)</f>
        <v>2084</v>
      </c>
      <c r="L1819" s="26" t="n">
        <v>0.065</v>
      </c>
      <c r="M1819" s="27" t="n">
        <f aca="false">IF(K1819&gt;0,1,0)</f>
        <v>1</v>
      </c>
      <c r="N1819" s="11" t="n">
        <f aca="false">SUMIFS(K$2:K1819,A$2:A1819,A1819,B$2:B1819,B1819)</f>
        <v>23514</v>
      </c>
      <c r="O1819" s="11" t="n">
        <f aca="false">MAX(0,_xlfn.MAXIFS(N$2:N1819,A$2:A1819,A1819,B$2:B1819,B1819))</f>
        <v>23514</v>
      </c>
      <c r="P1819" s="11" t="n">
        <f aca="false">N1819-O1819</f>
        <v>0</v>
      </c>
    </row>
    <row r="1820" customFormat="false" ht="15" hidden="false" customHeight="false" outlineLevel="0" collapsed="false">
      <c r="A1820" s="8" t="s">
        <v>45</v>
      </c>
      <c r="B1820" s="8" t="s">
        <v>43</v>
      </c>
      <c r="C1820" s="8" t="s">
        <v>60</v>
      </c>
      <c r="D1820" s="21" t="n">
        <v>45695.3784722222</v>
      </c>
      <c r="E1820" s="21" t="n">
        <v>45695.9381944445</v>
      </c>
      <c r="F1820" s="22" t="n">
        <f aca="false">DATE(YEAR(E1820),MONTH(E1820),1)</f>
        <v>45689</v>
      </c>
      <c r="G1820" s="23" t="n">
        <v>105237</v>
      </c>
      <c r="H1820" s="8" t="s">
        <v>64</v>
      </c>
      <c r="I1820" s="24" t="n">
        <v>30.07</v>
      </c>
      <c r="J1820" s="25" t="n">
        <f aca="false">Summary!$B$4</f>
        <v>1</v>
      </c>
      <c r="K1820" s="11" t="n">
        <f aca="false">I1820*J1820*IF(A1820="SILVER",Summary!$B$5,Summary!$B$6)</f>
        <v>3007</v>
      </c>
      <c r="L1820" s="26" t="n">
        <v>0.079</v>
      </c>
      <c r="M1820" s="27" t="n">
        <f aca="false">IF(K1820&gt;0,1,0)</f>
        <v>1</v>
      </c>
      <c r="N1820" s="11" t="n">
        <f aca="false">SUMIFS(K$2:K1820,A$2:A1820,A1820,B$2:B1820,B1820)</f>
        <v>26521</v>
      </c>
      <c r="O1820" s="11" t="n">
        <f aca="false">MAX(0,_xlfn.MAXIFS(N$2:N1820,A$2:A1820,A1820,B$2:B1820,B1820))</f>
        <v>26521</v>
      </c>
      <c r="P1820" s="11" t="n">
        <f aca="false">N1820-O1820</f>
        <v>0</v>
      </c>
    </row>
    <row r="1821" customFormat="false" ht="15" hidden="false" customHeight="false" outlineLevel="0" collapsed="false">
      <c r="A1821" s="8" t="s">
        <v>45</v>
      </c>
      <c r="B1821" s="8" t="s">
        <v>43</v>
      </c>
      <c r="C1821" s="8" t="s">
        <v>60</v>
      </c>
      <c r="D1821" s="21" t="n">
        <v>45698.3784722222</v>
      </c>
      <c r="E1821" s="21" t="n">
        <v>45699.3958333333</v>
      </c>
      <c r="F1821" s="22" t="n">
        <f aca="false">DATE(YEAR(E1821),MONTH(E1821),1)</f>
        <v>45689</v>
      </c>
      <c r="G1821" s="23" t="n">
        <v>105862</v>
      </c>
      <c r="H1821" s="8" t="s">
        <v>61</v>
      </c>
      <c r="I1821" s="24" t="n">
        <v>456.89</v>
      </c>
      <c r="J1821" s="25" t="n">
        <f aca="false">Summary!$B$4</f>
        <v>1</v>
      </c>
      <c r="K1821" s="11" t="n">
        <f aca="false">I1821*J1821*IF(A1821="SILVER",Summary!$B$5,Summary!$B$6)</f>
        <v>45689</v>
      </c>
      <c r="L1821" s="26" t="n">
        <v>0.654</v>
      </c>
      <c r="M1821" s="27" t="n">
        <f aca="false">IF(K1821&gt;0,1,0)</f>
        <v>1</v>
      </c>
      <c r="N1821" s="11" t="n">
        <f aca="false">SUMIFS(K$2:K1821,A$2:A1821,A1821,B$2:B1821,B1821)</f>
        <v>72210</v>
      </c>
      <c r="O1821" s="11" t="n">
        <f aca="false">MAX(0,_xlfn.MAXIFS(N$2:N1821,A$2:A1821,A1821,B$2:B1821,B1821))</f>
        <v>72210</v>
      </c>
      <c r="P1821" s="11" t="n">
        <f aca="false">N1821-O1821</f>
        <v>0</v>
      </c>
    </row>
    <row r="1822" customFormat="false" ht="15" hidden="false" customHeight="false" outlineLevel="0" collapsed="false">
      <c r="A1822" s="8" t="s">
        <v>45</v>
      </c>
      <c r="B1822" s="8" t="s">
        <v>43</v>
      </c>
      <c r="C1822" s="8" t="s">
        <v>60</v>
      </c>
      <c r="D1822" s="21" t="n">
        <v>45699.8333333333</v>
      </c>
      <c r="E1822" s="21" t="n">
        <v>45700.3784722222</v>
      </c>
      <c r="F1822" s="22" t="n">
        <f aca="false">DATE(YEAR(E1822),MONTH(E1822),1)</f>
        <v>45689</v>
      </c>
      <c r="G1822" s="23" t="n">
        <v>106002</v>
      </c>
      <c r="H1822" s="8" t="s">
        <v>61</v>
      </c>
      <c r="I1822" s="24" t="n">
        <v>-587.03</v>
      </c>
      <c r="J1822" s="25" t="n">
        <f aca="false">Summary!$B$4</f>
        <v>1</v>
      </c>
      <c r="K1822" s="11" t="n">
        <f aca="false">I1822*J1822*IF(A1822="SILVER",Summary!$B$5,Summary!$B$6)</f>
        <v>-58703</v>
      </c>
      <c r="L1822" s="26" t="n">
        <v>-0.994</v>
      </c>
      <c r="M1822" s="27" t="n">
        <f aca="false">IF(K1822&gt;0,1,0)</f>
        <v>0</v>
      </c>
      <c r="N1822" s="11" t="n">
        <f aca="false">SUMIFS(K$2:K1822,A$2:A1822,A1822,B$2:B1822,B1822)</f>
        <v>13507</v>
      </c>
      <c r="O1822" s="11" t="n">
        <f aca="false">MAX(0,_xlfn.MAXIFS(N$2:N1822,A$2:A1822,A1822,B$2:B1822,B1822))</f>
        <v>72210</v>
      </c>
      <c r="P1822" s="11" t="n">
        <f aca="false">N1822-O1822</f>
        <v>-58703</v>
      </c>
    </row>
    <row r="1823" customFormat="false" ht="15" hidden="false" customHeight="false" outlineLevel="0" collapsed="false">
      <c r="A1823" s="8" t="s">
        <v>45</v>
      </c>
      <c r="B1823" s="8" t="s">
        <v>43</v>
      </c>
      <c r="C1823" s="8" t="s">
        <v>60</v>
      </c>
      <c r="D1823" s="21" t="n">
        <v>45700.5277777778</v>
      </c>
      <c r="E1823" s="21" t="n">
        <v>45700.6979166667</v>
      </c>
      <c r="F1823" s="22" t="n">
        <f aca="false">DATE(YEAR(E1823),MONTH(E1823),1)</f>
        <v>45689</v>
      </c>
      <c r="G1823" s="23" t="n">
        <v>105762</v>
      </c>
      <c r="H1823" s="8" t="s">
        <v>61</v>
      </c>
      <c r="I1823" s="24" t="n">
        <v>-389.01</v>
      </c>
      <c r="J1823" s="25" t="n">
        <f aca="false">Summary!$B$4</f>
        <v>1</v>
      </c>
      <c r="K1823" s="11" t="n">
        <f aca="false">I1823*J1823*IF(A1823="SILVER",Summary!$B$5,Summary!$B$6)</f>
        <v>-38901</v>
      </c>
      <c r="L1823" s="26" t="n">
        <v>-1.146</v>
      </c>
      <c r="M1823" s="27" t="n">
        <f aca="false">IF(K1823&gt;0,1,0)</f>
        <v>0</v>
      </c>
      <c r="N1823" s="11" t="n">
        <f aca="false">SUMIFS(K$2:K1823,A$2:A1823,A1823,B$2:B1823,B1823)</f>
        <v>-25394</v>
      </c>
      <c r="O1823" s="11" t="n">
        <f aca="false">MAX(0,_xlfn.MAXIFS(N$2:N1823,A$2:A1823,A1823,B$2:B1823,B1823))</f>
        <v>72210</v>
      </c>
      <c r="P1823" s="11" t="n">
        <f aca="false">N1823-O1823</f>
        <v>-97604</v>
      </c>
    </row>
    <row r="1824" customFormat="false" ht="15" hidden="false" customHeight="false" outlineLevel="0" collapsed="false">
      <c r="A1824" s="8" t="s">
        <v>45</v>
      </c>
      <c r="B1824" s="8" t="s">
        <v>43</v>
      </c>
      <c r="C1824" s="8" t="s">
        <v>60</v>
      </c>
      <c r="D1824" s="21" t="n">
        <v>45700.8125</v>
      </c>
      <c r="E1824" s="21" t="n">
        <v>45700.8472222222</v>
      </c>
      <c r="F1824" s="22" t="n">
        <f aca="false">DATE(YEAR(E1824),MONTH(E1824),1)</f>
        <v>45689</v>
      </c>
      <c r="G1824" s="23" t="n">
        <v>105686</v>
      </c>
      <c r="H1824" s="8" t="s">
        <v>64</v>
      </c>
      <c r="I1824" s="24" t="n">
        <v>72.77</v>
      </c>
      <c r="J1824" s="25" t="n">
        <f aca="false">Summary!$B$4</f>
        <v>1</v>
      </c>
      <c r="K1824" s="11" t="n">
        <f aca="false">I1824*J1824*IF(A1824="SILVER",Summary!$B$5,Summary!$B$6)</f>
        <v>7277</v>
      </c>
      <c r="L1824" s="26" t="n">
        <v>0.109</v>
      </c>
      <c r="M1824" s="27" t="n">
        <f aca="false">IF(K1824&gt;0,1,0)</f>
        <v>1</v>
      </c>
      <c r="N1824" s="11" t="n">
        <f aca="false">SUMIFS(K$2:K1824,A$2:A1824,A1824,B$2:B1824,B1824)</f>
        <v>-18117</v>
      </c>
      <c r="O1824" s="11" t="n">
        <f aca="false">MAX(0,_xlfn.MAXIFS(N$2:N1824,A$2:A1824,A1824,B$2:B1824,B1824))</f>
        <v>72210</v>
      </c>
      <c r="P1824" s="11" t="n">
        <f aca="false">N1824-O1824</f>
        <v>-90327</v>
      </c>
    </row>
    <row r="1825" customFormat="false" ht="15" hidden="false" customHeight="false" outlineLevel="0" collapsed="false">
      <c r="A1825" s="8" t="s">
        <v>45</v>
      </c>
      <c r="B1825" s="8" t="s">
        <v>43</v>
      </c>
      <c r="C1825" s="8" t="s">
        <v>60</v>
      </c>
      <c r="D1825" s="21" t="n">
        <v>45700.9340277778</v>
      </c>
      <c r="E1825" s="21" t="n">
        <v>45700.95</v>
      </c>
      <c r="F1825" s="22" t="n">
        <f aca="false">DATE(YEAR(E1825),MONTH(E1825),1)</f>
        <v>45689</v>
      </c>
      <c r="G1825" s="23" t="n">
        <v>106022</v>
      </c>
      <c r="H1825" s="8" t="s">
        <v>64</v>
      </c>
      <c r="I1825" s="24" t="n">
        <v>37.96</v>
      </c>
      <c r="J1825" s="25" t="n">
        <f aca="false">Summary!$B$4</f>
        <v>1</v>
      </c>
      <c r="K1825" s="11" t="n">
        <f aca="false">I1825*J1825*IF(A1825="SILVER",Summary!$B$5,Summary!$B$6)</f>
        <v>3796</v>
      </c>
      <c r="L1825" s="26" t="n">
        <v>0.088</v>
      </c>
      <c r="M1825" s="27" t="n">
        <f aca="false">IF(K1825&gt;0,1,0)</f>
        <v>1</v>
      </c>
      <c r="N1825" s="11" t="n">
        <f aca="false">SUMIFS(K$2:K1825,A$2:A1825,A1825,B$2:B1825,B1825)</f>
        <v>-14321</v>
      </c>
      <c r="O1825" s="11" t="n">
        <f aca="false">MAX(0,_xlfn.MAXIFS(N$2:N1825,A$2:A1825,A1825,B$2:B1825,B1825))</f>
        <v>72210</v>
      </c>
      <c r="P1825" s="11" t="n">
        <f aca="false">N1825-O1825</f>
        <v>-86531</v>
      </c>
    </row>
    <row r="1826" customFormat="false" ht="15" hidden="false" customHeight="false" outlineLevel="0" collapsed="false">
      <c r="A1826" s="8" t="s">
        <v>45</v>
      </c>
      <c r="B1826" s="8" t="s">
        <v>43</v>
      </c>
      <c r="C1826" s="8" t="s">
        <v>60</v>
      </c>
      <c r="D1826" s="21" t="n">
        <v>45701.3784722222</v>
      </c>
      <c r="E1826" s="21" t="n">
        <v>45701.4708333333</v>
      </c>
      <c r="F1826" s="22" t="n">
        <f aca="false">DATE(YEAR(E1826),MONTH(E1826),1)</f>
        <v>45689</v>
      </c>
      <c r="G1826" s="23" t="n">
        <v>106396</v>
      </c>
      <c r="H1826" s="8" t="s">
        <v>64</v>
      </c>
      <c r="I1826" s="24" t="n">
        <v>46.36</v>
      </c>
      <c r="J1826" s="25" t="n">
        <f aca="false">Summary!$B$4</f>
        <v>1</v>
      </c>
      <c r="K1826" s="11" t="n">
        <f aca="false">I1826*J1826*IF(A1826="SILVER",Summary!$B$5,Summary!$B$6)</f>
        <v>4636</v>
      </c>
      <c r="L1826" s="26" t="n">
        <v>0.095</v>
      </c>
      <c r="M1826" s="27" t="n">
        <f aca="false">IF(K1826&gt;0,1,0)</f>
        <v>1</v>
      </c>
      <c r="N1826" s="11" t="n">
        <f aca="false">SUMIFS(K$2:K1826,A$2:A1826,A1826,B$2:B1826,B1826)</f>
        <v>-9685</v>
      </c>
      <c r="O1826" s="11" t="n">
        <f aca="false">MAX(0,_xlfn.MAXIFS(N$2:N1826,A$2:A1826,A1826,B$2:B1826,B1826))</f>
        <v>72210</v>
      </c>
      <c r="P1826" s="11" t="n">
        <f aca="false">N1826-O1826</f>
        <v>-81895</v>
      </c>
    </row>
    <row r="1827" customFormat="false" ht="15" hidden="false" customHeight="false" outlineLevel="0" collapsed="false">
      <c r="A1827" s="8" t="s">
        <v>45</v>
      </c>
      <c r="B1827" s="8" t="s">
        <v>43</v>
      </c>
      <c r="C1827" s="8" t="s">
        <v>60</v>
      </c>
      <c r="D1827" s="21" t="n">
        <v>45701.7395833333</v>
      </c>
      <c r="E1827" s="21" t="n">
        <v>45701.8055555556</v>
      </c>
      <c r="F1827" s="22" t="n">
        <f aca="false">DATE(YEAR(E1827),MONTH(E1827),1)</f>
        <v>45689</v>
      </c>
      <c r="G1827" s="23" t="n">
        <v>106560</v>
      </c>
      <c r="H1827" s="8" t="s">
        <v>61</v>
      </c>
      <c r="I1827" s="24" t="n">
        <v>-245.18</v>
      </c>
      <c r="J1827" s="25" t="n">
        <f aca="false">Summary!$B$4</f>
        <v>1</v>
      </c>
      <c r="K1827" s="11" t="n">
        <f aca="false">I1827*J1827*IF(A1827="SILVER",Summary!$B$5,Summary!$B$6)</f>
        <v>-24518</v>
      </c>
      <c r="L1827" s="26" t="n">
        <v>-1</v>
      </c>
      <c r="M1827" s="27" t="n">
        <f aca="false">IF(K1827&gt;0,1,0)</f>
        <v>0</v>
      </c>
      <c r="N1827" s="11" t="n">
        <f aca="false">SUMIFS(K$2:K1827,A$2:A1827,A1827,B$2:B1827,B1827)</f>
        <v>-34203</v>
      </c>
      <c r="O1827" s="11" t="n">
        <f aca="false">MAX(0,_xlfn.MAXIFS(N$2:N1827,A$2:A1827,A1827,B$2:B1827,B1827))</f>
        <v>72210</v>
      </c>
      <c r="P1827" s="11" t="n">
        <f aca="false">N1827-O1827</f>
        <v>-106413</v>
      </c>
    </row>
    <row r="1828" customFormat="false" ht="15" hidden="false" customHeight="false" outlineLevel="0" collapsed="false">
      <c r="A1828" s="8" t="s">
        <v>45</v>
      </c>
      <c r="B1828" s="8" t="s">
        <v>43</v>
      </c>
      <c r="C1828" s="8" t="s">
        <v>60</v>
      </c>
      <c r="D1828" s="21" t="n">
        <v>45702.3784722222</v>
      </c>
      <c r="E1828" s="21" t="n">
        <v>45702.7097222222</v>
      </c>
      <c r="F1828" s="22" t="n">
        <f aca="false">DATE(YEAR(E1828),MONTH(E1828),1)</f>
        <v>45689</v>
      </c>
      <c r="G1828" s="23" t="n">
        <v>106632</v>
      </c>
      <c r="H1828" s="8" t="s">
        <v>64</v>
      </c>
      <c r="I1828" s="24" t="n">
        <v>24.29</v>
      </c>
      <c r="J1828" s="25" t="n">
        <f aca="false">Summary!$B$4</f>
        <v>1</v>
      </c>
      <c r="K1828" s="11" t="n">
        <f aca="false">I1828*J1828*IF(A1828="SILVER",Summary!$B$5,Summary!$B$6)</f>
        <v>2429</v>
      </c>
      <c r="L1828" s="26" t="n">
        <v>0.071</v>
      </c>
      <c r="M1828" s="27" t="n">
        <f aca="false">IF(K1828&gt;0,1,0)</f>
        <v>1</v>
      </c>
      <c r="N1828" s="11" t="n">
        <f aca="false">SUMIFS(K$2:K1828,A$2:A1828,A1828,B$2:B1828,B1828)</f>
        <v>-31774</v>
      </c>
      <c r="O1828" s="11" t="n">
        <f aca="false">MAX(0,_xlfn.MAXIFS(N$2:N1828,A$2:A1828,A1828,B$2:B1828,B1828))</f>
        <v>72210</v>
      </c>
      <c r="P1828" s="11" t="n">
        <f aca="false">N1828-O1828</f>
        <v>-103984</v>
      </c>
    </row>
    <row r="1829" customFormat="false" ht="15" hidden="false" customHeight="false" outlineLevel="0" collapsed="false">
      <c r="A1829" s="8" t="s">
        <v>45</v>
      </c>
      <c r="B1829" s="8" t="s">
        <v>43</v>
      </c>
      <c r="C1829" s="8" t="s">
        <v>60</v>
      </c>
      <c r="D1829" s="21" t="n">
        <v>45707.5833333333</v>
      </c>
      <c r="E1829" s="21" t="n">
        <v>45707.7229166667</v>
      </c>
      <c r="F1829" s="22" t="n">
        <f aca="false">DATE(YEAR(E1829),MONTH(E1829),1)</f>
        <v>45689</v>
      </c>
      <c r="G1829" s="23" t="n">
        <v>106912</v>
      </c>
      <c r="H1829" s="8" t="s">
        <v>64</v>
      </c>
      <c r="I1829" s="24" t="n">
        <v>14.19</v>
      </c>
      <c r="J1829" s="25" t="n">
        <f aca="false">Summary!$B$4</f>
        <v>1</v>
      </c>
      <c r="K1829" s="11" t="n">
        <f aca="false">I1829*J1829*IF(A1829="SILVER",Summary!$B$5,Summary!$B$6)</f>
        <v>1419</v>
      </c>
      <c r="L1829" s="26" t="n">
        <v>0.051</v>
      </c>
      <c r="M1829" s="27" t="n">
        <f aca="false">IF(K1829&gt;0,1,0)</f>
        <v>1</v>
      </c>
      <c r="N1829" s="11" t="n">
        <f aca="false">SUMIFS(K$2:K1829,A$2:A1829,A1829,B$2:B1829,B1829)</f>
        <v>-30355</v>
      </c>
      <c r="O1829" s="11" t="n">
        <f aca="false">MAX(0,_xlfn.MAXIFS(N$2:N1829,A$2:A1829,A1829,B$2:B1829,B1829))</f>
        <v>72210</v>
      </c>
      <c r="P1829" s="11" t="n">
        <f aca="false">N1829-O1829</f>
        <v>-102565</v>
      </c>
    </row>
    <row r="1830" customFormat="false" ht="15" hidden="false" customHeight="false" outlineLevel="0" collapsed="false">
      <c r="A1830" s="8" t="s">
        <v>45</v>
      </c>
      <c r="B1830" s="8" t="s">
        <v>43</v>
      </c>
      <c r="C1830" s="8" t="s">
        <v>60</v>
      </c>
      <c r="D1830" s="21" t="n">
        <v>45708.3784722222</v>
      </c>
      <c r="E1830" s="21" t="n">
        <v>45708.7222222222</v>
      </c>
      <c r="F1830" s="22" t="n">
        <f aca="false">DATE(YEAR(E1830),MONTH(E1830),1)</f>
        <v>45689</v>
      </c>
      <c r="G1830" s="23" t="n">
        <v>107012</v>
      </c>
      <c r="H1830" s="8" t="s">
        <v>61</v>
      </c>
      <c r="I1830" s="24" t="n">
        <v>-227.27</v>
      </c>
      <c r="J1830" s="25" t="n">
        <f aca="false">Summary!$B$4</f>
        <v>1</v>
      </c>
      <c r="K1830" s="11" t="n">
        <f aca="false">I1830*J1830*IF(A1830="SILVER",Summary!$B$5,Summary!$B$6)</f>
        <v>-22727</v>
      </c>
      <c r="L1830" s="26" t="n">
        <v>-0.415</v>
      </c>
      <c r="M1830" s="27" t="n">
        <f aca="false">IF(K1830&gt;0,1,0)</f>
        <v>0</v>
      </c>
      <c r="N1830" s="11" t="n">
        <f aca="false">SUMIFS(K$2:K1830,A$2:A1830,A1830,B$2:B1830,B1830)</f>
        <v>-53082</v>
      </c>
      <c r="O1830" s="11" t="n">
        <f aca="false">MAX(0,_xlfn.MAXIFS(N$2:N1830,A$2:A1830,A1830,B$2:B1830,B1830))</f>
        <v>72210</v>
      </c>
      <c r="P1830" s="11" t="n">
        <f aca="false">N1830-O1830</f>
        <v>-125292</v>
      </c>
    </row>
    <row r="1831" customFormat="false" ht="15" hidden="false" customHeight="false" outlineLevel="0" collapsed="false">
      <c r="A1831" s="8" t="s">
        <v>45</v>
      </c>
      <c r="B1831" s="8" t="s">
        <v>43</v>
      </c>
      <c r="C1831" s="8" t="s">
        <v>60</v>
      </c>
      <c r="D1831" s="21" t="n">
        <v>45709.6979166667</v>
      </c>
      <c r="E1831" s="21" t="n">
        <v>45709.8715277778</v>
      </c>
      <c r="F1831" s="22" t="n">
        <f aca="false">DATE(YEAR(E1831),MONTH(E1831),1)</f>
        <v>45689</v>
      </c>
      <c r="G1831" s="23" t="n">
        <v>106440</v>
      </c>
      <c r="H1831" s="8" t="s">
        <v>61</v>
      </c>
      <c r="I1831" s="24" t="n">
        <v>-296.15</v>
      </c>
      <c r="J1831" s="25" t="n">
        <f aca="false">Summary!$B$4</f>
        <v>1</v>
      </c>
      <c r="K1831" s="11" t="n">
        <f aca="false">I1831*J1831*IF(A1831="SILVER",Summary!$B$5,Summary!$B$6)</f>
        <v>-29615</v>
      </c>
      <c r="L1831" s="26" t="n">
        <v>-1.178</v>
      </c>
      <c r="M1831" s="27" t="n">
        <f aca="false">IF(K1831&gt;0,1,0)</f>
        <v>0</v>
      </c>
      <c r="N1831" s="11" t="n">
        <f aca="false">SUMIFS(K$2:K1831,A$2:A1831,A1831,B$2:B1831,B1831)</f>
        <v>-82697</v>
      </c>
      <c r="O1831" s="11" t="n">
        <f aca="false">MAX(0,_xlfn.MAXIFS(N$2:N1831,A$2:A1831,A1831,B$2:B1831,B1831))</f>
        <v>72210</v>
      </c>
      <c r="P1831" s="11" t="n">
        <f aca="false">N1831-O1831</f>
        <v>-154907</v>
      </c>
    </row>
    <row r="1832" customFormat="false" ht="15" hidden="false" customHeight="false" outlineLevel="0" collapsed="false">
      <c r="A1832" s="8" t="s">
        <v>45</v>
      </c>
      <c r="B1832" s="8" t="s">
        <v>43</v>
      </c>
      <c r="C1832" s="8" t="s">
        <v>60</v>
      </c>
      <c r="D1832" s="21" t="n">
        <v>45709.9756944445</v>
      </c>
      <c r="E1832" s="21" t="n">
        <v>45712.3972222222</v>
      </c>
      <c r="F1832" s="22" t="n">
        <f aca="false">DATE(YEAR(E1832),MONTH(E1832),1)</f>
        <v>45689</v>
      </c>
      <c r="G1832" s="23" t="n">
        <v>106557</v>
      </c>
      <c r="H1832" s="8" t="s">
        <v>64</v>
      </c>
      <c r="I1832" s="24" t="n">
        <v>22.08</v>
      </c>
      <c r="J1832" s="25" t="n">
        <f aca="false">Summary!$B$4</f>
        <v>1</v>
      </c>
      <c r="K1832" s="11" t="n">
        <f aca="false">I1832*J1832*IF(A1832="SILVER",Summary!$B$5,Summary!$B$6)</f>
        <v>2208</v>
      </c>
      <c r="L1832" s="26" t="n">
        <v>0.067</v>
      </c>
      <c r="M1832" s="27" t="n">
        <f aca="false">IF(K1832&gt;0,1,0)</f>
        <v>1</v>
      </c>
      <c r="N1832" s="11" t="n">
        <f aca="false">SUMIFS(K$2:K1832,A$2:A1832,A1832,B$2:B1832,B1832)</f>
        <v>-80489</v>
      </c>
      <c r="O1832" s="11" t="n">
        <f aca="false">MAX(0,_xlfn.MAXIFS(N$2:N1832,A$2:A1832,A1832,B$2:B1832,B1832))</f>
        <v>72210</v>
      </c>
      <c r="P1832" s="11" t="n">
        <f aca="false">N1832-O1832</f>
        <v>-152699</v>
      </c>
    </row>
    <row r="1833" customFormat="false" ht="15" hidden="false" customHeight="false" outlineLevel="0" collapsed="false">
      <c r="A1833" s="8" t="s">
        <v>45</v>
      </c>
      <c r="B1833" s="8" t="s">
        <v>43</v>
      </c>
      <c r="C1833" s="8" t="s">
        <v>60</v>
      </c>
      <c r="D1833" s="21" t="n">
        <v>45712.5451388889</v>
      </c>
      <c r="E1833" s="21" t="n">
        <v>45712.5576388889</v>
      </c>
      <c r="F1833" s="22" t="n">
        <f aca="false">DATE(YEAR(E1833),MONTH(E1833),1)</f>
        <v>45689</v>
      </c>
      <c r="G1833" s="23" t="n">
        <v>106711</v>
      </c>
      <c r="H1833" s="8" t="s">
        <v>64</v>
      </c>
      <c r="I1833" s="24" t="n">
        <v>9.61</v>
      </c>
      <c r="J1833" s="25" t="n">
        <f aca="false">Summary!$B$4</f>
        <v>1</v>
      </c>
      <c r="K1833" s="11" t="n">
        <f aca="false">I1833*J1833*IF(A1833="SILVER",Summary!$B$5,Summary!$B$6)</f>
        <v>961</v>
      </c>
      <c r="L1833" s="26" t="n">
        <v>0.039</v>
      </c>
      <c r="M1833" s="27" t="n">
        <f aca="false">IF(K1833&gt;0,1,0)</f>
        <v>1</v>
      </c>
      <c r="N1833" s="11" t="n">
        <f aca="false">SUMIFS(K$2:K1833,A$2:A1833,A1833,B$2:B1833,B1833)</f>
        <v>-79528</v>
      </c>
      <c r="O1833" s="11" t="n">
        <f aca="false">MAX(0,_xlfn.MAXIFS(N$2:N1833,A$2:A1833,A1833,B$2:B1833,B1833))</f>
        <v>72210</v>
      </c>
      <c r="P1833" s="11" t="n">
        <f aca="false">N1833-O1833</f>
        <v>-151738</v>
      </c>
    </row>
    <row r="1834" customFormat="false" ht="15" hidden="false" customHeight="false" outlineLevel="0" collapsed="false">
      <c r="A1834" s="8" t="s">
        <v>45</v>
      </c>
      <c r="B1834" s="8" t="s">
        <v>43</v>
      </c>
      <c r="C1834" s="8" t="s">
        <v>60</v>
      </c>
      <c r="D1834" s="21" t="n">
        <v>45712.6006944445</v>
      </c>
      <c r="E1834" s="21" t="n">
        <v>45712.7326388889</v>
      </c>
      <c r="F1834" s="22" t="n">
        <f aca="false">DATE(YEAR(E1834),MONTH(E1834),1)</f>
        <v>45689</v>
      </c>
      <c r="G1834" s="23" t="n">
        <v>106862</v>
      </c>
      <c r="H1834" s="8" t="s">
        <v>64</v>
      </c>
      <c r="I1834" s="24" t="n">
        <v>14.66</v>
      </c>
      <c r="J1834" s="25" t="n">
        <f aca="false">Summary!$B$4</f>
        <v>1</v>
      </c>
      <c r="K1834" s="11" t="n">
        <f aca="false">I1834*J1834*IF(A1834="SILVER",Summary!$B$5,Summary!$B$6)</f>
        <v>1466</v>
      </c>
      <c r="L1834" s="26" t="n">
        <v>0.052</v>
      </c>
      <c r="M1834" s="27" t="n">
        <f aca="false">IF(K1834&gt;0,1,0)</f>
        <v>1</v>
      </c>
      <c r="N1834" s="11" t="n">
        <f aca="false">SUMIFS(K$2:K1834,A$2:A1834,A1834,B$2:B1834,B1834)</f>
        <v>-78062</v>
      </c>
      <c r="O1834" s="11" t="n">
        <f aca="false">MAX(0,_xlfn.MAXIFS(N$2:N1834,A$2:A1834,A1834,B$2:B1834,B1834))</f>
        <v>72210</v>
      </c>
      <c r="P1834" s="11" t="n">
        <f aca="false">N1834-O1834</f>
        <v>-150272</v>
      </c>
    </row>
    <row r="1835" customFormat="false" ht="15" hidden="false" customHeight="false" outlineLevel="0" collapsed="false">
      <c r="A1835" s="8" t="s">
        <v>45</v>
      </c>
      <c r="B1835" s="8" t="s">
        <v>43</v>
      </c>
      <c r="C1835" s="8" t="s">
        <v>60</v>
      </c>
      <c r="D1835" s="21" t="n">
        <v>45712.8020833333</v>
      </c>
      <c r="E1835" s="21" t="n">
        <v>45712.8173611111</v>
      </c>
      <c r="F1835" s="22" t="n">
        <f aca="false">DATE(YEAR(E1835),MONTH(E1835),1)</f>
        <v>45689</v>
      </c>
      <c r="G1835" s="23" t="n">
        <v>106975</v>
      </c>
      <c r="H1835" s="8" t="s">
        <v>64</v>
      </c>
      <c r="I1835" s="24" t="n">
        <v>13.12</v>
      </c>
      <c r="J1835" s="25" t="n">
        <f aca="false">Summary!$B$4</f>
        <v>1</v>
      </c>
      <c r="K1835" s="11" t="n">
        <f aca="false">I1835*J1835*IF(A1835="SILVER",Summary!$B$5,Summary!$B$6)</f>
        <v>1312</v>
      </c>
      <c r="L1835" s="26" t="n">
        <v>0.049</v>
      </c>
      <c r="M1835" s="27" t="n">
        <f aca="false">IF(K1835&gt;0,1,0)</f>
        <v>1</v>
      </c>
      <c r="N1835" s="11" t="n">
        <f aca="false">SUMIFS(K$2:K1835,A$2:A1835,A1835,B$2:B1835,B1835)</f>
        <v>-76750</v>
      </c>
      <c r="O1835" s="11" t="n">
        <f aca="false">MAX(0,_xlfn.MAXIFS(N$2:N1835,A$2:A1835,A1835,B$2:B1835,B1835))</f>
        <v>72210</v>
      </c>
      <c r="P1835" s="11" t="n">
        <f aca="false">N1835-O1835</f>
        <v>-148960</v>
      </c>
    </row>
    <row r="1836" customFormat="false" ht="15" hidden="false" customHeight="false" outlineLevel="0" collapsed="false">
      <c r="A1836" s="8" t="s">
        <v>45</v>
      </c>
      <c r="B1836" s="8" t="s">
        <v>43</v>
      </c>
      <c r="C1836" s="8" t="s">
        <v>60</v>
      </c>
      <c r="D1836" s="21" t="n">
        <v>45713.5347222222</v>
      </c>
      <c r="E1836" s="21" t="n">
        <v>45713.5625</v>
      </c>
      <c r="F1836" s="22" t="n">
        <f aca="false">DATE(YEAR(E1836),MONTH(E1836),1)</f>
        <v>45689</v>
      </c>
      <c r="G1836" s="23" t="n">
        <v>106993</v>
      </c>
      <c r="H1836" s="8" t="s">
        <v>61</v>
      </c>
      <c r="I1836" s="24" t="n">
        <v>-241.27</v>
      </c>
      <c r="J1836" s="25" t="n">
        <f aca="false">Summary!$B$4</f>
        <v>1</v>
      </c>
      <c r="K1836" s="11" t="n">
        <f aca="false">I1836*J1836*IF(A1836="SILVER",Summary!$B$5,Summary!$B$6)</f>
        <v>-24127</v>
      </c>
      <c r="L1836" s="26" t="n">
        <v>-0.954</v>
      </c>
      <c r="M1836" s="27" t="n">
        <f aca="false">IF(K1836&gt;0,1,0)</f>
        <v>0</v>
      </c>
      <c r="N1836" s="11" t="n">
        <f aca="false">SUMIFS(K$2:K1836,A$2:A1836,A1836,B$2:B1836,B1836)</f>
        <v>-100877</v>
      </c>
      <c r="O1836" s="11" t="n">
        <f aca="false">MAX(0,_xlfn.MAXIFS(N$2:N1836,A$2:A1836,A1836,B$2:B1836,B1836))</f>
        <v>72210</v>
      </c>
      <c r="P1836" s="11" t="n">
        <f aca="false">N1836-O1836</f>
        <v>-173087</v>
      </c>
    </row>
    <row r="1837" customFormat="false" ht="15" hidden="false" customHeight="false" outlineLevel="0" collapsed="false">
      <c r="A1837" s="8" t="s">
        <v>45</v>
      </c>
      <c r="B1837" s="8" t="s">
        <v>43</v>
      </c>
      <c r="C1837" s="8" t="s">
        <v>60</v>
      </c>
      <c r="D1837" s="21" t="n">
        <v>45713.8298611111</v>
      </c>
      <c r="E1837" s="21" t="n">
        <v>45713.8680555556</v>
      </c>
      <c r="F1837" s="22" t="n">
        <f aca="false">DATE(YEAR(E1837),MONTH(E1837),1)</f>
        <v>45689</v>
      </c>
      <c r="G1837" s="23" t="n">
        <v>107070</v>
      </c>
      <c r="H1837" s="8" t="s">
        <v>61</v>
      </c>
      <c r="I1837" s="24" t="n">
        <v>-515.25</v>
      </c>
      <c r="J1837" s="25" t="n">
        <f aca="false">Summary!$B$4</f>
        <v>1</v>
      </c>
      <c r="K1837" s="11" t="n">
        <f aca="false">I1837*J1837*IF(A1837="SILVER",Summary!$B$5,Summary!$B$6)</f>
        <v>-51525</v>
      </c>
      <c r="L1837" s="26" t="n">
        <v>-1.427</v>
      </c>
      <c r="M1837" s="27" t="n">
        <f aca="false">IF(K1837&gt;0,1,0)</f>
        <v>0</v>
      </c>
      <c r="N1837" s="11" t="n">
        <f aca="false">SUMIFS(K$2:K1837,A$2:A1837,A1837,B$2:B1837,B1837)</f>
        <v>-152402</v>
      </c>
      <c r="O1837" s="11" t="n">
        <f aca="false">MAX(0,_xlfn.MAXIFS(N$2:N1837,A$2:A1837,A1837,B$2:B1837,B1837))</f>
        <v>72210</v>
      </c>
      <c r="P1837" s="11" t="n">
        <f aca="false">N1837-O1837</f>
        <v>-224612</v>
      </c>
    </row>
    <row r="1838" customFormat="false" ht="15" hidden="false" customHeight="false" outlineLevel="0" collapsed="false">
      <c r="A1838" s="8" t="s">
        <v>45</v>
      </c>
      <c r="B1838" s="8" t="s">
        <v>43</v>
      </c>
      <c r="C1838" s="8" t="s">
        <v>60</v>
      </c>
      <c r="D1838" s="21" t="n">
        <v>45720.5416666667</v>
      </c>
      <c r="E1838" s="21" t="n">
        <v>45720.8368055556</v>
      </c>
      <c r="F1838" s="22" t="n">
        <f aca="false">DATE(YEAR(E1838),MONTH(E1838),1)</f>
        <v>45717</v>
      </c>
      <c r="G1838" s="23" t="n">
        <v>106237</v>
      </c>
      <c r="H1838" s="8" t="s">
        <v>61</v>
      </c>
      <c r="I1838" s="24" t="n">
        <v>317.83</v>
      </c>
      <c r="J1838" s="25" t="n">
        <f aca="false">Summary!$B$4</f>
        <v>1</v>
      </c>
      <c r="K1838" s="11" t="n">
        <f aca="false">I1838*J1838*IF(A1838="SILVER",Summary!$B$5,Summary!$B$6)</f>
        <v>31783</v>
      </c>
      <c r="L1838" s="26" t="n">
        <v>0.942</v>
      </c>
      <c r="M1838" s="27" t="n">
        <f aca="false">IF(K1838&gt;0,1,0)</f>
        <v>1</v>
      </c>
      <c r="N1838" s="11" t="n">
        <f aca="false">SUMIFS(K$2:K1838,A$2:A1838,A1838,B$2:B1838,B1838)</f>
        <v>-120619</v>
      </c>
      <c r="O1838" s="11" t="n">
        <f aca="false">MAX(0,_xlfn.MAXIFS(N$2:N1838,A$2:A1838,A1838,B$2:B1838,B1838))</f>
        <v>72210</v>
      </c>
      <c r="P1838" s="11" t="n">
        <f aca="false">N1838-O1838</f>
        <v>-192829</v>
      </c>
    </row>
    <row r="1839" customFormat="false" ht="15" hidden="false" customHeight="false" outlineLevel="0" collapsed="false">
      <c r="A1839" s="8" t="s">
        <v>45</v>
      </c>
      <c r="B1839" s="8" t="s">
        <v>43</v>
      </c>
      <c r="C1839" s="8" t="s">
        <v>60</v>
      </c>
      <c r="D1839" s="21" t="n">
        <v>45721.8715277778</v>
      </c>
      <c r="E1839" s="21" t="n">
        <v>45721.9444444445</v>
      </c>
      <c r="F1839" s="22" t="n">
        <f aca="false">DATE(YEAR(E1839),MONTH(E1839),1)</f>
        <v>45717</v>
      </c>
      <c r="G1839" s="23" t="n">
        <v>106504</v>
      </c>
      <c r="H1839" s="8" t="s">
        <v>64</v>
      </c>
      <c r="I1839" s="24" t="n">
        <v>56</v>
      </c>
      <c r="J1839" s="25" t="n">
        <f aca="false">Summary!$B$4</f>
        <v>1</v>
      </c>
      <c r="K1839" s="11" t="n">
        <f aca="false">I1839*J1839*IF(A1839="SILVER",Summary!$B$5,Summary!$B$6)</f>
        <v>5600</v>
      </c>
      <c r="L1839" s="26" t="n">
        <v>0.101</v>
      </c>
      <c r="M1839" s="27" t="n">
        <f aca="false">IF(K1839&gt;0,1,0)</f>
        <v>1</v>
      </c>
      <c r="N1839" s="11" t="n">
        <f aca="false">SUMIFS(K$2:K1839,A$2:A1839,A1839,B$2:B1839,B1839)</f>
        <v>-115019</v>
      </c>
      <c r="O1839" s="11" t="n">
        <f aca="false">MAX(0,_xlfn.MAXIFS(N$2:N1839,A$2:A1839,A1839,B$2:B1839,B1839))</f>
        <v>72210</v>
      </c>
      <c r="P1839" s="11" t="n">
        <f aca="false">N1839-O1839</f>
        <v>-187229</v>
      </c>
    </row>
    <row r="1840" customFormat="false" ht="15" hidden="false" customHeight="false" outlineLevel="0" collapsed="false">
      <c r="A1840" s="8" t="s">
        <v>45</v>
      </c>
      <c r="B1840" s="8" t="s">
        <v>43</v>
      </c>
      <c r="C1840" s="8" t="s">
        <v>60</v>
      </c>
      <c r="D1840" s="21" t="n">
        <v>45722.8368055556</v>
      </c>
      <c r="E1840" s="21" t="n">
        <v>45722.8694444444</v>
      </c>
      <c r="F1840" s="22" t="n">
        <f aca="false">DATE(YEAR(E1840),MONTH(E1840),1)</f>
        <v>45717</v>
      </c>
      <c r="G1840" s="23" t="n">
        <v>106389</v>
      </c>
      <c r="H1840" s="8" t="s">
        <v>64</v>
      </c>
      <c r="I1840" s="24" t="n">
        <v>41</v>
      </c>
      <c r="J1840" s="25" t="n">
        <f aca="false">Summary!$B$4</f>
        <v>1</v>
      </c>
      <c r="K1840" s="11" t="n">
        <f aca="false">I1840*J1840*IF(A1840="SILVER",Summary!$B$5,Summary!$B$6)</f>
        <v>4100</v>
      </c>
      <c r="L1840" s="26" t="n">
        <v>0.09</v>
      </c>
      <c r="M1840" s="27" t="n">
        <f aca="false">IF(K1840&gt;0,1,0)</f>
        <v>1</v>
      </c>
      <c r="N1840" s="11" t="n">
        <f aca="false">SUMIFS(K$2:K1840,A$2:A1840,A1840,B$2:B1840,B1840)</f>
        <v>-110919</v>
      </c>
      <c r="O1840" s="11" t="n">
        <f aca="false">MAX(0,_xlfn.MAXIFS(N$2:N1840,A$2:A1840,A1840,B$2:B1840,B1840))</f>
        <v>72210</v>
      </c>
      <c r="P1840" s="11" t="n">
        <f aca="false">N1840-O1840</f>
        <v>-183129</v>
      </c>
    </row>
    <row r="1841" customFormat="false" ht="15" hidden="false" customHeight="false" outlineLevel="0" collapsed="false">
      <c r="A1841" s="8" t="s">
        <v>45</v>
      </c>
      <c r="B1841" s="8" t="s">
        <v>43</v>
      </c>
      <c r="C1841" s="8" t="s">
        <v>60</v>
      </c>
      <c r="D1841" s="21" t="n">
        <v>45723.6006944445</v>
      </c>
      <c r="E1841" s="21" t="n">
        <v>45723.7881944445</v>
      </c>
      <c r="F1841" s="22" t="n">
        <f aca="false">DATE(YEAR(E1841),MONTH(E1841),1)</f>
        <v>45717</v>
      </c>
      <c r="G1841" s="23" t="n">
        <v>106611</v>
      </c>
      <c r="H1841" s="8" t="s">
        <v>61</v>
      </c>
      <c r="I1841" s="24" t="n">
        <v>-288.18</v>
      </c>
      <c r="J1841" s="25" t="n">
        <f aca="false">Summary!$B$4</f>
        <v>1</v>
      </c>
      <c r="K1841" s="11" t="n">
        <f aca="false">I1841*J1841*IF(A1841="SILVER",Summary!$B$5,Summary!$B$6)</f>
        <v>-28818</v>
      </c>
      <c r="L1841" s="26" t="n">
        <v>-1.14</v>
      </c>
      <c r="M1841" s="27" t="n">
        <f aca="false">IF(K1841&gt;0,1,0)</f>
        <v>0</v>
      </c>
      <c r="N1841" s="11" t="n">
        <f aca="false">SUMIFS(K$2:K1841,A$2:A1841,A1841,B$2:B1841,B1841)</f>
        <v>-139737</v>
      </c>
      <c r="O1841" s="11" t="n">
        <f aca="false">MAX(0,_xlfn.MAXIFS(N$2:N1841,A$2:A1841,A1841,B$2:B1841,B1841))</f>
        <v>72210</v>
      </c>
      <c r="P1841" s="11" t="n">
        <f aca="false">N1841-O1841</f>
        <v>-211947</v>
      </c>
    </row>
    <row r="1842" customFormat="false" ht="15" hidden="false" customHeight="false" outlineLevel="0" collapsed="false">
      <c r="A1842" s="8" t="s">
        <v>45</v>
      </c>
      <c r="B1842" s="8" t="s">
        <v>43</v>
      </c>
      <c r="C1842" s="8" t="s">
        <v>60</v>
      </c>
      <c r="D1842" s="21" t="n">
        <v>45723.8020833333</v>
      </c>
      <c r="E1842" s="21" t="n">
        <v>45723.8805555556</v>
      </c>
      <c r="F1842" s="22" t="n">
        <f aca="false">DATE(YEAR(E1842),MONTH(E1842),1)</f>
        <v>45717</v>
      </c>
      <c r="G1842" s="23" t="n">
        <v>106648</v>
      </c>
      <c r="H1842" s="8" t="s">
        <v>64</v>
      </c>
      <c r="I1842" s="24" t="n">
        <v>25.78</v>
      </c>
      <c r="J1842" s="25" t="n">
        <f aca="false">Summary!$B$4</f>
        <v>1</v>
      </c>
      <c r="K1842" s="11" t="n">
        <f aca="false">I1842*J1842*IF(A1842="SILVER",Summary!$B$5,Summary!$B$6)</f>
        <v>2578</v>
      </c>
      <c r="L1842" s="26" t="n">
        <v>0.067</v>
      </c>
      <c r="M1842" s="27" t="n">
        <f aca="false">IF(K1842&gt;0,1,0)</f>
        <v>1</v>
      </c>
      <c r="N1842" s="11" t="n">
        <f aca="false">SUMIFS(K$2:K1842,A$2:A1842,A1842,B$2:B1842,B1842)</f>
        <v>-137159</v>
      </c>
      <c r="O1842" s="11" t="n">
        <f aca="false">MAX(0,_xlfn.MAXIFS(N$2:N1842,A$2:A1842,A1842,B$2:B1842,B1842))</f>
        <v>72210</v>
      </c>
      <c r="P1842" s="11" t="n">
        <f aca="false">N1842-O1842</f>
        <v>-209369</v>
      </c>
    </row>
    <row r="1843" customFormat="false" ht="15" hidden="false" customHeight="false" outlineLevel="0" collapsed="false">
      <c r="A1843" s="8" t="s">
        <v>45</v>
      </c>
      <c r="B1843" s="8" t="s">
        <v>43</v>
      </c>
      <c r="C1843" s="8" t="s">
        <v>60</v>
      </c>
      <c r="D1843" s="21" t="n">
        <v>45726.6319444445</v>
      </c>
      <c r="E1843" s="21" t="n">
        <v>45726.9305555556</v>
      </c>
      <c r="F1843" s="22" t="n">
        <f aca="false">DATE(YEAR(E1843),MONTH(E1843),1)</f>
        <v>45717</v>
      </c>
      <c r="G1843" s="23" t="n">
        <v>106664</v>
      </c>
      <c r="H1843" s="8" t="s">
        <v>61</v>
      </c>
      <c r="I1843" s="24" t="n">
        <v>-380.19</v>
      </c>
      <c r="J1843" s="25" t="n">
        <f aca="false">Summary!$B$4</f>
        <v>1</v>
      </c>
      <c r="K1843" s="11" t="n">
        <f aca="false">I1843*J1843*IF(A1843="SILVER",Summary!$B$5,Summary!$B$6)</f>
        <v>-38019</v>
      </c>
      <c r="L1843" s="26" t="n">
        <v>-1.014</v>
      </c>
      <c r="M1843" s="27" t="n">
        <f aca="false">IF(K1843&gt;0,1,0)</f>
        <v>0</v>
      </c>
      <c r="N1843" s="11" t="n">
        <f aca="false">SUMIFS(K$2:K1843,A$2:A1843,A1843,B$2:B1843,B1843)</f>
        <v>-175178</v>
      </c>
      <c r="O1843" s="11" t="n">
        <f aca="false">MAX(0,_xlfn.MAXIFS(N$2:N1843,A$2:A1843,A1843,B$2:B1843,B1843))</f>
        <v>72210</v>
      </c>
      <c r="P1843" s="11" t="n">
        <f aca="false">N1843-O1843</f>
        <v>-247388</v>
      </c>
    </row>
    <row r="1844" customFormat="false" ht="15" hidden="false" customHeight="false" outlineLevel="0" collapsed="false">
      <c r="A1844" s="8" t="s">
        <v>45</v>
      </c>
      <c r="B1844" s="8" t="s">
        <v>43</v>
      </c>
      <c r="C1844" s="8" t="s">
        <v>60</v>
      </c>
      <c r="D1844" s="21" t="n">
        <v>45727.5173611111</v>
      </c>
      <c r="E1844" s="21" t="n">
        <v>45728.6388888889</v>
      </c>
      <c r="F1844" s="22" t="n">
        <f aca="false">DATE(YEAR(E1844),MONTH(E1844),1)</f>
        <v>45717</v>
      </c>
      <c r="G1844" s="23" t="n">
        <v>106342</v>
      </c>
      <c r="H1844" s="8" t="s">
        <v>61</v>
      </c>
      <c r="I1844" s="24" t="n">
        <v>233.82</v>
      </c>
      <c r="J1844" s="25" t="n">
        <f aca="false">Summary!$B$4</f>
        <v>1</v>
      </c>
      <c r="K1844" s="11" t="n">
        <f aca="false">I1844*J1844*IF(A1844="SILVER",Summary!$B$5,Summary!$B$6)</f>
        <v>23382</v>
      </c>
      <c r="L1844" s="26" t="n">
        <v>0.842</v>
      </c>
      <c r="M1844" s="27" t="n">
        <f aca="false">IF(K1844&gt;0,1,0)</f>
        <v>1</v>
      </c>
      <c r="N1844" s="11" t="n">
        <f aca="false">SUMIFS(K$2:K1844,A$2:A1844,A1844,B$2:B1844,B1844)</f>
        <v>-151796</v>
      </c>
      <c r="O1844" s="11" t="n">
        <f aca="false">MAX(0,_xlfn.MAXIFS(N$2:N1844,A$2:A1844,A1844,B$2:B1844,B1844))</f>
        <v>72210</v>
      </c>
      <c r="P1844" s="11" t="n">
        <f aca="false">N1844-O1844</f>
        <v>-224006</v>
      </c>
    </row>
    <row r="1845" customFormat="false" ht="15" hidden="false" customHeight="false" outlineLevel="0" collapsed="false">
      <c r="A1845" s="8" t="s">
        <v>45</v>
      </c>
      <c r="B1845" s="8" t="s">
        <v>43</v>
      </c>
      <c r="C1845" s="8" t="s">
        <v>60</v>
      </c>
      <c r="D1845" s="21" t="n">
        <v>45728.8506944445</v>
      </c>
      <c r="E1845" s="21" t="n">
        <v>45730.8576388889</v>
      </c>
      <c r="F1845" s="22" t="n">
        <f aca="false">DATE(YEAR(E1845),MONTH(E1845),1)</f>
        <v>45717</v>
      </c>
      <c r="G1845" s="23" t="n">
        <v>106756</v>
      </c>
      <c r="H1845" s="8" t="s">
        <v>61</v>
      </c>
      <c r="I1845" s="24" t="n">
        <v>1570.6</v>
      </c>
      <c r="J1845" s="25" t="n">
        <f aca="false">Summary!$B$4</f>
        <v>1</v>
      </c>
      <c r="K1845" s="11" t="n">
        <f aca="false">I1845*J1845*IF(A1845="SILVER",Summary!$B$5,Summary!$B$6)</f>
        <v>157060</v>
      </c>
      <c r="L1845" s="26" t="n">
        <v>5.181</v>
      </c>
      <c r="M1845" s="27" t="n">
        <f aca="false">IF(K1845&gt;0,1,0)</f>
        <v>1</v>
      </c>
      <c r="N1845" s="11" t="n">
        <f aca="false">SUMIFS(K$2:K1845,A$2:A1845,A1845,B$2:B1845,B1845)</f>
        <v>5264</v>
      </c>
      <c r="O1845" s="11" t="n">
        <f aca="false">MAX(0,_xlfn.MAXIFS(N$2:N1845,A$2:A1845,A1845,B$2:B1845,B1845))</f>
        <v>72210</v>
      </c>
      <c r="P1845" s="11" t="n">
        <f aca="false">N1845-O1845</f>
        <v>-66946</v>
      </c>
    </row>
    <row r="1846" customFormat="false" ht="15" hidden="false" customHeight="false" outlineLevel="0" collapsed="false">
      <c r="A1846" s="8" t="s">
        <v>45</v>
      </c>
      <c r="B1846" s="8" t="s">
        <v>43</v>
      </c>
      <c r="C1846" s="8" t="s">
        <v>60</v>
      </c>
      <c r="D1846" s="21" t="n">
        <v>45733.6284722222</v>
      </c>
      <c r="E1846" s="21" t="n">
        <v>45733.6402777778</v>
      </c>
      <c r="F1846" s="22" t="n">
        <f aca="false">DATE(YEAR(E1846),MONTH(E1846),1)</f>
        <v>45717</v>
      </c>
      <c r="G1846" s="23" t="n">
        <v>108534</v>
      </c>
      <c r="H1846" s="8" t="s">
        <v>64</v>
      </c>
      <c r="I1846" s="24" t="n">
        <v>1.4</v>
      </c>
      <c r="J1846" s="25" t="n">
        <f aca="false">Summary!$B$4</f>
        <v>1</v>
      </c>
      <c r="K1846" s="11" t="n">
        <f aca="false">I1846*J1846*IF(A1846="SILVER",Summary!$B$5,Summary!$B$6)</f>
        <v>140</v>
      </c>
      <c r="L1846" s="26" t="n">
        <v>0.007</v>
      </c>
      <c r="M1846" s="27" t="n">
        <f aca="false">IF(K1846&gt;0,1,0)</f>
        <v>1</v>
      </c>
      <c r="N1846" s="11" t="n">
        <f aca="false">SUMIFS(K$2:K1846,A$2:A1846,A1846,B$2:B1846,B1846)</f>
        <v>5404</v>
      </c>
      <c r="O1846" s="11" t="n">
        <f aca="false">MAX(0,_xlfn.MAXIFS(N$2:N1846,A$2:A1846,A1846,B$2:B1846,B1846))</f>
        <v>72210</v>
      </c>
      <c r="P1846" s="11" t="n">
        <f aca="false">N1846-O1846</f>
        <v>-66806</v>
      </c>
    </row>
    <row r="1847" customFormat="false" ht="15" hidden="false" customHeight="false" outlineLevel="0" collapsed="false">
      <c r="A1847" s="8" t="s">
        <v>45</v>
      </c>
      <c r="B1847" s="8" t="s">
        <v>43</v>
      </c>
      <c r="C1847" s="8" t="s">
        <v>60</v>
      </c>
      <c r="D1847" s="21" t="n">
        <v>45733.6840277778</v>
      </c>
      <c r="E1847" s="21" t="n">
        <v>45733.7395833333</v>
      </c>
      <c r="F1847" s="22" t="n">
        <f aca="false">DATE(YEAR(E1847),MONTH(E1847),1)</f>
        <v>45717</v>
      </c>
      <c r="G1847" s="23" t="n">
        <v>108688</v>
      </c>
      <c r="H1847" s="8" t="s">
        <v>61</v>
      </c>
      <c r="I1847" s="24" t="n">
        <v>-253.6</v>
      </c>
      <c r="J1847" s="25" t="n">
        <f aca="false">Summary!$B$4</f>
        <v>1</v>
      </c>
      <c r="K1847" s="11" t="n">
        <f aca="false">I1847*J1847*IF(A1847="SILVER",Summary!$B$5,Summary!$B$6)</f>
        <v>-25360</v>
      </c>
      <c r="L1847" s="26" t="n">
        <v>-1.077</v>
      </c>
      <c r="M1847" s="27" t="n">
        <f aca="false">IF(K1847&gt;0,1,0)</f>
        <v>0</v>
      </c>
      <c r="N1847" s="11" t="n">
        <f aca="false">SUMIFS(K$2:K1847,A$2:A1847,A1847,B$2:B1847,B1847)</f>
        <v>-19956</v>
      </c>
      <c r="O1847" s="11" t="n">
        <f aca="false">MAX(0,_xlfn.MAXIFS(N$2:N1847,A$2:A1847,A1847,B$2:B1847,B1847))</f>
        <v>72210</v>
      </c>
      <c r="P1847" s="11" t="n">
        <f aca="false">N1847-O1847</f>
        <v>-92166</v>
      </c>
    </row>
    <row r="1848" customFormat="false" ht="15" hidden="false" customHeight="false" outlineLevel="0" collapsed="false">
      <c r="A1848" s="8" t="s">
        <v>45</v>
      </c>
      <c r="B1848" s="8" t="s">
        <v>43</v>
      </c>
      <c r="C1848" s="8" t="s">
        <v>60</v>
      </c>
      <c r="D1848" s="21" t="n">
        <v>45734.3784722222</v>
      </c>
      <c r="E1848" s="21" t="n">
        <v>45734.4409722222</v>
      </c>
      <c r="F1848" s="22" t="n">
        <f aca="false">DATE(YEAR(E1848),MONTH(E1848),1)</f>
        <v>45717</v>
      </c>
      <c r="G1848" s="23" t="n">
        <v>108932</v>
      </c>
      <c r="H1848" s="8" t="s">
        <v>64</v>
      </c>
      <c r="I1848" s="24" t="n">
        <v>27.03</v>
      </c>
      <c r="J1848" s="25" t="n">
        <f aca="false">Summary!$B$4</f>
        <v>1</v>
      </c>
      <c r="K1848" s="11" t="n">
        <f aca="false">I1848*J1848*IF(A1848="SILVER",Summary!$B$5,Summary!$B$6)</f>
        <v>2703</v>
      </c>
      <c r="L1848" s="26" t="n">
        <v>0.074</v>
      </c>
      <c r="M1848" s="27" t="n">
        <f aca="false">IF(K1848&gt;0,1,0)</f>
        <v>1</v>
      </c>
      <c r="N1848" s="11" t="n">
        <f aca="false">SUMIFS(K$2:K1848,A$2:A1848,A1848,B$2:B1848,B1848)</f>
        <v>-17253</v>
      </c>
      <c r="O1848" s="11" t="n">
        <f aca="false">MAX(0,_xlfn.MAXIFS(N$2:N1848,A$2:A1848,A1848,B$2:B1848,B1848))</f>
        <v>72210</v>
      </c>
      <c r="P1848" s="11" t="n">
        <f aca="false">N1848-O1848</f>
        <v>-89463</v>
      </c>
    </row>
    <row r="1849" customFormat="false" ht="15" hidden="false" customHeight="false" outlineLevel="0" collapsed="false">
      <c r="A1849" s="8" t="s">
        <v>45</v>
      </c>
      <c r="B1849" s="8" t="s">
        <v>43</v>
      </c>
      <c r="C1849" s="8" t="s">
        <v>60</v>
      </c>
      <c r="D1849" s="21" t="n">
        <v>45734.5798611111</v>
      </c>
      <c r="E1849" s="21" t="n">
        <v>45734.5854166667</v>
      </c>
      <c r="F1849" s="22" t="n">
        <f aca="false">DATE(YEAR(E1849),MONTH(E1849),1)</f>
        <v>45717</v>
      </c>
      <c r="G1849" s="23" t="n">
        <v>109104</v>
      </c>
      <c r="H1849" s="8" t="s">
        <v>64</v>
      </c>
      <c r="I1849" s="24" t="n">
        <v>10.69</v>
      </c>
      <c r="J1849" s="25" t="n">
        <f aca="false">Summary!$B$4</f>
        <v>1</v>
      </c>
      <c r="K1849" s="11" t="n">
        <f aca="false">I1849*J1849*IF(A1849="SILVER",Summary!$B$5,Summary!$B$6)</f>
        <v>1069</v>
      </c>
      <c r="L1849" s="26" t="n">
        <v>0.042</v>
      </c>
      <c r="M1849" s="27" t="n">
        <f aca="false">IF(K1849&gt;0,1,0)</f>
        <v>1</v>
      </c>
      <c r="N1849" s="11" t="n">
        <f aca="false">SUMIFS(K$2:K1849,A$2:A1849,A1849,B$2:B1849,B1849)</f>
        <v>-16184</v>
      </c>
      <c r="O1849" s="11" t="n">
        <f aca="false">MAX(0,_xlfn.MAXIFS(N$2:N1849,A$2:A1849,A1849,B$2:B1849,B1849))</f>
        <v>72210</v>
      </c>
      <c r="P1849" s="11" t="n">
        <f aca="false">N1849-O1849</f>
        <v>-88394</v>
      </c>
    </row>
    <row r="1850" customFormat="false" ht="15" hidden="false" customHeight="false" outlineLevel="0" collapsed="false">
      <c r="A1850" s="8" t="s">
        <v>45</v>
      </c>
      <c r="B1850" s="8" t="s">
        <v>43</v>
      </c>
      <c r="C1850" s="8" t="s">
        <v>60</v>
      </c>
      <c r="D1850" s="21" t="n">
        <v>45734.7569444445</v>
      </c>
      <c r="E1850" s="21" t="n">
        <v>45734.7930555556</v>
      </c>
      <c r="F1850" s="22" t="n">
        <f aca="false">DATE(YEAR(E1850),MONTH(E1850),1)</f>
        <v>45717</v>
      </c>
      <c r="G1850" s="23" t="n">
        <v>109314</v>
      </c>
      <c r="H1850" s="8" t="s">
        <v>64</v>
      </c>
      <c r="I1850" s="24" t="n">
        <v>-8.75</v>
      </c>
      <c r="J1850" s="25" t="n">
        <f aca="false">Summary!$B$4</f>
        <v>1</v>
      </c>
      <c r="K1850" s="11" t="n">
        <f aca="false">I1850*J1850*IF(A1850="SILVER",Summary!$B$5,Summary!$B$6)</f>
        <v>-875</v>
      </c>
      <c r="L1850" s="26" t="n">
        <v>-0.026</v>
      </c>
      <c r="M1850" s="27" t="n">
        <f aca="false">IF(K1850&gt;0,1,0)</f>
        <v>0</v>
      </c>
      <c r="N1850" s="11" t="n">
        <f aca="false">SUMIFS(K$2:K1850,A$2:A1850,A1850,B$2:B1850,B1850)</f>
        <v>-17059</v>
      </c>
      <c r="O1850" s="11" t="n">
        <f aca="false">MAX(0,_xlfn.MAXIFS(N$2:N1850,A$2:A1850,A1850,B$2:B1850,B1850))</f>
        <v>72210</v>
      </c>
      <c r="P1850" s="11" t="n">
        <f aca="false">N1850-O1850</f>
        <v>-89269</v>
      </c>
    </row>
    <row r="1851" customFormat="false" ht="15" hidden="false" customHeight="false" outlineLevel="0" collapsed="false">
      <c r="A1851" s="8" t="s">
        <v>45</v>
      </c>
      <c r="B1851" s="8" t="s">
        <v>43</v>
      </c>
      <c r="C1851" s="8" t="s">
        <v>60</v>
      </c>
      <c r="D1851" s="21" t="n">
        <v>45735.3819444445</v>
      </c>
      <c r="E1851" s="21" t="n">
        <v>45735.3958333333</v>
      </c>
      <c r="F1851" s="22" t="n">
        <f aca="false">DATE(YEAR(E1851),MONTH(E1851),1)</f>
        <v>45717</v>
      </c>
      <c r="G1851" s="23" t="n">
        <v>109432</v>
      </c>
      <c r="H1851" s="8" t="s">
        <v>64</v>
      </c>
      <c r="I1851" s="24" t="n">
        <v>2.23</v>
      </c>
      <c r="J1851" s="25" t="n">
        <f aca="false">Summary!$B$4</f>
        <v>1</v>
      </c>
      <c r="K1851" s="11" t="n">
        <f aca="false">I1851*J1851*IF(A1851="SILVER",Summary!$B$5,Summary!$B$6)</f>
        <v>223</v>
      </c>
      <c r="L1851" s="26" t="n">
        <v>0.008</v>
      </c>
      <c r="M1851" s="27" t="n">
        <f aca="false">IF(K1851&gt;0,1,0)</f>
        <v>1</v>
      </c>
      <c r="N1851" s="11" t="n">
        <f aca="false">SUMIFS(K$2:K1851,A$2:A1851,A1851,B$2:B1851,B1851)</f>
        <v>-16836</v>
      </c>
      <c r="O1851" s="11" t="n">
        <f aca="false">MAX(0,_xlfn.MAXIFS(N$2:N1851,A$2:A1851,A1851,B$2:B1851,B1851))</f>
        <v>72210</v>
      </c>
      <c r="P1851" s="11" t="n">
        <f aca="false">N1851-O1851</f>
        <v>-89046</v>
      </c>
    </row>
    <row r="1852" customFormat="false" ht="15" hidden="false" customHeight="false" outlineLevel="0" collapsed="false">
      <c r="A1852" s="8" t="s">
        <v>45</v>
      </c>
      <c r="B1852" s="8" t="s">
        <v>43</v>
      </c>
      <c r="C1852" s="8" t="s">
        <v>60</v>
      </c>
      <c r="D1852" s="21" t="n">
        <v>45735.4791666667</v>
      </c>
      <c r="E1852" s="21" t="n">
        <v>45735.5729166667</v>
      </c>
      <c r="F1852" s="22" t="n">
        <f aca="false">DATE(YEAR(E1852),MONTH(E1852),1)</f>
        <v>45717</v>
      </c>
      <c r="G1852" s="23" t="n">
        <v>109573</v>
      </c>
      <c r="H1852" s="8" t="s">
        <v>61</v>
      </c>
      <c r="I1852" s="24" t="n">
        <v>-278.78</v>
      </c>
      <c r="J1852" s="25" t="n">
        <f aca="false">Summary!$B$4</f>
        <v>1</v>
      </c>
      <c r="K1852" s="11" t="n">
        <f aca="false">I1852*J1852*IF(A1852="SILVER",Summary!$B$5,Summary!$B$6)</f>
        <v>-27878</v>
      </c>
      <c r="L1852" s="26" t="n">
        <v>-1.125</v>
      </c>
      <c r="M1852" s="27" t="n">
        <f aca="false">IF(K1852&gt;0,1,0)</f>
        <v>0</v>
      </c>
      <c r="N1852" s="11" t="n">
        <f aca="false">SUMIFS(K$2:K1852,A$2:A1852,A1852,B$2:B1852,B1852)</f>
        <v>-44714</v>
      </c>
      <c r="O1852" s="11" t="n">
        <f aca="false">MAX(0,_xlfn.MAXIFS(N$2:N1852,A$2:A1852,A1852,B$2:B1852,B1852))</f>
        <v>72210</v>
      </c>
      <c r="P1852" s="11" t="n">
        <f aca="false">N1852-O1852</f>
        <v>-116924</v>
      </c>
    </row>
    <row r="1853" customFormat="false" ht="15" hidden="false" customHeight="false" outlineLevel="0" collapsed="false">
      <c r="A1853" s="8" t="s">
        <v>45</v>
      </c>
      <c r="B1853" s="8" t="s">
        <v>43</v>
      </c>
      <c r="C1853" s="8" t="s">
        <v>60</v>
      </c>
      <c r="D1853" s="21" t="n">
        <v>45736.3784722222</v>
      </c>
      <c r="E1853" s="21" t="n">
        <v>45736.5243055556</v>
      </c>
      <c r="F1853" s="22" t="n">
        <f aca="false">DATE(YEAR(E1853),MONTH(E1853),1)</f>
        <v>45717</v>
      </c>
      <c r="G1853" s="23" t="n">
        <v>109592</v>
      </c>
      <c r="H1853" s="8" t="s">
        <v>61</v>
      </c>
      <c r="I1853" s="24" t="n">
        <v>-273.78</v>
      </c>
      <c r="J1853" s="25" t="n">
        <f aca="false">Summary!$B$4</f>
        <v>1</v>
      </c>
      <c r="K1853" s="11" t="n">
        <f aca="false">I1853*J1853*IF(A1853="SILVER",Summary!$B$5,Summary!$B$6)</f>
        <v>-27378</v>
      </c>
      <c r="L1853" s="26" t="n">
        <v>-1.155</v>
      </c>
      <c r="M1853" s="27" t="n">
        <f aca="false">IF(K1853&gt;0,1,0)</f>
        <v>0</v>
      </c>
      <c r="N1853" s="11" t="n">
        <f aca="false">SUMIFS(K$2:K1853,A$2:A1853,A1853,B$2:B1853,B1853)</f>
        <v>-72092</v>
      </c>
      <c r="O1853" s="11" t="n">
        <f aca="false">MAX(0,_xlfn.MAXIFS(N$2:N1853,A$2:A1853,A1853,B$2:B1853,B1853))</f>
        <v>72210</v>
      </c>
      <c r="P1853" s="11" t="n">
        <f aca="false">N1853-O1853</f>
        <v>-144302</v>
      </c>
    </row>
    <row r="1854" customFormat="false" ht="15" hidden="false" customHeight="false" outlineLevel="0" collapsed="false">
      <c r="A1854" s="8" t="s">
        <v>45</v>
      </c>
      <c r="B1854" s="8" t="s">
        <v>43</v>
      </c>
      <c r="C1854" s="8" t="s">
        <v>60</v>
      </c>
      <c r="D1854" s="21" t="n">
        <v>45736.7604166667</v>
      </c>
      <c r="E1854" s="21" t="n">
        <v>45737.3784722222</v>
      </c>
      <c r="F1854" s="22" t="n">
        <f aca="false">DATE(YEAR(E1854),MONTH(E1854),1)</f>
        <v>45717</v>
      </c>
      <c r="G1854" s="23" t="n">
        <v>109291</v>
      </c>
      <c r="H1854" s="8" t="s">
        <v>61</v>
      </c>
      <c r="I1854" s="24" t="n">
        <v>-347.71</v>
      </c>
      <c r="J1854" s="25" t="n">
        <f aca="false">Summary!$B$4</f>
        <v>1</v>
      </c>
      <c r="K1854" s="11" t="n">
        <f aca="false">I1854*J1854*IF(A1854="SILVER",Summary!$B$5,Summary!$B$6)</f>
        <v>-34771</v>
      </c>
      <c r="L1854" s="26" t="n">
        <v>-1.002</v>
      </c>
      <c r="M1854" s="27" t="n">
        <f aca="false">IF(K1854&gt;0,1,0)</f>
        <v>0</v>
      </c>
      <c r="N1854" s="11" t="n">
        <f aca="false">SUMIFS(K$2:K1854,A$2:A1854,A1854,B$2:B1854,B1854)</f>
        <v>-106863</v>
      </c>
      <c r="O1854" s="11" t="n">
        <f aca="false">MAX(0,_xlfn.MAXIFS(N$2:N1854,A$2:A1854,A1854,B$2:B1854,B1854))</f>
        <v>72210</v>
      </c>
      <c r="P1854" s="11" t="n">
        <f aca="false">N1854-O1854</f>
        <v>-179073</v>
      </c>
    </row>
    <row r="1855" customFormat="false" ht="15" hidden="false" customHeight="false" outlineLevel="0" collapsed="false">
      <c r="A1855" s="8" t="s">
        <v>45</v>
      </c>
      <c r="B1855" s="8" t="s">
        <v>43</v>
      </c>
      <c r="C1855" s="8" t="s">
        <v>60</v>
      </c>
      <c r="D1855" s="21" t="n">
        <v>45744.3784722222</v>
      </c>
      <c r="E1855" s="21" t="n">
        <v>45744.5736111111</v>
      </c>
      <c r="F1855" s="22" t="n">
        <f aca="false">DATE(YEAR(E1855),MONTH(E1855),1)</f>
        <v>45717</v>
      </c>
      <c r="G1855" s="23" t="n">
        <v>109273</v>
      </c>
      <c r="H1855" s="8" t="s">
        <v>64</v>
      </c>
      <c r="I1855" s="24" t="n">
        <v>25.04</v>
      </c>
      <c r="J1855" s="25" t="n">
        <f aca="false">Summary!$B$4</f>
        <v>1</v>
      </c>
      <c r="K1855" s="11" t="n">
        <f aca="false">I1855*J1855*IF(A1855="SILVER",Summary!$B$5,Summary!$B$6)</f>
        <v>2504</v>
      </c>
      <c r="L1855" s="26" t="n">
        <v>0.071</v>
      </c>
      <c r="M1855" s="27" t="n">
        <f aca="false">IF(K1855&gt;0,1,0)</f>
        <v>1</v>
      </c>
      <c r="N1855" s="11" t="n">
        <f aca="false">SUMIFS(K$2:K1855,A$2:A1855,A1855,B$2:B1855,B1855)</f>
        <v>-104359</v>
      </c>
      <c r="O1855" s="11" t="n">
        <f aca="false">MAX(0,_xlfn.MAXIFS(N$2:N1855,A$2:A1855,A1855,B$2:B1855,B1855))</f>
        <v>72210</v>
      </c>
      <c r="P1855" s="11" t="n">
        <f aca="false">N1855-O1855</f>
        <v>-176569</v>
      </c>
    </row>
    <row r="1856" customFormat="false" ht="15" hidden="false" customHeight="false" outlineLevel="0" collapsed="false">
      <c r="A1856" s="8" t="s">
        <v>45</v>
      </c>
      <c r="B1856" s="8" t="s">
        <v>43</v>
      </c>
      <c r="C1856" s="8" t="s">
        <v>60</v>
      </c>
      <c r="D1856" s="21" t="n">
        <v>45744.7118055556</v>
      </c>
      <c r="E1856" s="21" t="n">
        <v>45748.8944444444</v>
      </c>
      <c r="F1856" s="22" t="n">
        <f aca="false">DATE(YEAR(E1856),MONTH(E1856),1)</f>
        <v>45748</v>
      </c>
      <c r="G1856" s="23" t="n">
        <v>109562</v>
      </c>
      <c r="H1856" s="8" t="s">
        <v>61</v>
      </c>
      <c r="I1856" s="24" t="n">
        <v>1473.05</v>
      </c>
      <c r="J1856" s="25" t="n">
        <f aca="false">Summary!$B$4</f>
        <v>1</v>
      </c>
      <c r="K1856" s="11" t="n">
        <f aca="false">I1856*J1856*IF(A1856="SILVER",Summary!$B$5,Summary!$B$6)</f>
        <v>147305</v>
      </c>
      <c r="L1856" s="26" t="n">
        <v>3.984</v>
      </c>
      <c r="M1856" s="27" t="n">
        <f aca="false">IF(K1856&gt;0,1,0)</f>
        <v>1</v>
      </c>
      <c r="N1856" s="11" t="n">
        <f aca="false">SUMIFS(K$2:K1856,A$2:A1856,A1856,B$2:B1856,B1856)</f>
        <v>42946</v>
      </c>
      <c r="O1856" s="11" t="n">
        <f aca="false">MAX(0,_xlfn.MAXIFS(N$2:N1856,A$2:A1856,A1856,B$2:B1856,B1856))</f>
        <v>72210</v>
      </c>
      <c r="P1856" s="11" t="n">
        <f aca="false">N1856-O1856</f>
        <v>-29264</v>
      </c>
    </row>
    <row r="1857" customFormat="false" ht="15" hidden="false" customHeight="false" outlineLevel="0" collapsed="false">
      <c r="A1857" s="8" t="s">
        <v>45</v>
      </c>
      <c r="B1857" s="8" t="s">
        <v>43</v>
      </c>
      <c r="C1857" s="8" t="s">
        <v>60</v>
      </c>
      <c r="D1857" s="21" t="n">
        <v>45748.9701388889</v>
      </c>
      <c r="E1857" s="21" t="n">
        <v>45749.4305555556</v>
      </c>
      <c r="F1857" s="22" t="n">
        <f aca="false">DATE(YEAR(E1857),MONTH(E1857),1)</f>
        <v>45748</v>
      </c>
      <c r="G1857" s="23" t="n">
        <v>111128</v>
      </c>
      <c r="H1857" s="8" t="s">
        <v>64</v>
      </c>
      <c r="I1857" s="24" t="n">
        <v>15.9</v>
      </c>
      <c r="J1857" s="25" t="n">
        <f aca="false">Summary!$B$4</f>
        <v>1</v>
      </c>
      <c r="K1857" s="11" t="n">
        <f aca="false">I1857*J1857*IF(A1857="SILVER",Summary!$B$5,Summary!$B$6)</f>
        <v>1590</v>
      </c>
      <c r="L1857" s="26" t="n">
        <v>0.038</v>
      </c>
      <c r="M1857" s="27" t="n">
        <f aca="false">IF(K1857&gt;0,1,0)</f>
        <v>1</v>
      </c>
      <c r="N1857" s="11" t="n">
        <f aca="false">SUMIFS(K$2:K1857,A$2:A1857,A1857,B$2:B1857,B1857)</f>
        <v>44536</v>
      </c>
      <c r="O1857" s="11" t="n">
        <f aca="false">MAX(0,_xlfn.MAXIFS(N$2:N1857,A$2:A1857,A1857,B$2:B1857,B1857))</f>
        <v>72210</v>
      </c>
      <c r="P1857" s="11" t="n">
        <f aca="false">N1857-O1857</f>
        <v>-27674</v>
      </c>
    </row>
    <row r="1858" customFormat="false" ht="15" hidden="false" customHeight="false" outlineLevel="0" collapsed="false">
      <c r="A1858" s="8" t="s">
        <v>45</v>
      </c>
      <c r="B1858" s="8" t="s">
        <v>43</v>
      </c>
      <c r="C1858" s="8" t="s">
        <v>60</v>
      </c>
      <c r="D1858" s="21" t="n">
        <v>45749.9111111111</v>
      </c>
      <c r="E1858" s="21" t="n">
        <v>45750.4611111111</v>
      </c>
      <c r="F1858" s="22" t="n">
        <f aca="false">DATE(YEAR(E1858),MONTH(E1858),1)</f>
        <v>45748</v>
      </c>
      <c r="G1858" s="23" t="n">
        <v>111540</v>
      </c>
      <c r="H1858" s="8" t="s">
        <v>64</v>
      </c>
      <c r="I1858" s="24" t="n">
        <v>-6.2</v>
      </c>
      <c r="J1858" s="25" t="n">
        <f aca="false">Summary!$B$4</f>
        <v>1</v>
      </c>
      <c r="K1858" s="11" t="n">
        <f aca="false">I1858*J1858*IF(A1858="SILVER",Summary!$B$5,Summary!$B$6)</f>
        <v>-620</v>
      </c>
      <c r="L1858" s="26" t="n">
        <v>-0.01</v>
      </c>
      <c r="M1858" s="27" t="n">
        <f aca="false">IF(K1858&gt;0,1,0)</f>
        <v>0</v>
      </c>
      <c r="N1858" s="11" t="n">
        <f aca="false">SUMIFS(K$2:K1858,A$2:A1858,A1858,B$2:B1858,B1858)</f>
        <v>43916</v>
      </c>
      <c r="O1858" s="11" t="n">
        <f aca="false">MAX(0,_xlfn.MAXIFS(N$2:N1858,A$2:A1858,A1858,B$2:B1858,B1858))</f>
        <v>72210</v>
      </c>
      <c r="P1858" s="11" t="n">
        <f aca="false">N1858-O1858</f>
        <v>-28294</v>
      </c>
    </row>
    <row r="1859" customFormat="false" ht="15" hidden="false" customHeight="false" outlineLevel="0" collapsed="false">
      <c r="A1859" s="8" t="s">
        <v>45</v>
      </c>
      <c r="B1859" s="8" t="s">
        <v>43</v>
      </c>
      <c r="C1859" s="8" t="s">
        <v>60</v>
      </c>
      <c r="D1859" s="21" t="n">
        <v>45756.7222222222</v>
      </c>
      <c r="E1859" s="21" t="n">
        <v>45756.8027777778</v>
      </c>
      <c r="F1859" s="22" t="n">
        <f aca="false">DATE(YEAR(E1859),MONTH(E1859),1)</f>
        <v>45748</v>
      </c>
      <c r="G1859" s="23" t="n">
        <v>111256</v>
      </c>
      <c r="H1859" s="8" t="s">
        <v>64</v>
      </c>
      <c r="I1859" s="24" t="n">
        <v>78.14</v>
      </c>
      <c r="J1859" s="25" t="n">
        <f aca="false">Summary!$B$4</f>
        <v>1</v>
      </c>
      <c r="K1859" s="11" t="n">
        <f aca="false">I1859*J1859*IF(A1859="SILVER",Summary!$B$5,Summary!$B$6)</f>
        <v>7814</v>
      </c>
      <c r="L1859" s="26" t="n">
        <v>0.11</v>
      </c>
      <c r="M1859" s="27" t="n">
        <f aca="false">IF(K1859&gt;0,1,0)</f>
        <v>1</v>
      </c>
      <c r="N1859" s="11" t="n">
        <f aca="false">SUMIFS(K$2:K1859,A$2:A1859,A1859,B$2:B1859,B1859)</f>
        <v>51730</v>
      </c>
      <c r="O1859" s="11" t="n">
        <f aca="false">MAX(0,_xlfn.MAXIFS(N$2:N1859,A$2:A1859,A1859,B$2:B1859,B1859))</f>
        <v>72210</v>
      </c>
      <c r="P1859" s="11" t="n">
        <f aca="false">N1859-O1859</f>
        <v>-20480</v>
      </c>
    </row>
    <row r="1860" customFormat="false" ht="15" hidden="false" customHeight="false" outlineLevel="0" collapsed="false">
      <c r="A1860" s="8" t="s">
        <v>45</v>
      </c>
      <c r="B1860" s="8" t="s">
        <v>43</v>
      </c>
      <c r="C1860" s="8" t="s">
        <v>60</v>
      </c>
      <c r="D1860" s="21" t="n">
        <v>45756.8298611111</v>
      </c>
      <c r="E1860" s="21" t="n">
        <v>45756.9395833333</v>
      </c>
      <c r="F1860" s="22" t="n">
        <f aca="false">DATE(YEAR(E1860),MONTH(E1860),1)</f>
        <v>45748</v>
      </c>
      <c r="G1860" s="23" t="n">
        <v>111695</v>
      </c>
      <c r="H1860" s="8" t="s">
        <v>64</v>
      </c>
      <c r="I1860" s="24" t="n">
        <v>110.47</v>
      </c>
      <c r="J1860" s="25" t="n">
        <f aca="false">Summary!$B$4</f>
        <v>1</v>
      </c>
      <c r="K1860" s="11" t="n">
        <f aca="false">I1860*J1860*IF(A1860="SILVER",Summary!$B$5,Summary!$B$6)</f>
        <v>11047</v>
      </c>
      <c r="L1860" s="26" t="n">
        <v>0.12</v>
      </c>
      <c r="M1860" s="27" t="n">
        <f aca="false">IF(K1860&gt;0,1,0)</f>
        <v>1</v>
      </c>
      <c r="N1860" s="11" t="n">
        <f aca="false">SUMIFS(K$2:K1860,A$2:A1860,A1860,B$2:B1860,B1860)</f>
        <v>62777</v>
      </c>
      <c r="O1860" s="11" t="n">
        <f aca="false">MAX(0,_xlfn.MAXIFS(N$2:N1860,A$2:A1860,A1860,B$2:B1860,B1860))</f>
        <v>72210</v>
      </c>
      <c r="P1860" s="11" t="n">
        <f aca="false">N1860-O1860</f>
        <v>-9432.99999999999</v>
      </c>
    </row>
    <row r="1861" customFormat="false" ht="15" hidden="false" customHeight="false" outlineLevel="0" collapsed="false">
      <c r="A1861" s="8" t="s">
        <v>45</v>
      </c>
      <c r="B1861" s="8" t="s">
        <v>43</v>
      </c>
      <c r="C1861" s="8" t="s">
        <v>60</v>
      </c>
      <c r="D1861" s="21" t="n">
        <v>45757.7118055556</v>
      </c>
      <c r="E1861" s="21" t="n">
        <v>45757.7944444444</v>
      </c>
      <c r="F1861" s="22" t="n">
        <f aca="false">DATE(YEAR(E1861),MONTH(E1861),1)</f>
        <v>45748</v>
      </c>
      <c r="G1861" s="23" t="n">
        <v>112231</v>
      </c>
      <c r="H1861" s="8" t="s">
        <v>64</v>
      </c>
      <c r="I1861" s="24" t="n">
        <v>198.49</v>
      </c>
      <c r="J1861" s="25" t="n">
        <f aca="false">Summary!$B$4</f>
        <v>1</v>
      </c>
      <c r="K1861" s="11" t="n">
        <f aca="false">I1861*J1861*IF(A1861="SILVER",Summary!$B$5,Summary!$B$6)</f>
        <v>19849</v>
      </c>
      <c r="L1861" s="26" t="n">
        <v>0.131</v>
      </c>
      <c r="M1861" s="27" t="n">
        <f aca="false">IF(K1861&gt;0,1,0)</f>
        <v>1</v>
      </c>
      <c r="N1861" s="11" t="n">
        <f aca="false">SUMIFS(K$2:K1861,A$2:A1861,A1861,B$2:B1861,B1861)</f>
        <v>82626</v>
      </c>
      <c r="O1861" s="11" t="n">
        <f aca="false">MAX(0,_xlfn.MAXIFS(N$2:N1861,A$2:A1861,A1861,B$2:B1861,B1861))</f>
        <v>82626</v>
      </c>
      <c r="P1861" s="11" t="n">
        <f aca="false">N1861-O1861</f>
        <v>0</v>
      </c>
    </row>
    <row r="1862" customFormat="false" ht="15" hidden="false" customHeight="false" outlineLevel="0" collapsed="false">
      <c r="A1862" s="8" t="s">
        <v>45</v>
      </c>
      <c r="B1862" s="8" t="s">
        <v>43</v>
      </c>
      <c r="C1862" s="8" t="s">
        <v>60</v>
      </c>
      <c r="D1862" s="21" t="n">
        <v>45757.8194444445</v>
      </c>
      <c r="E1862" s="21" t="n">
        <v>45757.89375</v>
      </c>
      <c r="F1862" s="22" t="n">
        <f aca="false">DATE(YEAR(E1862),MONTH(E1862),1)</f>
        <v>45748</v>
      </c>
      <c r="G1862" s="23" t="n">
        <v>112953</v>
      </c>
      <c r="H1862" s="8" t="s">
        <v>64</v>
      </c>
      <c r="I1862" s="24" t="n">
        <v>146.56</v>
      </c>
      <c r="J1862" s="25" t="n">
        <f aca="false">Summary!$B$4</f>
        <v>1</v>
      </c>
      <c r="K1862" s="11" t="n">
        <f aca="false">I1862*J1862*IF(A1862="SILVER",Summary!$B$5,Summary!$B$6)</f>
        <v>14656</v>
      </c>
      <c r="L1862" s="26" t="n">
        <v>0.126</v>
      </c>
      <c r="M1862" s="27" t="n">
        <f aca="false">IF(K1862&gt;0,1,0)</f>
        <v>1</v>
      </c>
      <c r="N1862" s="11" t="n">
        <f aca="false">SUMIFS(K$2:K1862,A$2:A1862,A1862,B$2:B1862,B1862)</f>
        <v>97282</v>
      </c>
      <c r="O1862" s="11" t="n">
        <f aca="false">MAX(0,_xlfn.MAXIFS(N$2:N1862,A$2:A1862,A1862,B$2:B1862,B1862))</f>
        <v>97282</v>
      </c>
      <c r="P1862" s="11" t="n">
        <f aca="false">N1862-O1862</f>
        <v>0</v>
      </c>
    </row>
    <row r="1863" customFormat="false" ht="15" hidden="false" customHeight="false" outlineLevel="0" collapsed="false">
      <c r="A1863" s="8" t="s">
        <v>45</v>
      </c>
      <c r="B1863" s="8" t="s">
        <v>43</v>
      </c>
      <c r="C1863" s="8" t="s">
        <v>60</v>
      </c>
      <c r="D1863" s="21" t="n">
        <v>45758.3784722222</v>
      </c>
      <c r="E1863" s="21" t="n">
        <v>45761.7465277778</v>
      </c>
      <c r="F1863" s="22" t="n">
        <f aca="false">DATE(YEAR(E1863),MONTH(E1863),1)</f>
        <v>45748</v>
      </c>
      <c r="G1863" s="23" t="n">
        <v>114692</v>
      </c>
      <c r="H1863" s="8" t="s">
        <v>61</v>
      </c>
      <c r="I1863" s="24" t="n">
        <v>-238.69</v>
      </c>
      <c r="J1863" s="25" t="n">
        <f aca="false">Summary!$B$4</f>
        <v>1</v>
      </c>
      <c r="K1863" s="11" t="n">
        <f aca="false">I1863*J1863*IF(A1863="SILVER",Summary!$B$5,Summary!$B$6)</f>
        <v>-23869</v>
      </c>
      <c r="L1863" s="26" t="n">
        <v>-0.15</v>
      </c>
      <c r="M1863" s="27" t="n">
        <f aca="false">IF(K1863&gt;0,1,0)</f>
        <v>0</v>
      </c>
      <c r="N1863" s="11" t="n">
        <f aca="false">SUMIFS(K$2:K1863,A$2:A1863,A1863,B$2:B1863,B1863)</f>
        <v>73413</v>
      </c>
      <c r="O1863" s="11" t="n">
        <f aca="false">MAX(0,_xlfn.MAXIFS(N$2:N1863,A$2:A1863,A1863,B$2:B1863,B1863))</f>
        <v>97282</v>
      </c>
      <c r="P1863" s="11" t="n">
        <f aca="false">N1863-O1863</f>
        <v>-23869</v>
      </c>
    </row>
    <row r="1864" customFormat="false" ht="15" hidden="false" customHeight="false" outlineLevel="0" collapsed="false">
      <c r="A1864" s="8" t="s">
        <v>45</v>
      </c>
      <c r="B1864" s="8" t="s">
        <v>43</v>
      </c>
      <c r="C1864" s="8" t="s">
        <v>60</v>
      </c>
      <c r="D1864" s="21" t="n">
        <v>45762.5729166667</v>
      </c>
      <c r="E1864" s="21" t="n">
        <v>45762.8090277778</v>
      </c>
      <c r="F1864" s="22" t="n">
        <f aca="false">DATE(YEAR(E1864),MONTH(E1864),1)</f>
        <v>45748</v>
      </c>
      <c r="G1864" s="23" t="n">
        <v>114595</v>
      </c>
      <c r="H1864" s="8" t="s">
        <v>61</v>
      </c>
      <c r="I1864" s="24" t="n">
        <v>-436.65</v>
      </c>
      <c r="J1864" s="25" t="n">
        <f aca="false">Summary!$B$4</f>
        <v>1</v>
      </c>
      <c r="K1864" s="11" t="n">
        <f aca="false">I1864*J1864*IF(A1864="SILVER",Summary!$B$5,Summary!$B$6)</f>
        <v>-43665</v>
      </c>
      <c r="L1864" s="26" t="n">
        <v>-1.176</v>
      </c>
      <c r="M1864" s="27" t="n">
        <f aca="false">IF(K1864&gt;0,1,0)</f>
        <v>0</v>
      </c>
      <c r="N1864" s="11" t="n">
        <f aca="false">SUMIFS(K$2:K1864,A$2:A1864,A1864,B$2:B1864,B1864)</f>
        <v>29748</v>
      </c>
      <c r="O1864" s="11" t="n">
        <f aca="false">MAX(0,_xlfn.MAXIFS(N$2:N1864,A$2:A1864,A1864,B$2:B1864,B1864))</f>
        <v>97282</v>
      </c>
      <c r="P1864" s="11" t="n">
        <f aca="false">N1864-O1864</f>
        <v>-67534</v>
      </c>
    </row>
    <row r="1865" customFormat="false" ht="15" hidden="false" customHeight="false" outlineLevel="0" collapsed="false">
      <c r="A1865" s="8" t="s">
        <v>45</v>
      </c>
      <c r="B1865" s="8" t="s">
        <v>43</v>
      </c>
      <c r="C1865" s="8" t="s">
        <v>60</v>
      </c>
      <c r="D1865" s="21" t="n">
        <v>45762.96875</v>
      </c>
      <c r="E1865" s="21" t="n">
        <v>45764.5277777778</v>
      </c>
      <c r="F1865" s="22" t="n">
        <f aca="false">DATE(YEAR(E1865),MONTH(E1865),1)</f>
        <v>45748</v>
      </c>
      <c r="G1865" s="23" t="n">
        <v>114656</v>
      </c>
      <c r="H1865" s="8" t="s">
        <v>61</v>
      </c>
      <c r="I1865" s="24" t="n">
        <v>1936.11</v>
      </c>
      <c r="J1865" s="25" t="n">
        <f aca="false">Summary!$B$4</f>
        <v>1</v>
      </c>
      <c r="K1865" s="11" t="n">
        <f aca="false">I1865*J1865*IF(A1865="SILVER",Summary!$B$5,Summary!$B$6)</f>
        <v>193611</v>
      </c>
      <c r="L1865" s="26" t="n">
        <v>6.93</v>
      </c>
      <c r="M1865" s="27" t="n">
        <f aca="false">IF(K1865&gt;0,1,0)</f>
        <v>1</v>
      </c>
      <c r="N1865" s="11" t="n">
        <f aca="false">SUMIFS(K$2:K1865,A$2:A1865,A1865,B$2:B1865,B1865)</f>
        <v>223359</v>
      </c>
      <c r="O1865" s="11" t="n">
        <f aca="false">MAX(0,_xlfn.MAXIFS(N$2:N1865,A$2:A1865,A1865,B$2:B1865,B1865))</f>
        <v>223359</v>
      </c>
      <c r="P1865" s="11" t="n">
        <f aca="false">N1865-O1865</f>
        <v>0</v>
      </c>
    </row>
    <row r="1866" customFormat="false" ht="15" hidden="false" customHeight="false" outlineLevel="0" collapsed="false">
      <c r="A1866" s="8" t="s">
        <v>45</v>
      </c>
      <c r="B1866" s="8" t="s">
        <v>43</v>
      </c>
      <c r="C1866" s="8" t="s">
        <v>60</v>
      </c>
      <c r="D1866" s="21" t="n">
        <v>45764.9340277778</v>
      </c>
      <c r="E1866" s="21" t="n">
        <v>45769.5868055556</v>
      </c>
      <c r="F1866" s="22" t="n">
        <f aca="false">DATE(YEAR(E1866),MONTH(E1866),1)</f>
        <v>45748</v>
      </c>
      <c r="G1866" s="23" t="n">
        <v>116422</v>
      </c>
      <c r="H1866" s="8" t="s">
        <v>61</v>
      </c>
      <c r="I1866" s="24" t="n">
        <v>3285.62</v>
      </c>
      <c r="J1866" s="25" t="n">
        <f aca="false">Summary!$B$4</f>
        <v>1</v>
      </c>
      <c r="K1866" s="11" t="n">
        <f aca="false">I1866*J1866*IF(A1866="SILVER",Summary!$B$5,Summary!$B$6)</f>
        <v>328562</v>
      </c>
      <c r="L1866" s="26" t="n">
        <v>4.692</v>
      </c>
      <c r="M1866" s="27" t="n">
        <f aca="false">IF(K1866&gt;0,1,0)</f>
        <v>1</v>
      </c>
      <c r="N1866" s="11" t="n">
        <f aca="false">SUMIFS(K$2:K1866,A$2:A1866,A1866,B$2:B1866,B1866)</f>
        <v>551921</v>
      </c>
      <c r="O1866" s="11" t="n">
        <f aca="false">MAX(0,_xlfn.MAXIFS(N$2:N1866,A$2:A1866,A1866,B$2:B1866,B1866))</f>
        <v>551921</v>
      </c>
      <c r="P1866" s="11" t="n">
        <f aca="false">N1866-O1866</f>
        <v>0</v>
      </c>
    </row>
    <row r="1867" customFormat="false" ht="15" hidden="false" customHeight="false" outlineLevel="0" collapsed="false">
      <c r="A1867" s="8" t="s">
        <v>45</v>
      </c>
      <c r="B1867" s="8" t="s">
        <v>43</v>
      </c>
      <c r="C1867" s="8" t="s">
        <v>60</v>
      </c>
      <c r="D1867" s="21" t="n">
        <v>45783.4305555556</v>
      </c>
      <c r="E1867" s="21" t="n">
        <v>45783.4826388889</v>
      </c>
      <c r="F1867" s="22" t="n">
        <f aca="false">DATE(YEAR(E1867),MONTH(E1867),1)</f>
        <v>45778</v>
      </c>
      <c r="G1867" s="23" t="n">
        <v>117245</v>
      </c>
      <c r="H1867" s="8" t="s">
        <v>64</v>
      </c>
      <c r="I1867" s="24" t="n">
        <v>65.77</v>
      </c>
      <c r="J1867" s="25" t="n">
        <f aca="false">Summary!$B$4</f>
        <v>1</v>
      </c>
      <c r="K1867" s="11" t="n">
        <f aca="false">I1867*J1867*IF(A1867="SILVER",Summary!$B$5,Summary!$B$6)</f>
        <v>6577</v>
      </c>
      <c r="L1867" s="26" t="n">
        <v>0.101</v>
      </c>
      <c r="M1867" s="27" t="n">
        <f aca="false">IF(K1867&gt;0,1,0)</f>
        <v>1</v>
      </c>
      <c r="N1867" s="11" t="n">
        <f aca="false">SUMIFS(K$2:K1867,A$2:A1867,A1867,B$2:B1867,B1867)</f>
        <v>558498</v>
      </c>
      <c r="O1867" s="11" t="n">
        <f aca="false">MAX(0,_xlfn.MAXIFS(N$2:N1867,A$2:A1867,A1867,B$2:B1867,B1867))</f>
        <v>558498</v>
      </c>
      <c r="P1867" s="11" t="n">
        <f aca="false">N1867-O1867</f>
        <v>0</v>
      </c>
    </row>
    <row r="1868" customFormat="false" ht="15" hidden="false" customHeight="false" outlineLevel="0" collapsed="false">
      <c r="A1868" s="8" t="s">
        <v>45</v>
      </c>
      <c r="B1868" s="8" t="s">
        <v>43</v>
      </c>
      <c r="C1868" s="8" t="s">
        <v>60</v>
      </c>
      <c r="D1868" s="21" t="n">
        <v>45783.4930555556</v>
      </c>
      <c r="E1868" s="21" t="n">
        <v>45783.5506944444</v>
      </c>
      <c r="F1868" s="22" t="n">
        <f aca="false">DATE(YEAR(E1868),MONTH(E1868),1)</f>
        <v>45778</v>
      </c>
      <c r="G1868" s="23" t="n">
        <v>117497</v>
      </c>
      <c r="H1868" s="8" t="s">
        <v>64</v>
      </c>
      <c r="I1868" s="24" t="n">
        <v>64.77</v>
      </c>
      <c r="J1868" s="25" t="n">
        <f aca="false">Summary!$B$4</f>
        <v>1</v>
      </c>
      <c r="K1868" s="11" t="n">
        <f aca="false">I1868*J1868*IF(A1868="SILVER",Summary!$B$5,Summary!$B$6)</f>
        <v>6477</v>
      </c>
      <c r="L1868" s="26" t="n">
        <v>0.103</v>
      </c>
      <c r="M1868" s="27" t="n">
        <f aca="false">IF(K1868&gt;0,1,0)</f>
        <v>1</v>
      </c>
      <c r="N1868" s="11" t="n">
        <f aca="false">SUMIFS(K$2:K1868,A$2:A1868,A1868,B$2:B1868,B1868)</f>
        <v>564975</v>
      </c>
      <c r="O1868" s="11" t="n">
        <f aca="false">MAX(0,_xlfn.MAXIFS(N$2:N1868,A$2:A1868,A1868,B$2:B1868,B1868))</f>
        <v>564975</v>
      </c>
      <c r="P1868" s="11" t="n">
        <f aca="false">N1868-O1868</f>
        <v>0</v>
      </c>
    </row>
    <row r="1869" customFormat="false" ht="15" hidden="false" customHeight="false" outlineLevel="0" collapsed="false">
      <c r="A1869" s="8" t="s">
        <v>45</v>
      </c>
      <c r="B1869" s="8" t="s">
        <v>43</v>
      </c>
      <c r="C1869" s="8" t="s">
        <v>60</v>
      </c>
      <c r="D1869" s="21" t="n">
        <v>45783.5763888889</v>
      </c>
      <c r="E1869" s="21" t="n">
        <v>45783.8326388889</v>
      </c>
      <c r="F1869" s="22" t="n">
        <f aca="false">DATE(YEAR(E1869),MONTH(E1869),1)</f>
        <v>45778</v>
      </c>
      <c r="G1869" s="23" t="n">
        <v>117752</v>
      </c>
      <c r="H1869" s="8" t="s">
        <v>64</v>
      </c>
      <c r="I1869" s="24" t="n">
        <v>55.91</v>
      </c>
      <c r="J1869" s="25" t="n">
        <f aca="false">Summary!$B$4</f>
        <v>1</v>
      </c>
      <c r="K1869" s="11" t="n">
        <f aca="false">I1869*J1869*IF(A1869="SILVER",Summary!$B$5,Summary!$B$6)</f>
        <v>5591</v>
      </c>
      <c r="L1869" s="26" t="n">
        <v>0.098</v>
      </c>
      <c r="M1869" s="27" t="n">
        <f aca="false">IF(K1869&gt;0,1,0)</f>
        <v>1</v>
      </c>
      <c r="N1869" s="11" t="n">
        <f aca="false">SUMIFS(K$2:K1869,A$2:A1869,A1869,B$2:B1869,B1869)</f>
        <v>570566</v>
      </c>
      <c r="O1869" s="11" t="n">
        <f aca="false">MAX(0,_xlfn.MAXIFS(N$2:N1869,A$2:A1869,A1869,B$2:B1869,B1869))</f>
        <v>570566</v>
      </c>
      <c r="P1869" s="11" t="n">
        <f aca="false">N1869-O1869</f>
        <v>0</v>
      </c>
    </row>
    <row r="1870" customFormat="false" ht="15" hidden="false" customHeight="false" outlineLevel="0" collapsed="false">
      <c r="A1870" s="8" t="s">
        <v>45</v>
      </c>
      <c r="B1870" s="8" t="s">
        <v>43</v>
      </c>
      <c r="C1870" s="8" t="s">
        <v>60</v>
      </c>
      <c r="D1870" s="21" t="n">
        <v>45783.9131944445</v>
      </c>
      <c r="E1870" s="21" t="n">
        <v>45784.375</v>
      </c>
      <c r="F1870" s="22" t="n">
        <f aca="false">DATE(YEAR(E1870),MONTH(E1870),1)</f>
        <v>45778</v>
      </c>
      <c r="G1870" s="23" t="n">
        <v>118202</v>
      </c>
      <c r="H1870" s="8" t="s">
        <v>64</v>
      </c>
      <c r="I1870" s="24" t="n">
        <v>-169.37</v>
      </c>
      <c r="J1870" s="25" t="n">
        <f aca="false">Summary!$B$4</f>
        <v>1</v>
      </c>
      <c r="K1870" s="11" t="n">
        <f aca="false">I1870*J1870*IF(A1870="SILVER",Summary!$B$5,Summary!$B$6)</f>
        <v>-16937</v>
      </c>
      <c r="L1870" s="26" t="n">
        <v>-0.288</v>
      </c>
      <c r="M1870" s="27" t="n">
        <f aca="false">IF(K1870&gt;0,1,0)</f>
        <v>0</v>
      </c>
      <c r="N1870" s="11" t="n">
        <f aca="false">SUMIFS(K$2:K1870,A$2:A1870,A1870,B$2:B1870,B1870)</f>
        <v>553629</v>
      </c>
      <c r="O1870" s="11" t="n">
        <f aca="false">MAX(0,_xlfn.MAXIFS(N$2:N1870,A$2:A1870,A1870,B$2:B1870,B1870))</f>
        <v>570566</v>
      </c>
      <c r="P1870" s="11" t="n">
        <f aca="false">N1870-O1870</f>
        <v>-16937</v>
      </c>
    </row>
    <row r="1871" customFormat="false" ht="15" hidden="false" customHeight="false" outlineLevel="0" collapsed="false">
      <c r="A1871" s="8" t="s">
        <v>45</v>
      </c>
      <c r="B1871" s="8" t="s">
        <v>43</v>
      </c>
      <c r="C1871" s="8" t="s">
        <v>60</v>
      </c>
      <c r="D1871" s="21" t="n">
        <v>45784.6736111111</v>
      </c>
      <c r="E1871" s="21" t="n">
        <v>45785.4409722222</v>
      </c>
      <c r="F1871" s="22" t="n">
        <f aca="false">DATE(YEAR(E1871),MONTH(E1871),1)</f>
        <v>45778</v>
      </c>
      <c r="G1871" s="23" t="n">
        <v>118391</v>
      </c>
      <c r="H1871" s="8" t="s">
        <v>61</v>
      </c>
      <c r="I1871" s="24" t="n">
        <v>-429.41</v>
      </c>
      <c r="J1871" s="25" t="n">
        <f aca="false">Summary!$B$4</f>
        <v>1</v>
      </c>
      <c r="K1871" s="11" t="n">
        <f aca="false">I1871*J1871*IF(A1871="SILVER",Summary!$B$5,Summary!$B$6)</f>
        <v>-42941</v>
      </c>
      <c r="L1871" s="26" t="n">
        <v>-0.782</v>
      </c>
      <c r="M1871" s="27" t="n">
        <f aca="false">IF(K1871&gt;0,1,0)</f>
        <v>0</v>
      </c>
      <c r="N1871" s="11" t="n">
        <f aca="false">SUMIFS(K$2:K1871,A$2:A1871,A1871,B$2:B1871,B1871)</f>
        <v>510688</v>
      </c>
      <c r="O1871" s="11" t="n">
        <f aca="false">MAX(0,_xlfn.MAXIFS(N$2:N1871,A$2:A1871,A1871,B$2:B1871,B1871))</f>
        <v>570566</v>
      </c>
      <c r="P1871" s="11" t="n">
        <f aca="false">N1871-O1871</f>
        <v>-59878</v>
      </c>
    </row>
    <row r="1872" customFormat="false" ht="15" hidden="false" customHeight="false" outlineLevel="0" collapsed="false">
      <c r="A1872" s="8" t="s">
        <v>45</v>
      </c>
      <c r="B1872" s="8" t="s">
        <v>43</v>
      </c>
      <c r="C1872" s="8" t="s">
        <v>60</v>
      </c>
      <c r="D1872" s="21" t="n">
        <v>45785.6145833333</v>
      </c>
      <c r="E1872" s="21" t="n">
        <v>45785.6708333333</v>
      </c>
      <c r="F1872" s="22" t="n">
        <f aca="false">DATE(YEAR(E1872),MONTH(E1872),1)</f>
        <v>45778</v>
      </c>
      <c r="G1872" s="23" t="n">
        <v>117741</v>
      </c>
      <c r="H1872" s="8" t="s">
        <v>64</v>
      </c>
      <c r="I1872" s="24" t="n">
        <v>99.91</v>
      </c>
      <c r="J1872" s="25" t="n">
        <f aca="false">Summary!$B$4</f>
        <v>1</v>
      </c>
      <c r="K1872" s="11" t="n">
        <f aca="false">I1872*J1872*IF(A1872="SILVER",Summary!$B$5,Summary!$B$6)</f>
        <v>9991</v>
      </c>
      <c r="L1872" s="26" t="n">
        <v>0.116</v>
      </c>
      <c r="M1872" s="27" t="n">
        <f aca="false">IF(K1872&gt;0,1,0)</f>
        <v>1</v>
      </c>
      <c r="N1872" s="11" t="n">
        <f aca="false">SUMIFS(K$2:K1872,A$2:A1872,A1872,B$2:B1872,B1872)</f>
        <v>520679</v>
      </c>
      <c r="O1872" s="11" t="n">
        <f aca="false">MAX(0,_xlfn.MAXIFS(N$2:N1872,A$2:A1872,A1872,B$2:B1872,B1872))</f>
        <v>570566</v>
      </c>
      <c r="P1872" s="11" t="n">
        <f aca="false">N1872-O1872</f>
        <v>-49887</v>
      </c>
    </row>
    <row r="1873" customFormat="false" ht="15" hidden="false" customHeight="false" outlineLevel="0" collapsed="false">
      <c r="A1873" s="8" t="s">
        <v>45</v>
      </c>
      <c r="B1873" s="8" t="s">
        <v>43</v>
      </c>
      <c r="C1873" s="8" t="s">
        <v>60</v>
      </c>
      <c r="D1873" s="21" t="n">
        <v>45786.7916666667</v>
      </c>
      <c r="E1873" s="21" t="n">
        <v>45786.8229166667</v>
      </c>
      <c r="F1873" s="22" t="n">
        <f aca="false">DATE(YEAR(E1873),MONTH(E1873),1)</f>
        <v>45778</v>
      </c>
      <c r="G1873" s="23" t="n">
        <v>117517</v>
      </c>
      <c r="H1873" s="8" t="s">
        <v>61</v>
      </c>
      <c r="I1873" s="24" t="n">
        <v>-484.23</v>
      </c>
      <c r="J1873" s="25" t="n">
        <f aca="false">Summary!$B$4</f>
        <v>1</v>
      </c>
      <c r="K1873" s="11" t="n">
        <f aca="false">I1873*J1873*IF(A1873="SILVER",Summary!$B$5,Summary!$B$6)</f>
        <v>-48423</v>
      </c>
      <c r="L1873" s="26" t="n">
        <v>-1.187</v>
      </c>
      <c r="M1873" s="27" t="n">
        <f aca="false">IF(K1873&gt;0,1,0)</f>
        <v>0</v>
      </c>
      <c r="N1873" s="11" t="n">
        <f aca="false">SUMIFS(K$2:K1873,A$2:A1873,A1873,B$2:B1873,B1873)</f>
        <v>472256</v>
      </c>
      <c r="O1873" s="11" t="n">
        <f aca="false">MAX(0,_xlfn.MAXIFS(N$2:N1873,A$2:A1873,A1873,B$2:B1873,B1873))</f>
        <v>570566</v>
      </c>
      <c r="P1873" s="11" t="n">
        <f aca="false">N1873-O1873</f>
        <v>-98310</v>
      </c>
    </row>
    <row r="1874" customFormat="false" ht="15" hidden="false" customHeight="false" outlineLevel="0" collapsed="false">
      <c r="A1874" s="8" t="s">
        <v>45</v>
      </c>
      <c r="B1874" s="8" t="s">
        <v>43</v>
      </c>
      <c r="C1874" s="8" t="s">
        <v>60</v>
      </c>
      <c r="D1874" s="21" t="n">
        <v>45786.8506944445</v>
      </c>
      <c r="E1874" s="21" t="n">
        <v>45786.9118055556</v>
      </c>
      <c r="F1874" s="22" t="n">
        <f aca="false">DATE(YEAR(E1874),MONTH(E1874),1)</f>
        <v>45778</v>
      </c>
      <c r="G1874" s="23" t="n">
        <v>117580</v>
      </c>
      <c r="H1874" s="8" t="s">
        <v>64</v>
      </c>
      <c r="I1874" s="24" t="n">
        <v>72.53</v>
      </c>
      <c r="J1874" s="25" t="n">
        <f aca="false">Summary!$B$4</f>
        <v>1</v>
      </c>
      <c r="K1874" s="11" t="n">
        <f aca="false">I1874*J1874*IF(A1874="SILVER",Summary!$B$5,Summary!$B$6)</f>
        <v>7253</v>
      </c>
      <c r="L1874" s="26" t="n">
        <v>0.107</v>
      </c>
      <c r="M1874" s="27" t="n">
        <f aca="false">IF(K1874&gt;0,1,0)</f>
        <v>1</v>
      </c>
      <c r="N1874" s="11" t="n">
        <f aca="false">SUMIFS(K$2:K1874,A$2:A1874,A1874,B$2:B1874,B1874)</f>
        <v>479509</v>
      </c>
      <c r="O1874" s="11" t="n">
        <f aca="false">MAX(0,_xlfn.MAXIFS(N$2:N1874,A$2:A1874,A1874,B$2:B1874,B1874))</f>
        <v>570566</v>
      </c>
      <c r="P1874" s="11" t="n">
        <f aca="false">N1874-O1874</f>
        <v>-91057</v>
      </c>
    </row>
    <row r="1875" customFormat="false" ht="15" hidden="false" customHeight="false" outlineLevel="0" collapsed="false">
      <c r="A1875" s="8" t="s">
        <v>45</v>
      </c>
      <c r="B1875" s="8" t="s">
        <v>43</v>
      </c>
      <c r="C1875" s="8" t="s">
        <v>60</v>
      </c>
      <c r="D1875" s="21" t="n">
        <v>45797.5590277778</v>
      </c>
      <c r="E1875" s="21" t="n">
        <v>45798.7465277778</v>
      </c>
      <c r="F1875" s="22" t="n">
        <f aca="false">DATE(YEAR(E1875),MONTH(E1875),1)</f>
        <v>45778</v>
      </c>
      <c r="G1875" s="23" t="n">
        <v>114431</v>
      </c>
      <c r="H1875" s="8" t="s">
        <v>61</v>
      </c>
      <c r="I1875" s="24" t="n">
        <v>2044.14</v>
      </c>
      <c r="J1875" s="25" t="n">
        <f aca="false">Summary!$B$4</f>
        <v>1</v>
      </c>
      <c r="K1875" s="11" t="n">
        <f aca="false">I1875*J1875*IF(A1875="SILVER",Summary!$B$5,Summary!$B$6)</f>
        <v>204414</v>
      </c>
      <c r="L1875" s="26" t="n">
        <v>4.145</v>
      </c>
      <c r="M1875" s="27" t="n">
        <f aca="false">IF(K1875&gt;0,1,0)</f>
        <v>1</v>
      </c>
      <c r="N1875" s="11" t="n">
        <f aca="false">SUMIFS(K$2:K1875,A$2:A1875,A1875,B$2:B1875,B1875)</f>
        <v>683923</v>
      </c>
      <c r="O1875" s="11" t="n">
        <f aca="false">MAX(0,_xlfn.MAXIFS(N$2:N1875,A$2:A1875,A1875,B$2:B1875,B1875))</f>
        <v>683923</v>
      </c>
      <c r="P1875" s="11" t="n">
        <f aca="false">N1875-O1875</f>
        <v>0</v>
      </c>
    </row>
    <row r="1876" customFormat="false" ht="15" hidden="false" customHeight="false" outlineLevel="0" collapsed="false">
      <c r="A1876" s="8" t="s">
        <v>45</v>
      </c>
      <c r="B1876" s="8" t="s">
        <v>43</v>
      </c>
      <c r="C1876" s="8" t="s">
        <v>60</v>
      </c>
      <c r="D1876" s="21" t="n">
        <v>45798.8645833333</v>
      </c>
      <c r="E1876" s="21" t="n">
        <v>45799.6111111111</v>
      </c>
      <c r="F1876" s="22" t="n">
        <f aca="false">DATE(YEAR(E1876),MONTH(E1876),1)</f>
        <v>45778</v>
      </c>
      <c r="G1876" s="23" t="n">
        <v>116782</v>
      </c>
      <c r="H1876" s="8" t="s">
        <v>61</v>
      </c>
      <c r="I1876" s="24" t="n">
        <v>301.84</v>
      </c>
      <c r="J1876" s="25" t="n">
        <f aca="false">Summary!$B$4</f>
        <v>1</v>
      </c>
      <c r="K1876" s="11" t="n">
        <f aca="false">I1876*J1876*IF(A1876="SILVER",Summary!$B$5,Summary!$B$6)</f>
        <v>30184</v>
      </c>
      <c r="L1876" s="26" t="n">
        <v>0.495</v>
      </c>
      <c r="M1876" s="27" t="n">
        <f aca="false">IF(K1876&gt;0,1,0)</f>
        <v>1</v>
      </c>
      <c r="N1876" s="11" t="n">
        <f aca="false">SUMIFS(K$2:K1876,A$2:A1876,A1876,B$2:B1876,B1876)</f>
        <v>714107</v>
      </c>
      <c r="O1876" s="11" t="n">
        <f aca="false">MAX(0,_xlfn.MAXIFS(N$2:N1876,A$2:A1876,A1876,B$2:B1876,B1876))</f>
        <v>714107</v>
      </c>
      <c r="P1876" s="11" t="n">
        <f aca="false">N1876-O1876</f>
        <v>0</v>
      </c>
    </row>
    <row r="1877" customFormat="false" ht="15" hidden="false" customHeight="false" outlineLevel="0" collapsed="false">
      <c r="A1877" s="8" t="s">
        <v>45</v>
      </c>
      <c r="B1877" s="8" t="s">
        <v>43</v>
      </c>
      <c r="C1877" s="8" t="s">
        <v>60</v>
      </c>
      <c r="D1877" s="21" t="n">
        <v>45799.7291666667</v>
      </c>
      <c r="E1877" s="21" t="n">
        <v>45799.8159722222</v>
      </c>
      <c r="F1877" s="22" t="n">
        <f aca="false">DATE(YEAR(E1877),MONTH(E1877),1)</f>
        <v>45778</v>
      </c>
      <c r="G1877" s="23" t="n">
        <v>117152</v>
      </c>
      <c r="H1877" s="8" t="s">
        <v>61</v>
      </c>
      <c r="I1877" s="24" t="n">
        <v>-719.13</v>
      </c>
      <c r="J1877" s="25" t="n">
        <f aca="false">Summary!$B$4</f>
        <v>1</v>
      </c>
      <c r="K1877" s="11" t="n">
        <f aca="false">I1877*J1877*IF(A1877="SILVER",Summary!$B$5,Summary!$B$6)</f>
        <v>-71913</v>
      </c>
      <c r="L1877" s="26" t="n">
        <v>-1.013</v>
      </c>
      <c r="M1877" s="27" t="n">
        <f aca="false">IF(K1877&gt;0,1,0)</f>
        <v>0</v>
      </c>
      <c r="N1877" s="11" t="n">
        <f aca="false">SUMIFS(K$2:K1877,A$2:A1877,A1877,B$2:B1877,B1877)</f>
        <v>642194</v>
      </c>
      <c r="O1877" s="11" t="n">
        <f aca="false">MAX(0,_xlfn.MAXIFS(N$2:N1877,A$2:A1877,A1877,B$2:B1877,B1877))</f>
        <v>714107</v>
      </c>
      <c r="P1877" s="11" t="n">
        <f aca="false">N1877-O1877</f>
        <v>-71913</v>
      </c>
    </row>
    <row r="1878" customFormat="false" ht="15" hidden="false" customHeight="false" outlineLevel="0" collapsed="false">
      <c r="A1878" s="8" t="s">
        <v>45</v>
      </c>
      <c r="B1878" s="8" t="s">
        <v>43</v>
      </c>
      <c r="C1878" s="8" t="s">
        <v>60</v>
      </c>
      <c r="D1878" s="21" t="n">
        <v>45800.4826388889</v>
      </c>
      <c r="E1878" s="21" t="n">
        <v>45800.5833333333</v>
      </c>
      <c r="F1878" s="22" t="n">
        <f aca="false">DATE(YEAR(E1878),MONTH(E1878),1)</f>
        <v>45778</v>
      </c>
      <c r="G1878" s="23" t="n">
        <v>117237</v>
      </c>
      <c r="H1878" s="8" t="s">
        <v>61</v>
      </c>
      <c r="I1878" s="24" t="n">
        <v>-420.18</v>
      </c>
      <c r="J1878" s="25" t="n">
        <f aca="false">Summary!$B$4</f>
        <v>1</v>
      </c>
      <c r="K1878" s="11" t="n">
        <f aca="false">I1878*J1878*IF(A1878="SILVER",Summary!$B$5,Summary!$B$6)</f>
        <v>-42018</v>
      </c>
      <c r="L1878" s="26" t="n">
        <v>-0.918</v>
      </c>
      <c r="M1878" s="27" t="n">
        <f aca="false">IF(K1878&gt;0,1,0)</f>
        <v>0</v>
      </c>
      <c r="N1878" s="11" t="n">
        <f aca="false">SUMIFS(K$2:K1878,A$2:A1878,A1878,B$2:B1878,B1878)</f>
        <v>600176</v>
      </c>
      <c r="O1878" s="11" t="n">
        <f aca="false">MAX(0,_xlfn.MAXIFS(N$2:N1878,A$2:A1878,A1878,B$2:B1878,B1878))</f>
        <v>714107</v>
      </c>
      <c r="P1878" s="11" t="n">
        <f aca="false">N1878-O1878</f>
        <v>-113931</v>
      </c>
    </row>
    <row r="1879" customFormat="false" ht="15" hidden="false" customHeight="false" outlineLevel="0" collapsed="false">
      <c r="A1879" s="8" t="s">
        <v>45</v>
      </c>
      <c r="B1879" s="8" t="s">
        <v>43</v>
      </c>
      <c r="C1879" s="8" t="s">
        <v>60</v>
      </c>
      <c r="D1879" s="21" t="n">
        <v>45800.7222222222</v>
      </c>
      <c r="E1879" s="21" t="n">
        <v>45800.7375</v>
      </c>
      <c r="F1879" s="22" t="n">
        <f aca="false">DATE(YEAR(E1879),MONTH(E1879),1)</f>
        <v>45778</v>
      </c>
      <c r="G1879" s="23" t="n">
        <v>117300</v>
      </c>
      <c r="H1879" s="8" t="s">
        <v>64</v>
      </c>
      <c r="I1879" s="24" t="n">
        <v>71.19</v>
      </c>
      <c r="J1879" s="25" t="n">
        <f aca="false">Summary!$B$4</f>
        <v>1</v>
      </c>
      <c r="K1879" s="11" t="n">
        <f aca="false">I1879*J1879*IF(A1879="SILVER",Summary!$B$5,Summary!$B$6)</f>
        <v>7119</v>
      </c>
      <c r="L1879" s="26" t="n">
        <v>0.106</v>
      </c>
      <c r="M1879" s="27" t="n">
        <f aca="false">IF(K1879&gt;0,1,0)</f>
        <v>1</v>
      </c>
      <c r="N1879" s="11" t="n">
        <f aca="false">SUMIFS(K$2:K1879,A$2:A1879,A1879,B$2:B1879,B1879)</f>
        <v>607295</v>
      </c>
      <c r="O1879" s="11" t="n">
        <f aca="false">MAX(0,_xlfn.MAXIFS(N$2:N1879,A$2:A1879,A1879,B$2:B1879,B1879))</f>
        <v>714107</v>
      </c>
      <c r="P1879" s="11" t="n">
        <f aca="false">N1879-O1879</f>
        <v>-106812</v>
      </c>
    </row>
    <row r="1880" customFormat="false" ht="15" hidden="false" customHeight="false" outlineLevel="0" collapsed="false">
      <c r="A1880" s="8" t="s">
        <v>45</v>
      </c>
      <c r="B1880" s="8" t="s">
        <v>43</v>
      </c>
      <c r="C1880" s="8" t="s">
        <v>60</v>
      </c>
      <c r="D1880" s="21" t="n">
        <v>45800.7569444445</v>
      </c>
      <c r="E1880" s="21" t="n">
        <v>45803.3784722222</v>
      </c>
      <c r="F1880" s="22" t="n">
        <f aca="false">DATE(YEAR(E1880),MONTH(E1880),1)</f>
        <v>45778</v>
      </c>
      <c r="G1880" s="23" t="n">
        <v>117584</v>
      </c>
      <c r="H1880" s="8" t="s">
        <v>61</v>
      </c>
      <c r="I1880" s="24" t="n">
        <v>-521.24</v>
      </c>
      <c r="J1880" s="25" t="n">
        <f aca="false">Summary!$B$4</f>
        <v>1</v>
      </c>
      <c r="K1880" s="11" t="n">
        <f aca="false">I1880*J1880*IF(A1880="SILVER",Summary!$B$5,Summary!$B$6)</f>
        <v>-52124</v>
      </c>
      <c r="L1880" s="26" t="n">
        <v>-0.766</v>
      </c>
      <c r="M1880" s="27" t="n">
        <f aca="false">IF(K1880&gt;0,1,0)</f>
        <v>0</v>
      </c>
      <c r="N1880" s="11" t="n">
        <f aca="false">SUMIFS(K$2:K1880,A$2:A1880,A1880,B$2:B1880,B1880)</f>
        <v>555171</v>
      </c>
      <c r="O1880" s="11" t="n">
        <f aca="false">MAX(0,_xlfn.MAXIFS(N$2:N1880,A$2:A1880,A1880,B$2:B1880,B1880))</f>
        <v>714107</v>
      </c>
      <c r="P1880" s="11" t="n">
        <f aca="false">N1880-O1880</f>
        <v>-158936</v>
      </c>
    </row>
    <row r="1881" customFormat="false" ht="15" hidden="false" customHeight="false" outlineLevel="0" collapsed="false">
      <c r="A1881" s="8" t="s">
        <v>45</v>
      </c>
      <c r="B1881" s="8" t="s">
        <v>43</v>
      </c>
      <c r="C1881" s="8" t="s">
        <v>60</v>
      </c>
      <c r="D1881" s="21" t="n">
        <v>45803.8159722222</v>
      </c>
      <c r="E1881" s="21" t="n">
        <v>45803.9590277778</v>
      </c>
      <c r="F1881" s="22" t="n">
        <f aca="false">DATE(YEAR(E1881),MONTH(E1881),1)</f>
        <v>45778</v>
      </c>
      <c r="G1881" s="23" t="n">
        <v>117043</v>
      </c>
      <c r="H1881" s="8" t="s">
        <v>64</v>
      </c>
      <c r="I1881" s="24" t="n">
        <v>14.82</v>
      </c>
      <c r="J1881" s="25" t="n">
        <f aca="false">Summary!$B$4</f>
        <v>1</v>
      </c>
      <c r="K1881" s="11" t="n">
        <f aca="false">I1881*J1881*IF(A1881="SILVER",Summary!$B$5,Summary!$B$6)</f>
        <v>1482</v>
      </c>
      <c r="L1881" s="26" t="n">
        <v>0.049</v>
      </c>
      <c r="M1881" s="27" t="n">
        <f aca="false">IF(K1881&gt;0,1,0)</f>
        <v>1</v>
      </c>
      <c r="N1881" s="11" t="n">
        <f aca="false">SUMIFS(K$2:K1881,A$2:A1881,A1881,B$2:B1881,B1881)</f>
        <v>556653</v>
      </c>
      <c r="O1881" s="11" t="n">
        <f aca="false">MAX(0,_xlfn.MAXIFS(N$2:N1881,A$2:A1881,A1881,B$2:B1881,B1881))</f>
        <v>714107</v>
      </c>
      <c r="P1881" s="11" t="n">
        <f aca="false">N1881-O1881</f>
        <v>-157454</v>
      </c>
    </row>
    <row r="1882" customFormat="false" ht="15" hidden="false" customHeight="false" outlineLevel="0" collapsed="false">
      <c r="A1882" s="8" t="s">
        <v>45</v>
      </c>
      <c r="B1882" s="8" t="s">
        <v>43</v>
      </c>
      <c r="C1882" s="8" t="s">
        <v>60</v>
      </c>
      <c r="D1882" s="21" t="n">
        <v>45804.3784722222</v>
      </c>
      <c r="E1882" s="21" t="n">
        <v>45804.4513888889</v>
      </c>
      <c r="F1882" s="22" t="n">
        <f aca="false">DATE(YEAR(E1882),MONTH(E1882),1)</f>
        <v>45778</v>
      </c>
      <c r="G1882" s="23" t="n">
        <v>117172</v>
      </c>
      <c r="H1882" s="8" t="s">
        <v>61</v>
      </c>
      <c r="I1882" s="24" t="n">
        <v>-301.18</v>
      </c>
      <c r="J1882" s="25" t="n">
        <f aca="false">Summary!$B$4</f>
        <v>1</v>
      </c>
      <c r="K1882" s="11" t="n">
        <f aca="false">I1882*J1882*IF(A1882="SILVER",Summary!$B$5,Summary!$B$6)</f>
        <v>-30118</v>
      </c>
      <c r="L1882" s="26" t="n">
        <v>-1.179</v>
      </c>
      <c r="M1882" s="27" t="n">
        <f aca="false">IF(K1882&gt;0,1,0)</f>
        <v>0</v>
      </c>
      <c r="N1882" s="11" t="n">
        <f aca="false">SUMIFS(K$2:K1882,A$2:A1882,A1882,B$2:B1882,B1882)</f>
        <v>526535</v>
      </c>
      <c r="O1882" s="11" t="n">
        <f aca="false">MAX(0,_xlfn.MAXIFS(N$2:N1882,A$2:A1882,A1882,B$2:B1882,B1882))</f>
        <v>714107</v>
      </c>
      <c r="P1882" s="11" t="n">
        <f aca="false">N1882-O1882</f>
        <v>-187572</v>
      </c>
    </row>
    <row r="1883" customFormat="false" ht="15" hidden="false" customHeight="false" outlineLevel="0" collapsed="false">
      <c r="A1883" s="8" t="s">
        <v>45</v>
      </c>
      <c r="B1883" s="8" t="s">
        <v>43</v>
      </c>
      <c r="C1883" s="8" t="s">
        <v>60</v>
      </c>
      <c r="D1883" s="21" t="n">
        <v>45805.3854166667</v>
      </c>
      <c r="E1883" s="21" t="n">
        <v>45805.7881944445</v>
      </c>
      <c r="F1883" s="22" t="n">
        <f aca="false">DATE(YEAR(E1883),MONTH(E1883),1)</f>
        <v>45778</v>
      </c>
      <c r="G1883" s="23" t="n">
        <v>116471</v>
      </c>
      <c r="H1883" s="8" t="s">
        <v>61</v>
      </c>
      <c r="I1883" s="24" t="n">
        <v>134.92</v>
      </c>
      <c r="J1883" s="25" t="n">
        <f aca="false">Summary!$B$4</f>
        <v>1</v>
      </c>
      <c r="K1883" s="11" t="n">
        <f aca="false">I1883*J1883*IF(A1883="SILVER",Summary!$B$5,Summary!$B$6)</f>
        <v>13492</v>
      </c>
      <c r="L1883" s="26" t="n">
        <v>0.354</v>
      </c>
      <c r="M1883" s="27" t="n">
        <f aca="false">IF(K1883&gt;0,1,0)</f>
        <v>1</v>
      </c>
      <c r="N1883" s="11" t="n">
        <f aca="false">SUMIFS(K$2:K1883,A$2:A1883,A1883,B$2:B1883,B1883)</f>
        <v>540027</v>
      </c>
      <c r="O1883" s="11" t="n">
        <f aca="false">MAX(0,_xlfn.MAXIFS(N$2:N1883,A$2:A1883,A1883,B$2:B1883,B1883))</f>
        <v>714107</v>
      </c>
      <c r="P1883" s="11" t="n">
        <f aca="false">N1883-O1883</f>
        <v>-174080</v>
      </c>
    </row>
    <row r="1884" customFormat="false" ht="15" hidden="false" customHeight="false" outlineLevel="0" collapsed="false">
      <c r="A1884" s="8" t="s">
        <v>45</v>
      </c>
      <c r="B1884" s="8" t="s">
        <v>43</v>
      </c>
      <c r="C1884" s="8" t="s">
        <v>60</v>
      </c>
      <c r="D1884" s="21" t="n">
        <v>45810.6118055556</v>
      </c>
      <c r="E1884" s="21" t="n">
        <v>45810.7916666667</v>
      </c>
      <c r="F1884" s="22" t="n">
        <f aca="false">DATE(YEAR(E1884),MONTH(E1884),1)</f>
        <v>45809</v>
      </c>
      <c r="G1884" s="23" t="n">
        <v>117442</v>
      </c>
      <c r="H1884" s="8" t="s">
        <v>64</v>
      </c>
      <c r="I1884" s="24" t="n">
        <v>20.74</v>
      </c>
      <c r="J1884" s="25" t="n">
        <f aca="false">Summary!$B$4</f>
        <v>1</v>
      </c>
      <c r="K1884" s="11" t="n">
        <f aca="false">I1884*J1884*IF(A1884="SILVER",Summary!$B$5,Summary!$B$6)</f>
        <v>2074</v>
      </c>
      <c r="L1884" s="26" t="n">
        <v>0.036</v>
      </c>
      <c r="M1884" s="27" t="n">
        <f aca="false">IF(K1884&gt;0,1,0)</f>
        <v>1</v>
      </c>
      <c r="N1884" s="11" t="n">
        <f aca="false">SUMIFS(K$2:K1884,A$2:A1884,A1884,B$2:B1884,B1884)</f>
        <v>542101</v>
      </c>
      <c r="O1884" s="11" t="n">
        <f aca="false">MAX(0,_xlfn.MAXIFS(N$2:N1884,A$2:A1884,A1884,B$2:B1884,B1884))</f>
        <v>714107</v>
      </c>
      <c r="P1884" s="11" t="n">
        <f aca="false">N1884-O1884</f>
        <v>-172006</v>
      </c>
    </row>
    <row r="1885" customFormat="false" ht="15" hidden="false" customHeight="false" outlineLevel="0" collapsed="false">
      <c r="A1885" s="8" t="s">
        <v>45</v>
      </c>
      <c r="B1885" s="8" t="s">
        <v>43</v>
      </c>
      <c r="C1885" s="8" t="s">
        <v>60</v>
      </c>
      <c r="D1885" s="21" t="n">
        <v>45810.825</v>
      </c>
      <c r="E1885" s="21" t="n">
        <v>45811.53125</v>
      </c>
      <c r="F1885" s="22" t="n">
        <f aca="false">DATE(YEAR(E1885),MONTH(E1885),1)</f>
        <v>45809</v>
      </c>
      <c r="G1885" s="23" t="n">
        <v>118092</v>
      </c>
      <c r="H1885" s="8" t="s">
        <v>61</v>
      </c>
      <c r="I1885" s="24" t="n">
        <v>-539.33</v>
      </c>
      <c r="J1885" s="25" t="n">
        <f aca="false">Summary!$B$4</f>
        <v>1</v>
      </c>
      <c r="K1885" s="11" t="n">
        <f aca="false">I1885*J1885*IF(A1885="SILVER",Summary!$B$5,Summary!$B$6)</f>
        <v>-53933</v>
      </c>
      <c r="L1885" s="26" t="n">
        <v>-0.711</v>
      </c>
      <c r="M1885" s="27" t="n">
        <f aca="false">IF(K1885&gt;0,1,0)</f>
        <v>0</v>
      </c>
      <c r="N1885" s="11" t="n">
        <f aca="false">SUMIFS(K$2:K1885,A$2:A1885,A1885,B$2:B1885,B1885)</f>
        <v>488168</v>
      </c>
      <c r="O1885" s="11" t="n">
        <f aca="false">MAX(0,_xlfn.MAXIFS(N$2:N1885,A$2:A1885,A1885,B$2:B1885,B1885))</f>
        <v>714107</v>
      </c>
      <c r="P1885" s="11" t="n">
        <f aca="false">N1885-O1885</f>
        <v>-225939</v>
      </c>
    </row>
    <row r="1886" customFormat="false" ht="15" hidden="false" customHeight="false" outlineLevel="0" collapsed="false">
      <c r="A1886" s="8" t="s">
        <v>45</v>
      </c>
      <c r="B1886" s="8" t="s">
        <v>43</v>
      </c>
      <c r="C1886" s="8" t="s">
        <v>60</v>
      </c>
      <c r="D1886" s="21" t="n">
        <v>45812.38125</v>
      </c>
      <c r="E1886" s="21" t="n">
        <v>45813.4694444445</v>
      </c>
      <c r="F1886" s="22" t="n">
        <f aca="false">DATE(YEAR(E1886),MONTH(E1886),1)</f>
        <v>45809</v>
      </c>
      <c r="G1886" s="23" t="n">
        <v>118192</v>
      </c>
      <c r="H1886" s="8" t="s">
        <v>64</v>
      </c>
      <c r="I1886" s="24" t="n">
        <v>65.61</v>
      </c>
      <c r="J1886" s="25" t="n">
        <f aca="false">Summary!$B$4</f>
        <v>1</v>
      </c>
      <c r="K1886" s="11" t="n">
        <f aca="false">I1886*J1886*IF(A1886="SILVER",Summary!$B$5,Summary!$B$6)</f>
        <v>6561</v>
      </c>
      <c r="L1886" s="26" t="n">
        <v>0.064</v>
      </c>
      <c r="M1886" s="27" t="n">
        <f aca="false">IF(K1886&gt;0,1,0)</f>
        <v>1</v>
      </c>
      <c r="N1886" s="11" t="n">
        <f aca="false">SUMIFS(K$2:K1886,A$2:A1886,A1886,B$2:B1886,B1886)</f>
        <v>494729</v>
      </c>
      <c r="O1886" s="11" t="n">
        <f aca="false">MAX(0,_xlfn.MAXIFS(N$2:N1886,A$2:A1886,A1886,B$2:B1886,B1886))</f>
        <v>714107</v>
      </c>
      <c r="P1886" s="11" t="n">
        <f aca="false">N1886-O1886</f>
        <v>-219378</v>
      </c>
    </row>
    <row r="1887" customFormat="false" ht="15" hidden="false" customHeight="false" outlineLevel="0" collapsed="false">
      <c r="A1887" s="8" t="s">
        <v>45</v>
      </c>
      <c r="B1887" s="8" t="s">
        <v>43</v>
      </c>
      <c r="C1887" s="8" t="s">
        <v>60</v>
      </c>
      <c r="D1887" s="21" t="n">
        <v>45813.6951388889</v>
      </c>
      <c r="E1887" s="21" t="n">
        <v>45813.8645833333</v>
      </c>
      <c r="F1887" s="22" t="n">
        <f aca="false">DATE(YEAR(E1887),MONTH(E1887),1)</f>
        <v>45809</v>
      </c>
      <c r="G1887" s="23" t="n">
        <v>119367</v>
      </c>
      <c r="H1887" s="8" t="s">
        <v>61</v>
      </c>
      <c r="I1887" s="24" t="n">
        <v>-901.55</v>
      </c>
      <c r="J1887" s="25" t="n">
        <f aca="false">Summary!$B$4</f>
        <v>1</v>
      </c>
      <c r="K1887" s="11" t="n">
        <f aca="false">I1887*J1887*IF(A1887="SILVER",Summary!$B$5,Summary!$B$6)</f>
        <v>-90155</v>
      </c>
      <c r="L1887" s="26" t="n">
        <v>-1.033</v>
      </c>
      <c r="M1887" s="27" t="n">
        <f aca="false">IF(K1887&gt;0,1,0)</f>
        <v>0</v>
      </c>
      <c r="N1887" s="11" t="n">
        <f aca="false">SUMIFS(K$2:K1887,A$2:A1887,A1887,B$2:B1887,B1887)</f>
        <v>404574</v>
      </c>
      <c r="O1887" s="11" t="n">
        <f aca="false">MAX(0,_xlfn.MAXIFS(N$2:N1887,A$2:A1887,A1887,B$2:B1887,B1887))</f>
        <v>714107</v>
      </c>
      <c r="P1887" s="11" t="n">
        <f aca="false">N1887-O1887</f>
        <v>-309533</v>
      </c>
    </row>
    <row r="1888" customFormat="false" ht="15" hidden="false" customHeight="false" outlineLevel="0" collapsed="false">
      <c r="A1888" s="8" t="s">
        <v>45</v>
      </c>
      <c r="B1888" s="8" t="s">
        <v>43</v>
      </c>
      <c r="C1888" s="8" t="s">
        <v>60</v>
      </c>
      <c r="D1888" s="21" t="n">
        <v>45820.6666666667</v>
      </c>
      <c r="E1888" s="21" t="n">
        <v>45820.6930555556</v>
      </c>
      <c r="F1888" s="22" t="n">
        <f aca="false">DATE(YEAR(E1888),MONTH(E1888),1)</f>
        <v>45809</v>
      </c>
      <c r="G1888" s="23" t="n">
        <v>118133</v>
      </c>
      <c r="H1888" s="8" t="s">
        <v>64</v>
      </c>
      <c r="I1888" s="24" t="n">
        <v>66.79</v>
      </c>
      <c r="J1888" s="25" t="n">
        <f aca="false">Summary!$B$4</f>
        <v>1</v>
      </c>
      <c r="K1888" s="11" t="n">
        <f aca="false">I1888*J1888*IF(A1888="SILVER",Summary!$B$5,Summary!$B$6)</f>
        <v>6679</v>
      </c>
      <c r="L1888" s="26" t="n">
        <v>0.104</v>
      </c>
      <c r="M1888" s="27" t="n">
        <f aca="false">IF(K1888&gt;0,1,0)</f>
        <v>1</v>
      </c>
      <c r="N1888" s="11" t="n">
        <f aca="false">SUMIFS(K$2:K1888,A$2:A1888,A1888,B$2:B1888,B1888)</f>
        <v>411253</v>
      </c>
      <c r="O1888" s="11" t="n">
        <f aca="false">MAX(0,_xlfn.MAXIFS(N$2:N1888,A$2:A1888,A1888,B$2:B1888,B1888))</f>
        <v>714107</v>
      </c>
      <c r="P1888" s="11" t="n">
        <f aca="false">N1888-O1888</f>
        <v>-302854</v>
      </c>
    </row>
    <row r="1889" customFormat="false" ht="15" hidden="false" customHeight="false" outlineLevel="0" collapsed="false">
      <c r="A1889" s="8" t="s">
        <v>45</v>
      </c>
      <c r="B1889" s="8" t="s">
        <v>43</v>
      </c>
      <c r="C1889" s="8" t="s">
        <v>60</v>
      </c>
      <c r="D1889" s="21" t="n">
        <v>45820.7569444445</v>
      </c>
      <c r="E1889" s="21" t="n">
        <v>45821.9027777778</v>
      </c>
      <c r="F1889" s="22" t="n">
        <f aca="false">DATE(YEAR(E1889),MONTH(E1889),1)</f>
        <v>45809</v>
      </c>
      <c r="G1889" s="23" t="n">
        <v>118403</v>
      </c>
      <c r="H1889" s="8" t="s">
        <v>61</v>
      </c>
      <c r="I1889" s="24" t="n">
        <v>1493.15</v>
      </c>
      <c r="J1889" s="25" t="n">
        <f aca="false">Summary!$B$4</f>
        <v>1</v>
      </c>
      <c r="K1889" s="11" t="n">
        <f aca="false">I1889*J1889*IF(A1889="SILVER",Summary!$B$5,Summary!$B$6)</f>
        <v>149315</v>
      </c>
      <c r="L1889" s="26" t="n">
        <v>2.205</v>
      </c>
      <c r="M1889" s="27" t="n">
        <f aca="false">IF(K1889&gt;0,1,0)</f>
        <v>1</v>
      </c>
      <c r="N1889" s="11" t="n">
        <f aca="false">SUMIFS(K$2:K1889,A$2:A1889,A1889,B$2:B1889,B1889)</f>
        <v>560568</v>
      </c>
      <c r="O1889" s="11" t="n">
        <f aca="false">MAX(0,_xlfn.MAXIFS(N$2:N1889,A$2:A1889,A1889,B$2:B1889,B1889))</f>
        <v>714107</v>
      </c>
      <c r="P1889" s="11" t="n">
        <f aca="false">N1889-O1889</f>
        <v>-153539</v>
      </c>
    </row>
    <row r="1890" customFormat="false" ht="15" hidden="false" customHeight="false" outlineLevel="0" collapsed="false">
      <c r="A1890" s="8" t="s">
        <v>45</v>
      </c>
      <c r="B1890" s="8" t="s">
        <v>43</v>
      </c>
      <c r="C1890" s="8" t="s">
        <v>60</v>
      </c>
      <c r="D1890" s="21" t="n">
        <v>45825.4340277778</v>
      </c>
      <c r="E1890" s="21" t="n">
        <v>45825.7236111111</v>
      </c>
      <c r="F1890" s="22" t="n">
        <f aca="false">DATE(YEAR(E1890),MONTH(E1890),1)</f>
        <v>45809</v>
      </c>
      <c r="G1890" s="23" t="n">
        <v>119172</v>
      </c>
      <c r="H1890" s="8" t="s">
        <v>64</v>
      </c>
      <c r="I1890" s="24" t="n">
        <v>31.14</v>
      </c>
      <c r="J1890" s="25" t="n">
        <f aca="false">Summary!$B$4</f>
        <v>1</v>
      </c>
      <c r="K1890" s="11" t="n">
        <f aca="false">I1890*J1890*IF(A1890="SILVER",Summary!$B$5,Summary!$B$6)</f>
        <v>3114</v>
      </c>
      <c r="L1890" s="26" t="n">
        <v>0.074</v>
      </c>
      <c r="M1890" s="27" t="n">
        <f aca="false">IF(K1890&gt;0,1,0)</f>
        <v>1</v>
      </c>
      <c r="N1890" s="11" t="n">
        <f aca="false">SUMIFS(K$2:K1890,A$2:A1890,A1890,B$2:B1890,B1890)</f>
        <v>563682</v>
      </c>
      <c r="O1890" s="11" t="n">
        <f aca="false">MAX(0,_xlfn.MAXIFS(N$2:N1890,A$2:A1890,A1890,B$2:B1890,B1890))</f>
        <v>714107</v>
      </c>
      <c r="P1890" s="11" t="n">
        <f aca="false">N1890-O1890</f>
        <v>-150425</v>
      </c>
    </row>
    <row r="1891" customFormat="false" ht="15" hidden="false" customHeight="false" outlineLevel="0" collapsed="false">
      <c r="A1891" s="8" t="s">
        <v>45</v>
      </c>
      <c r="B1891" s="8" t="s">
        <v>43</v>
      </c>
      <c r="C1891" s="8" t="s">
        <v>60</v>
      </c>
      <c r="D1891" s="21" t="n">
        <v>45826.4270833333</v>
      </c>
      <c r="E1891" s="21" t="n">
        <v>45826.5381944445</v>
      </c>
      <c r="F1891" s="22" t="n">
        <f aca="false">DATE(YEAR(E1891),MONTH(E1891),1)</f>
        <v>45809</v>
      </c>
      <c r="G1891" s="23" t="n">
        <v>119596</v>
      </c>
      <c r="H1891" s="8" t="s">
        <v>61</v>
      </c>
      <c r="I1891" s="24" t="n">
        <v>-489.89</v>
      </c>
      <c r="J1891" s="25" t="n">
        <f aca="false">Summary!$B$4</f>
        <v>1</v>
      </c>
      <c r="K1891" s="11" t="n">
        <f aca="false">I1891*J1891*IF(A1891="SILVER",Summary!$B$5,Summary!$B$6)</f>
        <v>-48989</v>
      </c>
      <c r="L1891" s="26" t="n">
        <v>-1.034</v>
      </c>
      <c r="M1891" s="27" t="n">
        <f aca="false">IF(K1891&gt;0,1,0)</f>
        <v>0</v>
      </c>
      <c r="N1891" s="11" t="n">
        <f aca="false">SUMIFS(K$2:K1891,A$2:A1891,A1891,B$2:B1891,B1891)</f>
        <v>514693</v>
      </c>
      <c r="O1891" s="11" t="n">
        <f aca="false">MAX(0,_xlfn.MAXIFS(N$2:N1891,A$2:A1891,A1891,B$2:B1891,B1891))</f>
        <v>714107</v>
      </c>
      <c r="P1891" s="11" t="n">
        <f aca="false">N1891-O1891</f>
        <v>-199414</v>
      </c>
    </row>
    <row r="1892" customFormat="false" ht="15" hidden="false" customHeight="false" outlineLevel="0" collapsed="false">
      <c r="A1892" s="8" t="s">
        <v>45</v>
      </c>
      <c r="B1892" s="8" t="s">
        <v>43</v>
      </c>
      <c r="C1892" s="8" t="s">
        <v>60</v>
      </c>
      <c r="D1892" s="21" t="n">
        <v>45826.7881944445</v>
      </c>
      <c r="E1892" s="21" t="n">
        <v>45826.7923611111</v>
      </c>
      <c r="F1892" s="22" t="n">
        <f aca="false">DATE(YEAR(E1892),MONTH(E1892),1)</f>
        <v>45809</v>
      </c>
      <c r="G1892" s="23" t="n">
        <v>119554</v>
      </c>
      <c r="H1892" s="8" t="s">
        <v>64</v>
      </c>
      <c r="I1892" s="24" t="n">
        <v>25.88</v>
      </c>
      <c r="J1892" s="25" t="n">
        <f aca="false">Summary!$B$4</f>
        <v>1</v>
      </c>
      <c r="K1892" s="11" t="n">
        <f aca="false">I1892*J1892*IF(A1892="SILVER",Summary!$B$5,Summary!$B$6)</f>
        <v>2588</v>
      </c>
      <c r="L1892" s="26" t="n">
        <v>0.07</v>
      </c>
      <c r="M1892" s="27" t="n">
        <f aca="false">IF(K1892&gt;0,1,0)</f>
        <v>1</v>
      </c>
      <c r="N1892" s="11" t="n">
        <f aca="false">SUMIFS(K$2:K1892,A$2:A1892,A1892,B$2:B1892,B1892)</f>
        <v>517281</v>
      </c>
      <c r="O1892" s="11" t="n">
        <f aca="false">MAX(0,_xlfn.MAXIFS(N$2:N1892,A$2:A1892,A1892,B$2:B1892,B1892))</f>
        <v>714107</v>
      </c>
      <c r="P1892" s="11" t="n">
        <f aca="false">N1892-O1892</f>
        <v>-196826</v>
      </c>
    </row>
    <row r="1893" customFormat="false" ht="15" hidden="false" customHeight="false" outlineLevel="0" collapsed="false">
      <c r="A1893" s="8" t="s">
        <v>45</v>
      </c>
      <c r="B1893" s="8" t="s">
        <v>43</v>
      </c>
      <c r="C1893" s="8" t="s">
        <v>60</v>
      </c>
      <c r="D1893" s="21" t="n">
        <v>45827.5555555556</v>
      </c>
      <c r="E1893" s="21" t="n">
        <v>45827.5951388889</v>
      </c>
      <c r="F1893" s="22" t="n">
        <f aca="false">DATE(YEAR(E1893),MONTH(E1893),1)</f>
        <v>45809</v>
      </c>
      <c r="G1893" s="23" t="n">
        <v>119173</v>
      </c>
      <c r="H1893" s="8" t="s">
        <v>64</v>
      </c>
      <c r="I1893" s="24" t="n">
        <v>54.72</v>
      </c>
      <c r="J1893" s="25" t="n">
        <f aca="false">Summary!$B$4</f>
        <v>1</v>
      </c>
      <c r="K1893" s="11" t="n">
        <f aca="false">I1893*J1893*IF(A1893="SILVER",Summary!$B$5,Summary!$B$6)</f>
        <v>5472</v>
      </c>
      <c r="L1893" s="26" t="n">
        <v>0.097</v>
      </c>
      <c r="M1893" s="27" t="n">
        <f aca="false">IF(K1893&gt;0,1,0)</f>
        <v>1</v>
      </c>
      <c r="N1893" s="11" t="n">
        <f aca="false">SUMIFS(K$2:K1893,A$2:A1893,A1893,B$2:B1893,B1893)</f>
        <v>522753</v>
      </c>
      <c r="O1893" s="11" t="n">
        <f aca="false">MAX(0,_xlfn.MAXIFS(N$2:N1893,A$2:A1893,A1893,B$2:B1893,B1893))</f>
        <v>714107</v>
      </c>
      <c r="P1893" s="11" t="n">
        <f aca="false">N1893-O1893</f>
        <v>-191354</v>
      </c>
    </row>
    <row r="1894" customFormat="false" ht="15" hidden="false" customHeight="false" outlineLevel="0" collapsed="false">
      <c r="A1894" s="8" t="s">
        <v>45</v>
      </c>
      <c r="B1894" s="8" t="s">
        <v>43</v>
      </c>
      <c r="C1894" s="8" t="s">
        <v>60</v>
      </c>
      <c r="D1894" s="21" t="n">
        <v>45828.7986111111</v>
      </c>
      <c r="E1894" s="21" t="n">
        <v>45828.8125</v>
      </c>
      <c r="F1894" s="22" t="n">
        <f aca="false">DATE(YEAR(E1894),MONTH(E1894),1)</f>
        <v>45809</v>
      </c>
      <c r="G1894" s="23" t="n">
        <v>118853</v>
      </c>
      <c r="H1894" s="8" t="s">
        <v>64</v>
      </c>
      <c r="I1894" s="24" t="n">
        <v>44.67</v>
      </c>
      <c r="J1894" s="25" t="n">
        <f aca="false">Summary!$B$4</f>
        <v>1</v>
      </c>
      <c r="K1894" s="11" t="n">
        <f aca="false">I1894*J1894*IF(A1894="SILVER",Summary!$B$5,Summary!$B$6)</f>
        <v>4467</v>
      </c>
      <c r="L1894" s="26" t="n">
        <v>0.09</v>
      </c>
      <c r="M1894" s="27" t="n">
        <f aca="false">IF(K1894&gt;0,1,0)</f>
        <v>1</v>
      </c>
      <c r="N1894" s="11" t="n">
        <f aca="false">SUMIFS(K$2:K1894,A$2:A1894,A1894,B$2:B1894,B1894)</f>
        <v>527220</v>
      </c>
      <c r="O1894" s="11" t="n">
        <f aca="false">MAX(0,_xlfn.MAXIFS(N$2:N1894,A$2:A1894,A1894,B$2:B1894,B1894))</f>
        <v>714107</v>
      </c>
      <c r="P1894" s="11" t="n">
        <f aca="false">N1894-O1894</f>
        <v>-186887</v>
      </c>
    </row>
    <row r="1895" customFormat="false" ht="15" hidden="false" customHeight="false" outlineLevel="0" collapsed="false">
      <c r="A1895" s="8" t="s">
        <v>45</v>
      </c>
      <c r="B1895" s="8" t="s">
        <v>43</v>
      </c>
      <c r="C1895" s="8" t="s">
        <v>60</v>
      </c>
      <c r="D1895" s="21" t="n">
        <v>45831.6145833333</v>
      </c>
      <c r="E1895" s="21" t="n">
        <v>45831.7361111111</v>
      </c>
      <c r="F1895" s="22" t="n">
        <f aca="false">DATE(YEAR(E1895),MONTH(E1895),1)</f>
        <v>45809</v>
      </c>
      <c r="G1895" s="23" t="n">
        <v>119202</v>
      </c>
      <c r="H1895" s="8" t="s">
        <v>64</v>
      </c>
      <c r="I1895" s="24" t="n">
        <v>27.13</v>
      </c>
      <c r="J1895" s="25" t="n">
        <f aca="false">Summary!$B$4</f>
        <v>1</v>
      </c>
      <c r="K1895" s="11" t="n">
        <f aca="false">I1895*J1895*IF(A1895="SILVER",Summary!$B$5,Summary!$B$6)</f>
        <v>2713</v>
      </c>
      <c r="L1895" s="26" t="n">
        <v>0.06</v>
      </c>
      <c r="M1895" s="27" t="n">
        <f aca="false">IF(K1895&gt;0,1,0)</f>
        <v>1</v>
      </c>
      <c r="N1895" s="11" t="n">
        <f aca="false">SUMIFS(K$2:K1895,A$2:A1895,A1895,B$2:B1895,B1895)</f>
        <v>529933</v>
      </c>
      <c r="O1895" s="11" t="n">
        <f aca="false">MAX(0,_xlfn.MAXIFS(N$2:N1895,A$2:A1895,A1895,B$2:B1895,B1895))</f>
        <v>714107</v>
      </c>
      <c r="P1895" s="11" t="n">
        <f aca="false">N1895-O1895</f>
        <v>-184174</v>
      </c>
    </row>
    <row r="1896" customFormat="false" ht="15" hidden="false" customHeight="false" outlineLevel="0" collapsed="false">
      <c r="A1896" s="8" t="s">
        <v>45</v>
      </c>
      <c r="B1896" s="8" t="s">
        <v>43</v>
      </c>
      <c r="C1896" s="8" t="s">
        <v>60</v>
      </c>
      <c r="D1896" s="21" t="n">
        <v>45831.8020833333</v>
      </c>
      <c r="E1896" s="21" t="n">
        <v>45831.8097222222</v>
      </c>
      <c r="F1896" s="22" t="n">
        <f aca="false">DATE(YEAR(E1896),MONTH(E1896),1)</f>
        <v>45809</v>
      </c>
      <c r="G1896" s="23" t="n">
        <v>119473</v>
      </c>
      <c r="H1896" s="8" t="s">
        <v>64</v>
      </c>
      <c r="I1896" s="24" t="n">
        <v>42.6</v>
      </c>
      <c r="J1896" s="25" t="n">
        <f aca="false">Summary!$B$4</f>
        <v>1</v>
      </c>
      <c r="K1896" s="11" t="n">
        <f aca="false">I1896*J1896*IF(A1896="SILVER",Summary!$B$5,Summary!$B$6)</f>
        <v>4260</v>
      </c>
      <c r="L1896" s="26" t="n">
        <v>0.088</v>
      </c>
      <c r="M1896" s="27" t="n">
        <f aca="false">IF(K1896&gt;0,1,0)</f>
        <v>1</v>
      </c>
      <c r="N1896" s="11" t="n">
        <f aca="false">SUMIFS(K$2:K1896,A$2:A1896,A1896,B$2:B1896,B1896)</f>
        <v>534193</v>
      </c>
      <c r="O1896" s="11" t="n">
        <f aca="false">MAX(0,_xlfn.MAXIFS(N$2:N1896,A$2:A1896,A1896,B$2:B1896,B1896))</f>
        <v>714107</v>
      </c>
      <c r="P1896" s="11" t="n">
        <f aca="false">N1896-O1896</f>
        <v>-179914</v>
      </c>
    </row>
    <row r="1897" customFormat="false" ht="15" hidden="false" customHeight="false" outlineLevel="0" collapsed="false">
      <c r="A1897" s="8" t="s">
        <v>45</v>
      </c>
      <c r="B1897" s="8" t="s">
        <v>43</v>
      </c>
      <c r="C1897" s="8" t="s">
        <v>60</v>
      </c>
      <c r="D1897" s="21" t="n">
        <v>45831.9097222222</v>
      </c>
      <c r="E1897" s="21" t="n">
        <v>45831.9548611111</v>
      </c>
      <c r="F1897" s="22" t="n">
        <f aca="false">DATE(YEAR(E1897),MONTH(E1897),1)</f>
        <v>45809</v>
      </c>
      <c r="G1897" s="23" t="n">
        <v>119643</v>
      </c>
      <c r="H1897" s="8" t="s">
        <v>61</v>
      </c>
      <c r="I1897" s="24" t="n">
        <v>-393.91</v>
      </c>
      <c r="J1897" s="25" t="n">
        <f aca="false">Summary!$B$4</f>
        <v>1</v>
      </c>
      <c r="K1897" s="11" t="n">
        <f aca="false">I1897*J1897*IF(A1897="SILVER",Summary!$B$5,Summary!$B$6)</f>
        <v>-39391</v>
      </c>
      <c r="L1897" s="26" t="n">
        <v>-0.824</v>
      </c>
      <c r="M1897" s="27" t="n">
        <f aca="false">IF(K1897&gt;0,1,0)</f>
        <v>0</v>
      </c>
      <c r="N1897" s="11" t="n">
        <f aca="false">SUMIFS(K$2:K1897,A$2:A1897,A1897,B$2:B1897,B1897)</f>
        <v>494802</v>
      </c>
      <c r="O1897" s="11" t="n">
        <f aca="false">MAX(0,_xlfn.MAXIFS(N$2:N1897,A$2:A1897,A1897,B$2:B1897,B1897))</f>
        <v>714107</v>
      </c>
      <c r="P1897" s="11" t="n">
        <f aca="false">N1897-O1897</f>
        <v>-219305</v>
      </c>
    </row>
    <row r="1898" customFormat="false" ht="15" hidden="false" customHeight="false" outlineLevel="0" collapsed="false">
      <c r="A1898" s="8" t="s">
        <v>45</v>
      </c>
      <c r="B1898" s="8" t="s">
        <v>43</v>
      </c>
      <c r="C1898" s="8" t="s">
        <v>60</v>
      </c>
      <c r="D1898" s="21" t="n">
        <v>45839.5416666667</v>
      </c>
      <c r="E1898" s="21" t="n">
        <v>45839.6479166667</v>
      </c>
      <c r="F1898" s="22" t="n">
        <f aca="false">DATE(YEAR(E1898),MONTH(E1898),1)</f>
        <v>45839</v>
      </c>
      <c r="G1898" s="23" t="n">
        <v>117083</v>
      </c>
      <c r="H1898" s="8" t="s">
        <v>64</v>
      </c>
      <c r="I1898" s="24" t="n">
        <v>29.33</v>
      </c>
      <c r="J1898" s="25" t="n">
        <f aca="false">Summary!$B$4</f>
        <v>1</v>
      </c>
      <c r="K1898" s="11" t="n">
        <f aca="false">I1898*J1898*IF(A1898="SILVER",Summary!$B$5,Summary!$B$6)</f>
        <v>2933</v>
      </c>
      <c r="L1898" s="26" t="n">
        <v>0.075</v>
      </c>
      <c r="M1898" s="27" t="n">
        <f aca="false">IF(K1898&gt;0,1,0)</f>
        <v>1</v>
      </c>
      <c r="N1898" s="11" t="n">
        <f aca="false">SUMIFS(K$2:K1898,A$2:A1898,A1898,B$2:B1898,B1898)</f>
        <v>497735</v>
      </c>
      <c r="O1898" s="11" t="n">
        <f aca="false">MAX(0,_xlfn.MAXIFS(N$2:N1898,A$2:A1898,A1898,B$2:B1898,B1898))</f>
        <v>714107</v>
      </c>
      <c r="P1898" s="11" t="n">
        <f aca="false">N1898-O1898</f>
        <v>-216372</v>
      </c>
    </row>
    <row r="1899" customFormat="false" ht="15" hidden="false" customHeight="false" outlineLevel="0" collapsed="false">
      <c r="A1899" s="8" t="s">
        <v>45</v>
      </c>
      <c r="B1899" s="8" t="s">
        <v>43</v>
      </c>
      <c r="C1899" s="8" t="s">
        <v>60</v>
      </c>
      <c r="D1899" s="21" t="n">
        <v>45839.6909722222</v>
      </c>
      <c r="E1899" s="21" t="n">
        <v>45839.7770833333</v>
      </c>
      <c r="F1899" s="22" t="n">
        <f aca="false">DATE(YEAR(E1899),MONTH(E1899),1)</f>
        <v>45839</v>
      </c>
      <c r="G1899" s="23" t="n">
        <v>117314</v>
      </c>
      <c r="H1899" s="8" t="s">
        <v>64</v>
      </c>
      <c r="I1899" s="24" t="n">
        <v>20</v>
      </c>
      <c r="J1899" s="25" t="n">
        <f aca="false">Summary!$B$4</f>
        <v>1</v>
      </c>
      <c r="K1899" s="11" t="n">
        <f aca="false">I1899*J1899*IF(A1899="SILVER",Summary!$B$5,Summary!$B$6)</f>
        <v>2000</v>
      </c>
      <c r="L1899" s="26" t="n">
        <v>0.061</v>
      </c>
      <c r="M1899" s="27" t="n">
        <f aca="false">IF(K1899&gt;0,1,0)</f>
        <v>1</v>
      </c>
      <c r="N1899" s="11" t="n">
        <f aca="false">SUMIFS(K$2:K1899,A$2:A1899,A1899,B$2:B1899,B1899)</f>
        <v>499735</v>
      </c>
      <c r="O1899" s="11" t="n">
        <f aca="false">MAX(0,_xlfn.MAXIFS(N$2:N1899,A$2:A1899,A1899,B$2:B1899,B1899))</f>
        <v>714107</v>
      </c>
      <c r="P1899" s="11" t="n">
        <f aca="false">N1899-O1899</f>
        <v>-214372</v>
      </c>
    </row>
    <row r="1900" customFormat="false" ht="15" hidden="false" customHeight="false" outlineLevel="0" collapsed="false">
      <c r="A1900" s="8" t="s">
        <v>45</v>
      </c>
      <c r="B1900" s="8" t="s">
        <v>43</v>
      </c>
      <c r="C1900" s="8" t="s">
        <v>60</v>
      </c>
      <c r="D1900" s="21" t="n">
        <v>45840.6319444445</v>
      </c>
      <c r="E1900" s="21" t="n">
        <v>45840.6986111111</v>
      </c>
      <c r="F1900" s="22" t="n">
        <f aca="false">DATE(YEAR(E1900),MONTH(E1900),1)</f>
        <v>45839</v>
      </c>
      <c r="G1900" s="23" t="n">
        <v>117218</v>
      </c>
      <c r="H1900" s="8" t="s">
        <v>64</v>
      </c>
      <c r="I1900" s="24" t="n">
        <v>15.36</v>
      </c>
      <c r="J1900" s="25" t="n">
        <f aca="false">Summary!$B$4</f>
        <v>1</v>
      </c>
      <c r="K1900" s="11" t="n">
        <f aca="false">I1900*J1900*IF(A1900="SILVER",Summary!$B$5,Summary!$B$6)</f>
        <v>1536</v>
      </c>
      <c r="L1900" s="26" t="n">
        <v>0.051</v>
      </c>
      <c r="M1900" s="27" t="n">
        <f aca="false">IF(K1900&gt;0,1,0)</f>
        <v>1</v>
      </c>
      <c r="N1900" s="11" t="n">
        <f aca="false">SUMIFS(K$2:K1900,A$2:A1900,A1900,B$2:B1900,B1900)</f>
        <v>501271</v>
      </c>
      <c r="O1900" s="11" t="n">
        <f aca="false">MAX(0,_xlfn.MAXIFS(N$2:N1900,A$2:A1900,A1900,B$2:B1900,B1900))</f>
        <v>714107</v>
      </c>
      <c r="P1900" s="11" t="n">
        <f aca="false">N1900-O1900</f>
        <v>-212836</v>
      </c>
    </row>
    <row r="1901" customFormat="false" ht="15" hidden="false" customHeight="false" outlineLevel="0" collapsed="false">
      <c r="A1901" s="8" t="s">
        <v>45</v>
      </c>
      <c r="B1901" s="8" t="s">
        <v>43</v>
      </c>
      <c r="C1901" s="8" t="s">
        <v>60</v>
      </c>
      <c r="D1901" s="21" t="n">
        <v>45840.7638888889</v>
      </c>
      <c r="E1901" s="21" t="n">
        <v>45840.8194444445</v>
      </c>
      <c r="F1901" s="22" t="n">
        <f aca="false">DATE(YEAR(E1901),MONTH(E1901),1)</f>
        <v>45839</v>
      </c>
      <c r="G1901" s="23" t="n">
        <v>117389</v>
      </c>
      <c r="H1901" s="8" t="s">
        <v>61</v>
      </c>
      <c r="I1901" s="24" t="n">
        <v>-320.47</v>
      </c>
      <c r="J1901" s="25" t="n">
        <f aca="false">Summary!$B$4</f>
        <v>1</v>
      </c>
      <c r="K1901" s="11" t="n">
        <f aca="false">I1901*J1901*IF(A1901="SILVER",Summary!$B$5,Summary!$B$6)</f>
        <v>-32047</v>
      </c>
      <c r="L1901" s="26" t="n">
        <v>-1.03</v>
      </c>
      <c r="M1901" s="27" t="n">
        <f aca="false">IF(K1901&gt;0,1,0)</f>
        <v>0</v>
      </c>
      <c r="N1901" s="11" t="n">
        <f aca="false">SUMIFS(K$2:K1901,A$2:A1901,A1901,B$2:B1901,B1901)</f>
        <v>469224</v>
      </c>
      <c r="O1901" s="11" t="n">
        <f aca="false">MAX(0,_xlfn.MAXIFS(N$2:N1901,A$2:A1901,A1901,B$2:B1901,B1901))</f>
        <v>714107</v>
      </c>
      <c r="P1901" s="11" t="n">
        <f aca="false">N1901-O1901</f>
        <v>-244883</v>
      </c>
    </row>
    <row r="1902" customFormat="false" ht="15" hidden="false" customHeight="false" outlineLevel="0" collapsed="false">
      <c r="A1902" s="8" t="s">
        <v>45</v>
      </c>
      <c r="B1902" s="8" t="s">
        <v>43</v>
      </c>
      <c r="C1902" s="8" t="s">
        <v>60</v>
      </c>
      <c r="D1902" s="21" t="n">
        <v>45841.3854166667</v>
      </c>
      <c r="E1902" s="21" t="n">
        <v>45841.4569444444</v>
      </c>
      <c r="F1902" s="22" t="n">
        <f aca="false">DATE(YEAR(E1902),MONTH(E1902),1)</f>
        <v>45839</v>
      </c>
      <c r="G1902" s="23" t="n">
        <v>117373</v>
      </c>
      <c r="H1902" s="8" t="s">
        <v>64</v>
      </c>
      <c r="I1902" s="24" t="n">
        <v>8.16</v>
      </c>
      <c r="J1902" s="25" t="n">
        <f aca="false">Summary!$B$4</f>
        <v>1</v>
      </c>
      <c r="K1902" s="11" t="n">
        <f aca="false">I1902*J1902*IF(A1902="SILVER",Summary!$B$5,Summary!$B$6)</f>
        <v>816</v>
      </c>
      <c r="L1902" s="26" t="n">
        <v>0.033</v>
      </c>
      <c r="M1902" s="27" t="n">
        <f aca="false">IF(K1902&gt;0,1,0)</f>
        <v>1</v>
      </c>
      <c r="N1902" s="11" t="n">
        <f aca="false">SUMIFS(K$2:K1902,A$2:A1902,A1902,B$2:B1902,B1902)</f>
        <v>470040</v>
      </c>
      <c r="O1902" s="11" t="n">
        <f aca="false">MAX(0,_xlfn.MAXIFS(N$2:N1902,A$2:A1902,A1902,B$2:B1902,B1902))</f>
        <v>714107</v>
      </c>
      <c r="P1902" s="11" t="n">
        <f aca="false">N1902-O1902</f>
        <v>-244067</v>
      </c>
    </row>
    <row r="1903" customFormat="false" ht="15" hidden="false" customHeight="false" outlineLevel="0" collapsed="false">
      <c r="A1903" s="8" t="s">
        <v>45</v>
      </c>
      <c r="B1903" s="8" t="s">
        <v>43</v>
      </c>
      <c r="C1903" s="8" t="s">
        <v>60</v>
      </c>
      <c r="D1903" s="21" t="n">
        <v>45841.4756944445</v>
      </c>
      <c r="E1903" s="21" t="n">
        <v>45841.4840277778</v>
      </c>
      <c r="F1903" s="22" t="n">
        <f aca="false">DATE(YEAR(E1903),MONTH(E1903),1)</f>
        <v>45839</v>
      </c>
      <c r="G1903" s="23" t="n">
        <v>117567</v>
      </c>
      <c r="H1903" s="8" t="s">
        <v>64</v>
      </c>
      <c r="I1903" s="24" t="n">
        <v>15.51</v>
      </c>
      <c r="J1903" s="25" t="n">
        <f aca="false">Summary!$B$4</f>
        <v>1</v>
      </c>
      <c r="K1903" s="11" t="n">
        <f aca="false">I1903*J1903*IF(A1903="SILVER",Summary!$B$5,Summary!$B$6)</f>
        <v>1551</v>
      </c>
      <c r="L1903" s="26" t="n">
        <v>0.052</v>
      </c>
      <c r="M1903" s="27" t="n">
        <f aca="false">IF(K1903&gt;0,1,0)</f>
        <v>1</v>
      </c>
      <c r="N1903" s="11" t="n">
        <f aca="false">SUMIFS(K$2:K1903,A$2:A1903,A1903,B$2:B1903,B1903)</f>
        <v>471591</v>
      </c>
      <c r="O1903" s="11" t="n">
        <f aca="false">MAX(0,_xlfn.MAXIFS(N$2:N1903,A$2:A1903,A1903,B$2:B1903,B1903))</f>
        <v>714107</v>
      </c>
      <c r="P1903" s="11" t="n">
        <f aca="false">N1903-O1903</f>
        <v>-242516</v>
      </c>
    </row>
    <row r="1904" customFormat="false" ht="15" hidden="false" customHeight="false" outlineLevel="0" collapsed="false">
      <c r="A1904" s="8" t="s">
        <v>45</v>
      </c>
      <c r="B1904" s="8" t="s">
        <v>43</v>
      </c>
      <c r="C1904" s="8" t="s">
        <v>60</v>
      </c>
      <c r="D1904" s="21" t="n">
        <v>45842.4097222222</v>
      </c>
      <c r="E1904" s="21" t="n">
        <v>45842.6319444445</v>
      </c>
      <c r="F1904" s="22" t="n">
        <f aca="false">DATE(YEAR(E1904),MONTH(E1904),1)</f>
        <v>45839</v>
      </c>
      <c r="G1904" s="23" t="n">
        <v>116968</v>
      </c>
      <c r="H1904" s="8" t="s">
        <v>61</v>
      </c>
      <c r="I1904" s="24" t="n">
        <v>-219.39</v>
      </c>
      <c r="J1904" s="25" t="n">
        <f aca="false">Summary!$B$4</f>
        <v>1</v>
      </c>
      <c r="K1904" s="11" t="n">
        <f aca="false">I1904*J1904*IF(A1904="SILVER",Summary!$B$5,Summary!$B$6)</f>
        <v>-21939</v>
      </c>
      <c r="L1904" s="26" t="n">
        <v>-0.649</v>
      </c>
      <c r="M1904" s="27" t="n">
        <f aca="false">IF(K1904&gt;0,1,0)</f>
        <v>0</v>
      </c>
      <c r="N1904" s="11" t="n">
        <f aca="false">SUMIFS(K$2:K1904,A$2:A1904,A1904,B$2:B1904,B1904)</f>
        <v>449652</v>
      </c>
      <c r="O1904" s="11" t="n">
        <f aca="false">MAX(0,_xlfn.MAXIFS(N$2:N1904,A$2:A1904,A1904,B$2:B1904,B1904))</f>
        <v>714107</v>
      </c>
      <c r="P1904" s="11" t="n">
        <f aca="false">N1904-O1904</f>
        <v>-264455</v>
      </c>
    </row>
    <row r="1905" customFormat="false" ht="15" hidden="false" customHeight="false" outlineLevel="0" collapsed="false">
      <c r="A1905" s="8" t="s">
        <v>45</v>
      </c>
      <c r="B1905" s="8" t="s">
        <v>43</v>
      </c>
      <c r="C1905" s="8" t="s">
        <v>60</v>
      </c>
      <c r="D1905" s="21" t="n">
        <v>45849.4548611111</v>
      </c>
      <c r="E1905" s="21" t="n">
        <v>45849.7326388889</v>
      </c>
      <c r="F1905" s="22" t="n">
        <f aca="false">DATE(YEAR(E1905),MONTH(E1905),1)</f>
        <v>45839</v>
      </c>
      <c r="G1905" s="23" t="n">
        <v>117380</v>
      </c>
      <c r="H1905" s="8" t="s">
        <v>64</v>
      </c>
      <c r="I1905" s="24" t="n">
        <v>31.31</v>
      </c>
      <c r="J1905" s="25" t="n">
        <f aca="false">Summary!$B$4</f>
        <v>1</v>
      </c>
      <c r="K1905" s="11" t="n">
        <f aca="false">I1905*J1905*IF(A1905="SILVER",Summary!$B$5,Summary!$B$6)</f>
        <v>3131</v>
      </c>
      <c r="L1905" s="26" t="n">
        <v>0.077</v>
      </c>
      <c r="M1905" s="27" t="n">
        <f aca="false">IF(K1905&gt;0,1,0)</f>
        <v>1</v>
      </c>
      <c r="N1905" s="11" t="n">
        <f aca="false">SUMIFS(K$2:K1905,A$2:A1905,A1905,B$2:B1905,B1905)</f>
        <v>452783</v>
      </c>
      <c r="O1905" s="11" t="n">
        <f aca="false">MAX(0,_xlfn.MAXIFS(N$2:N1905,A$2:A1905,A1905,B$2:B1905,B1905))</f>
        <v>714107</v>
      </c>
      <c r="P1905" s="11" t="n">
        <f aca="false">N1905-O1905</f>
        <v>-261324</v>
      </c>
    </row>
    <row r="1906" customFormat="false" ht="15" hidden="false" customHeight="false" outlineLevel="0" collapsed="false">
      <c r="A1906" s="8" t="s">
        <v>45</v>
      </c>
      <c r="B1906" s="8" t="s">
        <v>43</v>
      </c>
      <c r="C1906" s="8" t="s">
        <v>60</v>
      </c>
      <c r="D1906" s="21" t="n">
        <v>45849.7534722222</v>
      </c>
      <c r="E1906" s="21" t="n">
        <v>45849.7708333333</v>
      </c>
      <c r="F1906" s="22" t="n">
        <f aca="false">DATE(YEAR(E1906),MONTH(E1906),1)</f>
        <v>45839</v>
      </c>
      <c r="G1906" s="23" t="n">
        <v>117527</v>
      </c>
      <c r="H1906" s="8" t="s">
        <v>64</v>
      </c>
      <c r="I1906" s="24" t="n">
        <v>29.73</v>
      </c>
      <c r="J1906" s="25" t="n">
        <f aca="false">Summary!$B$4</f>
        <v>1</v>
      </c>
      <c r="K1906" s="11" t="n">
        <f aca="false">I1906*J1906*IF(A1906="SILVER",Summary!$B$5,Summary!$B$6)</f>
        <v>2973</v>
      </c>
      <c r="L1906" s="26" t="n">
        <v>0.075</v>
      </c>
      <c r="M1906" s="27" t="n">
        <f aca="false">IF(K1906&gt;0,1,0)</f>
        <v>1</v>
      </c>
      <c r="N1906" s="11" t="n">
        <f aca="false">SUMIFS(K$2:K1906,A$2:A1906,A1906,B$2:B1906,B1906)</f>
        <v>455756</v>
      </c>
      <c r="O1906" s="11" t="n">
        <f aca="false">MAX(0,_xlfn.MAXIFS(N$2:N1906,A$2:A1906,A1906,B$2:B1906,B1906))</f>
        <v>714107</v>
      </c>
      <c r="P1906" s="11" t="n">
        <f aca="false">N1906-O1906</f>
        <v>-258351</v>
      </c>
    </row>
    <row r="1907" customFormat="false" ht="15" hidden="false" customHeight="false" outlineLevel="0" collapsed="false">
      <c r="A1907" s="8" t="s">
        <v>45</v>
      </c>
      <c r="B1907" s="8" t="s">
        <v>43</v>
      </c>
      <c r="C1907" s="8" t="s">
        <v>60</v>
      </c>
      <c r="D1907" s="21" t="n">
        <v>45849.7777777778</v>
      </c>
      <c r="E1907" s="21" t="n">
        <v>45849.8895833333</v>
      </c>
      <c r="F1907" s="22" t="n">
        <f aca="false">DATE(YEAR(E1907),MONTH(E1907),1)</f>
        <v>45839</v>
      </c>
      <c r="G1907" s="23" t="n">
        <v>117690</v>
      </c>
      <c r="H1907" s="8" t="s">
        <v>64</v>
      </c>
      <c r="I1907" s="24" t="n">
        <v>35.78</v>
      </c>
      <c r="J1907" s="25" t="n">
        <f aca="false">Summary!$B$4</f>
        <v>1</v>
      </c>
      <c r="K1907" s="11" t="n">
        <f aca="false">I1907*J1907*IF(A1907="SILVER",Summary!$B$5,Summary!$B$6)</f>
        <v>3578</v>
      </c>
      <c r="L1907" s="26" t="n">
        <v>0.082</v>
      </c>
      <c r="M1907" s="27" t="n">
        <f aca="false">IF(K1907&gt;0,1,0)</f>
        <v>1</v>
      </c>
      <c r="N1907" s="11" t="n">
        <f aca="false">SUMIFS(K$2:K1907,A$2:A1907,A1907,B$2:B1907,B1907)</f>
        <v>459334</v>
      </c>
      <c r="O1907" s="11" t="n">
        <f aca="false">MAX(0,_xlfn.MAXIFS(N$2:N1907,A$2:A1907,A1907,B$2:B1907,B1907))</f>
        <v>714107</v>
      </c>
      <c r="P1907" s="11" t="n">
        <f aca="false">N1907-O1907</f>
        <v>-254773</v>
      </c>
    </row>
    <row r="1908" customFormat="false" ht="15" hidden="false" customHeight="false" outlineLevel="0" collapsed="false">
      <c r="A1908" s="8" t="s">
        <v>45</v>
      </c>
      <c r="B1908" s="8" t="s">
        <v>43</v>
      </c>
      <c r="C1908" s="8" t="s">
        <v>60</v>
      </c>
      <c r="D1908" s="21" t="n">
        <v>45852.3819444445</v>
      </c>
      <c r="E1908" s="21" t="n">
        <v>45852.7368055556</v>
      </c>
      <c r="F1908" s="22" t="n">
        <f aca="false">DATE(YEAR(E1908),MONTH(E1908),1)</f>
        <v>45839</v>
      </c>
      <c r="G1908" s="23" t="n">
        <v>118020</v>
      </c>
      <c r="H1908" s="8" t="s">
        <v>64</v>
      </c>
      <c r="I1908" s="24" t="n">
        <v>31.77</v>
      </c>
      <c r="J1908" s="25" t="n">
        <f aca="false">Summary!$B$4</f>
        <v>1</v>
      </c>
      <c r="K1908" s="11" t="n">
        <f aca="false">I1908*J1908*IF(A1908="SILVER",Summary!$B$5,Summary!$B$6)</f>
        <v>3177</v>
      </c>
      <c r="L1908" s="26" t="n">
        <v>0.078</v>
      </c>
      <c r="M1908" s="27" t="n">
        <f aca="false">IF(K1908&gt;0,1,0)</f>
        <v>1</v>
      </c>
      <c r="N1908" s="11" t="n">
        <f aca="false">SUMIFS(K$2:K1908,A$2:A1908,A1908,B$2:B1908,B1908)</f>
        <v>462511</v>
      </c>
      <c r="O1908" s="11" t="n">
        <f aca="false">MAX(0,_xlfn.MAXIFS(N$2:N1908,A$2:A1908,A1908,B$2:B1908,B1908))</f>
        <v>714107</v>
      </c>
      <c r="P1908" s="11" t="n">
        <f aca="false">N1908-O1908</f>
        <v>-251596</v>
      </c>
    </row>
    <row r="1909" customFormat="false" ht="15" hidden="false" customHeight="false" outlineLevel="0" collapsed="false">
      <c r="A1909" s="8" t="s">
        <v>45</v>
      </c>
      <c r="B1909" s="8" t="s">
        <v>43</v>
      </c>
      <c r="C1909" s="8" t="s">
        <v>60</v>
      </c>
      <c r="D1909" s="21" t="n">
        <v>45853.4618055556</v>
      </c>
      <c r="E1909" s="21" t="n">
        <v>45853.5763888889</v>
      </c>
      <c r="F1909" s="22" t="n">
        <f aca="false">DATE(YEAR(E1909),MONTH(E1909),1)</f>
        <v>45839</v>
      </c>
      <c r="G1909" s="23" t="n">
        <v>117927</v>
      </c>
      <c r="H1909" s="8" t="s">
        <v>61</v>
      </c>
      <c r="I1909" s="24" t="n">
        <v>-222.59</v>
      </c>
      <c r="J1909" s="25" t="n">
        <f aca="false">Summary!$B$4</f>
        <v>1</v>
      </c>
      <c r="K1909" s="11" t="n">
        <f aca="false">I1909*J1909*IF(A1909="SILVER",Summary!$B$5,Summary!$B$6)</f>
        <v>-22259</v>
      </c>
      <c r="L1909" s="26" t="n">
        <v>-0.907</v>
      </c>
      <c r="M1909" s="27" t="n">
        <f aca="false">IF(K1909&gt;0,1,0)</f>
        <v>0</v>
      </c>
      <c r="N1909" s="11" t="n">
        <f aca="false">SUMIFS(K$2:K1909,A$2:A1909,A1909,B$2:B1909,B1909)</f>
        <v>440252</v>
      </c>
      <c r="O1909" s="11" t="n">
        <f aca="false">MAX(0,_xlfn.MAXIFS(N$2:N1909,A$2:A1909,A1909,B$2:B1909,B1909))</f>
        <v>714107</v>
      </c>
      <c r="P1909" s="11" t="n">
        <f aca="false">N1909-O1909</f>
        <v>-273855</v>
      </c>
    </row>
    <row r="1910" customFormat="false" ht="15" hidden="false" customHeight="false" outlineLevel="0" collapsed="false">
      <c r="A1910" s="8" t="s">
        <v>45</v>
      </c>
      <c r="B1910" s="8" t="s">
        <v>43</v>
      </c>
      <c r="C1910" s="8" t="s">
        <v>60</v>
      </c>
      <c r="D1910" s="21" t="n">
        <v>45854.5972222222</v>
      </c>
      <c r="E1910" s="21" t="n">
        <v>45854.7638888889</v>
      </c>
      <c r="F1910" s="22" t="n">
        <f aca="false">DATE(YEAR(E1910),MONTH(E1910),1)</f>
        <v>45839</v>
      </c>
      <c r="G1910" s="23" t="n">
        <v>117388</v>
      </c>
      <c r="H1910" s="8" t="s">
        <v>61</v>
      </c>
      <c r="I1910" s="24" t="n">
        <v>-219.48</v>
      </c>
      <c r="J1910" s="25" t="n">
        <f aca="false">Summary!$B$4</f>
        <v>1</v>
      </c>
      <c r="K1910" s="11" t="n">
        <f aca="false">I1910*J1910*IF(A1910="SILVER",Summary!$B$5,Summary!$B$6)</f>
        <v>-21948</v>
      </c>
      <c r="L1910" s="26" t="n">
        <v>-0.943</v>
      </c>
      <c r="M1910" s="27" t="n">
        <f aca="false">IF(K1910&gt;0,1,0)</f>
        <v>0</v>
      </c>
      <c r="N1910" s="11" t="n">
        <f aca="false">SUMIFS(K$2:K1910,A$2:A1910,A1910,B$2:B1910,B1910)</f>
        <v>418304</v>
      </c>
      <c r="O1910" s="11" t="n">
        <f aca="false">MAX(0,_xlfn.MAXIFS(N$2:N1910,A$2:A1910,A1910,B$2:B1910,B1910))</f>
        <v>714107</v>
      </c>
      <c r="P1910" s="11" t="n">
        <f aca="false">N1910-O1910</f>
        <v>-295803</v>
      </c>
    </row>
    <row r="1911" customFormat="false" ht="15" hidden="false" customHeight="false" outlineLevel="0" collapsed="false">
      <c r="A1911" s="8" t="s">
        <v>45</v>
      </c>
      <c r="B1911" s="8" t="s">
        <v>43</v>
      </c>
      <c r="C1911" s="8" t="s">
        <v>60</v>
      </c>
      <c r="D1911" s="21" t="n">
        <v>45854.8576388889</v>
      </c>
      <c r="E1911" s="21" t="n">
        <v>45854.8631944444</v>
      </c>
      <c r="F1911" s="22" t="n">
        <f aca="false">DATE(YEAR(E1911),MONTH(E1911),1)</f>
        <v>45839</v>
      </c>
      <c r="G1911" s="23" t="n">
        <v>117515</v>
      </c>
      <c r="H1911" s="8" t="s">
        <v>64</v>
      </c>
      <c r="I1911" s="24" t="n">
        <v>44.14</v>
      </c>
      <c r="J1911" s="25" t="n">
        <f aca="false">Summary!$B$4</f>
        <v>1</v>
      </c>
      <c r="K1911" s="11" t="n">
        <f aca="false">I1911*J1911*IF(A1911="SILVER",Summary!$B$5,Summary!$B$6)</f>
        <v>4414</v>
      </c>
      <c r="L1911" s="26" t="n">
        <v>0.09</v>
      </c>
      <c r="M1911" s="27" t="n">
        <f aca="false">IF(K1911&gt;0,1,0)</f>
        <v>1</v>
      </c>
      <c r="N1911" s="11" t="n">
        <f aca="false">SUMIFS(K$2:K1911,A$2:A1911,A1911,B$2:B1911,B1911)</f>
        <v>422718</v>
      </c>
      <c r="O1911" s="11" t="n">
        <f aca="false">MAX(0,_xlfn.MAXIFS(N$2:N1911,A$2:A1911,A1911,B$2:B1911,B1911))</f>
        <v>714107</v>
      </c>
      <c r="P1911" s="11" t="n">
        <f aca="false">N1911-O1911</f>
        <v>-291389</v>
      </c>
    </row>
    <row r="1912" customFormat="false" ht="15" hidden="false" customHeight="false" outlineLevel="0" collapsed="false">
      <c r="A1912" s="8" t="s">
        <v>45</v>
      </c>
      <c r="B1912" s="8" t="s">
        <v>43</v>
      </c>
      <c r="C1912" s="8" t="s">
        <v>60</v>
      </c>
      <c r="D1912" s="21" t="n">
        <v>45854.8680555556</v>
      </c>
      <c r="E1912" s="21" t="n">
        <v>45855.3993055556</v>
      </c>
      <c r="F1912" s="22" t="n">
        <f aca="false">DATE(YEAR(E1912),MONTH(E1912),1)</f>
        <v>45839</v>
      </c>
      <c r="G1912" s="23" t="n">
        <v>118083</v>
      </c>
      <c r="H1912" s="8" t="s">
        <v>61</v>
      </c>
      <c r="I1912" s="24" t="n">
        <v>-809.56</v>
      </c>
      <c r="J1912" s="25" t="n">
        <f aca="false">Summary!$B$4</f>
        <v>1</v>
      </c>
      <c r="K1912" s="11" t="n">
        <f aca="false">I1912*J1912*IF(A1912="SILVER",Summary!$B$5,Summary!$B$6)</f>
        <v>-80956</v>
      </c>
      <c r="L1912" s="26" t="n">
        <v>-0.825</v>
      </c>
      <c r="M1912" s="27" t="n">
        <f aca="false">IF(K1912&gt;0,1,0)</f>
        <v>0</v>
      </c>
      <c r="N1912" s="11" t="n">
        <f aca="false">SUMIFS(K$2:K1912,A$2:A1912,A1912,B$2:B1912,B1912)</f>
        <v>341762</v>
      </c>
      <c r="O1912" s="11" t="n">
        <f aca="false">MAX(0,_xlfn.MAXIFS(N$2:N1912,A$2:A1912,A1912,B$2:B1912,B1912))</f>
        <v>714107</v>
      </c>
      <c r="P1912" s="11" t="n">
        <f aca="false">N1912-O1912</f>
        <v>-372345</v>
      </c>
    </row>
    <row r="1913" customFormat="false" ht="15" hidden="false" customHeight="false" outlineLevel="0" collapsed="false">
      <c r="A1913" s="8" t="s">
        <v>45</v>
      </c>
      <c r="B1913" s="8" t="s">
        <v>43</v>
      </c>
      <c r="C1913" s="8" t="s">
        <v>60</v>
      </c>
      <c r="D1913" s="21" t="n">
        <v>45859.4583333333</v>
      </c>
      <c r="E1913" s="21" t="n">
        <v>45859.4631944444</v>
      </c>
      <c r="F1913" s="22" t="n">
        <f aca="false">DATE(YEAR(E1913),MONTH(E1913),1)</f>
        <v>45839</v>
      </c>
      <c r="G1913" s="23" t="n">
        <v>118369</v>
      </c>
      <c r="H1913" s="8" t="s">
        <v>64</v>
      </c>
      <c r="I1913" s="24" t="n">
        <v>5.33</v>
      </c>
      <c r="J1913" s="25" t="n">
        <f aca="false">Summary!$B$4</f>
        <v>1</v>
      </c>
      <c r="K1913" s="11" t="n">
        <f aca="false">I1913*J1913*IF(A1913="SILVER",Summary!$B$5,Summary!$B$6)</f>
        <v>533</v>
      </c>
      <c r="L1913" s="26" t="n">
        <v>0.023</v>
      </c>
      <c r="M1913" s="27" t="n">
        <f aca="false">IF(K1913&gt;0,1,0)</f>
        <v>1</v>
      </c>
      <c r="N1913" s="11" t="n">
        <f aca="false">SUMIFS(K$2:K1913,A$2:A1913,A1913,B$2:B1913,B1913)</f>
        <v>342295</v>
      </c>
      <c r="O1913" s="11" t="n">
        <f aca="false">MAX(0,_xlfn.MAXIFS(N$2:N1913,A$2:A1913,A1913,B$2:B1913,B1913))</f>
        <v>714107</v>
      </c>
      <c r="P1913" s="11" t="n">
        <f aca="false">N1913-O1913</f>
        <v>-371812</v>
      </c>
    </row>
    <row r="1914" customFormat="false" ht="15" hidden="false" customHeight="false" outlineLevel="0" collapsed="false">
      <c r="A1914" s="8" t="s">
        <v>45</v>
      </c>
      <c r="B1914" s="8" t="s">
        <v>43</v>
      </c>
      <c r="C1914" s="8" t="s">
        <v>60</v>
      </c>
      <c r="D1914" s="21" t="n">
        <v>45859.6979166667</v>
      </c>
      <c r="E1914" s="21" t="n">
        <v>45859.7104166667</v>
      </c>
      <c r="F1914" s="22" t="n">
        <f aca="false">DATE(YEAR(E1914),MONTH(E1914),1)</f>
        <v>45839</v>
      </c>
      <c r="G1914" s="23" t="n">
        <v>118494</v>
      </c>
      <c r="H1914" s="8" t="s">
        <v>64</v>
      </c>
      <c r="I1914" s="24" t="n">
        <v>-0.72</v>
      </c>
      <c r="J1914" s="25" t="n">
        <f aca="false">Summary!$B$4</f>
        <v>1</v>
      </c>
      <c r="K1914" s="11" t="n">
        <f aca="false">I1914*J1914*IF(A1914="SILVER",Summary!$B$5,Summary!$B$6)</f>
        <v>-72</v>
      </c>
      <c r="L1914" s="26" t="n">
        <v>-0.003</v>
      </c>
      <c r="M1914" s="27" t="n">
        <f aca="false">IF(K1914&gt;0,1,0)</f>
        <v>0</v>
      </c>
      <c r="N1914" s="11" t="n">
        <f aca="false">SUMIFS(K$2:K1914,A$2:A1914,A1914,B$2:B1914,B1914)</f>
        <v>342223</v>
      </c>
      <c r="O1914" s="11" t="n">
        <f aca="false">MAX(0,_xlfn.MAXIFS(N$2:N1914,A$2:A1914,A1914,B$2:B1914,B1914))</f>
        <v>714107</v>
      </c>
      <c r="P1914" s="11" t="n">
        <f aca="false">N1914-O1914</f>
        <v>-371884</v>
      </c>
    </row>
    <row r="1915" customFormat="false" ht="15" hidden="false" customHeight="false" outlineLevel="0" collapsed="false">
      <c r="A1915" s="8" t="s">
        <v>45</v>
      </c>
      <c r="B1915" s="8" t="s">
        <v>43</v>
      </c>
      <c r="C1915" s="8" t="s">
        <v>60</v>
      </c>
      <c r="D1915" s="21" t="n">
        <v>45859.7291666667</v>
      </c>
      <c r="E1915" s="21" t="n">
        <v>45860.5</v>
      </c>
      <c r="F1915" s="22" t="n">
        <f aca="false">DATE(YEAR(E1915),MONTH(E1915),1)</f>
        <v>45839</v>
      </c>
      <c r="G1915" s="23" t="n">
        <v>118600</v>
      </c>
      <c r="H1915" s="8" t="s">
        <v>61</v>
      </c>
      <c r="I1915" s="24" t="n">
        <v>384.22</v>
      </c>
      <c r="J1915" s="25" t="n">
        <f aca="false">Summary!$B$4</f>
        <v>1</v>
      </c>
      <c r="K1915" s="11" t="n">
        <f aca="false">I1915*J1915*IF(A1915="SILVER",Summary!$B$5,Summary!$B$6)</f>
        <v>38422</v>
      </c>
      <c r="L1915" s="26" t="n">
        <v>1.691</v>
      </c>
      <c r="M1915" s="27" t="n">
        <f aca="false">IF(K1915&gt;0,1,0)</f>
        <v>1</v>
      </c>
      <c r="N1915" s="11" t="n">
        <f aca="false">SUMIFS(K$2:K1915,A$2:A1915,A1915,B$2:B1915,B1915)</f>
        <v>380645</v>
      </c>
      <c r="O1915" s="11" t="n">
        <f aca="false">MAX(0,_xlfn.MAXIFS(N$2:N1915,A$2:A1915,A1915,B$2:B1915,B1915))</f>
        <v>714107</v>
      </c>
      <c r="P1915" s="11" t="n">
        <f aca="false">N1915-O1915</f>
        <v>-333462</v>
      </c>
    </row>
    <row r="1916" customFormat="false" ht="15" hidden="false" customHeight="false" outlineLevel="0" collapsed="false">
      <c r="A1916" s="8" t="s">
        <v>45</v>
      </c>
      <c r="B1916" s="8" t="s">
        <v>43</v>
      </c>
      <c r="C1916" s="8" t="s">
        <v>60</v>
      </c>
      <c r="D1916" s="21" t="n">
        <v>45860.5798611111</v>
      </c>
      <c r="E1916" s="21" t="n">
        <v>45861.7708333333</v>
      </c>
      <c r="F1916" s="22" t="n">
        <f aca="false">DATE(YEAR(E1916),MONTH(E1916),1)</f>
        <v>45839</v>
      </c>
      <c r="G1916" s="23" t="n">
        <v>119316</v>
      </c>
      <c r="H1916" s="8" t="s">
        <v>61</v>
      </c>
      <c r="I1916" s="24" t="n">
        <v>731.04</v>
      </c>
      <c r="J1916" s="25" t="n">
        <f aca="false">Summary!$B$4</f>
        <v>1</v>
      </c>
      <c r="K1916" s="11" t="n">
        <f aca="false">I1916*J1916*IF(A1916="SILVER",Summary!$B$5,Summary!$B$6)</f>
        <v>73104</v>
      </c>
      <c r="L1916" s="26" t="n">
        <v>2.657</v>
      </c>
      <c r="M1916" s="27" t="n">
        <f aca="false">IF(K1916&gt;0,1,0)</f>
        <v>1</v>
      </c>
      <c r="N1916" s="11" t="n">
        <f aca="false">SUMIFS(K$2:K1916,A$2:A1916,A1916,B$2:B1916,B1916)</f>
        <v>453749</v>
      </c>
      <c r="O1916" s="11" t="n">
        <f aca="false">MAX(0,_xlfn.MAXIFS(N$2:N1916,A$2:A1916,A1916,B$2:B1916,B1916))</f>
        <v>714107</v>
      </c>
      <c r="P1916" s="11" t="n">
        <f aca="false">N1916-O1916</f>
        <v>-260358</v>
      </c>
    </row>
    <row r="1917" customFormat="false" ht="15" hidden="false" customHeight="false" outlineLevel="0" collapsed="false">
      <c r="A1917" s="8" t="s">
        <v>45</v>
      </c>
      <c r="B1917" s="8" t="s">
        <v>43</v>
      </c>
      <c r="C1917" s="8" t="s">
        <v>60</v>
      </c>
      <c r="D1917" s="21" t="n">
        <v>45868.6111111111</v>
      </c>
      <c r="E1917" s="21" t="n">
        <v>45868.6951388889</v>
      </c>
      <c r="F1917" s="22" t="n">
        <f aca="false">DATE(YEAR(E1917),MONTH(E1917),1)</f>
        <v>45839</v>
      </c>
      <c r="G1917" s="23" t="n">
        <v>118651</v>
      </c>
      <c r="H1917" s="8" t="s">
        <v>61</v>
      </c>
      <c r="I1917" s="24" t="n">
        <v>-217.72</v>
      </c>
      <c r="J1917" s="25" t="n">
        <f aca="false">Summary!$B$4</f>
        <v>1</v>
      </c>
      <c r="K1917" s="11" t="n">
        <f aca="false">I1917*J1917*IF(A1917="SILVER",Summary!$B$5,Summary!$B$6)</f>
        <v>-21772</v>
      </c>
      <c r="L1917" s="26" t="n">
        <v>-0.755</v>
      </c>
      <c r="M1917" s="27" t="n">
        <f aca="false">IF(K1917&gt;0,1,0)</f>
        <v>0</v>
      </c>
      <c r="N1917" s="11" t="n">
        <f aca="false">SUMIFS(K$2:K1917,A$2:A1917,A1917,B$2:B1917,B1917)</f>
        <v>431977</v>
      </c>
      <c r="O1917" s="11" t="n">
        <f aca="false">MAX(0,_xlfn.MAXIFS(N$2:N1917,A$2:A1917,A1917,B$2:B1917,B1917))</f>
        <v>714107</v>
      </c>
      <c r="P1917" s="11" t="n">
        <f aca="false">N1917-O1917</f>
        <v>-282130</v>
      </c>
    </row>
    <row r="1918" customFormat="false" ht="15" hidden="false" customHeight="false" outlineLevel="0" collapsed="false">
      <c r="A1918" s="8" t="s">
        <v>45</v>
      </c>
      <c r="B1918" s="8" t="s">
        <v>43</v>
      </c>
      <c r="C1918" s="8" t="s">
        <v>60</v>
      </c>
      <c r="D1918" s="21" t="n">
        <v>45868.7402777778</v>
      </c>
      <c r="E1918" s="21" t="n">
        <v>45868.7673611111</v>
      </c>
      <c r="F1918" s="22" t="n">
        <f aca="false">DATE(YEAR(E1918),MONTH(E1918),1)</f>
        <v>45839</v>
      </c>
      <c r="G1918" s="23" t="n">
        <v>118768</v>
      </c>
      <c r="H1918" s="8" t="s">
        <v>61</v>
      </c>
      <c r="I1918" s="24" t="n">
        <v>-354.74</v>
      </c>
      <c r="J1918" s="25" t="n">
        <f aca="false">Summary!$B$4</f>
        <v>1</v>
      </c>
      <c r="K1918" s="11" t="n">
        <f aca="false">I1918*J1918*IF(A1918="SILVER",Summary!$B$5,Summary!$B$6)</f>
        <v>-35474</v>
      </c>
      <c r="L1918" s="26" t="n">
        <v>-0.854</v>
      </c>
      <c r="M1918" s="27" t="n">
        <f aca="false">IF(K1918&gt;0,1,0)</f>
        <v>0</v>
      </c>
      <c r="N1918" s="11" t="n">
        <f aca="false">SUMIFS(K$2:K1918,A$2:A1918,A1918,B$2:B1918,B1918)</f>
        <v>396503</v>
      </c>
      <c r="O1918" s="11" t="n">
        <f aca="false">MAX(0,_xlfn.MAXIFS(N$2:N1918,A$2:A1918,A1918,B$2:B1918,B1918))</f>
        <v>714107</v>
      </c>
      <c r="P1918" s="11" t="n">
        <f aca="false">N1918-O1918</f>
        <v>-317604</v>
      </c>
    </row>
    <row r="1919" customFormat="false" ht="15" hidden="false" customHeight="false" outlineLevel="0" collapsed="false">
      <c r="A1919" s="8" t="s">
        <v>45</v>
      </c>
      <c r="B1919" s="8" t="s">
        <v>43</v>
      </c>
      <c r="C1919" s="8" t="s">
        <v>60</v>
      </c>
      <c r="D1919" s="21" t="n">
        <v>45869.55625</v>
      </c>
      <c r="E1919" s="21" t="n">
        <v>45869.6826388889</v>
      </c>
      <c r="F1919" s="22" t="n">
        <f aca="false">DATE(YEAR(E1919),MONTH(E1919),1)</f>
        <v>45839</v>
      </c>
      <c r="G1919" s="23" t="n">
        <v>118188</v>
      </c>
      <c r="H1919" s="8" t="s">
        <v>64</v>
      </c>
      <c r="I1919" s="24" t="n">
        <v>-99.66</v>
      </c>
      <c r="J1919" s="25" t="n">
        <f aca="false">Summary!$B$4</f>
        <v>1</v>
      </c>
      <c r="K1919" s="11" t="n">
        <f aca="false">I1919*J1919*IF(A1919="SILVER",Summary!$B$5,Summary!$B$6)</f>
        <v>-9966</v>
      </c>
      <c r="L1919" s="26" t="n">
        <v>-0.358</v>
      </c>
      <c r="M1919" s="27" t="n">
        <f aca="false">IF(K1919&gt;0,1,0)</f>
        <v>0</v>
      </c>
      <c r="N1919" s="11" t="n">
        <f aca="false">SUMIFS(K$2:K1919,A$2:A1919,A1919,B$2:B1919,B1919)</f>
        <v>386537</v>
      </c>
      <c r="O1919" s="11" t="n">
        <f aca="false">MAX(0,_xlfn.MAXIFS(N$2:N1919,A$2:A1919,A1919,B$2:B1919,B1919))</f>
        <v>714107</v>
      </c>
      <c r="P1919" s="11" t="n">
        <f aca="false">N1919-O1919</f>
        <v>-327570</v>
      </c>
    </row>
    <row r="1920" customFormat="false" ht="15" hidden="false" customHeight="false" outlineLevel="0" collapsed="false">
      <c r="A1920" s="8" t="s">
        <v>45</v>
      </c>
      <c r="B1920" s="8" t="s">
        <v>43</v>
      </c>
      <c r="C1920" s="8" t="s">
        <v>60</v>
      </c>
      <c r="D1920" s="21" t="n">
        <v>45870.7645833333</v>
      </c>
      <c r="E1920" s="21" t="n">
        <v>45874.4375</v>
      </c>
      <c r="F1920" s="22" t="n">
        <f aca="false">DATE(YEAR(E1920),MONTH(E1920),1)</f>
        <v>45870</v>
      </c>
      <c r="G1920" s="23" t="n">
        <v>118783</v>
      </c>
      <c r="H1920" s="8" t="s">
        <v>61</v>
      </c>
      <c r="I1920" s="24" t="n">
        <v>1290.14</v>
      </c>
      <c r="J1920" s="25" t="n">
        <f aca="false">Summary!$B$4</f>
        <v>1</v>
      </c>
      <c r="K1920" s="11" t="n">
        <f aca="false">I1920*J1920*IF(A1920="SILVER",Summary!$B$5,Summary!$B$6)</f>
        <v>129014</v>
      </c>
      <c r="L1920" s="26" t="n">
        <v>1.035</v>
      </c>
      <c r="M1920" s="27" t="n">
        <f aca="false">IF(K1920&gt;0,1,0)</f>
        <v>1</v>
      </c>
      <c r="N1920" s="11" t="n">
        <f aca="false">SUMIFS(K$2:K1920,A$2:A1920,A1920,B$2:B1920,B1920)</f>
        <v>515551</v>
      </c>
      <c r="O1920" s="11" t="n">
        <f aca="false">MAX(0,_xlfn.MAXIFS(N$2:N1920,A$2:A1920,A1920,B$2:B1920,B1920))</f>
        <v>714107</v>
      </c>
      <c r="P1920" s="11" t="n">
        <f aca="false">N1920-O1920</f>
        <v>-198556</v>
      </c>
    </row>
    <row r="1921" customFormat="false" ht="15" hidden="false" customHeight="false" outlineLevel="0" collapsed="false">
      <c r="A1921" s="8" t="s">
        <v>45</v>
      </c>
      <c r="B1921" s="8" t="s">
        <v>43</v>
      </c>
      <c r="C1921" s="8" t="s">
        <v>60</v>
      </c>
      <c r="D1921" s="21" t="n">
        <v>45874.8208333333</v>
      </c>
      <c r="E1921" s="21" t="n">
        <v>45875.5868055556</v>
      </c>
      <c r="F1921" s="22" t="n">
        <f aca="false">DATE(YEAR(E1921),MONTH(E1921),1)</f>
        <v>45870</v>
      </c>
      <c r="G1921" s="23" t="n">
        <v>120458</v>
      </c>
      <c r="H1921" s="8" t="s">
        <v>61</v>
      </c>
      <c r="I1921" s="24" t="n">
        <v>219.86</v>
      </c>
      <c r="J1921" s="25" t="n">
        <f aca="false">Summary!$B$4</f>
        <v>1</v>
      </c>
      <c r="K1921" s="11" t="n">
        <f aca="false">I1921*J1921*IF(A1921="SILVER",Summary!$B$5,Summary!$B$6)</f>
        <v>21986</v>
      </c>
      <c r="L1921" s="26" t="n">
        <v>0.23</v>
      </c>
      <c r="M1921" s="27" t="n">
        <f aca="false">IF(K1921&gt;0,1,0)</f>
        <v>1</v>
      </c>
      <c r="N1921" s="11" t="n">
        <f aca="false">SUMIFS(K$2:K1921,A$2:A1921,A1921,B$2:B1921,B1921)</f>
        <v>537537</v>
      </c>
      <c r="O1921" s="11" t="n">
        <f aca="false">MAX(0,_xlfn.MAXIFS(N$2:N1921,A$2:A1921,A1921,B$2:B1921,B1921))</f>
        <v>714107</v>
      </c>
      <c r="P1921" s="11" t="n">
        <f aca="false">N1921-O1921</f>
        <v>-176570</v>
      </c>
    </row>
    <row r="1922" customFormat="false" ht="15" hidden="false" customHeight="false" outlineLevel="0" collapsed="false">
      <c r="A1922" s="8" t="s">
        <v>45</v>
      </c>
      <c r="B1922" s="8" t="s">
        <v>43</v>
      </c>
      <c r="C1922" s="8" t="s">
        <v>60</v>
      </c>
      <c r="D1922" s="21" t="n">
        <v>45875.8125</v>
      </c>
      <c r="E1922" s="21" t="n">
        <v>45875.8652777778</v>
      </c>
      <c r="F1922" s="22" t="n">
        <f aca="false">DATE(YEAR(E1922),MONTH(E1922),1)</f>
        <v>45870</v>
      </c>
      <c r="G1922" s="23" t="n">
        <v>121055</v>
      </c>
      <c r="H1922" s="8" t="s">
        <v>64</v>
      </c>
      <c r="I1922" s="24" t="n">
        <v>40.77</v>
      </c>
      <c r="J1922" s="25" t="n">
        <f aca="false">Summary!$B$4</f>
        <v>1</v>
      </c>
      <c r="K1922" s="11" t="n">
        <f aca="false">I1922*J1922*IF(A1922="SILVER",Summary!$B$5,Summary!$B$6)</f>
        <v>4077</v>
      </c>
      <c r="L1922" s="26" t="n">
        <v>0.082</v>
      </c>
      <c r="M1922" s="27" t="n">
        <f aca="false">IF(K1922&gt;0,1,0)</f>
        <v>1</v>
      </c>
      <c r="N1922" s="11" t="n">
        <f aca="false">SUMIFS(K$2:K1922,A$2:A1922,A1922,B$2:B1922,B1922)</f>
        <v>541614</v>
      </c>
      <c r="O1922" s="11" t="n">
        <f aca="false">MAX(0,_xlfn.MAXIFS(N$2:N1922,A$2:A1922,A1922,B$2:B1922,B1922))</f>
        <v>714107</v>
      </c>
      <c r="P1922" s="11" t="n">
        <f aca="false">N1922-O1922</f>
        <v>-172493</v>
      </c>
    </row>
    <row r="1923" customFormat="false" ht="15" hidden="false" customHeight="false" outlineLevel="0" collapsed="false">
      <c r="A1923" s="8" t="s">
        <v>45</v>
      </c>
      <c r="B1923" s="8" t="s">
        <v>43</v>
      </c>
      <c r="C1923" s="8" t="s">
        <v>60</v>
      </c>
      <c r="D1923" s="21" t="n">
        <v>45876.3784722222</v>
      </c>
      <c r="E1923" s="21" t="n">
        <v>45876.4472222222</v>
      </c>
      <c r="F1923" s="22" t="n">
        <f aca="false">DATE(YEAR(E1923),MONTH(E1923),1)</f>
        <v>45870</v>
      </c>
      <c r="G1923" s="23" t="n">
        <v>121285</v>
      </c>
      <c r="H1923" s="8" t="s">
        <v>64</v>
      </c>
      <c r="I1923" s="24" t="n">
        <v>23.2</v>
      </c>
      <c r="J1923" s="25" t="n">
        <f aca="false">Summary!$B$4</f>
        <v>1</v>
      </c>
      <c r="K1923" s="11" t="n">
        <f aca="false">I1923*J1923*IF(A1923="SILVER",Summary!$B$5,Summary!$B$6)</f>
        <v>2320</v>
      </c>
      <c r="L1923" s="26" t="n">
        <v>0.065</v>
      </c>
      <c r="M1923" s="27" t="n">
        <f aca="false">IF(K1923&gt;0,1,0)</f>
        <v>1</v>
      </c>
      <c r="N1923" s="11" t="n">
        <f aca="false">SUMIFS(K$2:K1923,A$2:A1923,A1923,B$2:B1923,B1923)</f>
        <v>543934</v>
      </c>
      <c r="O1923" s="11" t="n">
        <f aca="false">MAX(0,_xlfn.MAXIFS(N$2:N1923,A$2:A1923,A1923,B$2:B1923,B1923))</f>
        <v>714107</v>
      </c>
      <c r="P1923" s="11" t="n">
        <f aca="false">N1923-O1923</f>
        <v>-170173</v>
      </c>
    </row>
    <row r="1924" customFormat="false" ht="15" hidden="false" customHeight="false" outlineLevel="0" collapsed="false">
      <c r="A1924" s="8" t="s">
        <v>45</v>
      </c>
      <c r="B1924" s="8" t="s">
        <v>43</v>
      </c>
      <c r="C1924" s="8" t="s">
        <v>60</v>
      </c>
      <c r="D1924" s="21" t="n">
        <v>45876.5</v>
      </c>
      <c r="E1924" s="21" t="n">
        <v>45876.5694444445</v>
      </c>
      <c r="F1924" s="22" t="n">
        <f aca="false">DATE(YEAR(E1924),MONTH(E1924),1)</f>
        <v>45870</v>
      </c>
      <c r="G1924" s="23" t="n">
        <v>121443</v>
      </c>
      <c r="H1924" s="8" t="s">
        <v>61</v>
      </c>
      <c r="I1924" s="24" t="n">
        <v>141.68</v>
      </c>
      <c r="J1924" s="25" t="n">
        <f aca="false">Summary!$B$4</f>
        <v>1</v>
      </c>
      <c r="K1924" s="11" t="n">
        <f aca="false">I1924*J1924*IF(A1924="SILVER",Summary!$B$5,Summary!$B$6)</f>
        <v>14168</v>
      </c>
      <c r="L1924" s="26" t="n">
        <v>0.432</v>
      </c>
      <c r="M1924" s="27" t="n">
        <f aca="false">IF(K1924&gt;0,1,0)</f>
        <v>1</v>
      </c>
      <c r="N1924" s="11" t="n">
        <f aca="false">SUMIFS(K$2:K1924,A$2:A1924,A1924,B$2:B1924,B1924)</f>
        <v>558102</v>
      </c>
      <c r="O1924" s="11" t="n">
        <f aca="false">MAX(0,_xlfn.MAXIFS(N$2:N1924,A$2:A1924,A1924,B$2:B1924,B1924))</f>
        <v>714107</v>
      </c>
      <c r="P1924" s="11" t="n">
        <f aca="false">N1924-O1924</f>
        <v>-156005</v>
      </c>
    </row>
    <row r="1925" customFormat="false" ht="15" hidden="false" customHeight="false" outlineLevel="0" collapsed="false">
      <c r="A1925" s="8" t="s">
        <v>45</v>
      </c>
      <c r="B1925" s="8" t="s">
        <v>43</v>
      </c>
      <c r="C1925" s="8" t="s">
        <v>60</v>
      </c>
      <c r="D1925" s="21" t="n">
        <v>45877.3784722222</v>
      </c>
      <c r="E1925" s="21" t="n">
        <v>45877.6701388889</v>
      </c>
      <c r="F1925" s="22" t="n">
        <f aca="false">DATE(YEAR(E1925),MONTH(E1925),1)</f>
        <v>45870</v>
      </c>
      <c r="G1925" s="23" t="n">
        <v>121916</v>
      </c>
      <c r="H1925" s="8" t="s">
        <v>61</v>
      </c>
      <c r="I1925" s="24" t="n">
        <v>-323.37</v>
      </c>
      <c r="J1925" s="25" t="n">
        <f aca="false">Summary!$B$4</f>
        <v>1</v>
      </c>
      <c r="K1925" s="11" t="n">
        <f aca="false">I1925*J1925*IF(A1925="SILVER",Summary!$B$5,Summary!$B$6)</f>
        <v>-32337</v>
      </c>
      <c r="L1925" s="26" t="n">
        <v>-0.402</v>
      </c>
      <c r="M1925" s="27" t="n">
        <f aca="false">IF(K1925&gt;0,1,0)</f>
        <v>0</v>
      </c>
      <c r="N1925" s="11" t="n">
        <f aca="false">SUMIFS(K$2:K1925,A$2:A1925,A1925,B$2:B1925,B1925)</f>
        <v>525765</v>
      </c>
      <c r="O1925" s="11" t="n">
        <f aca="false">MAX(0,_xlfn.MAXIFS(N$2:N1925,A$2:A1925,A1925,B$2:B1925,B1925))</f>
        <v>714107</v>
      </c>
      <c r="P1925" s="11" t="n">
        <f aca="false">N1925-O1925</f>
        <v>-188342</v>
      </c>
    </row>
    <row r="1926" customFormat="false" ht="15" hidden="false" customHeight="false" outlineLevel="0" collapsed="false">
      <c r="A1926" s="8" t="s">
        <v>45</v>
      </c>
      <c r="B1926" s="8" t="s">
        <v>43</v>
      </c>
      <c r="C1926" s="8" t="s">
        <v>60</v>
      </c>
      <c r="D1926" s="21" t="n">
        <v>45877.7534722222</v>
      </c>
      <c r="E1926" s="21" t="n">
        <v>45880.375</v>
      </c>
      <c r="F1926" s="22" t="n">
        <f aca="false">DATE(YEAR(E1926),MONTH(E1926),1)</f>
        <v>45870</v>
      </c>
      <c r="G1926" s="23" t="n">
        <v>122085</v>
      </c>
      <c r="H1926" s="8" t="s">
        <v>61</v>
      </c>
      <c r="I1926" s="24" t="n">
        <v>-1014.38</v>
      </c>
      <c r="J1926" s="25" t="n">
        <f aca="false">Summary!$B$4</f>
        <v>1</v>
      </c>
      <c r="K1926" s="11" t="n">
        <f aca="false">I1926*J1926*IF(A1926="SILVER",Summary!$B$5,Summary!$B$6)</f>
        <v>-101438</v>
      </c>
      <c r="L1926" s="26" t="n">
        <v>-1.721</v>
      </c>
      <c r="M1926" s="27" t="n">
        <f aca="false">IF(K1926&gt;0,1,0)</f>
        <v>0</v>
      </c>
      <c r="N1926" s="11" t="n">
        <f aca="false">SUMIFS(K$2:K1926,A$2:A1926,A1926,B$2:B1926,B1926)</f>
        <v>424327</v>
      </c>
      <c r="O1926" s="11" t="n">
        <f aca="false">MAX(0,_xlfn.MAXIFS(N$2:N1926,A$2:A1926,A1926,B$2:B1926,B1926))</f>
        <v>714107</v>
      </c>
      <c r="P1926" s="11" t="n">
        <f aca="false">N1926-O1926</f>
        <v>-289780</v>
      </c>
    </row>
    <row r="1927" customFormat="false" ht="15" hidden="false" customHeight="false" outlineLevel="0" collapsed="false">
      <c r="A1927" s="8" t="s">
        <v>45</v>
      </c>
      <c r="B1927" s="8" t="s">
        <v>43</v>
      </c>
      <c r="C1927" s="8" t="s">
        <v>60</v>
      </c>
      <c r="D1927" s="21" t="n">
        <v>45891.8368055556</v>
      </c>
      <c r="E1927" s="21" t="n">
        <v>45894.6173611111</v>
      </c>
      <c r="F1927" s="22" t="n">
        <f aca="false">DATE(YEAR(E1927),MONTH(E1927),1)</f>
        <v>45870</v>
      </c>
      <c r="G1927" s="23" t="n">
        <v>120019</v>
      </c>
      <c r="H1927" s="8" t="s">
        <v>64</v>
      </c>
      <c r="I1927" s="24" t="n">
        <v>68.02</v>
      </c>
      <c r="J1927" s="25" t="n">
        <f aca="false">Summary!$B$4</f>
        <v>1</v>
      </c>
      <c r="K1927" s="11" t="n">
        <f aca="false">I1927*J1927*IF(A1927="SILVER",Summary!$B$5,Summary!$B$6)</f>
        <v>6802</v>
      </c>
      <c r="L1927" s="26" t="n">
        <v>0.104</v>
      </c>
      <c r="M1927" s="27" t="n">
        <f aca="false">IF(K1927&gt;0,1,0)</f>
        <v>1</v>
      </c>
      <c r="N1927" s="11" t="n">
        <f aca="false">SUMIFS(K$2:K1927,A$2:A1927,A1927,B$2:B1927,B1927)</f>
        <v>431129</v>
      </c>
      <c r="O1927" s="11" t="n">
        <f aca="false">MAX(0,_xlfn.MAXIFS(N$2:N1927,A$2:A1927,A1927,B$2:B1927,B1927))</f>
        <v>714107</v>
      </c>
      <c r="P1927" s="11" t="n">
        <f aca="false">N1927-O1927</f>
        <v>-282978</v>
      </c>
    </row>
    <row r="1928" customFormat="false" ht="15" hidden="false" customHeight="false" outlineLevel="0" collapsed="false">
      <c r="A1928" s="8" t="s">
        <v>45</v>
      </c>
      <c r="B1928" s="8" t="s">
        <v>43</v>
      </c>
      <c r="C1928" s="8" t="s">
        <v>60</v>
      </c>
      <c r="D1928" s="21" t="n">
        <v>45894.6423611111</v>
      </c>
      <c r="E1928" s="21" t="n">
        <v>45894.7402777778</v>
      </c>
      <c r="F1928" s="22" t="n">
        <f aca="false">DATE(YEAR(E1928),MONTH(E1928),1)</f>
        <v>45870</v>
      </c>
      <c r="G1928" s="23" t="n">
        <v>120274</v>
      </c>
      <c r="H1928" s="8" t="s">
        <v>64</v>
      </c>
      <c r="I1928" s="24" t="n">
        <v>3.47</v>
      </c>
      <c r="J1928" s="25" t="n">
        <f aca="false">Summary!$B$4</f>
        <v>1</v>
      </c>
      <c r="K1928" s="11" t="n">
        <f aca="false">I1928*J1928*IF(A1928="SILVER",Summary!$B$5,Summary!$B$6)</f>
        <v>347</v>
      </c>
      <c r="L1928" s="26" t="n">
        <v>0.015</v>
      </c>
      <c r="M1928" s="27" t="n">
        <f aca="false">IF(K1928&gt;0,1,0)</f>
        <v>1</v>
      </c>
      <c r="N1928" s="11" t="n">
        <f aca="false">SUMIFS(K$2:K1928,A$2:A1928,A1928,B$2:B1928,B1928)</f>
        <v>431476</v>
      </c>
      <c r="O1928" s="11" t="n">
        <f aca="false">MAX(0,_xlfn.MAXIFS(N$2:N1928,A$2:A1928,A1928,B$2:B1928,B1928))</f>
        <v>714107</v>
      </c>
      <c r="P1928" s="11" t="n">
        <f aca="false">N1928-O1928</f>
        <v>-282631</v>
      </c>
    </row>
    <row r="1929" customFormat="false" ht="15" hidden="false" customHeight="false" outlineLevel="0" collapsed="false">
      <c r="A1929" s="8" t="s">
        <v>45</v>
      </c>
      <c r="B1929" s="8" t="s">
        <v>43</v>
      </c>
      <c r="C1929" s="8" t="s">
        <v>60</v>
      </c>
      <c r="D1929" s="21" t="n">
        <v>45894.8159722222</v>
      </c>
      <c r="E1929" s="21" t="n">
        <v>45894.8722222222</v>
      </c>
      <c r="F1929" s="22" t="n">
        <f aca="false">DATE(YEAR(E1929),MONTH(E1929),1)</f>
        <v>45870</v>
      </c>
      <c r="G1929" s="23" t="n">
        <v>120390</v>
      </c>
      <c r="H1929" s="8" t="s">
        <v>64</v>
      </c>
      <c r="I1929" s="24" t="n">
        <v>11.85</v>
      </c>
      <c r="J1929" s="25" t="n">
        <f aca="false">Summary!$B$4</f>
        <v>1</v>
      </c>
      <c r="K1929" s="11" t="n">
        <f aca="false">I1929*J1929*IF(A1929="SILVER",Summary!$B$5,Summary!$B$6)</f>
        <v>1185</v>
      </c>
      <c r="L1929" s="26" t="n">
        <v>0.042</v>
      </c>
      <c r="M1929" s="27" t="n">
        <f aca="false">IF(K1929&gt;0,1,0)</f>
        <v>1</v>
      </c>
      <c r="N1929" s="11" t="n">
        <f aca="false">SUMIFS(K$2:K1929,A$2:A1929,A1929,B$2:B1929,B1929)</f>
        <v>432661</v>
      </c>
      <c r="O1929" s="11" t="n">
        <f aca="false">MAX(0,_xlfn.MAXIFS(N$2:N1929,A$2:A1929,A1929,B$2:B1929,B1929))</f>
        <v>714107</v>
      </c>
      <c r="P1929" s="11" t="n">
        <f aca="false">N1929-O1929</f>
        <v>-281446</v>
      </c>
    </row>
    <row r="1930" customFormat="false" ht="15" hidden="false" customHeight="false" outlineLevel="0" collapsed="false">
      <c r="A1930" s="8" t="s">
        <v>45</v>
      </c>
      <c r="B1930" s="8" t="s">
        <v>43</v>
      </c>
      <c r="C1930" s="8" t="s">
        <v>60</v>
      </c>
      <c r="D1930" s="21" t="n">
        <v>45895.3784722222</v>
      </c>
      <c r="E1930" s="21" t="n">
        <v>45895.5305555556</v>
      </c>
      <c r="F1930" s="22" t="n">
        <f aca="false">DATE(YEAR(E1930),MONTH(E1930),1)</f>
        <v>45870</v>
      </c>
      <c r="G1930" s="23" t="n">
        <v>120582</v>
      </c>
      <c r="H1930" s="8" t="s">
        <v>64</v>
      </c>
      <c r="I1930" s="24" t="n">
        <v>2.83</v>
      </c>
      <c r="J1930" s="25" t="n">
        <f aca="false">Summary!$B$4</f>
        <v>1</v>
      </c>
      <c r="K1930" s="11" t="n">
        <f aca="false">I1930*J1930*IF(A1930="SILVER",Summary!$B$5,Summary!$B$6)</f>
        <v>283</v>
      </c>
      <c r="L1930" s="26" t="n">
        <v>0.012</v>
      </c>
      <c r="M1930" s="27" t="n">
        <f aca="false">IF(K1930&gt;0,1,0)</f>
        <v>1</v>
      </c>
      <c r="N1930" s="11" t="n">
        <f aca="false">SUMIFS(K$2:K1930,A$2:A1930,A1930,B$2:B1930,B1930)</f>
        <v>432944</v>
      </c>
      <c r="O1930" s="11" t="n">
        <f aca="false">MAX(0,_xlfn.MAXIFS(N$2:N1930,A$2:A1930,A1930,B$2:B1930,B1930))</f>
        <v>714107</v>
      </c>
      <c r="P1930" s="11" t="n">
        <f aca="false">N1930-O1930</f>
        <v>-281163</v>
      </c>
    </row>
    <row r="1931" customFormat="false" ht="15" hidden="false" customHeight="false" outlineLevel="0" collapsed="false">
      <c r="A1931" s="8" t="s">
        <v>45</v>
      </c>
      <c r="B1931" s="8" t="s">
        <v>43</v>
      </c>
      <c r="C1931" s="8" t="s">
        <v>60</v>
      </c>
      <c r="D1931" s="21" t="n">
        <v>45895.8784722222</v>
      </c>
      <c r="E1931" s="21" t="n">
        <v>45895.9076388889</v>
      </c>
      <c r="F1931" s="22" t="n">
        <f aca="false">DATE(YEAR(E1931),MONTH(E1931),1)</f>
        <v>45870</v>
      </c>
      <c r="G1931" s="23" t="n">
        <v>120805</v>
      </c>
      <c r="H1931" s="8" t="s">
        <v>64</v>
      </c>
      <c r="I1931" s="24" t="n">
        <v>17.28</v>
      </c>
      <c r="J1931" s="25" t="n">
        <f aca="false">Summary!$B$4</f>
        <v>1</v>
      </c>
      <c r="K1931" s="11" t="n">
        <f aca="false">I1931*J1931*IF(A1931="SILVER",Summary!$B$5,Summary!$B$6)</f>
        <v>1728</v>
      </c>
      <c r="L1931" s="26" t="n">
        <v>0.055</v>
      </c>
      <c r="M1931" s="27" t="n">
        <f aca="false">IF(K1931&gt;0,1,0)</f>
        <v>1</v>
      </c>
      <c r="N1931" s="11" t="n">
        <f aca="false">SUMIFS(K$2:K1931,A$2:A1931,A1931,B$2:B1931,B1931)</f>
        <v>434672</v>
      </c>
      <c r="O1931" s="11" t="n">
        <f aca="false">MAX(0,_xlfn.MAXIFS(N$2:N1931,A$2:A1931,A1931,B$2:B1931,B1931))</f>
        <v>714107</v>
      </c>
      <c r="P1931" s="11" t="n">
        <f aca="false">N1931-O1931</f>
        <v>-279435</v>
      </c>
    </row>
    <row r="1932" customFormat="false" ht="15" hidden="false" customHeight="false" outlineLevel="0" collapsed="false">
      <c r="A1932" s="8" t="s">
        <v>45</v>
      </c>
      <c r="B1932" s="8" t="s">
        <v>43</v>
      </c>
      <c r="C1932" s="8" t="s">
        <v>60</v>
      </c>
      <c r="D1932" s="21" t="n">
        <v>45896.75</v>
      </c>
      <c r="E1932" s="21" t="n">
        <v>45901.6180555556</v>
      </c>
      <c r="F1932" s="22" t="n">
        <f aca="false">DATE(YEAR(E1932),MONTH(E1932),1)</f>
        <v>45901</v>
      </c>
      <c r="G1932" s="23" t="n">
        <v>120970</v>
      </c>
      <c r="H1932" s="8" t="s">
        <v>61</v>
      </c>
      <c r="I1932" s="24" t="n">
        <v>3458.41</v>
      </c>
      <c r="J1932" s="25" t="n">
        <f aca="false">Summary!$B$4</f>
        <v>1</v>
      </c>
      <c r="K1932" s="11" t="n">
        <f aca="false">I1932*J1932*IF(A1932="SILVER",Summary!$B$5,Summary!$B$6)</f>
        <v>345841</v>
      </c>
      <c r="L1932" s="26" t="n">
        <v>11.841</v>
      </c>
      <c r="M1932" s="27" t="n">
        <f aca="false">IF(K1932&gt;0,1,0)</f>
        <v>1</v>
      </c>
      <c r="N1932" s="11" t="n">
        <f aca="false">SUMIFS(K$2:K1932,A$2:A1932,A1932,B$2:B1932,B1932)</f>
        <v>780513</v>
      </c>
      <c r="O1932" s="11" t="n">
        <f aca="false">MAX(0,_xlfn.MAXIFS(N$2:N1932,A$2:A1932,A1932,B$2:B1932,B1932))</f>
        <v>780513</v>
      </c>
      <c r="P1932" s="11" t="n">
        <f aca="false">N1932-O1932</f>
        <v>0</v>
      </c>
    </row>
    <row r="1933" customFormat="false" ht="15" hidden="false" customHeight="false" outlineLevel="0" collapsed="false">
      <c r="A1933" s="8" t="s">
        <v>45</v>
      </c>
      <c r="B1933" s="8" t="s">
        <v>43</v>
      </c>
      <c r="C1933" s="8" t="s">
        <v>60</v>
      </c>
      <c r="D1933" s="21" t="n">
        <v>45902.3784722222</v>
      </c>
      <c r="E1933" s="21" t="n">
        <v>45902.5</v>
      </c>
      <c r="F1933" s="22" t="n">
        <f aca="false">DATE(YEAR(E1933),MONTH(E1933),1)</f>
        <v>45901</v>
      </c>
      <c r="G1933" s="23" t="n">
        <v>124987</v>
      </c>
      <c r="H1933" s="8" t="s">
        <v>61</v>
      </c>
      <c r="I1933" s="24" t="n">
        <v>-321.02</v>
      </c>
      <c r="J1933" s="25" t="n">
        <f aca="false">Summary!$B$4</f>
        <v>1</v>
      </c>
      <c r="K1933" s="11" t="n">
        <f aca="false">I1933*J1933*IF(A1933="SILVER",Summary!$B$5,Summary!$B$6)</f>
        <v>-32102</v>
      </c>
      <c r="L1933" s="26" t="n">
        <v>-0.627</v>
      </c>
      <c r="M1933" s="27" t="n">
        <f aca="false">IF(K1933&gt;0,1,0)</f>
        <v>0</v>
      </c>
      <c r="N1933" s="11" t="n">
        <f aca="false">SUMIFS(K$2:K1933,A$2:A1933,A1933,B$2:B1933,B1933)</f>
        <v>748411</v>
      </c>
      <c r="O1933" s="11" t="n">
        <f aca="false">MAX(0,_xlfn.MAXIFS(N$2:N1933,A$2:A1933,A1933,B$2:B1933,B1933))</f>
        <v>780513</v>
      </c>
      <c r="P1933" s="11" t="n">
        <f aca="false">N1933-O1933</f>
        <v>-32102</v>
      </c>
    </row>
    <row r="1934" customFormat="false" ht="15" hidden="false" customHeight="false" outlineLevel="0" collapsed="false">
      <c r="A1934" s="8" t="s">
        <v>45</v>
      </c>
      <c r="B1934" s="8" t="s">
        <v>43</v>
      </c>
      <c r="C1934" s="8" t="s">
        <v>60</v>
      </c>
      <c r="D1934" s="21" t="n">
        <v>45902.7326388889</v>
      </c>
      <c r="E1934" s="21" t="n">
        <v>45904.3784722222</v>
      </c>
      <c r="F1934" s="22" t="n">
        <f aca="false">DATE(YEAR(E1934),MONTH(E1934),1)</f>
        <v>45901</v>
      </c>
      <c r="G1934" s="23" t="n">
        <v>124907</v>
      </c>
      <c r="H1934" s="8" t="s">
        <v>61</v>
      </c>
      <c r="I1934" s="24" t="n">
        <v>684.9</v>
      </c>
      <c r="J1934" s="25" t="n">
        <f aca="false">Summary!$B$4</f>
        <v>1</v>
      </c>
      <c r="K1934" s="11" t="n">
        <f aca="false">I1934*J1934*IF(A1934="SILVER",Summary!$B$5,Summary!$B$6)</f>
        <v>68490</v>
      </c>
      <c r="L1934" s="26" t="n">
        <v>1.398</v>
      </c>
      <c r="M1934" s="27" t="n">
        <f aca="false">IF(K1934&gt;0,1,0)</f>
        <v>1</v>
      </c>
      <c r="N1934" s="11" t="n">
        <f aca="false">SUMIFS(K$2:K1934,A$2:A1934,A1934,B$2:B1934,B1934)</f>
        <v>816901</v>
      </c>
      <c r="O1934" s="11" t="n">
        <f aca="false">MAX(0,_xlfn.MAXIFS(N$2:N1934,A$2:A1934,A1934,B$2:B1934,B1934))</f>
        <v>816901</v>
      </c>
      <c r="P1934" s="11" t="n">
        <f aca="false">N1934-O1934</f>
        <v>0</v>
      </c>
    </row>
    <row r="1935" customFormat="false" ht="15" hidden="false" customHeight="false" outlineLevel="0" collapsed="false">
      <c r="A1935" s="8" t="s">
        <v>45</v>
      </c>
      <c r="B1935" s="8" t="s">
        <v>43</v>
      </c>
      <c r="C1935" s="8" t="s">
        <v>60</v>
      </c>
      <c r="D1935" s="21" t="n">
        <v>45904.5659722222</v>
      </c>
      <c r="E1935" s="21" t="n">
        <v>45904.8020833333</v>
      </c>
      <c r="F1935" s="22" t="n">
        <f aca="false">DATE(YEAR(E1935),MONTH(E1935),1)</f>
        <v>45901</v>
      </c>
      <c r="G1935" s="23" t="n">
        <v>126231</v>
      </c>
      <c r="H1935" s="8" t="s">
        <v>64</v>
      </c>
      <c r="I1935" s="24" t="n">
        <v>32.41</v>
      </c>
      <c r="J1935" s="25" t="n">
        <f aca="false">Summary!$B$4</f>
        <v>1</v>
      </c>
      <c r="K1935" s="11" t="n">
        <f aca="false">I1935*J1935*IF(A1935="SILVER",Summary!$B$5,Summary!$B$6)</f>
        <v>3241</v>
      </c>
      <c r="L1935" s="26" t="n">
        <v>0.076</v>
      </c>
      <c r="M1935" s="27" t="n">
        <f aca="false">IF(K1935&gt;0,1,0)</f>
        <v>1</v>
      </c>
      <c r="N1935" s="11" t="n">
        <f aca="false">SUMIFS(K$2:K1935,A$2:A1935,A1935,B$2:B1935,B1935)</f>
        <v>820142</v>
      </c>
      <c r="O1935" s="11" t="n">
        <f aca="false">MAX(0,_xlfn.MAXIFS(N$2:N1935,A$2:A1935,A1935,B$2:B1935,B1935))</f>
        <v>820142</v>
      </c>
      <c r="P1935" s="11" t="n">
        <f aca="false">N1935-O1935</f>
        <v>0</v>
      </c>
    </row>
    <row r="1936" customFormat="false" ht="15" hidden="false" customHeight="false" outlineLevel="0" collapsed="false">
      <c r="A1936" s="8" t="s">
        <v>45</v>
      </c>
      <c r="B1936" s="8" t="s">
        <v>43</v>
      </c>
      <c r="C1936" s="8" t="s">
        <v>60</v>
      </c>
      <c r="D1936" s="21" t="n">
        <v>45905.3784722222</v>
      </c>
      <c r="E1936" s="21" t="n">
        <v>45905.49375</v>
      </c>
      <c r="F1936" s="22" t="n">
        <f aca="false">DATE(YEAR(E1936),MONTH(E1936),1)</f>
        <v>45901</v>
      </c>
      <c r="G1936" s="23" t="n">
        <v>126543</v>
      </c>
      <c r="H1936" s="8" t="s">
        <v>64</v>
      </c>
      <c r="I1936" s="24" t="n">
        <v>51.9</v>
      </c>
      <c r="J1936" s="25" t="n">
        <f aca="false">Summary!$B$4</f>
        <v>1</v>
      </c>
      <c r="K1936" s="11" t="n">
        <f aca="false">I1936*J1936*IF(A1936="SILVER",Summary!$B$5,Summary!$B$6)</f>
        <v>5190</v>
      </c>
      <c r="L1936" s="26" t="n">
        <v>0.094</v>
      </c>
      <c r="M1936" s="27" t="n">
        <f aca="false">IF(K1936&gt;0,1,0)</f>
        <v>1</v>
      </c>
      <c r="N1936" s="11" t="n">
        <f aca="false">SUMIFS(K$2:K1936,A$2:A1936,A1936,B$2:B1936,B1936)</f>
        <v>825332</v>
      </c>
      <c r="O1936" s="11" t="n">
        <f aca="false">MAX(0,_xlfn.MAXIFS(N$2:N1936,A$2:A1936,A1936,B$2:B1936,B1936))</f>
        <v>825332</v>
      </c>
      <c r="P1936" s="11" t="n">
        <f aca="false">N1936-O1936</f>
        <v>0</v>
      </c>
    </row>
    <row r="1937" customFormat="false" ht="15" hidden="false" customHeight="false" outlineLevel="0" collapsed="false">
      <c r="A1937" s="8" t="s">
        <v>45</v>
      </c>
      <c r="B1937" s="8" t="s">
        <v>43</v>
      </c>
      <c r="C1937" s="8" t="s">
        <v>60</v>
      </c>
      <c r="D1937" s="21" t="n">
        <v>45905.7534722222</v>
      </c>
      <c r="E1937" s="21" t="n">
        <v>45905.7583333333</v>
      </c>
      <c r="F1937" s="22" t="n">
        <f aca="false">DATE(YEAR(E1937),MONTH(E1937),1)</f>
        <v>45901</v>
      </c>
      <c r="G1937" s="23" t="n">
        <v>127125</v>
      </c>
      <c r="H1937" s="8" t="s">
        <v>64</v>
      </c>
      <c r="I1937" s="24" t="n">
        <v>69.17</v>
      </c>
      <c r="J1937" s="25" t="n">
        <f aca="false">Summary!$B$4</f>
        <v>1</v>
      </c>
      <c r="K1937" s="11" t="n">
        <f aca="false">I1937*J1937*IF(A1937="SILVER",Summary!$B$5,Summary!$B$6)</f>
        <v>6917</v>
      </c>
      <c r="L1937" s="26" t="n">
        <v>0.103</v>
      </c>
      <c r="M1937" s="27" t="n">
        <f aca="false">IF(K1937&gt;0,1,0)</f>
        <v>1</v>
      </c>
      <c r="N1937" s="11" t="n">
        <f aca="false">SUMIFS(K$2:K1937,A$2:A1937,A1937,B$2:B1937,B1937)</f>
        <v>832249</v>
      </c>
      <c r="O1937" s="11" t="n">
        <f aca="false">MAX(0,_xlfn.MAXIFS(N$2:N1937,A$2:A1937,A1937,B$2:B1937,B1937))</f>
        <v>832249</v>
      </c>
      <c r="P1937" s="11" t="n">
        <f aca="false">N1937-O1937</f>
        <v>0</v>
      </c>
    </row>
    <row r="1938" customFormat="false" ht="15" hidden="false" customHeight="false" outlineLevel="0" collapsed="false">
      <c r="A1938" s="8" t="s">
        <v>45</v>
      </c>
      <c r="B1938" s="8" t="s">
        <v>43</v>
      </c>
      <c r="C1938" s="8" t="s">
        <v>60</v>
      </c>
      <c r="D1938" s="21" t="n">
        <v>45905.8055555556</v>
      </c>
      <c r="E1938" s="21" t="n">
        <v>45908.3784722222</v>
      </c>
      <c r="F1938" s="22" t="n">
        <f aca="false">DATE(YEAR(E1938),MONTH(E1938),1)</f>
        <v>45901</v>
      </c>
      <c r="G1938" s="23" t="n">
        <v>127405</v>
      </c>
      <c r="H1938" s="8" t="s">
        <v>61</v>
      </c>
      <c r="I1938" s="24" t="n">
        <v>-453.49</v>
      </c>
      <c r="J1938" s="25" t="n">
        <f aca="false">Summary!$B$4</f>
        <v>1</v>
      </c>
      <c r="K1938" s="11" t="n">
        <f aca="false">I1938*J1938*IF(A1938="SILVER",Summary!$B$5,Summary!$B$6)</f>
        <v>-45349</v>
      </c>
      <c r="L1938" s="26" t="n">
        <v>-0.583</v>
      </c>
      <c r="M1938" s="27" t="n">
        <f aca="false">IF(K1938&gt;0,1,0)</f>
        <v>0</v>
      </c>
      <c r="N1938" s="11" t="n">
        <f aca="false">SUMIFS(K$2:K1938,A$2:A1938,A1938,B$2:B1938,B1938)</f>
        <v>786900</v>
      </c>
      <c r="O1938" s="11" t="n">
        <f aca="false">MAX(0,_xlfn.MAXIFS(N$2:N1938,A$2:A1938,A1938,B$2:B1938,B1938))</f>
        <v>832249</v>
      </c>
      <c r="P1938" s="11" t="n">
        <f aca="false">N1938-O1938</f>
        <v>-45349</v>
      </c>
    </row>
    <row r="1939" customFormat="false" ht="15" hidden="false" customHeight="false" outlineLevel="0" collapsed="false">
      <c r="A1939" s="8" t="s">
        <v>45</v>
      </c>
      <c r="B1939" s="8" t="s">
        <v>43</v>
      </c>
      <c r="C1939" s="8" t="s">
        <v>60</v>
      </c>
      <c r="D1939" s="21" t="n">
        <v>45908.53125</v>
      </c>
      <c r="E1939" s="21" t="n">
        <v>45908.5368055556</v>
      </c>
      <c r="F1939" s="22" t="n">
        <f aca="false">DATE(YEAR(E1939),MONTH(E1939),1)</f>
        <v>45901</v>
      </c>
      <c r="G1939" s="23" t="n">
        <v>127397</v>
      </c>
      <c r="H1939" s="8" t="s">
        <v>64</v>
      </c>
      <c r="I1939" s="24" t="n">
        <v>33.95</v>
      </c>
      <c r="J1939" s="25" t="n">
        <f aca="false">Summary!$B$4</f>
        <v>1</v>
      </c>
      <c r="K1939" s="11" t="n">
        <f aca="false">I1939*J1939*IF(A1939="SILVER",Summary!$B$5,Summary!$B$6)</f>
        <v>3395</v>
      </c>
      <c r="L1939" s="26" t="n">
        <v>0.078</v>
      </c>
      <c r="M1939" s="27" t="n">
        <f aca="false">IF(K1939&gt;0,1,0)</f>
        <v>1</v>
      </c>
      <c r="N1939" s="11" t="n">
        <f aca="false">SUMIFS(K$2:K1939,A$2:A1939,A1939,B$2:B1939,B1939)</f>
        <v>790295</v>
      </c>
      <c r="O1939" s="11" t="n">
        <f aca="false">MAX(0,_xlfn.MAXIFS(N$2:N1939,A$2:A1939,A1939,B$2:B1939,B1939))</f>
        <v>832249</v>
      </c>
      <c r="P1939" s="11" t="n">
        <f aca="false">N1939-O1939</f>
        <v>-41954</v>
      </c>
    </row>
    <row r="1940" customFormat="false" ht="15" hidden="false" customHeight="false" outlineLevel="0" collapsed="false">
      <c r="A1940" s="8" t="s">
        <v>45</v>
      </c>
      <c r="B1940" s="8" t="s">
        <v>43</v>
      </c>
      <c r="C1940" s="8" t="s">
        <v>60</v>
      </c>
      <c r="D1940" s="21" t="n">
        <v>45908.5486111111</v>
      </c>
      <c r="E1940" s="21" t="n">
        <v>45908.6048611111</v>
      </c>
      <c r="F1940" s="22" t="n">
        <f aca="false">DATE(YEAR(E1940),MONTH(E1940),1)</f>
        <v>45901</v>
      </c>
      <c r="G1940" s="23" t="n">
        <v>127601</v>
      </c>
      <c r="H1940" s="8" t="s">
        <v>64</v>
      </c>
      <c r="I1940" s="24" t="n">
        <v>40.49</v>
      </c>
      <c r="J1940" s="25" t="n">
        <f aca="false">Summary!$B$4</f>
        <v>1</v>
      </c>
      <c r="K1940" s="11" t="n">
        <f aca="false">I1940*J1940*IF(A1940="SILVER",Summary!$B$5,Summary!$B$6)</f>
        <v>4049</v>
      </c>
      <c r="L1940" s="26" t="n">
        <v>0.084</v>
      </c>
      <c r="M1940" s="27" t="n">
        <f aca="false">IF(K1940&gt;0,1,0)</f>
        <v>1</v>
      </c>
      <c r="N1940" s="11" t="n">
        <f aca="false">SUMIFS(K$2:K1940,A$2:A1940,A1940,B$2:B1940,B1940)</f>
        <v>794344</v>
      </c>
      <c r="O1940" s="11" t="n">
        <f aca="false">MAX(0,_xlfn.MAXIFS(N$2:N1940,A$2:A1940,A1940,B$2:B1940,B1940))</f>
        <v>832249</v>
      </c>
      <c r="P1940" s="11" t="n">
        <f aca="false">N1940-O1940</f>
        <v>-37905</v>
      </c>
    </row>
    <row r="1941" customFormat="false" ht="15" hidden="false" customHeight="false" outlineLevel="0" collapsed="false">
      <c r="A1941" s="8" t="s">
        <v>45</v>
      </c>
      <c r="B1941" s="8" t="s">
        <v>43</v>
      </c>
      <c r="C1941" s="8" t="s">
        <v>60</v>
      </c>
      <c r="D1941" s="21" t="n">
        <v>45908.65625</v>
      </c>
      <c r="E1941" s="21" t="n">
        <v>45908.775</v>
      </c>
      <c r="F1941" s="22" t="n">
        <f aca="false">DATE(YEAR(E1941),MONTH(E1941),1)</f>
        <v>45901</v>
      </c>
      <c r="G1941" s="23" t="n">
        <v>127912</v>
      </c>
      <c r="H1941" s="8" t="s">
        <v>64</v>
      </c>
      <c r="I1941" s="24" t="n">
        <v>37.25</v>
      </c>
      <c r="J1941" s="25" t="n">
        <f aca="false">Summary!$B$4</f>
        <v>1</v>
      </c>
      <c r="K1941" s="11" t="n">
        <f aca="false">I1941*J1941*IF(A1941="SILVER",Summary!$B$5,Summary!$B$6)</f>
        <v>3725</v>
      </c>
      <c r="L1941" s="26" t="n">
        <v>0.081</v>
      </c>
      <c r="M1941" s="27" t="n">
        <f aca="false">IF(K1941&gt;0,1,0)</f>
        <v>1</v>
      </c>
      <c r="N1941" s="11" t="n">
        <f aca="false">SUMIFS(K$2:K1941,A$2:A1941,A1941,B$2:B1941,B1941)</f>
        <v>798069</v>
      </c>
      <c r="O1941" s="11" t="n">
        <f aca="false">MAX(0,_xlfn.MAXIFS(N$2:N1941,A$2:A1941,A1941,B$2:B1941,B1941))</f>
        <v>832249</v>
      </c>
      <c r="P1941" s="11" t="n">
        <f aca="false">N1941-O1941</f>
        <v>-34180</v>
      </c>
    </row>
    <row r="1942" customFormat="false" ht="15" hidden="false" customHeight="false" outlineLevel="0" collapsed="false">
      <c r="A1942" s="8" t="s">
        <v>45</v>
      </c>
      <c r="B1942" s="8" t="s">
        <v>43</v>
      </c>
      <c r="C1942" s="8" t="s">
        <v>60</v>
      </c>
      <c r="D1942" s="21" t="n">
        <v>45908.78125</v>
      </c>
      <c r="E1942" s="21" t="n">
        <v>45908.8180555556</v>
      </c>
      <c r="F1942" s="22" t="n">
        <f aca="false">DATE(YEAR(E1942),MONTH(E1942),1)</f>
        <v>45901</v>
      </c>
      <c r="G1942" s="23" t="n">
        <v>128122</v>
      </c>
      <c r="H1942" s="8" t="s">
        <v>64</v>
      </c>
      <c r="I1942" s="24" t="n">
        <v>24.31</v>
      </c>
      <c r="J1942" s="25" t="n">
        <f aca="false">Summary!$B$4</f>
        <v>1</v>
      </c>
      <c r="K1942" s="11" t="n">
        <f aca="false">I1942*J1942*IF(A1942="SILVER",Summary!$B$5,Summary!$B$6)</f>
        <v>2431</v>
      </c>
      <c r="L1942" s="26" t="n">
        <v>0.058</v>
      </c>
      <c r="M1942" s="27" t="n">
        <f aca="false">IF(K1942&gt;0,1,0)</f>
        <v>1</v>
      </c>
      <c r="N1942" s="11" t="n">
        <f aca="false">SUMIFS(K$2:K1942,A$2:A1942,A1942,B$2:B1942,B1942)</f>
        <v>800500</v>
      </c>
      <c r="O1942" s="11" t="n">
        <f aca="false">MAX(0,_xlfn.MAXIFS(N$2:N1942,A$2:A1942,A1942,B$2:B1942,B1942))</f>
        <v>832249</v>
      </c>
      <c r="P1942" s="11" t="n">
        <f aca="false">N1942-O1942</f>
        <v>-31749</v>
      </c>
    </row>
    <row r="1943" customFormat="false" ht="15" hidden="false" customHeight="false" outlineLevel="0" collapsed="false">
      <c r="A1943" s="8" t="s">
        <v>45</v>
      </c>
      <c r="B1943" s="8" t="s">
        <v>43</v>
      </c>
      <c r="C1943" s="8" t="s">
        <v>60</v>
      </c>
      <c r="D1943" s="21" t="n">
        <v>45908.8194444445</v>
      </c>
      <c r="E1943" s="21" t="n">
        <v>45908.8722222222</v>
      </c>
      <c r="F1943" s="22" t="n">
        <f aca="false">DATE(YEAR(E1943),MONTH(E1943),1)</f>
        <v>45901</v>
      </c>
      <c r="G1943" s="23" t="n">
        <v>128232</v>
      </c>
      <c r="H1943" s="8" t="s">
        <v>64</v>
      </c>
      <c r="I1943" s="24" t="n">
        <v>47.84</v>
      </c>
      <c r="J1943" s="25" t="n">
        <f aca="false">Summary!$B$4</f>
        <v>1</v>
      </c>
      <c r="K1943" s="11" t="n">
        <f aca="false">I1943*J1943*IF(A1943="SILVER",Summary!$B$5,Summary!$B$6)</f>
        <v>4784</v>
      </c>
      <c r="L1943" s="26" t="n">
        <v>0.09</v>
      </c>
      <c r="M1943" s="27" t="n">
        <f aca="false">IF(K1943&gt;0,1,0)</f>
        <v>1</v>
      </c>
      <c r="N1943" s="11" t="n">
        <f aca="false">SUMIFS(K$2:K1943,A$2:A1943,A1943,B$2:B1943,B1943)</f>
        <v>805284</v>
      </c>
      <c r="O1943" s="11" t="n">
        <f aca="false">MAX(0,_xlfn.MAXIFS(N$2:N1943,A$2:A1943,A1943,B$2:B1943,B1943))</f>
        <v>832249</v>
      </c>
      <c r="P1943" s="11" t="n">
        <f aca="false">N1943-O1943</f>
        <v>-26965</v>
      </c>
    </row>
    <row r="1944" customFormat="false" ht="15" hidden="false" customHeight="false" outlineLevel="0" collapsed="false">
      <c r="A1944" s="8" t="s">
        <v>45</v>
      </c>
      <c r="B1944" s="8" t="s">
        <v>43</v>
      </c>
      <c r="C1944" s="8" t="s">
        <v>60</v>
      </c>
      <c r="D1944" s="21" t="n">
        <v>45909.3784722222</v>
      </c>
      <c r="E1944" s="21" t="n">
        <v>45909.4868055556</v>
      </c>
      <c r="F1944" s="22" t="n">
        <f aca="false">DATE(YEAR(E1944),MONTH(E1944),1)</f>
        <v>45901</v>
      </c>
      <c r="G1944" s="23" t="n">
        <v>128564</v>
      </c>
      <c r="H1944" s="8" t="s">
        <v>64</v>
      </c>
      <c r="I1944" s="24" t="n">
        <v>42.17</v>
      </c>
      <c r="J1944" s="25" t="n">
        <f aca="false">Summary!$B$4</f>
        <v>1</v>
      </c>
      <c r="K1944" s="11" t="n">
        <f aca="false">I1944*J1944*IF(A1944="SILVER",Summary!$B$5,Summary!$B$6)</f>
        <v>4217</v>
      </c>
      <c r="L1944" s="26" t="n">
        <v>0.086</v>
      </c>
      <c r="M1944" s="27" t="n">
        <f aca="false">IF(K1944&gt;0,1,0)</f>
        <v>1</v>
      </c>
      <c r="N1944" s="11" t="n">
        <f aca="false">SUMIFS(K$2:K1944,A$2:A1944,A1944,B$2:B1944,B1944)</f>
        <v>809501</v>
      </c>
      <c r="O1944" s="11" t="n">
        <f aca="false">MAX(0,_xlfn.MAXIFS(N$2:N1944,A$2:A1944,A1944,B$2:B1944,B1944))</f>
        <v>832249</v>
      </c>
      <c r="P1944" s="11" t="n">
        <f aca="false">N1944-O1944</f>
        <v>-22748</v>
      </c>
    </row>
    <row r="1945" customFormat="false" ht="15" hidden="false" customHeight="false" outlineLevel="0" collapsed="false">
      <c r="A1945" s="8" t="s">
        <v>45</v>
      </c>
      <c r="B1945" s="8" t="s">
        <v>43</v>
      </c>
      <c r="C1945" s="8" t="s">
        <v>60</v>
      </c>
      <c r="D1945" s="21" t="n">
        <v>45909.7916666667</v>
      </c>
      <c r="E1945" s="21" t="n">
        <v>45909.7972222222</v>
      </c>
      <c r="F1945" s="22" t="n">
        <f aca="false">DATE(YEAR(E1945),MONTH(E1945),1)</f>
        <v>45901</v>
      </c>
      <c r="G1945" s="23" t="n">
        <v>129250</v>
      </c>
      <c r="H1945" s="8" t="s">
        <v>64</v>
      </c>
      <c r="I1945" s="24" t="n">
        <v>38.29</v>
      </c>
      <c r="J1945" s="25" t="n">
        <f aca="false">Summary!$B$4</f>
        <v>1</v>
      </c>
      <c r="K1945" s="11" t="n">
        <f aca="false">I1945*J1945*IF(A1945="SILVER",Summary!$B$5,Summary!$B$6)</f>
        <v>3829</v>
      </c>
      <c r="L1945" s="26" t="n">
        <v>0.082</v>
      </c>
      <c r="M1945" s="27" t="n">
        <f aca="false">IF(K1945&gt;0,1,0)</f>
        <v>1</v>
      </c>
      <c r="N1945" s="11" t="n">
        <f aca="false">SUMIFS(K$2:K1945,A$2:A1945,A1945,B$2:B1945,B1945)</f>
        <v>813330</v>
      </c>
      <c r="O1945" s="11" t="n">
        <f aca="false">MAX(0,_xlfn.MAXIFS(N$2:N1945,A$2:A1945,A1945,B$2:B1945,B1945))</f>
        <v>832249</v>
      </c>
      <c r="P1945" s="11" t="n">
        <f aca="false">N1945-O1945</f>
        <v>-18919</v>
      </c>
    </row>
    <row r="1946" customFormat="false" ht="15" hidden="false" customHeight="false" outlineLevel="0" collapsed="false">
      <c r="A1946" s="8" t="s">
        <v>45</v>
      </c>
      <c r="B1946" s="8" t="s">
        <v>43</v>
      </c>
      <c r="C1946" s="8" t="s">
        <v>60</v>
      </c>
      <c r="D1946" s="21" t="n">
        <v>45909.7986111111</v>
      </c>
      <c r="E1946" s="21" t="n">
        <v>45909.8145833333</v>
      </c>
      <c r="F1946" s="22" t="n">
        <f aca="false">DATE(YEAR(E1946),MONTH(E1946),1)</f>
        <v>45901</v>
      </c>
      <c r="G1946" s="23" t="n">
        <v>129321</v>
      </c>
      <c r="H1946" s="8" t="s">
        <v>64</v>
      </c>
      <c r="I1946" s="24" t="n">
        <v>35.81</v>
      </c>
      <c r="J1946" s="25" t="n">
        <f aca="false">Summary!$B$4</f>
        <v>1</v>
      </c>
      <c r="K1946" s="11" t="n">
        <f aca="false">I1946*J1946*IF(A1946="SILVER",Summary!$B$5,Summary!$B$6)</f>
        <v>3581</v>
      </c>
      <c r="L1946" s="26" t="n">
        <v>0.079</v>
      </c>
      <c r="M1946" s="27" t="n">
        <f aca="false">IF(K1946&gt;0,1,0)</f>
        <v>1</v>
      </c>
      <c r="N1946" s="11" t="n">
        <f aca="false">SUMIFS(K$2:K1946,A$2:A1946,A1946,B$2:B1946,B1946)</f>
        <v>816911</v>
      </c>
      <c r="O1946" s="11" t="n">
        <f aca="false">MAX(0,_xlfn.MAXIFS(N$2:N1946,A$2:A1946,A1946,B$2:B1946,B1946))</f>
        <v>832249</v>
      </c>
      <c r="P1946" s="11" t="n">
        <f aca="false">N1946-O1946</f>
        <v>-15338</v>
      </c>
    </row>
    <row r="1947" customFormat="false" ht="15" hidden="false" customHeight="false" outlineLevel="0" collapsed="false">
      <c r="A1947" s="8" t="s">
        <v>45</v>
      </c>
      <c r="B1947" s="8" t="s">
        <v>43</v>
      </c>
      <c r="C1947" s="8" t="s">
        <v>60</v>
      </c>
      <c r="D1947" s="21" t="n">
        <v>45910.6631944445</v>
      </c>
      <c r="E1947" s="21" t="n">
        <v>45910.7638888889</v>
      </c>
      <c r="F1947" s="22" t="n">
        <f aca="false">DATE(YEAR(E1947),MONTH(E1947),1)</f>
        <v>45901</v>
      </c>
      <c r="G1947" s="23" t="n">
        <v>129057</v>
      </c>
      <c r="H1947" s="8" t="s">
        <v>61</v>
      </c>
      <c r="I1947" s="24" t="n">
        <v>-306.83</v>
      </c>
      <c r="J1947" s="25" t="n">
        <f aca="false">Summary!$B$4</f>
        <v>1</v>
      </c>
      <c r="K1947" s="11" t="n">
        <f aca="false">I1947*J1947*IF(A1947="SILVER",Summary!$B$5,Summary!$B$6)</f>
        <v>-30683</v>
      </c>
      <c r="L1947" s="26" t="n">
        <v>-0.892</v>
      </c>
      <c r="M1947" s="27" t="n">
        <f aca="false">IF(K1947&gt;0,1,0)</f>
        <v>0</v>
      </c>
      <c r="N1947" s="11" t="n">
        <f aca="false">SUMIFS(K$2:K1947,A$2:A1947,A1947,B$2:B1947,B1947)</f>
        <v>786228</v>
      </c>
      <c r="O1947" s="11" t="n">
        <f aca="false">MAX(0,_xlfn.MAXIFS(N$2:N1947,A$2:A1947,A1947,B$2:B1947,B1947))</f>
        <v>832249</v>
      </c>
      <c r="P1947" s="11" t="n">
        <f aca="false">N1947-O1947</f>
        <v>-46021</v>
      </c>
    </row>
    <row r="1948" customFormat="false" ht="15" hidden="false" customHeight="false" outlineLevel="0" collapsed="false">
      <c r="A1948" s="8" t="s">
        <v>45</v>
      </c>
      <c r="B1948" s="8" t="s">
        <v>43</v>
      </c>
      <c r="C1948" s="8" t="s">
        <v>60</v>
      </c>
      <c r="D1948" s="21" t="n">
        <v>45911.7534722222</v>
      </c>
      <c r="E1948" s="21" t="n">
        <v>45912.5729166667</v>
      </c>
      <c r="F1948" s="22" t="n">
        <f aca="false">DATE(YEAR(E1948),MONTH(E1948),1)</f>
        <v>45901</v>
      </c>
      <c r="G1948" s="23" t="n">
        <v>128812</v>
      </c>
      <c r="H1948" s="8" t="s">
        <v>61</v>
      </c>
      <c r="I1948" s="24" t="n">
        <v>145.17</v>
      </c>
      <c r="J1948" s="25" t="n">
        <f aca="false">Summary!$B$4</f>
        <v>1</v>
      </c>
      <c r="K1948" s="11" t="n">
        <f aca="false">I1948*J1948*IF(A1948="SILVER",Summary!$B$5,Summary!$B$6)</f>
        <v>14517</v>
      </c>
      <c r="L1948" s="26" t="n">
        <v>0.21</v>
      </c>
      <c r="M1948" s="27" t="n">
        <f aca="false">IF(K1948&gt;0,1,0)</f>
        <v>1</v>
      </c>
      <c r="N1948" s="11" t="n">
        <f aca="false">SUMIFS(K$2:K1948,A$2:A1948,A1948,B$2:B1948,B1948)</f>
        <v>800745</v>
      </c>
      <c r="O1948" s="11" t="n">
        <f aca="false">MAX(0,_xlfn.MAXIFS(N$2:N1948,A$2:A1948,A1948,B$2:B1948,B1948))</f>
        <v>832249</v>
      </c>
      <c r="P1948" s="11" t="n">
        <f aca="false">N1948-O1948</f>
        <v>-31504</v>
      </c>
    </row>
    <row r="1949" customFormat="false" ht="15" hidden="false" customHeight="false" outlineLevel="0" collapsed="false">
      <c r="A1949" s="8" t="s">
        <v>45</v>
      </c>
      <c r="B1949" s="8" t="s">
        <v>43</v>
      </c>
      <c r="C1949" s="8" t="s">
        <v>60</v>
      </c>
      <c r="D1949" s="21" t="n">
        <v>45915.7881944445</v>
      </c>
      <c r="E1949" s="21" t="n">
        <v>45916.7743055556</v>
      </c>
      <c r="F1949" s="22" t="n">
        <f aca="false">DATE(YEAR(E1949),MONTH(E1949),1)</f>
        <v>45901</v>
      </c>
      <c r="G1949" s="23" t="n">
        <v>129039</v>
      </c>
      <c r="H1949" s="8" t="s">
        <v>61</v>
      </c>
      <c r="I1949" s="24" t="n">
        <v>970.05</v>
      </c>
      <c r="J1949" s="25" t="n">
        <f aca="false">Summary!$B$4</f>
        <v>1</v>
      </c>
      <c r="K1949" s="11" t="n">
        <f aca="false">I1949*J1949*IF(A1949="SILVER",Summary!$B$5,Summary!$B$6)</f>
        <v>97005</v>
      </c>
      <c r="L1949" s="26" t="n">
        <v>2.77</v>
      </c>
      <c r="M1949" s="27" t="n">
        <f aca="false">IF(K1949&gt;0,1,0)</f>
        <v>1</v>
      </c>
      <c r="N1949" s="11" t="n">
        <f aca="false">SUMIFS(K$2:K1949,A$2:A1949,A1949,B$2:B1949,B1949)</f>
        <v>897750</v>
      </c>
      <c r="O1949" s="11" t="n">
        <f aca="false">MAX(0,_xlfn.MAXIFS(N$2:N1949,A$2:A1949,A1949,B$2:B1949,B1949))</f>
        <v>897750</v>
      </c>
      <c r="P1949" s="11" t="n">
        <f aca="false">N1949-O1949</f>
        <v>0</v>
      </c>
    </row>
    <row r="1950" customFormat="false" ht="15" hidden="false" customHeight="false" outlineLevel="0" collapsed="false">
      <c r="A1950" s="8" t="s">
        <v>45</v>
      </c>
      <c r="B1950" s="8" t="s">
        <v>43</v>
      </c>
      <c r="C1950" s="8" t="s">
        <v>60</v>
      </c>
      <c r="D1950" s="21" t="n">
        <v>45917.7569444445</v>
      </c>
      <c r="E1950" s="21" t="n">
        <v>45917.7715277778</v>
      </c>
      <c r="F1950" s="22" t="n">
        <f aca="false">DATE(YEAR(E1950),MONTH(E1950),1)</f>
        <v>45901</v>
      </c>
      <c r="G1950" s="23" t="n">
        <v>129357</v>
      </c>
      <c r="H1950" s="8" t="s">
        <v>64</v>
      </c>
      <c r="I1950" s="24" t="n">
        <v>26.97</v>
      </c>
      <c r="J1950" s="25" t="n">
        <f aca="false">Summary!$B$4</f>
        <v>1</v>
      </c>
      <c r="K1950" s="11" t="n">
        <f aca="false">I1950*J1950*IF(A1950="SILVER",Summary!$B$5,Summary!$B$6)</f>
        <v>2697</v>
      </c>
      <c r="L1950" s="26" t="n">
        <v>0.069</v>
      </c>
      <c r="M1950" s="27" t="n">
        <f aca="false">IF(K1950&gt;0,1,0)</f>
        <v>1</v>
      </c>
      <c r="N1950" s="11" t="n">
        <f aca="false">SUMIFS(K$2:K1950,A$2:A1950,A1950,B$2:B1950,B1950)</f>
        <v>900447</v>
      </c>
      <c r="O1950" s="11" t="n">
        <f aca="false">MAX(0,_xlfn.MAXIFS(N$2:N1950,A$2:A1950,A1950,B$2:B1950,B1950))</f>
        <v>900447</v>
      </c>
      <c r="P1950" s="11" t="n">
        <f aca="false">N1950-O1950</f>
        <v>0</v>
      </c>
    </row>
    <row r="1951" customFormat="false" ht="15" hidden="false" customHeight="false" outlineLevel="0" collapsed="false">
      <c r="A1951" s="8" t="s">
        <v>45</v>
      </c>
      <c r="B1951" s="8" t="s">
        <v>43</v>
      </c>
      <c r="C1951" s="8" t="s">
        <v>60</v>
      </c>
      <c r="D1951" s="21" t="n">
        <v>45917.9027777778</v>
      </c>
      <c r="E1951" s="21" t="n">
        <v>45918.3784722222</v>
      </c>
      <c r="F1951" s="22" t="n">
        <f aca="false">DATE(YEAR(E1951),MONTH(E1951),1)</f>
        <v>45901</v>
      </c>
      <c r="G1951" s="23" t="n">
        <v>129623</v>
      </c>
      <c r="H1951" s="8" t="s">
        <v>61</v>
      </c>
      <c r="I1951" s="24" t="n">
        <v>-499.93</v>
      </c>
      <c r="J1951" s="25" t="n">
        <f aca="false">Summary!$B$4</f>
        <v>1</v>
      </c>
      <c r="K1951" s="11" t="n">
        <f aca="false">I1951*J1951*IF(A1951="SILVER",Summary!$B$5,Summary!$B$6)</f>
        <v>-49993</v>
      </c>
      <c r="L1951" s="26" t="n">
        <v>-1.314</v>
      </c>
      <c r="M1951" s="27" t="n">
        <f aca="false">IF(K1951&gt;0,1,0)</f>
        <v>0</v>
      </c>
      <c r="N1951" s="11" t="n">
        <f aca="false">SUMIFS(K$2:K1951,A$2:A1951,A1951,B$2:B1951,B1951)</f>
        <v>850454</v>
      </c>
      <c r="O1951" s="11" t="n">
        <f aca="false">MAX(0,_xlfn.MAXIFS(N$2:N1951,A$2:A1951,A1951,B$2:B1951,B1951))</f>
        <v>900447</v>
      </c>
      <c r="P1951" s="11" t="n">
        <f aca="false">N1951-O1951</f>
        <v>-49993</v>
      </c>
    </row>
    <row r="1952" customFormat="false" ht="15" hidden="false" customHeight="false" outlineLevel="0" collapsed="false">
      <c r="A1952" s="8" t="s">
        <v>45</v>
      </c>
      <c r="B1952" s="8" t="s">
        <v>43</v>
      </c>
      <c r="C1952" s="8" t="s">
        <v>60</v>
      </c>
      <c r="D1952" s="21" t="n">
        <v>45922.4618055556</v>
      </c>
      <c r="E1952" s="21" t="n">
        <v>45922.7465277778</v>
      </c>
      <c r="F1952" s="22" t="n">
        <f aca="false">DATE(YEAR(E1952),MONTH(E1952),1)</f>
        <v>45901</v>
      </c>
      <c r="G1952" s="23" t="n">
        <v>130397</v>
      </c>
      <c r="H1952" s="8" t="s">
        <v>61</v>
      </c>
      <c r="I1952" s="24" t="n">
        <v>589.81</v>
      </c>
      <c r="J1952" s="25" t="n">
        <f aca="false">Summary!$B$4</f>
        <v>1</v>
      </c>
      <c r="K1952" s="11" t="n">
        <f aca="false">I1952*J1952*IF(A1952="SILVER",Summary!$B$5,Summary!$B$6)</f>
        <v>58981</v>
      </c>
      <c r="L1952" s="26" t="n">
        <v>1.581</v>
      </c>
      <c r="M1952" s="27" t="n">
        <f aca="false">IF(K1952&gt;0,1,0)</f>
        <v>1</v>
      </c>
      <c r="N1952" s="11" t="n">
        <f aca="false">SUMIFS(K$2:K1952,A$2:A1952,A1952,B$2:B1952,B1952)</f>
        <v>909435</v>
      </c>
      <c r="O1952" s="11" t="n">
        <f aca="false">MAX(0,_xlfn.MAXIFS(N$2:N1952,A$2:A1952,A1952,B$2:B1952,B1952))</f>
        <v>909435</v>
      </c>
      <c r="P1952" s="11" t="n">
        <f aca="false">N1952-O1952</f>
        <v>0</v>
      </c>
    </row>
    <row r="1953" customFormat="false" ht="15" hidden="false" customHeight="false" outlineLevel="0" collapsed="false">
      <c r="A1953" s="8" t="s">
        <v>45</v>
      </c>
      <c r="B1953" s="8" t="s">
        <v>43</v>
      </c>
      <c r="C1953" s="8" t="s">
        <v>60</v>
      </c>
      <c r="D1953" s="21" t="n">
        <v>45922.875</v>
      </c>
      <c r="E1953" s="21" t="n">
        <v>45923.8263888889</v>
      </c>
      <c r="F1953" s="22" t="n">
        <f aca="false">DATE(YEAR(E1953),MONTH(E1953),1)</f>
        <v>45901</v>
      </c>
      <c r="G1953" s="23" t="n">
        <v>131553</v>
      </c>
      <c r="H1953" s="8" t="s">
        <v>61</v>
      </c>
      <c r="I1953" s="24" t="n">
        <v>1766.46</v>
      </c>
      <c r="J1953" s="25" t="n">
        <f aca="false">Summary!$B$4</f>
        <v>1</v>
      </c>
      <c r="K1953" s="11" t="n">
        <f aca="false">I1953*J1953*IF(A1953="SILVER",Summary!$B$5,Summary!$B$6)</f>
        <v>176646</v>
      </c>
      <c r="L1953" s="26" t="n">
        <v>3.194</v>
      </c>
      <c r="M1953" s="27" t="n">
        <f aca="false">IF(K1953&gt;0,1,0)</f>
        <v>1</v>
      </c>
      <c r="N1953" s="11" t="n">
        <f aca="false">SUMIFS(K$2:K1953,A$2:A1953,A1953,B$2:B1953,B1953)</f>
        <v>1086081</v>
      </c>
      <c r="O1953" s="11" t="n">
        <f aca="false">MAX(0,_xlfn.MAXIFS(N$2:N1953,A$2:A1953,A1953,B$2:B1953,B1953))</f>
        <v>1086081</v>
      </c>
      <c r="P1953" s="11" t="n">
        <f aca="false">N1953-O1953</f>
        <v>0</v>
      </c>
    </row>
    <row r="1954" customFormat="false" ht="15" hidden="false" customHeight="false" outlineLevel="0" collapsed="false">
      <c r="A1954" s="8" t="s">
        <v>45</v>
      </c>
      <c r="B1954" s="8" t="s">
        <v>43</v>
      </c>
      <c r="C1954" s="8" t="s">
        <v>60</v>
      </c>
      <c r="D1954" s="21" t="n">
        <v>45925.4895833333</v>
      </c>
      <c r="E1954" s="21" t="n">
        <v>45925.5493055556</v>
      </c>
      <c r="F1954" s="22" t="n">
        <f aca="false">DATE(YEAR(E1954),MONTH(E1954),1)</f>
        <v>45901</v>
      </c>
      <c r="G1954" s="23" t="n">
        <v>132526</v>
      </c>
      <c r="H1954" s="8" t="s">
        <v>64</v>
      </c>
      <c r="I1954" s="24" t="n">
        <v>43.43</v>
      </c>
      <c r="J1954" s="25" t="n">
        <f aca="false">Summary!$B$4</f>
        <v>1</v>
      </c>
      <c r="K1954" s="11" t="n">
        <f aca="false">I1954*J1954*IF(A1954="SILVER",Summary!$B$5,Summary!$B$6)</f>
        <v>4343</v>
      </c>
      <c r="L1954" s="26" t="n">
        <v>0.084</v>
      </c>
      <c r="M1954" s="27" t="n">
        <f aca="false">IF(K1954&gt;0,1,0)</f>
        <v>1</v>
      </c>
      <c r="N1954" s="11" t="n">
        <f aca="false">SUMIFS(K$2:K1954,A$2:A1954,A1954,B$2:B1954,B1954)</f>
        <v>1090424</v>
      </c>
      <c r="O1954" s="11" t="n">
        <f aca="false">MAX(0,_xlfn.MAXIFS(N$2:N1954,A$2:A1954,A1954,B$2:B1954,B1954))</f>
        <v>1090424</v>
      </c>
      <c r="P1954" s="11" t="n">
        <f aca="false">N1954-O1954</f>
        <v>0</v>
      </c>
    </row>
    <row r="1955" customFormat="false" ht="15" hidden="false" customHeight="false" outlineLevel="0" collapsed="false">
      <c r="A1955" s="8" t="s">
        <v>45</v>
      </c>
      <c r="B1955" s="8" t="s">
        <v>43</v>
      </c>
      <c r="C1955" s="8" t="s">
        <v>60</v>
      </c>
      <c r="D1955" s="21" t="n">
        <v>45926.4930555556</v>
      </c>
      <c r="E1955" s="21" t="n">
        <v>45926.7875</v>
      </c>
      <c r="F1955" s="22" t="n">
        <f aca="false">DATE(YEAR(E1955),MONTH(E1955),1)</f>
        <v>45901</v>
      </c>
      <c r="G1955" s="23" t="n">
        <v>132877</v>
      </c>
      <c r="H1955" s="8" t="s">
        <v>64</v>
      </c>
      <c r="I1955" s="24" t="n">
        <v>-8.63</v>
      </c>
      <c r="J1955" s="25" t="n">
        <f aca="false">Summary!$B$4</f>
        <v>1</v>
      </c>
      <c r="K1955" s="11" t="n">
        <f aca="false">I1955*J1955*IF(A1955="SILVER",Summary!$B$5,Summary!$B$6)</f>
        <v>-863</v>
      </c>
      <c r="L1955" s="26" t="n">
        <v>-0.016</v>
      </c>
      <c r="M1955" s="27" t="n">
        <f aca="false">IF(K1955&gt;0,1,0)</f>
        <v>0</v>
      </c>
      <c r="N1955" s="11" t="n">
        <f aca="false">SUMIFS(K$2:K1955,A$2:A1955,A1955,B$2:B1955,B1955)</f>
        <v>1089561</v>
      </c>
      <c r="O1955" s="11" t="n">
        <f aca="false">MAX(0,_xlfn.MAXIFS(N$2:N1955,A$2:A1955,A1955,B$2:B1955,B1955))</f>
        <v>1090424</v>
      </c>
      <c r="P1955" s="11" t="n">
        <f aca="false">N1955-O1955</f>
        <v>-863</v>
      </c>
    </row>
    <row r="1956" customFormat="false" ht="15" hidden="false" customHeight="false" outlineLevel="0" collapsed="false">
      <c r="A1956" s="8" t="s">
        <v>45</v>
      </c>
      <c r="B1956" s="8" t="s">
        <v>43</v>
      </c>
      <c r="C1956" s="8" t="s">
        <v>60</v>
      </c>
      <c r="D1956" s="21" t="n">
        <v>45926.8166666667</v>
      </c>
      <c r="E1956" s="21" t="n">
        <v>45926.9111111111</v>
      </c>
      <c r="F1956" s="22" t="n">
        <f aca="false">DATE(YEAR(E1956),MONTH(E1956),1)</f>
        <v>45901</v>
      </c>
      <c r="G1956" s="23" t="n">
        <v>133167</v>
      </c>
      <c r="H1956" s="8" t="s">
        <v>64</v>
      </c>
      <c r="I1956" s="24" t="n">
        <v>-42.68</v>
      </c>
      <c r="J1956" s="25" t="n">
        <f aca="false">Summary!$B$4</f>
        <v>1</v>
      </c>
      <c r="K1956" s="11" t="n">
        <f aca="false">I1956*J1956*IF(A1956="SILVER",Summary!$B$5,Summary!$B$6)</f>
        <v>-4268</v>
      </c>
      <c r="L1956" s="26" t="n">
        <v>-0.089</v>
      </c>
      <c r="M1956" s="27" t="n">
        <f aca="false">IF(K1956&gt;0,1,0)</f>
        <v>0</v>
      </c>
      <c r="N1956" s="11" t="n">
        <f aca="false">SUMIFS(K$2:K1956,A$2:A1956,A1956,B$2:B1956,B1956)</f>
        <v>1085293</v>
      </c>
      <c r="O1956" s="11" t="n">
        <f aca="false">MAX(0,_xlfn.MAXIFS(N$2:N1956,A$2:A1956,A1956,B$2:B1956,B1956))</f>
        <v>1090424</v>
      </c>
      <c r="P1956" s="11" t="n">
        <f aca="false">N1956-O1956</f>
        <v>-5131</v>
      </c>
    </row>
    <row r="1957" customFormat="false" ht="15" hidden="false" customHeight="false" outlineLevel="0" collapsed="false">
      <c r="A1957" s="8" t="s">
        <v>45</v>
      </c>
      <c r="B1957" s="8" t="s">
        <v>43</v>
      </c>
      <c r="C1957" s="8" t="s">
        <v>60</v>
      </c>
      <c r="D1957" s="21" t="n">
        <v>45929.3784722222</v>
      </c>
      <c r="E1957" s="21" t="n">
        <v>45930.5715277778</v>
      </c>
      <c r="F1957" s="22" t="n">
        <f aca="false">DATE(YEAR(E1957),MONTH(E1957),1)</f>
        <v>45901</v>
      </c>
      <c r="G1957" s="23" t="n">
        <v>134334</v>
      </c>
      <c r="H1957" s="8" t="s">
        <v>61</v>
      </c>
      <c r="I1957" s="24" t="n">
        <v>1322.95</v>
      </c>
      <c r="J1957" s="25" t="n">
        <f aca="false">Summary!$B$4</f>
        <v>1</v>
      </c>
      <c r="K1957" s="11" t="n">
        <f aca="false">I1957*J1957*IF(A1957="SILVER",Summary!$B$5,Summary!$B$6)</f>
        <v>132295</v>
      </c>
      <c r="L1957" s="26" t="n">
        <v>1.6</v>
      </c>
      <c r="M1957" s="27" t="n">
        <f aca="false">IF(K1957&gt;0,1,0)</f>
        <v>1</v>
      </c>
      <c r="N1957" s="11" t="n">
        <f aca="false">SUMIFS(K$2:K1957,A$2:A1957,A1957,B$2:B1957,B1957)</f>
        <v>1217588</v>
      </c>
      <c r="O1957" s="11" t="n">
        <f aca="false">MAX(0,_xlfn.MAXIFS(N$2:N1957,A$2:A1957,A1957,B$2:B1957,B1957))</f>
        <v>1217588</v>
      </c>
      <c r="P1957" s="11" t="n">
        <f aca="false">N1957-O1957</f>
        <v>0</v>
      </c>
    </row>
    <row r="1958" customFormat="false" ht="15" hidden="false" customHeight="false" outlineLevel="0" collapsed="false">
      <c r="A1958" s="8" t="s">
        <v>45</v>
      </c>
      <c r="B1958" s="8" t="s">
        <v>43</v>
      </c>
      <c r="C1958" s="8" t="s">
        <v>60</v>
      </c>
      <c r="D1958" s="21" t="n">
        <v>45930.95625</v>
      </c>
      <c r="E1958" s="21" t="n">
        <v>45933.4131944445</v>
      </c>
      <c r="F1958" s="22" t="n">
        <f aca="false">DATE(YEAR(E1958),MONTH(E1958),1)</f>
        <v>45931</v>
      </c>
      <c r="G1958" s="23" t="n">
        <v>136275</v>
      </c>
      <c r="H1958" s="8" t="s">
        <v>64</v>
      </c>
      <c r="I1958" s="24" t="n">
        <v>47.72</v>
      </c>
      <c r="J1958" s="25" t="n">
        <f aca="false">Summary!$B$4</f>
        <v>1</v>
      </c>
      <c r="K1958" s="11" t="n">
        <f aca="false">I1958*J1958*IF(A1958="SILVER",Summary!$B$5,Summary!$B$6)</f>
        <v>4772</v>
      </c>
      <c r="L1958" s="26" t="n">
        <v>0.029</v>
      </c>
      <c r="M1958" s="27" t="n">
        <f aca="false">IF(K1958&gt;0,1,0)</f>
        <v>1</v>
      </c>
      <c r="N1958" s="11" t="n">
        <f aca="false">SUMIFS(K$2:K1958,A$2:A1958,A1958,B$2:B1958,B1958)</f>
        <v>1222360</v>
      </c>
      <c r="O1958" s="11" t="n">
        <f aca="false">MAX(0,_xlfn.MAXIFS(N$2:N1958,A$2:A1958,A1958,B$2:B1958,B1958))</f>
        <v>1222360</v>
      </c>
      <c r="P1958" s="11" t="n">
        <f aca="false">N1958-O1958</f>
        <v>0</v>
      </c>
    </row>
    <row r="1959" customFormat="false" ht="15" hidden="false" customHeight="false" outlineLevel="0" collapsed="false">
      <c r="A1959" s="8" t="s">
        <v>45</v>
      </c>
      <c r="B1959" s="8" t="s">
        <v>43</v>
      </c>
      <c r="C1959" s="8" t="s">
        <v>60</v>
      </c>
      <c r="D1959" s="21" t="n">
        <v>45933.9027777778</v>
      </c>
      <c r="E1959" s="21" t="n">
        <v>45937.5104166667</v>
      </c>
      <c r="F1959" s="22" t="n">
        <f aca="false">DATE(YEAR(E1959),MONTH(E1959),1)</f>
        <v>45931</v>
      </c>
      <c r="G1959" s="23" t="n">
        <v>137277</v>
      </c>
      <c r="H1959" s="8" t="s">
        <v>61</v>
      </c>
      <c r="I1959" s="24" t="n">
        <v>1355.15</v>
      </c>
      <c r="J1959" s="25" t="n">
        <f aca="false">Summary!$B$4</f>
        <v>1</v>
      </c>
      <c r="K1959" s="11" t="n">
        <f aca="false">I1959*J1959*IF(A1959="SILVER",Summary!$B$5,Summary!$B$6)</f>
        <v>135515</v>
      </c>
      <c r="L1959" s="26" t="n">
        <v>0.866</v>
      </c>
      <c r="M1959" s="27" t="n">
        <f aca="false">IF(K1959&gt;0,1,0)</f>
        <v>1</v>
      </c>
      <c r="N1959" s="11" t="n">
        <f aca="false">SUMIFS(K$2:K1959,A$2:A1959,A1959,B$2:B1959,B1959)</f>
        <v>1357875</v>
      </c>
      <c r="O1959" s="11" t="n">
        <f aca="false">MAX(0,_xlfn.MAXIFS(N$2:N1959,A$2:A1959,A1959,B$2:B1959,B1959))</f>
        <v>1357875</v>
      </c>
      <c r="P1959" s="11" t="n">
        <f aca="false">N1959-O1959</f>
        <v>0</v>
      </c>
    </row>
    <row r="1960" customFormat="false" ht="15" hidden="false" customHeight="false" outlineLevel="0" collapsed="false">
      <c r="A1960" s="8" t="s">
        <v>45</v>
      </c>
      <c r="B1960" s="8" t="s">
        <v>43</v>
      </c>
      <c r="C1960" s="8" t="s">
        <v>60</v>
      </c>
      <c r="D1960" s="21" t="n">
        <v>45937.6840277778</v>
      </c>
      <c r="E1960" s="21" t="n">
        <v>45937.7444444444</v>
      </c>
      <c r="F1960" s="22" t="n">
        <f aca="false">DATE(YEAR(E1960),MONTH(E1960),1)</f>
        <v>45931</v>
      </c>
      <c r="G1960" s="23" t="n">
        <v>138865</v>
      </c>
      <c r="H1960" s="8" t="s">
        <v>64</v>
      </c>
      <c r="I1960" s="24" t="n">
        <v>45.71</v>
      </c>
      <c r="J1960" s="25" t="n">
        <f aca="false">Summary!$B$4</f>
        <v>1</v>
      </c>
      <c r="K1960" s="11" t="n">
        <f aca="false">I1960*J1960*IF(A1960="SILVER",Summary!$B$5,Summary!$B$6)</f>
        <v>4571</v>
      </c>
      <c r="L1960" s="26" t="n">
        <v>0.086</v>
      </c>
      <c r="M1960" s="27" t="n">
        <f aca="false">IF(K1960&gt;0,1,0)</f>
        <v>1</v>
      </c>
      <c r="N1960" s="11" t="n">
        <f aca="false">SUMIFS(K$2:K1960,A$2:A1960,A1960,B$2:B1960,B1960)</f>
        <v>1362446</v>
      </c>
      <c r="O1960" s="11" t="n">
        <f aca="false">MAX(0,_xlfn.MAXIFS(N$2:N1960,A$2:A1960,A1960,B$2:B1960,B1960))</f>
        <v>1362446</v>
      </c>
      <c r="P1960" s="11" t="n">
        <f aca="false">N1960-O1960</f>
        <v>0</v>
      </c>
    </row>
    <row r="1961" customFormat="false" ht="15" hidden="false" customHeight="false" outlineLevel="0" collapsed="false">
      <c r="A1961" s="8" t="s">
        <v>45</v>
      </c>
      <c r="B1961" s="8" t="s">
        <v>43</v>
      </c>
      <c r="C1961" s="8" t="s">
        <v>60</v>
      </c>
      <c r="D1961" s="21" t="n">
        <v>45937.7673611111</v>
      </c>
      <c r="E1961" s="21" t="n">
        <v>45937.7819444445</v>
      </c>
      <c r="F1961" s="22" t="n">
        <f aca="false">DATE(YEAR(E1961),MONTH(E1961),1)</f>
        <v>45931</v>
      </c>
      <c r="G1961" s="23" t="n">
        <v>139240</v>
      </c>
      <c r="H1961" s="8" t="s">
        <v>64</v>
      </c>
      <c r="I1961" s="24" t="n">
        <v>49.92</v>
      </c>
      <c r="J1961" s="25" t="n">
        <f aca="false">Summary!$B$4</f>
        <v>1</v>
      </c>
      <c r="K1961" s="11" t="n">
        <f aca="false">I1961*J1961*IF(A1961="SILVER",Summary!$B$5,Summary!$B$6)</f>
        <v>4992</v>
      </c>
      <c r="L1961" s="26" t="n">
        <v>0.089</v>
      </c>
      <c r="M1961" s="27" t="n">
        <f aca="false">IF(K1961&gt;0,1,0)</f>
        <v>1</v>
      </c>
      <c r="N1961" s="11" t="n">
        <f aca="false">SUMIFS(K$2:K1961,A$2:A1961,A1961,B$2:B1961,B1961)</f>
        <v>1367438</v>
      </c>
      <c r="O1961" s="11" t="n">
        <f aca="false">MAX(0,_xlfn.MAXIFS(N$2:N1961,A$2:A1961,A1961,B$2:B1961,B1961))</f>
        <v>1367438</v>
      </c>
      <c r="P1961" s="11" t="n">
        <f aca="false">N1961-O1961</f>
        <v>0</v>
      </c>
    </row>
    <row r="1962" customFormat="false" ht="15" hidden="false" customHeight="false" outlineLevel="0" collapsed="false">
      <c r="A1962" s="8" t="s">
        <v>45</v>
      </c>
      <c r="B1962" s="8" t="s">
        <v>43</v>
      </c>
      <c r="C1962" s="8" t="s">
        <v>60</v>
      </c>
      <c r="D1962" s="21" t="n">
        <v>45937.8680555556</v>
      </c>
      <c r="E1962" s="21" t="n">
        <v>45939.3784722222</v>
      </c>
      <c r="F1962" s="22" t="n">
        <f aca="false">DATE(YEAR(E1962),MONTH(E1962),1)</f>
        <v>45931</v>
      </c>
      <c r="G1962" s="23" t="n">
        <v>139554</v>
      </c>
      <c r="H1962" s="8" t="s">
        <v>61</v>
      </c>
      <c r="I1962" s="24" t="n">
        <v>1369.61</v>
      </c>
      <c r="J1962" s="25" t="n">
        <f aca="false">Summary!$B$4</f>
        <v>1</v>
      </c>
      <c r="K1962" s="11" t="n">
        <f aca="false">I1962*J1962*IF(A1962="SILVER",Summary!$B$5,Summary!$B$6)</f>
        <v>136961</v>
      </c>
      <c r="L1962" s="26" t="n">
        <v>1.972</v>
      </c>
      <c r="M1962" s="27" t="n">
        <f aca="false">IF(K1962&gt;0,1,0)</f>
        <v>1</v>
      </c>
      <c r="N1962" s="11" t="n">
        <f aca="false">SUMIFS(K$2:K1962,A$2:A1962,A1962,B$2:B1962,B1962)</f>
        <v>1504399</v>
      </c>
      <c r="O1962" s="11" t="n">
        <f aca="false">MAX(0,_xlfn.MAXIFS(N$2:N1962,A$2:A1962,A1962,B$2:B1962,B1962))</f>
        <v>1504399</v>
      </c>
      <c r="P1962" s="11" t="n">
        <f aca="false">N1962-O1962</f>
        <v>0</v>
      </c>
    </row>
    <row r="1963" customFormat="false" ht="15" hidden="false" customHeight="false" outlineLevel="0" collapsed="false">
      <c r="A1963" s="8" t="s">
        <v>45</v>
      </c>
      <c r="B1963" s="8" t="s">
        <v>43</v>
      </c>
      <c r="C1963" s="8" t="s">
        <v>60</v>
      </c>
      <c r="D1963" s="21" t="n">
        <v>45939.7673611111</v>
      </c>
      <c r="E1963" s="21" t="n">
        <v>45939.78125</v>
      </c>
      <c r="F1963" s="22" t="n">
        <f aca="false">DATE(YEAR(E1963),MONTH(E1963),1)</f>
        <v>45931</v>
      </c>
      <c r="G1963" s="23" t="n">
        <v>141731</v>
      </c>
      <c r="H1963" s="8" t="s">
        <v>64</v>
      </c>
      <c r="I1963" s="24" t="n">
        <v>43.56</v>
      </c>
      <c r="J1963" s="25" t="n">
        <f aca="false">Summary!$B$4</f>
        <v>1</v>
      </c>
      <c r="K1963" s="11" t="n">
        <f aca="false">I1963*J1963*IF(A1963="SILVER",Summary!$B$5,Summary!$B$6)</f>
        <v>4356</v>
      </c>
      <c r="L1963" s="26" t="n">
        <v>0.083</v>
      </c>
      <c r="M1963" s="27" t="n">
        <f aca="false">IF(K1963&gt;0,1,0)</f>
        <v>1</v>
      </c>
      <c r="N1963" s="11" t="n">
        <f aca="false">SUMIFS(K$2:K1963,A$2:A1963,A1963,B$2:B1963,B1963)</f>
        <v>1508755</v>
      </c>
      <c r="O1963" s="11" t="n">
        <f aca="false">MAX(0,_xlfn.MAXIFS(N$2:N1963,A$2:A1963,A1963,B$2:B1963,B1963))</f>
        <v>1508755</v>
      </c>
      <c r="P1963" s="11" t="n">
        <f aca="false">N1963-O1963</f>
        <v>0</v>
      </c>
    </row>
    <row r="1964" customFormat="false" ht="15" hidden="false" customHeight="false" outlineLevel="0" collapsed="false">
      <c r="A1964" s="8" t="s">
        <v>45</v>
      </c>
      <c r="B1964" s="8" t="s">
        <v>43</v>
      </c>
      <c r="C1964" s="8" t="s">
        <v>60</v>
      </c>
      <c r="D1964" s="21" t="n">
        <v>45943.4583333333</v>
      </c>
      <c r="E1964" s="21" t="n">
        <v>45943.7541666667</v>
      </c>
      <c r="F1964" s="22" t="n">
        <f aca="false">DATE(YEAR(E1964),MONTH(E1964),1)</f>
        <v>45931</v>
      </c>
      <c r="G1964" s="23" t="n">
        <v>142065</v>
      </c>
      <c r="H1964" s="8" t="s">
        <v>64</v>
      </c>
      <c r="I1964" s="24" t="n">
        <v>105.41</v>
      </c>
      <c r="J1964" s="25" t="n">
        <f aca="false">Summary!$B$4</f>
        <v>1</v>
      </c>
      <c r="K1964" s="11" t="n">
        <f aca="false">I1964*J1964*IF(A1964="SILVER",Summary!$B$5,Summary!$B$6)</f>
        <v>10541</v>
      </c>
      <c r="L1964" s="26" t="n">
        <v>0.113</v>
      </c>
      <c r="M1964" s="27" t="n">
        <f aca="false">IF(K1964&gt;0,1,0)</f>
        <v>1</v>
      </c>
      <c r="N1964" s="11" t="n">
        <f aca="false">SUMIFS(K$2:K1964,A$2:A1964,A1964,B$2:B1964,B1964)</f>
        <v>1519296</v>
      </c>
      <c r="O1964" s="11" t="n">
        <f aca="false">MAX(0,_xlfn.MAXIFS(N$2:N1964,A$2:A1964,A1964,B$2:B1964,B1964))</f>
        <v>1519296</v>
      </c>
      <c r="P1964" s="11" t="n">
        <f aca="false">N1964-O1964</f>
        <v>0</v>
      </c>
    </row>
    <row r="1965" customFormat="false" ht="15" hidden="false" customHeight="false" outlineLevel="0" collapsed="false">
      <c r="A1965" s="8" t="s">
        <v>45</v>
      </c>
      <c r="B1965" s="8" t="s">
        <v>43</v>
      </c>
      <c r="C1965" s="8" t="s">
        <v>60</v>
      </c>
      <c r="D1965" s="21" t="n">
        <v>45943.78125</v>
      </c>
      <c r="E1965" s="21" t="n">
        <v>45944.46875</v>
      </c>
      <c r="F1965" s="22" t="n">
        <f aca="false">DATE(YEAR(E1965),MONTH(E1965),1)</f>
        <v>45931</v>
      </c>
      <c r="G1965" s="23" t="n">
        <v>142419</v>
      </c>
      <c r="H1965" s="8" t="s">
        <v>61</v>
      </c>
      <c r="I1965" s="24" t="n">
        <v>986.08</v>
      </c>
      <c r="J1965" s="25" t="n">
        <f aca="false">Summary!$B$4</f>
        <v>1</v>
      </c>
      <c r="K1965" s="11" t="n">
        <f aca="false">I1965*J1965*IF(A1965="SILVER",Summary!$B$5,Summary!$B$6)</f>
        <v>98608</v>
      </c>
      <c r="L1965" s="26" t="n">
        <v>1.934</v>
      </c>
      <c r="M1965" s="27" t="n">
        <f aca="false">IF(K1965&gt;0,1,0)</f>
        <v>1</v>
      </c>
      <c r="N1965" s="11" t="n">
        <f aca="false">SUMIFS(K$2:K1965,A$2:A1965,A1965,B$2:B1965,B1965)</f>
        <v>1617904</v>
      </c>
      <c r="O1965" s="11" t="n">
        <f aca="false">MAX(0,_xlfn.MAXIFS(N$2:N1965,A$2:A1965,A1965,B$2:B1965,B1965))</f>
        <v>1617904</v>
      </c>
      <c r="P1965" s="11" t="n">
        <f aca="false">N1965-O1965</f>
        <v>0</v>
      </c>
    </row>
    <row r="1966" customFormat="false" ht="15" hidden="false" customHeight="false" outlineLevel="0" collapsed="false">
      <c r="A1966" s="8" t="s">
        <v>45</v>
      </c>
      <c r="B1966" s="8" t="s">
        <v>43</v>
      </c>
      <c r="C1966" s="8" t="s">
        <v>60</v>
      </c>
      <c r="D1966" s="21" t="n">
        <v>45944.9305555556</v>
      </c>
      <c r="E1966" s="21" t="n">
        <v>45945.6145833333</v>
      </c>
      <c r="F1966" s="22" t="n">
        <f aca="false">DATE(YEAR(E1966),MONTH(E1966),1)</f>
        <v>45931</v>
      </c>
      <c r="G1966" s="23" t="n">
        <v>144542</v>
      </c>
      <c r="H1966" s="8" t="s">
        <v>61</v>
      </c>
      <c r="I1966" s="24" t="n">
        <v>762.68</v>
      </c>
      <c r="J1966" s="25" t="n">
        <f aca="false">Summary!$B$4</f>
        <v>1</v>
      </c>
      <c r="K1966" s="11" t="n">
        <f aca="false">I1966*J1966*IF(A1966="SILVER",Summary!$B$5,Summary!$B$6)</f>
        <v>76268</v>
      </c>
      <c r="L1966" s="26" t="n">
        <v>0.722</v>
      </c>
      <c r="M1966" s="27" t="n">
        <f aca="false">IF(K1966&gt;0,1,0)</f>
        <v>1</v>
      </c>
      <c r="N1966" s="11" t="n">
        <f aca="false">SUMIFS(K$2:K1966,A$2:A1966,A1966,B$2:B1966,B1966)</f>
        <v>1694172</v>
      </c>
      <c r="O1966" s="11" t="n">
        <f aca="false">MAX(0,_xlfn.MAXIFS(N$2:N1966,A$2:A1966,A1966,B$2:B1966,B1966))</f>
        <v>1694172</v>
      </c>
      <c r="P1966" s="11" t="n">
        <f aca="false">N1966-O1966</f>
        <v>0</v>
      </c>
    </row>
    <row r="1967" customFormat="false" ht="15" hidden="false" customHeight="false" outlineLevel="0" collapsed="false">
      <c r="A1967" s="8" t="s">
        <v>45</v>
      </c>
      <c r="B1967" s="8" t="s">
        <v>43</v>
      </c>
      <c r="C1967" s="8" t="s">
        <v>60</v>
      </c>
      <c r="D1967" s="21" t="n">
        <v>45945.8194444445</v>
      </c>
      <c r="E1967" s="21" t="n">
        <v>45946.3805555556</v>
      </c>
      <c r="F1967" s="22" t="n">
        <f aca="false">DATE(YEAR(E1967),MONTH(E1967),1)</f>
        <v>45931</v>
      </c>
      <c r="G1967" s="23" t="n">
        <v>145859</v>
      </c>
      <c r="H1967" s="8" t="s">
        <v>64</v>
      </c>
      <c r="I1967" s="24" t="n">
        <v>113.75</v>
      </c>
      <c r="J1967" s="25" t="n">
        <f aca="false">Summary!$B$4</f>
        <v>1</v>
      </c>
      <c r="K1967" s="11" t="n">
        <f aca="false">I1967*J1967*IF(A1967="SILVER",Summary!$B$5,Summary!$B$6)</f>
        <v>11375</v>
      </c>
      <c r="L1967" s="26" t="n">
        <v>0.114</v>
      </c>
      <c r="M1967" s="27" t="n">
        <f aca="false">IF(K1967&gt;0,1,0)</f>
        <v>1</v>
      </c>
      <c r="N1967" s="11" t="n">
        <f aca="false">SUMIFS(K$2:K1967,A$2:A1967,A1967,B$2:B1967,B1967)</f>
        <v>1705547</v>
      </c>
      <c r="O1967" s="11" t="n">
        <f aca="false">MAX(0,_xlfn.MAXIFS(N$2:N1967,A$2:A1967,A1967,B$2:B1967,B1967))</f>
        <v>1705547</v>
      </c>
      <c r="P1967" s="11" t="n">
        <f aca="false">N1967-O1967</f>
        <v>0</v>
      </c>
    </row>
    <row r="1968" customFormat="false" ht="15" hidden="false" customHeight="false" outlineLevel="0" collapsed="false">
      <c r="A1968" s="8" t="s">
        <v>45</v>
      </c>
      <c r="B1968" s="8" t="s">
        <v>43</v>
      </c>
      <c r="C1968" s="8" t="s">
        <v>60</v>
      </c>
      <c r="D1968" s="21" t="n">
        <v>45946.8159722222</v>
      </c>
      <c r="E1968" s="21" t="n">
        <v>45946.8395833333</v>
      </c>
      <c r="F1968" s="22" t="n">
        <f aca="false">DATE(YEAR(E1968),MONTH(E1968),1)</f>
        <v>45931</v>
      </c>
      <c r="G1968" s="23" t="n">
        <v>146908</v>
      </c>
      <c r="H1968" s="8" t="s">
        <v>64</v>
      </c>
      <c r="I1968" s="24" t="n">
        <v>80.8</v>
      </c>
      <c r="J1968" s="25" t="n">
        <f aca="false">Summary!$B$4</f>
        <v>1</v>
      </c>
      <c r="K1968" s="11" t="n">
        <f aca="false">I1968*J1968*IF(A1968="SILVER",Summary!$B$5,Summary!$B$6)</f>
        <v>8080</v>
      </c>
      <c r="L1968" s="26" t="n">
        <v>0.104</v>
      </c>
      <c r="M1968" s="27" t="n">
        <f aca="false">IF(K1968&gt;0,1,0)</f>
        <v>1</v>
      </c>
      <c r="N1968" s="11" t="n">
        <f aca="false">SUMIFS(K$2:K1968,A$2:A1968,A1968,B$2:B1968,B1968)</f>
        <v>1713627</v>
      </c>
      <c r="O1968" s="11" t="n">
        <f aca="false">MAX(0,_xlfn.MAXIFS(N$2:N1968,A$2:A1968,A1968,B$2:B1968,B1968))</f>
        <v>1713627</v>
      </c>
      <c r="P1968" s="11" t="n">
        <f aca="false">N1968-O1968</f>
        <v>0</v>
      </c>
    </row>
    <row r="1969" customFormat="false" ht="15" hidden="false" customHeight="false" outlineLevel="0" collapsed="false">
      <c r="A1969" s="8" t="s">
        <v>45</v>
      </c>
      <c r="B1969" s="8" t="s">
        <v>43</v>
      </c>
      <c r="C1969" s="8" t="s">
        <v>60</v>
      </c>
      <c r="D1969" s="21" t="n">
        <v>45946.8611111111</v>
      </c>
      <c r="E1969" s="21" t="n">
        <v>45946.9229166667</v>
      </c>
      <c r="F1969" s="22" t="n">
        <f aca="false">DATE(YEAR(E1969),MONTH(E1969),1)</f>
        <v>45931</v>
      </c>
      <c r="G1969" s="23" t="n">
        <v>147185</v>
      </c>
      <c r="H1969" s="8" t="s">
        <v>64</v>
      </c>
      <c r="I1969" s="24" t="n">
        <v>95.11</v>
      </c>
      <c r="J1969" s="25" t="n">
        <f aca="false">Summary!$B$4</f>
        <v>1</v>
      </c>
      <c r="K1969" s="11" t="n">
        <f aca="false">I1969*J1969*IF(A1969="SILVER",Summary!$B$5,Summary!$B$6)</f>
        <v>9511</v>
      </c>
      <c r="L1969" s="26" t="n">
        <v>0.109</v>
      </c>
      <c r="M1969" s="27" t="n">
        <f aca="false">IF(K1969&gt;0,1,0)</f>
        <v>1</v>
      </c>
      <c r="N1969" s="11" t="n">
        <f aca="false">SUMIFS(K$2:K1969,A$2:A1969,A1969,B$2:B1969,B1969)</f>
        <v>1723138</v>
      </c>
      <c r="O1969" s="11" t="n">
        <f aca="false">MAX(0,_xlfn.MAXIFS(N$2:N1969,A$2:A1969,A1969,B$2:B1969,B1969))</f>
        <v>1723138</v>
      </c>
      <c r="P1969" s="11" t="n">
        <f aca="false">N1969-O1969</f>
        <v>0</v>
      </c>
    </row>
    <row r="1970" customFormat="false" ht="15" hidden="false" customHeight="false" outlineLevel="0" collapsed="false">
      <c r="A1970" s="8" t="s">
        <v>45</v>
      </c>
      <c r="B1970" s="8" t="s">
        <v>43</v>
      </c>
      <c r="C1970" s="8" t="s">
        <v>60</v>
      </c>
      <c r="D1970" s="21" t="n">
        <v>45946.9513888889</v>
      </c>
      <c r="E1970" s="21" t="n">
        <v>45947.5694444445</v>
      </c>
      <c r="F1970" s="22" t="n">
        <f aca="false">DATE(YEAR(E1970),MONTH(E1970),1)</f>
        <v>45931</v>
      </c>
      <c r="G1970" s="23" t="n">
        <v>148024</v>
      </c>
      <c r="H1970" s="8" t="s">
        <v>61</v>
      </c>
      <c r="I1970" s="24" t="n">
        <v>1157.94</v>
      </c>
      <c r="J1970" s="25" t="n">
        <f aca="false">Summary!$B$4</f>
        <v>1</v>
      </c>
      <c r="K1970" s="11" t="n">
        <f aca="false">I1970*J1970*IF(A1970="SILVER",Summary!$B$5,Summary!$B$6)</f>
        <v>115794</v>
      </c>
      <c r="L1970" s="26" t="n">
        <v>1.156</v>
      </c>
      <c r="M1970" s="27" t="n">
        <f aca="false">IF(K1970&gt;0,1,0)</f>
        <v>1</v>
      </c>
      <c r="N1970" s="11" t="n">
        <f aca="false">SUMIFS(K$2:K1970,A$2:A1970,A1970,B$2:B1970,B1970)</f>
        <v>1838932</v>
      </c>
      <c r="O1970" s="11" t="n">
        <f aca="false">MAX(0,_xlfn.MAXIFS(N$2:N1970,A$2:A1970,A1970,B$2:B1970,B1970))</f>
        <v>1838932</v>
      </c>
      <c r="P1970" s="11" t="n">
        <f aca="false">N1970-O1970</f>
        <v>0</v>
      </c>
    </row>
    <row r="1971" customFormat="false" ht="15" hidden="false" customHeight="false" outlineLevel="0" collapsed="false">
      <c r="A1971" s="8" t="s">
        <v>45</v>
      </c>
      <c r="B1971" s="8" t="s">
        <v>43</v>
      </c>
      <c r="C1971" s="8" t="s">
        <v>60</v>
      </c>
      <c r="D1971" s="21" t="n">
        <v>45971.5</v>
      </c>
      <c r="E1971" s="21" t="n">
        <v>45971.5736111111</v>
      </c>
      <c r="F1971" s="22" t="n">
        <f aca="false">DATE(YEAR(E1971),MONTH(E1971),1)</f>
        <v>45962</v>
      </c>
      <c r="G1971" s="23" t="n">
        <v>141300</v>
      </c>
      <c r="H1971" s="8" t="s">
        <v>64</v>
      </c>
      <c r="I1971" s="24" t="n">
        <v>58.08</v>
      </c>
      <c r="J1971" s="25" t="n">
        <f aca="false">Summary!$B$4</f>
        <v>1</v>
      </c>
      <c r="K1971" s="11" t="n">
        <f aca="false">I1971*J1971*IF(A1971="SILVER",Summary!$B$5,Summary!$B$6)</f>
        <v>5808</v>
      </c>
      <c r="L1971" s="26" t="n">
        <v>0.094</v>
      </c>
      <c r="M1971" s="27" t="n">
        <f aca="false">IF(K1971&gt;0,1,0)</f>
        <v>1</v>
      </c>
      <c r="N1971" s="11" t="n">
        <f aca="false">SUMIFS(K$2:K1971,A$2:A1971,A1971,B$2:B1971,B1971)</f>
        <v>1844740</v>
      </c>
      <c r="O1971" s="11" t="n">
        <f aca="false">MAX(0,_xlfn.MAXIFS(N$2:N1971,A$2:A1971,A1971,B$2:B1971,B1971))</f>
        <v>1844740</v>
      </c>
      <c r="P1971" s="11" t="n">
        <f aca="false">N1971-O1971</f>
        <v>0</v>
      </c>
    </row>
    <row r="1972" customFormat="false" ht="15" hidden="false" customHeight="false" outlineLevel="0" collapsed="false">
      <c r="A1972" s="8" t="s">
        <v>45</v>
      </c>
      <c r="B1972" s="8" t="s">
        <v>43</v>
      </c>
      <c r="C1972" s="8" t="s">
        <v>60</v>
      </c>
      <c r="D1972" s="21" t="n">
        <v>45971.5902777778</v>
      </c>
      <c r="E1972" s="21" t="n">
        <v>45971.8152777778</v>
      </c>
      <c r="F1972" s="22" t="n">
        <f aca="false">DATE(YEAR(E1972),MONTH(E1972),1)</f>
        <v>45962</v>
      </c>
      <c r="G1972" s="23" t="n">
        <v>141602</v>
      </c>
      <c r="H1972" s="8" t="s">
        <v>64</v>
      </c>
      <c r="I1972" s="24" t="n">
        <v>48.7</v>
      </c>
      <c r="J1972" s="25" t="n">
        <f aca="false">Summary!$B$4</f>
        <v>1</v>
      </c>
      <c r="K1972" s="11" t="n">
        <f aca="false">I1972*J1972*IF(A1972="SILVER",Summary!$B$5,Summary!$B$6)</f>
        <v>4870</v>
      </c>
      <c r="L1972" s="26" t="n">
        <v>0.088</v>
      </c>
      <c r="M1972" s="27" t="n">
        <f aca="false">IF(K1972&gt;0,1,0)</f>
        <v>1</v>
      </c>
      <c r="N1972" s="11" t="n">
        <f aca="false">SUMIFS(K$2:K1972,A$2:A1972,A1972,B$2:B1972,B1972)</f>
        <v>1849610</v>
      </c>
      <c r="O1972" s="11" t="n">
        <f aca="false">MAX(0,_xlfn.MAXIFS(N$2:N1972,A$2:A1972,A1972,B$2:B1972,B1972))</f>
        <v>1849610</v>
      </c>
      <c r="P1972" s="11" t="n">
        <f aca="false">N1972-O1972</f>
        <v>0</v>
      </c>
    </row>
    <row r="1973" customFormat="false" ht="15" hidden="false" customHeight="false" outlineLevel="0" collapsed="false">
      <c r="A1973" s="8" t="s">
        <v>45</v>
      </c>
      <c r="B1973" s="8" t="s">
        <v>43</v>
      </c>
      <c r="C1973" s="8" t="s">
        <v>60</v>
      </c>
      <c r="D1973" s="21" t="n">
        <v>45971.9861111111</v>
      </c>
      <c r="E1973" s="21" t="n">
        <v>45972.8368055556</v>
      </c>
      <c r="F1973" s="22" t="n">
        <f aca="false">DATE(YEAR(E1973),MONTH(E1973),1)</f>
        <v>45962</v>
      </c>
      <c r="G1973" s="23" t="n">
        <v>142220</v>
      </c>
      <c r="H1973" s="8" t="s">
        <v>61</v>
      </c>
      <c r="I1973" s="24" t="n">
        <v>345.18</v>
      </c>
      <c r="J1973" s="25" t="n">
        <f aca="false">Summary!$B$4</f>
        <v>1</v>
      </c>
      <c r="K1973" s="11" t="n">
        <f aca="false">I1973*J1973*IF(A1973="SILVER",Summary!$B$5,Summary!$B$6)</f>
        <v>34518</v>
      </c>
      <c r="L1973" s="26" t="n">
        <v>0.673</v>
      </c>
      <c r="M1973" s="27" t="n">
        <f aca="false">IF(K1973&gt;0,1,0)</f>
        <v>1</v>
      </c>
      <c r="N1973" s="11" t="n">
        <f aca="false">SUMIFS(K$2:K1973,A$2:A1973,A1973,B$2:B1973,B1973)</f>
        <v>1884128</v>
      </c>
      <c r="O1973" s="11" t="n">
        <f aca="false">MAX(0,_xlfn.MAXIFS(N$2:N1973,A$2:A1973,A1973,B$2:B1973,B1973))</f>
        <v>1884128</v>
      </c>
      <c r="P1973" s="11" t="n">
        <f aca="false">N1973-O1973</f>
        <v>0</v>
      </c>
    </row>
    <row r="1974" customFormat="false" ht="15" hidden="false" customHeight="false" outlineLevel="0" collapsed="false">
      <c r="A1974" s="8" t="s">
        <v>45</v>
      </c>
      <c r="B1974" s="8" t="s">
        <v>43</v>
      </c>
      <c r="C1974" s="8" t="s">
        <v>60</v>
      </c>
      <c r="D1974" s="21" t="n">
        <v>45973.5798611111</v>
      </c>
      <c r="E1974" s="21" t="n">
        <v>45973.7645833333</v>
      </c>
      <c r="F1974" s="22" t="n">
        <f aca="false">DATE(YEAR(E1974),MONTH(E1974),1)</f>
        <v>45962</v>
      </c>
      <c r="G1974" s="23" t="n">
        <v>142818</v>
      </c>
      <c r="H1974" s="8" t="s">
        <v>64</v>
      </c>
      <c r="I1974" s="24" t="n">
        <v>71.1</v>
      </c>
      <c r="J1974" s="25" t="n">
        <f aca="false">Summary!$B$4</f>
        <v>1</v>
      </c>
      <c r="K1974" s="11" t="n">
        <f aca="false">I1974*J1974*IF(A1974="SILVER",Summary!$B$5,Summary!$B$6)</f>
        <v>7110</v>
      </c>
      <c r="L1974" s="26" t="n">
        <v>0.095</v>
      </c>
      <c r="M1974" s="27" t="n">
        <f aca="false">IF(K1974&gt;0,1,0)</f>
        <v>1</v>
      </c>
      <c r="N1974" s="11" t="n">
        <f aca="false">SUMIFS(K$2:K1974,A$2:A1974,A1974,B$2:B1974,B1974)</f>
        <v>1891238</v>
      </c>
      <c r="O1974" s="11" t="n">
        <f aca="false">MAX(0,_xlfn.MAXIFS(N$2:N1974,A$2:A1974,A1974,B$2:B1974,B1974))</f>
        <v>1891238</v>
      </c>
      <c r="P1974" s="11" t="n">
        <f aca="false">N1974-O1974</f>
        <v>0</v>
      </c>
    </row>
    <row r="1975" customFormat="false" ht="15" hidden="false" customHeight="false" outlineLevel="0" collapsed="false">
      <c r="A1975" s="8" t="s">
        <v>45</v>
      </c>
      <c r="B1975" s="8" t="s">
        <v>43</v>
      </c>
      <c r="C1975" s="8" t="s">
        <v>60</v>
      </c>
      <c r="D1975" s="21" t="n">
        <v>45973.8506944445</v>
      </c>
      <c r="E1975" s="21" t="n">
        <v>45974.8194444445</v>
      </c>
      <c r="F1975" s="22" t="n">
        <f aca="false">DATE(YEAR(E1975),MONTH(E1975),1)</f>
        <v>45962</v>
      </c>
      <c r="G1975" s="23" t="n">
        <v>143125</v>
      </c>
      <c r="H1975" s="8" t="s">
        <v>61</v>
      </c>
      <c r="I1975" s="24" t="n">
        <v>2250.82</v>
      </c>
      <c r="J1975" s="25" t="n">
        <f aca="false">Summary!$B$4</f>
        <v>1</v>
      </c>
      <c r="K1975" s="11" t="n">
        <f aca="false">I1975*J1975*IF(A1975="SILVER",Summary!$B$5,Summary!$B$6)</f>
        <v>225082</v>
      </c>
      <c r="L1975" s="26" t="n">
        <v>4.204</v>
      </c>
      <c r="M1975" s="27" t="n">
        <f aca="false">IF(K1975&gt;0,1,0)</f>
        <v>1</v>
      </c>
      <c r="N1975" s="11" t="n">
        <f aca="false">SUMIFS(K$2:K1975,A$2:A1975,A1975,B$2:B1975,B1975)</f>
        <v>2116320</v>
      </c>
      <c r="O1975" s="11" t="n">
        <f aca="false">MAX(0,_xlfn.MAXIFS(N$2:N1975,A$2:A1975,A1975,B$2:B1975,B1975))</f>
        <v>2116320</v>
      </c>
      <c r="P1975" s="11" t="n">
        <f aca="false">N1975-O1975</f>
        <v>0</v>
      </c>
    </row>
    <row r="1976" customFormat="false" ht="15" hidden="false" customHeight="false" outlineLevel="0" collapsed="false">
      <c r="A1976" s="8" t="s">
        <v>45</v>
      </c>
      <c r="B1976" s="8" t="s">
        <v>43</v>
      </c>
      <c r="C1976" s="8" t="s">
        <v>60</v>
      </c>
      <c r="D1976" s="21" t="n">
        <v>45986.4548611111</v>
      </c>
      <c r="E1976" s="21" t="n">
        <v>45986.5972222222</v>
      </c>
      <c r="F1976" s="22" t="n">
        <f aca="false">DATE(YEAR(E1976),MONTH(E1976),1)</f>
        <v>45962</v>
      </c>
      <c r="G1976" s="23" t="n">
        <v>143645</v>
      </c>
      <c r="H1976" s="8" t="s">
        <v>61</v>
      </c>
      <c r="I1976" s="24" t="n">
        <v>-540.01</v>
      </c>
      <c r="J1976" s="25" t="n">
        <f aca="false">Summary!$B$4</f>
        <v>1</v>
      </c>
      <c r="K1976" s="11" t="n">
        <f aca="false">I1976*J1976*IF(A1976="SILVER",Summary!$B$5,Summary!$B$6)</f>
        <v>-54001</v>
      </c>
      <c r="L1976" s="26" t="n">
        <v>-0.796</v>
      </c>
      <c r="M1976" s="27" t="n">
        <f aca="false">IF(K1976&gt;0,1,0)</f>
        <v>0</v>
      </c>
      <c r="N1976" s="11" t="n">
        <f aca="false">SUMIFS(K$2:K1976,A$2:A1976,A1976,B$2:B1976,B1976)</f>
        <v>2062319</v>
      </c>
      <c r="O1976" s="11" t="n">
        <f aca="false">MAX(0,_xlfn.MAXIFS(N$2:N1976,A$2:A1976,A1976,B$2:B1976,B1976))</f>
        <v>2116320</v>
      </c>
      <c r="P1976" s="11" t="n">
        <f aca="false">N1976-O1976</f>
        <v>-54001</v>
      </c>
    </row>
    <row r="1977" customFormat="false" ht="15" hidden="false" customHeight="false" outlineLevel="0" collapsed="false">
      <c r="A1977" s="8" t="s">
        <v>45</v>
      </c>
      <c r="B1977" s="8" t="s">
        <v>43</v>
      </c>
      <c r="C1977" s="8" t="s">
        <v>60</v>
      </c>
      <c r="D1977" s="21" t="n">
        <v>45986.9444444445</v>
      </c>
      <c r="E1977" s="21" t="n">
        <v>45987.7673611111</v>
      </c>
      <c r="F1977" s="22" t="n">
        <f aca="false">DATE(YEAR(E1977),MONTH(E1977),1)</f>
        <v>45962</v>
      </c>
      <c r="G1977" s="23" t="n">
        <v>143635</v>
      </c>
      <c r="H1977" s="8" t="s">
        <v>61</v>
      </c>
      <c r="I1977" s="24" t="n">
        <v>349.89</v>
      </c>
      <c r="J1977" s="25" t="n">
        <f aca="false">Summary!$B$4</f>
        <v>1</v>
      </c>
      <c r="K1977" s="11" t="n">
        <f aca="false">I1977*J1977*IF(A1977="SILVER",Summary!$B$5,Summary!$B$6)</f>
        <v>34989</v>
      </c>
      <c r="L1977" s="26" t="n">
        <v>0.437</v>
      </c>
      <c r="M1977" s="27" t="n">
        <f aca="false">IF(K1977&gt;0,1,0)</f>
        <v>1</v>
      </c>
      <c r="N1977" s="11" t="n">
        <f aca="false">SUMIFS(K$2:K1977,A$2:A1977,A1977,B$2:B1977,B1977)</f>
        <v>2097308</v>
      </c>
      <c r="O1977" s="11" t="n">
        <f aca="false">MAX(0,_xlfn.MAXIFS(N$2:N1977,A$2:A1977,A1977,B$2:B1977,B1977))</f>
        <v>2116320</v>
      </c>
      <c r="P1977" s="11" t="n">
        <f aca="false">N1977-O1977</f>
        <v>-19012</v>
      </c>
    </row>
    <row r="1978" customFormat="false" ht="15" hidden="false" customHeight="false" outlineLevel="0" collapsed="false">
      <c r="A1978" s="8" t="s">
        <v>45</v>
      </c>
      <c r="B1978" s="8" t="s">
        <v>43</v>
      </c>
      <c r="C1978" s="8" t="s">
        <v>60</v>
      </c>
      <c r="D1978" s="21" t="n">
        <v>45988.5729166667</v>
      </c>
      <c r="E1978" s="21" t="n">
        <v>45988.6180555556</v>
      </c>
      <c r="F1978" s="22" t="n">
        <f aca="false">DATE(YEAR(E1978),MONTH(E1978),1)</f>
        <v>45962</v>
      </c>
      <c r="G1978" s="23" t="n">
        <v>144120</v>
      </c>
      <c r="H1978" s="8" t="s">
        <v>61</v>
      </c>
      <c r="I1978" s="24" t="n">
        <v>-345.13</v>
      </c>
      <c r="J1978" s="25" t="n">
        <f aca="false">Summary!$B$4</f>
        <v>1</v>
      </c>
      <c r="K1978" s="11" t="n">
        <f aca="false">I1978*J1978*IF(A1978="SILVER",Summary!$B$5,Summary!$B$6)</f>
        <v>-34513</v>
      </c>
      <c r="L1978" s="26" t="n">
        <v>-0.849</v>
      </c>
      <c r="M1978" s="27" t="n">
        <f aca="false">IF(K1978&gt;0,1,0)</f>
        <v>0</v>
      </c>
      <c r="N1978" s="11" t="n">
        <f aca="false">SUMIFS(K$2:K1978,A$2:A1978,A1978,B$2:B1978,B1978)</f>
        <v>2062795</v>
      </c>
      <c r="O1978" s="11" t="n">
        <f aca="false">MAX(0,_xlfn.MAXIFS(N$2:N1978,A$2:A1978,A1978,B$2:B1978,B1978))</f>
        <v>2116320</v>
      </c>
      <c r="P1978" s="11" t="n">
        <f aca="false">N1978-O1978</f>
        <v>-53525</v>
      </c>
    </row>
    <row r="1979" customFormat="false" ht="15" hidden="false" customHeight="false" outlineLevel="0" collapsed="false">
      <c r="A1979" s="8" t="s">
        <v>45</v>
      </c>
      <c r="B1979" s="8" t="s">
        <v>43</v>
      </c>
      <c r="C1979" s="8" t="s">
        <v>60</v>
      </c>
      <c r="D1979" s="21" t="n">
        <v>45989.3784722222</v>
      </c>
      <c r="E1979" s="21" t="n">
        <v>45989.4194444444</v>
      </c>
      <c r="F1979" s="22" t="n">
        <f aca="false">DATE(YEAR(E1979),MONTH(E1979),1)</f>
        <v>45962</v>
      </c>
      <c r="G1979" s="23" t="n">
        <v>144319</v>
      </c>
      <c r="H1979" s="8" t="s">
        <v>64</v>
      </c>
      <c r="I1979" s="24" t="n">
        <v>25.79</v>
      </c>
      <c r="J1979" s="25" t="n">
        <f aca="false">Summary!$B$4</f>
        <v>1</v>
      </c>
      <c r="K1979" s="11" t="n">
        <f aca="false">I1979*J1979*IF(A1979="SILVER",Summary!$B$5,Summary!$B$6)</f>
        <v>2579</v>
      </c>
      <c r="L1979" s="26" t="n">
        <v>0.054</v>
      </c>
      <c r="M1979" s="27" t="n">
        <f aca="false">IF(K1979&gt;0,1,0)</f>
        <v>1</v>
      </c>
      <c r="N1979" s="11" t="n">
        <f aca="false">SUMIFS(K$2:K1979,A$2:A1979,A1979,B$2:B1979,B1979)</f>
        <v>2065374</v>
      </c>
      <c r="O1979" s="11" t="n">
        <f aca="false">MAX(0,_xlfn.MAXIFS(N$2:N1979,A$2:A1979,A1979,B$2:B1979,B1979))</f>
        <v>2116320</v>
      </c>
      <c r="P1979" s="11" t="n">
        <f aca="false">N1979-O1979</f>
        <v>-50946</v>
      </c>
    </row>
    <row r="1980" customFormat="false" ht="15" hidden="false" customHeight="false" outlineLevel="0" collapsed="false">
      <c r="A1980" s="8" t="s">
        <v>45</v>
      </c>
      <c r="B1980" s="8" t="s">
        <v>43</v>
      </c>
      <c r="C1980" s="8" t="s">
        <v>60</v>
      </c>
      <c r="D1980" s="21" t="n">
        <v>45989.8229166667</v>
      </c>
      <c r="E1980" s="21" t="n">
        <v>45989.8305555556</v>
      </c>
      <c r="F1980" s="22" t="n">
        <f aca="false">DATE(YEAR(E1980),MONTH(E1980),1)</f>
        <v>45962</v>
      </c>
      <c r="G1980" s="23" t="n">
        <v>144498</v>
      </c>
      <c r="H1980" s="8" t="s">
        <v>64</v>
      </c>
      <c r="I1980" s="24" t="n">
        <v>37.86</v>
      </c>
      <c r="J1980" s="25" t="n">
        <f aca="false">Summary!$B$4</f>
        <v>1</v>
      </c>
      <c r="K1980" s="11" t="n">
        <f aca="false">I1980*J1980*IF(A1980="SILVER",Summary!$B$5,Summary!$B$6)</f>
        <v>3786</v>
      </c>
      <c r="L1980" s="26" t="n">
        <v>0.078</v>
      </c>
      <c r="M1980" s="27" t="n">
        <f aca="false">IF(K1980&gt;0,1,0)</f>
        <v>1</v>
      </c>
      <c r="N1980" s="11" t="n">
        <f aca="false">SUMIFS(K$2:K1980,A$2:A1980,A1980,B$2:B1980,B1980)</f>
        <v>2069160</v>
      </c>
      <c r="O1980" s="11" t="n">
        <f aca="false">MAX(0,_xlfn.MAXIFS(N$2:N1980,A$2:A1980,A1980,B$2:B1980,B1980))</f>
        <v>2116320</v>
      </c>
      <c r="P1980" s="11" t="n">
        <f aca="false">N1980-O1980</f>
        <v>-47160</v>
      </c>
    </row>
    <row r="1981" customFormat="false" ht="15" hidden="false" customHeight="false" outlineLevel="0" collapsed="false">
      <c r="A1981" s="8" t="s">
        <v>45</v>
      </c>
      <c r="B1981" s="8" t="s">
        <v>43</v>
      </c>
      <c r="C1981" s="8" t="s">
        <v>60</v>
      </c>
      <c r="D1981" s="21" t="n">
        <v>45989.8402777778</v>
      </c>
      <c r="E1981" s="21" t="n">
        <v>45989.9236111111</v>
      </c>
      <c r="F1981" s="22" t="n">
        <f aca="false">DATE(YEAR(E1981),MONTH(E1981),1)</f>
        <v>45962</v>
      </c>
      <c r="G1981" s="23" t="n">
        <v>144749</v>
      </c>
      <c r="H1981" s="8" t="s">
        <v>64</v>
      </c>
      <c r="I1981" s="24" t="n">
        <v>35.69</v>
      </c>
      <c r="J1981" s="25" t="n">
        <f aca="false">Summary!$B$4</f>
        <v>1</v>
      </c>
      <c r="K1981" s="11" t="n">
        <f aca="false">I1981*J1981*IF(A1981="SILVER",Summary!$B$5,Summary!$B$6)</f>
        <v>3569</v>
      </c>
      <c r="L1981" s="26" t="n">
        <v>0.063</v>
      </c>
      <c r="M1981" s="27" t="n">
        <f aca="false">IF(K1981&gt;0,1,0)</f>
        <v>1</v>
      </c>
      <c r="N1981" s="11" t="n">
        <f aca="false">SUMIFS(K$2:K1981,A$2:A1981,A1981,B$2:B1981,B1981)</f>
        <v>2072729</v>
      </c>
      <c r="O1981" s="11" t="n">
        <f aca="false">MAX(0,_xlfn.MAXIFS(N$2:N1981,A$2:A1981,A1981,B$2:B1981,B1981))</f>
        <v>2116320</v>
      </c>
      <c r="P1981" s="11" t="n">
        <f aca="false">N1981-O1981</f>
        <v>-43591</v>
      </c>
    </row>
    <row r="1982" customFormat="false" ht="15" hidden="false" customHeight="false" outlineLevel="0" collapsed="false">
      <c r="A1982" s="8" t="s">
        <v>45</v>
      </c>
      <c r="B1982" s="8" t="s">
        <v>43</v>
      </c>
      <c r="C1982" s="8" t="s">
        <v>60</v>
      </c>
      <c r="D1982" s="21" t="n">
        <v>45989.9756944445</v>
      </c>
      <c r="E1982" s="21" t="n">
        <v>45992.8368055556</v>
      </c>
      <c r="F1982" s="22" t="n">
        <f aca="false">DATE(YEAR(E1982),MONTH(E1982),1)</f>
        <v>45992</v>
      </c>
      <c r="G1982" s="23" t="n">
        <v>145169</v>
      </c>
      <c r="H1982" s="8" t="s">
        <v>61</v>
      </c>
      <c r="I1982" s="24" t="n">
        <v>765.55</v>
      </c>
      <c r="J1982" s="25" t="n">
        <f aca="false">Summary!$B$4</f>
        <v>1</v>
      </c>
      <c r="K1982" s="11" t="n">
        <f aca="false">I1982*J1982*IF(A1982="SILVER",Summary!$B$5,Summary!$B$6)</f>
        <v>76555</v>
      </c>
      <c r="L1982" s="26" t="n">
        <v>1.262</v>
      </c>
      <c r="M1982" s="27" t="n">
        <f aca="false">IF(K1982&gt;0,1,0)</f>
        <v>1</v>
      </c>
      <c r="N1982" s="11" t="n">
        <f aca="false">SUMIFS(K$2:K1982,A$2:A1982,A1982,B$2:B1982,B1982)</f>
        <v>2149284</v>
      </c>
      <c r="O1982" s="11" t="n">
        <f aca="false">MAX(0,_xlfn.MAXIFS(N$2:N1982,A$2:A1982,A1982,B$2:B1982,B1982))</f>
        <v>2149284</v>
      </c>
      <c r="P1982" s="11" t="n">
        <f aca="false">N1982-O1982</f>
        <v>0</v>
      </c>
    </row>
    <row r="1983" customFormat="false" ht="15" hidden="false" customHeight="false" outlineLevel="0" collapsed="false">
      <c r="A1983" s="8" t="s">
        <v>45</v>
      </c>
      <c r="B1983" s="8" t="s">
        <v>43</v>
      </c>
      <c r="C1983" s="8" t="s">
        <v>60</v>
      </c>
      <c r="D1983" s="21" t="n">
        <v>45993.4909722222</v>
      </c>
      <c r="E1983" s="21" t="n">
        <v>45993.4972222222</v>
      </c>
      <c r="F1983" s="22" t="n">
        <f aca="false">DATE(YEAR(E1983),MONTH(E1983),1)</f>
        <v>45992</v>
      </c>
      <c r="G1983" s="23" t="n">
        <v>146089</v>
      </c>
      <c r="H1983" s="8" t="s">
        <v>61</v>
      </c>
      <c r="I1983" s="24" t="n">
        <v>-604.51</v>
      </c>
      <c r="J1983" s="25" t="n">
        <f aca="false">Summary!$B$4</f>
        <v>1</v>
      </c>
      <c r="K1983" s="11" t="n">
        <f aca="false">I1983*J1983*IF(A1983="SILVER",Summary!$B$5,Summary!$B$6)</f>
        <v>-60451</v>
      </c>
      <c r="L1983" s="26" t="n">
        <v>-1.355</v>
      </c>
      <c r="M1983" s="27" t="n">
        <f aca="false">IF(K1983&gt;0,1,0)</f>
        <v>0</v>
      </c>
      <c r="N1983" s="11" t="n">
        <f aca="false">SUMIFS(K$2:K1983,A$2:A1983,A1983,B$2:B1983,B1983)</f>
        <v>2088833</v>
      </c>
      <c r="O1983" s="11" t="n">
        <f aca="false">MAX(0,_xlfn.MAXIFS(N$2:N1983,A$2:A1983,A1983,B$2:B1983,B1983))</f>
        <v>2149284</v>
      </c>
      <c r="P1983" s="11" t="n">
        <f aca="false">N1983-O1983</f>
        <v>-60451</v>
      </c>
    </row>
    <row r="1984" customFormat="false" ht="15" hidden="false" customHeight="false" outlineLevel="0" collapsed="false">
      <c r="A1984" s="8" t="s">
        <v>45</v>
      </c>
      <c r="B1984" s="8" t="s">
        <v>43</v>
      </c>
      <c r="C1984" s="8" t="s">
        <v>60</v>
      </c>
      <c r="D1984" s="21" t="n">
        <v>45993.7770833333</v>
      </c>
      <c r="E1984" s="21" t="n">
        <v>45993.8666666667</v>
      </c>
      <c r="F1984" s="22" t="n">
        <f aca="false">DATE(YEAR(E1984),MONTH(E1984),1)</f>
        <v>45992</v>
      </c>
      <c r="G1984" s="23" t="n">
        <v>145772</v>
      </c>
      <c r="H1984" s="8" t="s">
        <v>64</v>
      </c>
      <c r="I1984" s="24" t="n">
        <v>-167.48</v>
      </c>
      <c r="J1984" s="25" t="n">
        <f aca="false">Summary!$B$4</f>
        <v>1</v>
      </c>
      <c r="K1984" s="11" t="n">
        <f aca="false">I1984*J1984*IF(A1984="SILVER",Summary!$B$5,Summary!$B$6)</f>
        <v>-16748</v>
      </c>
      <c r="L1984" s="26" t="n">
        <v>-0.242</v>
      </c>
      <c r="M1984" s="27" t="n">
        <f aca="false">IF(K1984&gt;0,1,0)</f>
        <v>0</v>
      </c>
      <c r="N1984" s="11" t="n">
        <f aca="false">SUMIFS(K$2:K1984,A$2:A1984,A1984,B$2:B1984,B1984)</f>
        <v>2072085</v>
      </c>
      <c r="O1984" s="11" t="n">
        <f aca="false">MAX(0,_xlfn.MAXIFS(N$2:N1984,A$2:A1984,A1984,B$2:B1984,B1984))</f>
        <v>2149284</v>
      </c>
      <c r="P1984" s="11" t="n">
        <f aca="false">N1984-O1984</f>
        <v>-77199</v>
      </c>
    </row>
    <row r="1985" customFormat="false" ht="15" hidden="false" customHeight="false" outlineLevel="0" collapsed="false">
      <c r="A1985" s="8" t="s">
        <v>45</v>
      </c>
      <c r="B1985" s="8" t="s">
        <v>43</v>
      </c>
      <c r="C1985" s="8" t="s">
        <v>60</v>
      </c>
      <c r="D1985" s="21" t="n">
        <v>45994.3888888889</v>
      </c>
      <c r="E1985" s="21" t="n">
        <v>45995.6090277778</v>
      </c>
      <c r="F1985" s="22" t="n">
        <f aca="false">DATE(YEAR(E1985),MONTH(E1985),1)</f>
        <v>45992</v>
      </c>
      <c r="G1985" s="23" t="n">
        <v>146331</v>
      </c>
      <c r="H1985" s="8" t="s">
        <v>61</v>
      </c>
      <c r="I1985" s="24" t="n">
        <v>-759.54</v>
      </c>
      <c r="J1985" s="25" t="n">
        <f aca="false">Summary!$B$4</f>
        <v>1</v>
      </c>
      <c r="K1985" s="11" t="n">
        <f aca="false">I1985*J1985*IF(A1985="SILVER",Summary!$B$5,Summary!$B$6)</f>
        <v>-75954</v>
      </c>
      <c r="L1985" s="26" t="n">
        <v>-0.59</v>
      </c>
      <c r="M1985" s="27" t="n">
        <f aca="false">IF(K1985&gt;0,1,0)</f>
        <v>0</v>
      </c>
      <c r="N1985" s="11" t="n">
        <f aca="false">SUMIFS(K$2:K1985,A$2:A1985,A1985,B$2:B1985,B1985)</f>
        <v>1996131</v>
      </c>
      <c r="O1985" s="11" t="n">
        <f aca="false">MAX(0,_xlfn.MAXIFS(N$2:N1985,A$2:A1985,A1985,B$2:B1985,B1985))</f>
        <v>2149284</v>
      </c>
      <c r="P1985" s="11" t="n">
        <f aca="false">N1985-O1985</f>
        <v>-153153</v>
      </c>
    </row>
    <row r="1986" customFormat="false" ht="15" hidden="false" customHeight="false" outlineLevel="0" collapsed="false">
      <c r="A1986" s="8" t="s">
        <v>45</v>
      </c>
      <c r="B1986" s="8" t="s">
        <v>43</v>
      </c>
      <c r="C1986" s="8" t="s">
        <v>60</v>
      </c>
      <c r="D1986" s="21" t="n">
        <v>45996.5847222222</v>
      </c>
      <c r="E1986" s="21" t="n">
        <v>45999.7916666667</v>
      </c>
      <c r="F1986" s="22" t="n">
        <f aca="false">DATE(YEAR(E1986),MONTH(E1986),1)</f>
        <v>45992</v>
      </c>
      <c r="G1986" s="23" t="n">
        <v>146595</v>
      </c>
      <c r="H1986" s="8" t="s">
        <v>61</v>
      </c>
      <c r="I1986" s="24" t="n">
        <v>462.13</v>
      </c>
      <c r="J1986" s="25" t="n">
        <f aca="false">Summary!$B$4</f>
        <v>1</v>
      </c>
      <c r="K1986" s="11" t="n">
        <f aca="false">I1986*J1986*IF(A1986="SILVER",Summary!$B$5,Summary!$B$6)</f>
        <v>46213</v>
      </c>
      <c r="L1986" s="26" t="n">
        <v>0.328</v>
      </c>
      <c r="M1986" s="27" t="n">
        <f aca="false">IF(K1986&gt;0,1,0)</f>
        <v>1</v>
      </c>
      <c r="N1986" s="11" t="n">
        <f aca="false">SUMIFS(K$2:K1986,A$2:A1986,A1986,B$2:B1986,B1986)</f>
        <v>2042344</v>
      </c>
      <c r="O1986" s="11" t="n">
        <f aca="false">MAX(0,_xlfn.MAXIFS(N$2:N1986,A$2:A1986,A1986,B$2:B1986,B1986))</f>
        <v>2149284</v>
      </c>
      <c r="P1986" s="11" t="n">
        <f aca="false">N1986-O1986</f>
        <v>-106940</v>
      </c>
    </row>
    <row r="1987" customFormat="false" ht="15" hidden="false" customHeight="false" outlineLevel="0" collapsed="false">
      <c r="A1987" s="8" t="s">
        <v>45</v>
      </c>
      <c r="B1987" s="8" t="s">
        <v>43</v>
      </c>
      <c r="C1987" s="8" t="s">
        <v>60</v>
      </c>
      <c r="D1987" s="21" t="n">
        <v>46000.6076388889</v>
      </c>
      <c r="E1987" s="21" t="n">
        <v>46000.6277777778</v>
      </c>
      <c r="F1987" s="22" t="n">
        <f aca="false">DATE(YEAR(E1987),MONTH(E1987),1)</f>
        <v>45992</v>
      </c>
      <c r="G1987" s="23" t="n">
        <v>146830</v>
      </c>
      <c r="H1987" s="8" t="s">
        <v>64</v>
      </c>
      <c r="I1987" s="24" t="n">
        <v>61.74</v>
      </c>
      <c r="J1987" s="25" t="n">
        <f aca="false">Summary!$B$4</f>
        <v>1</v>
      </c>
      <c r="K1987" s="11" t="n">
        <f aca="false">I1987*J1987*IF(A1987="SILVER",Summary!$B$5,Summary!$B$6)</f>
        <v>6174</v>
      </c>
      <c r="L1987" s="26" t="n">
        <v>0.095</v>
      </c>
      <c r="M1987" s="27" t="n">
        <f aca="false">IF(K1987&gt;0,1,0)</f>
        <v>1</v>
      </c>
      <c r="N1987" s="11" t="n">
        <f aca="false">SUMIFS(K$2:K1987,A$2:A1987,A1987,B$2:B1987,B1987)</f>
        <v>2048518</v>
      </c>
      <c r="O1987" s="11" t="n">
        <f aca="false">MAX(0,_xlfn.MAXIFS(N$2:N1987,A$2:A1987,A1987,B$2:B1987,B1987))</f>
        <v>2149284</v>
      </c>
      <c r="P1987" s="11" t="n">
        <f aca="false">N1987-O1987</f>
        <v>-100766</v>
      </c>
    </row>
    <row r="1988" customFormat="false" ht="15" hidden="false" customHeight="false" outlineLevel="0" collapsed="false">
      <c r="A1988" s="8" t="s">
        <v>45</v>
      </c>
      <c r="B1988" s="8" t="s">
        <v>43</v>
      </c>
      <c r="C1988" s="8" t="s">
        <v>60</v>
      </c>
      <c r="D1988" s="21" t="n">
        <v>46000.8958333333</v>
      </c>
      <c r="E1988" s="21" t="n">
        <v>46001.6458333333</v>
      </c>
      <c r="F1988" s="22" t="n">
        <f aca="false">DATE(YEAR(E1988),MONTH(E1988),1)</f>
        <v>45992</v>
      </c>
      <c r="G1988" s="23" t="n">
        <v>147220</v>
      </c>
      <c r="H1988" s="8" t="s">
        <v>61</v>
      </c>
      <c r="I1988" s="24" t="n">
        <v>-505.01</v>
      </c>
      <c r="J1988" s="25" t="n">
        <f aca="false">Summary!$B$4</f>
        <v>1</v>
      </c>
      <c r="K1988" s="11" t="n">
        <f aca="false">I1988*J1988*IF(A1988="SILVER",Summary!$B$5,Summary!$B$6)</f>
        <v>-50501</v>
      </c>
      <c r="L1988" s="26" t="n">
        <v>-0.584</v>
      </c>
      <c r="M1988" s="27" t="n">
        <f aca="false">IF(K1988&gt;0,1,0)</f>
        <v>0</v>
      </c>
      <c r="N1988" s="11" t="n">
        <f aca="false">SUMIFS(K$2:K1988,A$2:A1988,A1988,B$2:B1988,B1988)</f>
        <v>1998017</v>
      </c>
      <c r="O1988" s="11" t="n">
        <f aca="false">MAX(0,_xlfn.MAXIFS(N$2:N1988,A$2:A1988,A1988,B$2:B1988,B1988))</f>
        <v>2149284</v>
      </c>
      <c r="P1988" s="11" t="n">
        <f aca="false">N1988-O1988</f>
        <v>-151267</v>
      </c>
    </row>
    <row r="1989" customFormat="false" ht="15" hidden="false" customHeight="false" outlineLevel="0" collapsed="false">
      <c r="A1989" s="8" t="s">
        <v>45</v>
      </c>
      <c r="B1989" s="8" t="s">
        <v>43</v>
      </c>
      <c r="C1989" s="8" t="s">
        <v>60</v>
      </c>
      <c r="D1989" s="21" t="n">
        <v>46002.3784722222</v>
      </c>
      <c r="E1989" s="21" t="n">
        <v>46002.4097222222</v>
      </c>
      <c r="F1989" s="22" t="n">
        <f aca="false">DATE(YEAR(E1989),MONTH(E1989),1)</f>
        <v>45992</v>
      </c>
      <c r="G1989" s="23" t="n">
        <v>147286</v>
      </c>
      <c r="H1989" s="8" t="s">
        <v>64</v>
      </c>
      <c r="I1989" s="24" t="n">
        <v>69.51</v>
      </c>
      <c r="J1989" s="25" t="n">
        <f aca="false">Summary!$B$4</f>
        <v>1</v>
      </c>
      <c r="K1989" s="11" t="n">
        <f aca="false">I1989*J1989*IF(A1989="SILVER",Summary!$B$5,Summary!$B$6)</f>
        <v>6951</v>
      </c>
      <c r="L1989" s="26" t="n">
        <v>0.099</v>
      </c>
      <c r="M1989" s="27" t="n">
        <f aca="false">IF(K1989&gt;0,1,0)</f>
        <v>1</v>
      </c>
      <c r="N1989" s="11" t="n">
        <f aca="false">SUMIFS(K$2:K1989,A$2:A1989,A1989,B$2:B1989,B1989)</f>
        <v>2004968</v>
      </c>
      <c r="O1989" s="11" t="n">
        <f aca="false">MAX(0,_xlfn.MAXIFS(N$2:N1989,A$2:A1989,A1989,B$2:B1989,B1989))</f>
        <v>2149284</v>
      </c>
      <c r="P1989" s="11" t="n">
        <f aca="false">N1989-O1989</f>
        <v>-144316</v>
      </c>
    </row>
    <row r="1990" customFormat="false" ht="15" hidden="false" customHeight="false" outlineLevel="0" collapsed="false">
      <c r="A1990" s="8" t="s">
        <v>45</v>
      </c>
      <c r="B1990" s="8" t="s">
        <v>43</v>
      </c>
      <c r="C1990" s="8" t="s">
        <v>60</v>
      </c>
      <c r="D1990" s="21" t="n">
        <v>46002.4416666667</v>
      </c>
      <c r="E1990" s="21" t="n">
        <v>46002.6118055556</v>
      </c>
      <c r="F1990" s="22" t="n">
        <f aca="false">DATE(YEAR(E1990),MONTH(E1990),1)</f>
        <v>45992</v>
      </c>
      <c r="G1990" s="23" t="n">
        <v>147503</v>
      </c>
      <c r="H1990" s="8" t="s">
        <v>64</v>
      </c>
      <c r="I1990" s="24" t="n">
        <v>48.04</v>
      </c>
      <c r="J1990" s="25" t="n">
        <f aca="false">Summary!$B$4</f>
        <v>1</v>
      </c>
      <c r="K1990" s="11" t="n">
        <f aca="false">I1990*J1990*IF(A1990="SILVER",Summary!$B$5,Summary!$B$6)</f>
        <v>4804</v>
      </c>
      <c r="L1990" s="26" t="n">
        <v>0.086</v>
      </c>
      <c r="M1990" s="27" t="n">
        <f aca="false">IF(K1990&gt;0,1,0)</f>
        <v>1</v>
      </c>
      <c r="N1990" s="11" t="n">
        <f aca="false">SUMIFS(K$2:K1990,A$2:A1990,A1990,B$2:B1990,B1990)</f>
        <v>2009772</v>
      </c>
      <c r="O1990" s="11" t="n">
        <f aca="false">MAX(0,_xlfn.MAXIFS(N$2:N1990,A$2:A1990,A1990,B$2:B1990,B1990))</f>
        <v>2149284</v>
      </c>
      <c r="P1990" s="11" t="n">
        <f aca="false">N1990-O1990</f>
        <v>-139512</v>
      </c>
    </row>
    <row r="1991" customFormat="false" ht="15" hidden="false" customHeight="false" outlineLevel="0" collapsed="false">
      <c r="A1991" s="8" t="s">
        <v>45</v>
      </c>
      <c r="B1991" s="8" t="s">
        <v>43</v>
      </c>
      <c r="C1991" s="8" t="s">
        <v>60</v>
      </c>
      <c r="D1991" s="21" t="n">
        <v>46002.8368055556</v>
      </c>
      <c r="E1991" s="21" t="n">
        <v>46002.8458333333</v>
      </c>
      <c r="F1991" s="22" t="n">
        <f aca="false">DATE(YEAR(E1991),MONTH(E1991),1)</f>
        <v>45992</v>
      </c>
      <c r="G1991" s="23" t="n">
        <v>148041</v>
      </c>
      <c r="H1991" s="8" t="s">
        <v>64</v>
      </c>
      <c r="I1991" s="24" t="n">
        <v>51.92</v>
      </c>
      <c r="J1991" s="25" t="n">
        <f aca="false">Summary!$B$4</f>
        <v>1</v>
      </c>
      <c r="K1991" s="11" t="n">
        <f aca="false">I1991*J1991*IF(A1991="SILVER",Summary!$B$5,Summary!$B$6)</f>
        <v>5192</v>
      </c>
      <c r="L1991" s="26" t="n">
        <v>0.088</v>
      </c>
      <c r="M1991" s="27" t="n">
        <f aca="false">IF(K1991&gt;0,1,0)</f>
        <v>1</v>
      </c>
      <c r="N1991" s="11" t="n">
        <f aca="false">SUMIFS(K$2:K1991,A$2:A1991,A1991,B$2:B1991,B1991)</f>
        <v>2014964</v>
      </c>
      <c r="O1991" s="11" t="n">
        <f aca="false">MAX(0,_xlfn.MAXIFS(N$2:N1991,A$2:A1991,A1991,B$2:B1991,B1991))</f>
        <v>2149284</v>
      </c>
      <c r="P1991" s="11" t="n">
        <f aca="false">N1991-O1991</f>
        <v>-134320</v>
      </c>
    </row>
    <row r="1992" customFormat="false" ht="15" hidden="false" customHeight="false" outlineLevel="0" collapsed="false">
      <c r="A1992" s="8" t="s">
        <v>45</v>
      </c>
      <c r="B1992" s="8" t="s">
        <v>43</v>
      </c>
      <c r="C1992" s="8" t="s">
        <v>60</v>
      </c>
      <c r="D1992" s="21" t="n">
        <v>46002.8784722222</v>
      </c>
      <c r="E1992" s="21" t="n">
        <v>46003.8715277778</v>
      </c>
      <c r="F1992" s="22" t="n">
        <f aca="false">DATE(YEAR(E1992),MONTH(E1992),1)</f>
        <v>45992</v>
      </c>
      <c r="G1992" s="23" t="n">
        <v>148321</v>
      </c>
      <c r="H1992" s="8" t="s">
        <v>61</v>
      </c>
      <c r="I1992" s="24" t="n">
        <v>2343.48</v>
      </c>
      <c r="J1992" s="25" t="n">
        <f aca="false">Summary!$B$4</f>
        <v>1</v>
      </c>
      <c r="K1992" s="11" t="n">
        <f aca="false">I1992*J1992*IF(A1992="SILVER",Summary!$B$5,Summary!$B$6)</f>
        <v>234348</v>
      </c>
      <c r="L1992" s="26" t="n">
        <v>2.969</v>
      </c>
      <c r="M1992" s="27" t="n">
        <f aca="false">IF(K1992&gt;0,1,0)</f>
        <v>1</v>
      </c>
      <c r="N1992" s="11" t="n">
        <f aca="false">SUMIFS(K$2:K1992,A$2:A1992,A1992,B$2:B1992,B1992)</f>
        <v>2249312</v>
      </c>
      <c r="O1992" s="11" t="n">
        <f aca="false">MAX(0,_xlfn.MAXIFS(N$2:N1992,A$2:A1992,A1992,B$2:B1992,B1992))</f>
        <v>2249312</v>
      </c>
      <c r="P1992" s="11" t="n">
        <f aca="false">N1992-O1992</f>
        <v>0</v>
      </c>
    </row>
    <row r="1993" customFormat="false" ht="15" hidden="false" customHeight="false" outlineLevel="0" collapsed="false">
      <c r="A1993" s="8" t="s">
        <v>45</v>
      </c>
      <c r="B1993" s="8" t="s">
        <v>43</v>
      </c>
      <c r="C1993" s="8" t="s">
        <v>60</v>
      </c>
      <c r="D1993" s="21" t="n">
        <v>46006.3784722222</v>
      </c>
      <c r="E1993" s="21" t="n">
        <v>46006.8194444445</v>
      </c>
      <c r="F1993" s="22" t="n">
        <f aca="false">DATE(YEAR(E1993),MONTH(E1993),1)</f>
        <v>45992</v>
      </c>
      <c r="G1993" s="23" t="n">
        <v>151521</v>
      </c>
      <c r="H1993" s="8" t="s">
        <v>61</v>
      </c>
      <c r="I1993" s="24" t="n">
        <v>293.05</v>
      </c>
      <c r="J1993" s="25" t="n">
        <f aca="false">Summary!$B$4</f>
        <v>1</v>
      </c>
      <c r="K1993" s="11" t="n">
        <f aca="false">I1993*J1993*IF(A1993="SILVER",Summary!$B$5,Summary!$B$6)</f>
        <v>29305</v>
      </c>
      <c r="L1993" s="26" t="n">
        <v>0.157</v>
      </c>
      <c r="M1993" s="27" t="n">
        <f aca="false">IF(K1993&gt;0,1,0)</f>
        <v>1</v>
      </c>
      <c r="N1993" s="11" t="n">
        <f aca="false">SUMIFS(K$2:K1993,A$2:A1993,A1993,B$2:B1993,B1993)</f>
        <v>2278617</v>
      </c>
      <c r="O1993" s="11" t="n">
        <f aca="false">MAX(0,_xlfn.MAXIFS(N$2:N1993,A$2:A1993,A1993,B$2:B1993,B1993))</f>
        <v>2278617</v>
      </c>
      <c r="P1993" s="11" t="n">
        <f aca="false">N1993-O1993</f>
        <v>0</v>
      </c>
    </row>
    <row r="1994" customFormat="false" ht="15" hidden="false" customHeight="false" outlineLevel="0" collapsed="false">
      <c r="A1994" s="8" t="s">
        <v>45</v>
      </c>
      <c r="B1994" s="8" t="s">
        <v>43</v>
      </c>
      <c r="C1994" s="8" t="s">
        <v>60</v>
      </c>
      <c r="D1994" s="21" t="n">
        <v>46007.7430555556</v>
      </c>
      <c r="E1994" s="21" t="n">
        <v>46007.9201388889</v>
      </c>
      <c r="F1994" s="22" t="n">
        <f aca="false">DATE(YEAR(E1994),MONTH(E1994),1)</f>
        <v>45992</v>
      </c>
      <c r="G1994" s="23" t="n">
        <v>151020</v>
      </c>
      <c r="H1994" s="8" t="s">
        <v>61</v>
      </c>
      <c r="I1994" s="24" t="n">
        <v>244.15</v>
      </c>
      <c r="J1994" s="25" t="n">
        <f aca="false">Summary!$B$4</f>
        <v>1</v>
      </c>
      <c r="K1994" s="11" t="n">
        <f aca="false">I1994*J1994*IF(A1994="SILVER",Summary!$B$5,Summary!$B$6)</f>
        <v>24415</v>
      </c>
      <c r="L1994" s="26" t="n">
        <v>0.427</v>
      </c>
      <c r="M1994" s="27" t="n">
        <f aca="false">IF(K1994&gt;0,1,0)</f>
        <v>1</v>
      </c>
      <c r="N1994" s="11" t="n">
        <f aca="false">SUMIFS(K$2:K1994,A$2:A1994,A1994,B$2:B1994,B1994)</f>
        <v>2303032</v>
      </c>
      <c r="O1994" s="11" t="n">
        <f aca="false">MAX(0,_xlfn.MAXIFS(N$2:N1994,A$2:A1994,A1994,B$2:B1994,B1994))</f>
        <v>2303032</v>
      </c>
      <c r="P1994" s="11" t="n">
        <f aca="false">N1994-O1994</f>
        <v>0</v>
      </c>
    </row>
    <row r="1995" customFormat="false" ht="15" hidden="false" customHeight="false" outlineLevel="0" collapsed="false">
      <c r="A1995" s="8" t="s">
        <v>45</v>
      </c>
      <c r="B1995" s="8" t="s">
        <v>43</v>
      </c>
      <c r="C1995" s="8" t="s">
        <v>60</v>
      </c>
      <c r="D1995" s="21" t="n">
        <v>46008.3854166667</v>
      </c>
      <c r="E1995" s="21" t="n">
        <v>46008.3923611111</v>
      </c>
      <c r="F1995" s="22" t="n">
        <f aca="false">DATE(YEAR(E1995),MONTH(E1995),1)</f>
        <v>45992</v>
      </c>
      <c r="G1995" s="23" t="n">
        <v>152107</v>
      </c>
      <c r="H1995" s="8" t="s">
        <v>61</v>
      </c>
      <c r="I1995" s="24" t="n">
        <v>-1254.91</v>
      </c>
      <c r="J1995" s="25" t="n">
        <f aca="false">Summary!$B$4</f>
        <v>1</v>
      </c>
      <c r="K1995" s="11" t="n">
        <f aca="false">I1995*J1995*IF(A1995="SILVER",Summary!$B$5,Summary!$B$6)</f>
        <v>-125491</v>
      </c>
      <c r="L1995" s="26" t="n">
        <v>-1.39</v>
      </c>
      <c r="M1995" s="27" t="n">
        <f aca="false">IF(K1995&gt;0,1,0)</f>
        <v>0</v>
      </c>
      <c r="N1995" s="11" t="n">
        <f aca="false">SUMIFS(K$2:K1995,A$2:A1995,A1995,B$2:B1995,B1995)</f>
        <v>2177541</v>
      </c>
      <c r="O1995" s="11" t="n">
        <f aca="false">MAX(0,_xlfn.MAXIFS(N$2:N1995,A$2:A1995,A1995,B$2:B1995,B1995))</f>
        <v>2303032</v>
      </c>
      <c r="P1995" s="11" t="n">
        <f aca="false">N1995-O1995</f>
        <v>-125491</v>
      </c>
    </row>
    <row r="1996" customFormat="false" ht="15" hidden="false" customHeight="false" outlineLevel="0" collapsed="false">
      <c r="A1996" s="8" t="s">
        <v>45</v>
      </c>
      <c r="B1996" s="8" t="s">
        <v>43</v>
      </c>
      <c r="C1996" s="8" t="s">
        <v>60</v>
      </c>
      <c r="D1996" s="21" t="n">
        <v>46008.7951388889</v>
      </c>
      <c r="E1996" s="21" t="n">
        <v>46008.8034722222</v>
      </c>
      <c r="F1996" s="22" t="n">
        <f aca="false">DATE(YEAR(E1996),MONTH(E1996),1)</f>
        <v>45992</v>
      </c>
      <c r="G1996" s="23" t="n">
        <v>151621</v>
      </c>
      <c r="H1996" s="8" t="s">
        <v>64</v>
      </c>
      <c r="I1996" s="24" t="n">
        <v>59.99</v>
      </c>
      <c r="J1996" s="25" t="n">
        <f aca="false">Summary!$B$4</f>
        <v>1</v>
      </c>
      <c r="K1996" s="11" t="n">
        <f aca="false">I1996*J1996*IF(A1996="SILVER",Summary!$B$5,Summary!$B$6)</f>
        <v>5999</v>
      </c>
      <c r="L1996" s="26" t="n">
        <v>0.093</v>
      </c>
      <c r="M1996" s="27" t="n">
        <f aca="false">IF(K1996&gt;0,1,0)</f>
        <v>1</v>
      </c>
      <c r="N1996" s="11" t="n">
        <f aca="false">SUMIFS(K$2:K1996,A$2:A1996,A1996,B$2:B1996,B1996)</f>
        <v>2183540</v>
      </c>
      <c r="O1996" s="11" t="n">
        <f aca="false">MAX(0,_xlfn.MAXIFS(N$2:N1996,A$2:A1996,A1996,B$2:B1996,B1996))</f>
        <v>2303032</v>
      </c>
      <c r="P1996" s="11" t="n">
        <f aca="false">N1996-O1996</f>
        <v>-119492</v>
      </c>
    </row>
    <row r="1997" customFormat="false" ht="15" hidden="false" customHeight="false" outlineLevel="0" collapsed="false">
      <c r="A1997" s="8" t="s">
        <v>45</v>
      </c>
      <c r="B1997" s="8" t="s">
        <v>43</v>
      </c>
      <c r="C1997" s="8" t="s">
        <v>60</v>
      </c>
      <c r="D1997" s="21" t="n">
        <v>46008.8125</v>
      </c>
      <c r="E1997" s="21" t="n">
        <v>46009.5152777778</v>
      </c>
      <c r="F1997" s="22" t="n">
        <f aca="false">DATE(YEAR(E1997),MONTH(E1997),1)</f>
        <v>45992</v>
      </c>
      <c r="G1997" s="23" t="n">
        <v>151870</v>
      </c>
      <c r="H1997" s="8" t="s">
        <v>61</v>
      </c>
      <c r="I1997" s="24" t="n">
        <v>-702.92</v>
      </c>
      <c r="J1997" s="25" t="n">
        <f aca="false">Summary!$B$4</f>
        <v>1</v>
      </c>
      <c r="K1997" s="11" t="n">
        <f aca="false">I1997*J1997*IF(A1997="SILVER",Summary!$B$5,Summary!$B$6)</f>
        <v>-70292</v>
      </c>
      <c r="L1997" s="26" t="n">
        <v>-0.959</v>
      </c>
      <c r="M1997" s="27" t="n">
        <f aca="false">IF(K1997&gt;0,1,0)</f>
        <v>0</v>
      </c>
      <c r="N1997" s="11" t="n">
        <f aca="false">SUMIFS(K$2:K1997,A$2:A1997,A1997,B$2:B1997,B1997)</f>
        <v>2113248</v>
      </c>
      <c r="O1997" s="11" t="n">
        <f aca="false">MAX(0,_xlfn.MAXIFS(N$2:N1997,A$2:A1997,A1997,B$2:B1997,B1997))</f>
        <v>2303032</v>
      </c>
      <c r="P1997" s="11" t="n">
        <f aca="false">N1997-O1997</f>
        <v>-189784</v>
      </c>
    </row>
    <row r="1998" customFormat="false" ht="15" hidden="false" customHeight="false" outlineLevel="0" collapsed="false">
      <c r="A1998" s="8" t="s">
        <v>45</v>
      </c>
      <c r="B1998" s="8" t="s">
        <v>43</v>
      </c>
      <c r="C1998" s="8" t="s">
        <v>60</v>
      </c>
      <c r="D1998" s="21" t="n">
        <v>46009.7986111111</v>
      </c>
      <c r="E1998" s="21" t="n">
        <v>46009.8104166667</v>
      </c>
      <c r="F1998" s="22" t="n">
        <f aca="false">DATE(YEAR(E1998),MONTH(E1998),1)</f>
        <v>45992</v>
      </c>
      <c r="G1998" s="23" t="n">
        <v>151447</v>
      </c>
      <c r="H1998" s="8" t="s">
        <v>64</v>
      </c>
      <c r="I1998" s="24" t="n">
        <v>45.53</v>
      </c>
      <c r="J1998" s="25" t="n">
        <f aca="false">Summary!$B$4</f>
        <v>1</v>
      </c>
      <c r="K1998" s="11" t="n">
        <f aca="false">I1998*J1998*IF(A1998="SILVER",Summary!$B$5,Summary!$B$6)</f>
        <v>4553</v>
      </c>
      <c r="L1998" s="26" t="n">
        <v>0.083</v>
      </c>
      <c r="M1998" s="27" t="n">
        <f aca="false">IF(K1998&gt;0,1,0)</f>
        <v>1</v>
      </c>
      <c r="N1998" s="11" t="n">
        <f aca="false">SUMIFS(K$2:K1998,A$2:A1998,A1998,B$2:B1998,B1998)</f>
        <v>2117801</v>
      </c>
      <c r="O1998" s="11" t="n">
        <f aca="false">MAX(0,_xlfn.MAXIFS(N$2:N1998,A$2:A1998,A1998,B$2:B1998,B1998))</f>
        <v>2303032</v>
      </c>
      <c r="P1998" s="11" t="n">
        <f aca="false">N1998-O1998</f>
        <v>-185231</v>
      </c>
    </row>
    <row r="1999" customFormat="false" ht="15" hidden="false" customHeight="false" outlineLevel="0" collapsed="false">
      <c r="A1999" s="8" t="s">
        <v>45</v>
      </c>
      <c r="B1999" s="8" t="s">
        <v>43</v>
      </c>
      <c r="C1999" s="8" t="s">
        <v>60</v>
      </c>
      <c r="D1999" s="21" t="n">
        <v>46009.8993055556</v>
      </c>
      <c r="E1999" s="21" t="n">
        <v>46009.9416666667</v>
      </c>
      <c r="F1999" s="22" t="n">
        <f aca="false">DATE(YEAR(E1999),MONTH(E1999),1)</f>
        <v>45992</v>
      </c>
      <c r="G1999" s="23" t="n">
        <v>151588</v>
      </c>
      <c r="H1999" s="8" t="s">
        <v>64</v>
      </c>
      <c r="I1999" s="24" t="n">
        <v>97.6</v>
      </c>
      <c r="J1999" s="25" t="n">
        <f aca="false">Summary!$B$4</f>
        <v>1</v>
      </c>
      <c r="K1999" s="11" t="n">
        <f aca="false">I1999*J1999*IF(A1999="SILVER",Summary!$B$5,Summary!$B$6)</f>
        <v>9760</v>
      </c>
      <c r="L1999" s="26" t="n">
        <v>0.109</v>
      </c>
      <c r="M1999" s="27" t="n">
        <f aca="false">IF(K1999&gt;0,1,0)</f>
        <v>1</v>
      </c>
      <c r="N1999" s="11" t="n">
        <f aca="false">SUMIFS(K$2:K1999,A$2:A1999,A1999,B$2:B1999,B1999)</f>
        <v>2127561</v>
      </c>
      <c r="O1999" s="11" t="n">
        <f aca="false">MAX(0,_xlfn.MAXIFS(N$2:N1999,A$2:A1999,A1999,B$2:B1999,B1999))</f>
        <v>2303032</v>
      </c>
      <c r="P1999" s="11" t="n">
        <f aca="false">N1999-O1999</f>
        <v>-175471</v>
      </c>
    </row>
    <row r="2000" customFormat="false" ht="15" hidden="false" customHeight="false" outlineLevel="0" collapsed="false">
      <c r="A2000" s="8" t="s">
        <v>45</v>
      </c>
      <c r="B2000" s="8" t="s">
        <v>43</v>
      </c>
      <c r="C2000" s="8" t="s">
        <v>60</v>
      </c>
      <c r="D2000" s="21" t="n">
        <v>46010.8958333333</v>
      </c>
      <c r="E2000" s="21" t="n">
        <v>46014.8159722222</v>
      </c>
      <c r="F2000" s="22" t="n">
        <f aca="false">DATE(YEAR(E2000),MONTH(E2000),1)</f>
        <v>45992</v>
      </c>
      <c r="G2000" s="23" t="n">
        <v>151091</v>
      </c>
      <c r="H2000" s="8" t="s">
        <v>61</v>
      </c>
      <c r="I2000" s="24" t="n">
        <v>3618.8</v>
      </c>
      <c r="J2000" s="25" t="n">
        <f aca="false">Summary!$B$4</f>
        <v>1</v>
      </c>
      <c r="K2000" s="11" t="n">
        <f aca="false">I2000*J2000*IF(A2000="SILVER",Summary!$B$5,Summary!$B$6)</f>
        <v>361880</v>
      </c>
      <c r="L2000" s="26" t="n">
        <v>5.043</v>
      </c>
      <c r="M2000" s="27" t="n">
        <f aca="false">IF(K2000&gt;0,1,0)</f>
        <v>1</v>
      </c>
      <c r="N2000" s="11" t="n">
        <f aca="false">SUMIFS(K$2:K2000,A$2:A2000,A2000,B$2:B2000,B2000)</f>
        <v>2489441</v>
      </c>
      <c r="O2000" s="11" t="n">
        <f aca="false">MAX(0,_xlfn.MAXIFS(N$2:N2000,A$2:A2000,A2000,B$2:B2000,B2000))</f>
        <v>2489441</v>
      </c>
      <c r="P2000" s="11" t="n">
        <f aca="false">N2000-O2000</f>
        <v>0</v>
      </c>
    </row>
    <row r="2001" customFormat="false" ht="15" hidden="false" customHeight="false" outlineLevel="0" collapsed="false">
      <c r="A2001" s="8" t="s">
        <v>45</v>
      </c>
      <c r="B2001" s="8" t="s">
        <v>43</v>
      </c>
      <c r="C2001" s="8" t="s">
        <v>60</v>
      </c>
      <c r="D2001" s="21" t="n">
        <v>46014.9409722222</v>
      </c>
      <c r="E2001" s="21" t="n">
        <v>46015.3756944445</v>
      </c>
      <c r="F2001" s="22" t="n">
        <f aca="false">DATE(YEAR(E2001),MONTH(E2001),1)</f>
        <v>45992</v>
      </c>
      <c r="G2001" s="23" t="n">
        <v>154971</v>
      </c>
      <c r="H2001" s="8" t="s">
        <v>64</v>
      </c>
      <c r="I2001" s="24" t="n">
        <v>87.36</v>
      </c>
      <c r="J2001" s="25" t="n">
        <f aca="false">Summary!$B$4</f>
        <v>1</v>
      </c>
      <c r="K2001" s="11" t="n">
        <f aca="false">I2001*J2001*IF(A2001="SILVER",Summary!$B$5,Summary!$B$6)</f>
        <v>8736</v>
      </c>
      <c r="L2001" s="26" t="n">
        <v>0.075</v>
      </c>
      <c r="M2001" s="27" t="n">
        <f aca="false">IF(K2001&gt;0,1,0)</f>
        <v>1</v>
      </c>
      <c r="N2001" s="11" t="n">
        <f aca="false">SUMIFS(K$2:K2001,A$2:A2001,A2001,B$2:B2001,B2001)</f>
        <v>2498177</v>
      </c>
      <c r="O2001" s="11" t="n">
        <f aca="false">MAX(0,_xlfn.MAXIFS(N$2:N2001,A$2:A2001,A2001,B$2:B2001,B2001))</f>
        <v>2498177</v>
      </c>
      <c r="P2001" s="11" t="n">
        <f aca="false">N2001-O2001</f>
        <v>0</v>
      </c>
    </row>
    <row r="2002" customFormat="false" ht="15" hidden="false" customHeight="false" outlineLevel="0" collapsed="false">
      <c r="A2002" s="8" t="s">
        <v>45</v>
      </c>
      <c r="B2002" s="8" t="s">
        <v>43</v>
      </c>
      <c r="C2002" s="8" t="s">
        <v>60</v>
      </c>
      <c r="D2002" s="21" t="n">
        <v>46015.4236111111</v>
      </c>
      <c r="E2002" s="21" t="n">
        <v>46015.7881944445</v>
      </c>
      <c r="F2002" s="22" t="n">
        <f aca="false">DATE(YEAR(E2002),MONTH(E2002),1)</f>
        <v>45992</v>
      </c>
      <c r="G2002" s="23" t="n">
        <v>155490</v>
      </c>
      <c r="H2002" s="8" t="s">
        <v>61</v>
      </c>
      <c r="I2002" s="24" t="n">
        <v>-610.65</v>
      </c>
      <c r="J2002" s="25" t="n">
        <f aca="false">Summary!$B$4</f>
        <v>1</v>
      </c>
      <c r="K2002" s="11" t="n">
        <f aca="false">I2002*J2002*IF(A2002="SILVER",Summary!$B$5,Summary!$B$6)</f>
        <v>-61065</v>
      </c>
      <c r="L2002" s="26" t="n">
        <v>-0.733</v>
      </c>
      <c r="M2002" s="27" t="n">
        <f aca="false">IF(K2002&gt;0,1,0)</f>
        <v>0</v>
      </c>
      <c r="N2002" s="11" t="n">
        <f aca="false">SUMIFS(K$2:K2002,A$2:A2002,A2002,B$2:B2002,B2002)</f>
        <v>2437112</v>
      </c>
      <c r="O2002" s="11" t="n">
        <f aca="false">MAX(0,_xlfn.MAXIFS(N$2:N2002,A$2:A2002,A2002,B$2:B2002,B2002))</f>
        <v>2498177</v>
      </c>
      <c r="P2002" s="11" t="n">
        <f aca="false">N2002-O2002</f>
        <v>-61065</v>
      </c>
    </row>
    <row r="2003" customFormat="false" ht="15" hidden="false" customHeight="false" outlineLevel="0" collapsed="false">
      <c r="A2003" s="8" t="s">
        <v>45</v>
      </c>
      <c r="B2003" s="8" t="s">
        <v>43</v>
      </c>
      <c r="C2003" s="8" t="s">
        <v>60</v>
      </c>
      <c r="D2003" s="21" t="n">
        <v>46017.3784722222</v>
      </c>
      <c r="E2003" s="21" t="n">
        <v>46020.4965277778</v>
      </c>
      <c r="F2003" s="22" t="n">
        <f aca="false">DATE(YEAR(E2003),MONTH(E2003),1)</f>
        <v>45992</v>
      </c>
      <c r="G2003" s="23" t="n">
        <v>155746</v>
      </c>
      <c r="H2003" s="8" t="s">
        <v>61</v>
      </c>
      <c r="I2003" s="24" t="n">
        <v>577.17</v>
      </c>
      <c r="J2003" s="25" t="n">
        <f aca="false">Summary!$B$4</f>
        <v>1</v>
      </c>
      <c r="K2003" s="11" t="n">
        <f aca="false">I2003*J2003*IF(A2003="SILVER",Summary!$B$5,Summary!$B$6)</f>
        <v>57717</v>
      </c>
      <c r="L2003" s="26" t="n">
        <v>0.596</v>
      </c>
      <c r="M2003" s="27" t="n">
        <f aca="false">IF(K2003&gt;0,1,0)</f>
        <v>1</v>
      </c>
      <c r="N2003" s="11" t="n">
        <f aca="false">SUMIFS(K$2:K2003,A$2:A2003,A2003,B$2:B2003,B2003)</f>
        <v>2494829</v>
      </c>
      <c r="O2003" s="11" t="n">
        <f aca="false">MAX(0,_xlfn.MAXIFS(N$2:N2003,A$2:A2003,A2003,B$2:B2003,B2003))</f>
        <v>2498177</v>
      </c>
      <c r="P2003" s="11" t="n">
        <f aca="false">N2003-O2003</f>
        <v>-3348</v>
      </c>
    </row>
    <row r="2004" customFormat="false" ht="15" hidden="false" customHeight="false" outlineLevel="0" collapsed="false">
      <c r="A2004" s="8" t="s">
        <v>45</v>
      </c>
      <c r="B2004" s="8" t="s">
        <v>43</v>
      </c>
      <c r="C2004" s="8" t="s">
        <v>60</v>
      </c>
      <c r="D2004" s="21" t="n">
        <v>46028.8368055556</v>
      </c>
      <c r="E2004" s="21" t="n">
        <v>46028.8555555556</v>
      </c>
      <c r="F2004" s="22" t="n">
        <f aca="false">DATE(YEAR(E2004),MONTH(E2004),1)</f>
        <v>46023</v>
      </c>
      <c r="G2004" s="23" t="n">
        <v>155696</v>
      </c>
      <c r="H2004" s="8" t="s">
        <v>64</v>
      </c>
      <c r="I2004" s="24" t="n">
        <v>63.59</v>
      </c>
      <c r="J2004" s="25" t="n">
        <f aca="false">Summary!$B$4</f>
        <v>1</v>
      </c>
      <c r="K2004" s="11" t="n">
        <f aca="false">I2004*J2004*IF(A2004="SILVER",Summary!$B$5,Summary!$B$6)</f>
        <v>6359</v>
      </c>
      <c r="L2004" s="26" t="n">
        <v>0.094</v>
      </c>
      <c r="M2004" s="27" t="n">
        <f aca="false">IF(K2004&gt;0,1,0)</f>
        <v>1</v>
      </c>
      <c r="N2004" s="11" t="n">
        <f aca="false">SUMIFS(K$2:K2004,A$2:A2004,A2004,B$2:B2004,B2004)</f>
        <v>2501188</v>
      </c>
      <c r="O2004" s="11" t="n">
        <f aca="false">MAX(0,_xlfn.MAXIFS(N$2:N2004,A$2:A2004,A2004,B$2:B2004,B2004))</f>
        <v>2501188</v>
      </c>
      <c r="P2004" s="11" t="n">
        <f aca="false">N2004-O2004</f>
        <v>0</v>
      </c>
    </row>
    <row r="2005" customFormat="false" ht="15" hidden="false" customHeight="false" outlineLevel="0" collapsed="false">
      <c r="A2005" s="8" t="s">
        <v>45</v>
      </c>
      <c r="B2005" s="8" t="s">
        <v>43</v>
      </c>
      <c r="C2005" s="8" t="s">
        <v>60</v>
      </c>
      <c r="D2005" s="21" t="n">
        <v>46028.9895833333</v>
      </c>
      <c r="E2005" s="21" t="n">
        <v>46029.3958333333</v>
      </c>
      <c r="F2005" s="22" t="n">
        <f aca="false">DATE(YEAR(E2005),MONTH(E2005),1)</f>
        <v>46023</v>
      </c>
      <c r="G2005" s="23" t="n">
        <v>156031</v>
      </c>
      <c r="H2005" s="8" t="s">
        <v>61</v>
      </c>
      <c r="I2005" s="24" t="n">
        <v>-682.76</v>
      </c>
      <c r="J2005" s="25" t="n">
        <f aca="false">Summary!$B$4</f>
        <v>1</v>
      </c>
      <c r="K2005" s="11" t="n">
        <f aca="false">I2005*J2005*IF(A2005="SILVER",Summary!$B$5,Summary!$B$6)</f>
        <v>-68276</v>
      </c>
      <c r="L2005" s="26" t="n">
        <v>-1.147</v>
      </c>
      <c r="M2005" s="27" t="n">
        <f aca="false">IF(K2005&gt;0,1,0)</f>
        <v>0</v>
      </c>
      <c r="N2005" s="11" t="n">
        <f aca="false">SUMIFS(K$2:K2005,A$2:A2005,A2005,B$2:B2005,B2005)</f>
        <v>2432912</v>
      </c>
      <c r="O2005" s="11" t="n">
        <f aca="false">MAX(0,_xlfn.MAXIFS(N$2:N2005,A$2:A2005,A2005,B$2:B2005,B2005))</f>
        <v>2501188</v>
      </c>
      <c r="P2005" s="11" t="n">
        <f aca="false">N2005-O2005</f>
        <v>-68276</v>
      </c>
    </row>
    <row r="2006" customFormat="false" ht="15" hidden="false" customHeight="false" outlineLevel="0" collapsed="false">
      <c r="A2006" s="8" t="s">
        <v>45</v>
      </c>
      <c r="B2006" s="8" t="s">
        <v>43</v>
      </c>
      <c r="C2006" s="8" t="s">
        <v>60</v>
      </c>
      <c r="D2006" s="21" t="n">
        <v>46029.9201388889</v>
      </c>
      <c r="E2006" s="21" t="n">
        <v>46030.3993055556</v>
      </c>
      <c r="F2006" s="22" t="n">
        <f aca="false">DATE(YEAR(E2006),MONTH(E2006),1)</f>
        <v>46023</v>
      </c>
      <c r="G2006" s="23" t="n">
        <v>155217</v>
      </c>
      <c r="H2006" s="8" t="s">
        <v>61</v>
      </c>
      <c r="I2006" s="24" t="n">
        <v>-977.56</v>
      </c>
      <c r="J2006" s="25" t="n">
        <f aca="false">Summary!$B$4</f>
        <v>1</v>
      </c>
      <c r="K2006" s="11" t="n">
        <f aca="false">I2006*J2006*IF(A2006="SILVER",Summary!$B$5,Summary!$B$6)</f>
        <v>-97756</v>
      </c>
      <c r="L2006" s="26" t="n">
        <v>-1.041</v>
      </c>
      <c r="M2006" s="27" t="n">
        <f aca="false">IF(K2006&gt;0,1,0)</f>
        <v>0</v>
      </c>
      <c r="N2006" s="11" t="n">
        <f aca="false">SUMIFS(K$2:K2006,A$2:A2006,A2006,B$2:B2006,B2006)</f>
        <v>2335156</v>
      </c>
      <c r="O2006" s="11" t="n">
        <f aca="false">MAX(0,_xlfn.MAXIFS(N$2:N2006,A$2:A2006,A2006,B$2:B2006,B2006))</f>
        <v>2501188</v>
      </c>
      <c r="P2006" s="11" t="n">
        <f aca="false">N2006-O2006</f>
        <v>-166032</v>
      </c>
    </row>
    <row r="2007" customFormat="false" ht="15" hidden="false" customHeight="false" outlineLevel="0" collapsed="false">
      <c r="A2007" s="8" t="s">
        <v>45</v>
      </c>
      <c r="B2007" s="8" t="s">
        <v>43</v>
      </c>
      <c r="C2007" s="8" t="s">
        <v>60</v>
      </c>
      <c r="D2007" s="21" t="n">
        <v>46030.8611111111</v>
      </c>
      <c r="E2007" s="21" t="n">
        <v>46030.8673611111</v>
      </c>
      <c r="F2007" s="22" t="n">
        <f aca="false">DATE(YEAR(E2007),MONTH(E2007),1)</f>
        <v>46023</v>
      </c>
      <c r="G2007" s="23" t="n">
        <v>154221</v>
      </c>
      <c r="H2007" s="8" t="s">
        <v>64</v>
      </c>
      <c r="I2007" s="24" t="n">
        <v>75.97</v>
      </c>
      <c r="J2007" s="25" t="n">
        <f aca="false">Summary!$B$4</f>
        <v>1</v>
      </c>
      <c r="K2007" s="11" t="n">
        <f aca="false">I2007*J2007*IF(A2007="SILVER",Summary!$B$5,Summary!$B$6)</f>
        <v>7597</v>
      </c>
      <c r="L2007" s="26" t="n">
        <v>0.1</v>
      </c>
      <c r="M2007" s="27" t="n">
        <f aca="false">IF(K2007&gt;0,1,0)</f>
        <v>1</v>
      </c>
      <c r="N2007" s="11" t="n">
        <f aca="false">SUMIFS(K$2:K2007,A$2:A2007,A2007,B$2:B2007,B2007)</f>
        <v>2342753</v>
      </c>
      <c r="O2007" s="11" t="n">
        <f aca="false">MAX(0,_xlfn.MAXIFS(N$2:N2007,A$2:A2007,A2007,B$2:B2007,B2007))</f>
        <v>2501188</v>
      </c>
      <c r="P2007" s="11" t="n">
        <f aca="false">N2007-O2007</f>
        <v>-158435</v>
      </c>
    </row>
    <row r="2008" customFormat="false" ht="15" hidden="false" customHeight="false" outlineLevel="0" collapsed="false">
      <c r="A2008" s="8" t="s">
        <v>45</v>
      </c>
      <c r="B2008" s="8" t="s">
        <v>43</v>
      </c>
      <c r="C2008" s="8" t="s">
        <v>60</v>
      </c>
      <c r="D2008" s="21" t="n">
        <v>46030.8854166667</v>
      </c>
      <c r="E2008" s="21" t="n">
        <v>46031.3756944445</v>
      </c>
      <c r="F2008" s="22" t="n">
        <f aca="false">DATE(YEAR(E2008),MONTH(E2008),1)</f>
        <v>46023</v>
      </c>
      <c r="G2008" s="23" t="n">
        <v>154621</v>
      </c>
      <c r="H2008" s="8" t="s">
        <v>64</v>
      </c>
      <c r="I2008" s="24" t="n">
        <v>56.45</v>
      </c>
      <c r="J2008" s="25" t="n">
        <f aca="false">Summary!$B$4</f>
        <v>1</v>
      </c>
      <c r="K2008" s="11" t="n">
        <f aca="false">I2008*J2008*IF(A2008="SILVER",Summary!$B$5,Summary!$B$6)</f>
        <v>5645</v>
      </c>
      <c r="L2008" s="26" t="n">
        <v>0.059</v>
      </c>
      <c r="M2008" s="27" t="n">
        <f aca="false">IF(K2008&gt;0,1,0)</f>
        <v>1</v>
      </c>
      <c r="N2008" s="11" t="n">
        <f aca="false">SUMIFS(K$2:K2008,A$2:A2008,A2008,B$2:B2008,B2008)</f>
        <v>2348398</v>
      </c>
      <c r="O2008" s="11" t="n">
        <f aca="false">MAX(0,_xlfn.MAXIFS(N$2:N2008,A$2:A2008,A2008,B$2:B2008,B2008))</f>
        <v>2501188</v>
      </c>
      <c r="P2008" s="11" t="n">
        <f aca="false">N2008-O2008</f>
        <v>-152790</v>
      </c>
    </row>
    <row r="2009" customFormat="false" ht="15" hidden="false" customHeight="false" outlineLevel="0" collapsed="false">
      <c r="A2009" s="8" t="s">
        <v>45</v>
      </c>
      <c r="B2009" s="8" t="s">
        <v>43</v>
      </c>
      <c r="C2009" s="8" t="s">
        <v>60</v>
      </c>
      <c r="D2009" s="21" t="n">
        <v>46031.3819444445</v>
      </c>
      <c r="E2009" s="21" t="n">
        <v>46031.4680555556</v>
      </c>
      <c r="F2009" s="22" t="n">
        <f aca="false">DATE(YEAR(E2009),MONTH(E2009),1)</f>
        <v>46023</v>
      </c>
      <c r="G2009" s="23" t="n">
        <v>154976</v>
      </c>
      <c r="H2009" s="8" t="s">
        <v>64</v>
      </c>
      <c r="I2009" s="24" t="n">
        <v>78.38</v>
      </c>
      <c r="J2009" s="25" t="n">
        <f aca="false">Summary!$B$4</f>
        <v>1</v>
      </c>
      <c r="K2009" s="11" t="n">
        <f aca="false">I2009*J2009*IF(A2009="SILVER",Summary!$B$5,Summary!$B$6)</f>
        <v>7838</v>
      </c>
      <c r="L2009" s="26" t="n">
        <v>0.094</v>
      </c>
      <c r="M2009" s="27" t="n">
        <f aca="false">IF(K2009&gt;0,1,0)</f>
        <v>1</v>
      </c>
      <c r="N2009" s="11" t="n">
        <f aca="false">SUMIFS(K$2:K2009,A$2:A2009,A2009,B$2:B2009,B2009)</f>
        <v>2356236</v>
      </c>
      <c r="O2009" s="11" t="n">
        <f aca="false">MAX(0,_xlfn.MAXIFS(N$2:N2009,A$2:A2009,A2009,B$2:B2009,B2009))</f>
        <v>2501188</v>
      </c>
      <c r="P2009" s="11" t="n">
        <f aca="false">N2009-O2009</f>
        <v>-144952</v>
      </c>
    </row>
    <row r="2010" customFormat="false" ht="15" hidden="false" customHeight="false" outlineLevel="0" collapsed="false">
      <c r="A2010" s="8" t="s">
        <v>45</v>
      </c>
      <c r="B2010" s="8" t="s">
        <v>43</v>
      </c>
      <c r="C2010" s="8" t="s">
        <v>60</v>
      </c>
      <c r="D2010" s="21" t="n">
        <v>46031.4826388889</v>
      </c>
      <c r="E2010" s="21" t="n">
        <v>46031.5145833333</v>
      </c>
      <c r="F2010" s="22" t="n">
        <f aca="false">DATE(YEAR(E2010),MONTH(E2010),1)</f>
        <v>46023</v>
      </c>
      <c r="G2010" s="23" t="n">
        <v>155293</v>
      </c>
      <c r="H2010" s="8" t="s">
        <v>64</v>
      </c>
      <c r="I2010" s="24" t="n">
        <v>55.38</v>
      </c>
      <c r="J2010" s="25" t="n">
        <f aca="false">Summary!$B$4</f>
        <v>1</v>
      </c>
      <c r="K2010" s="11" t="n">
        <f aca="false">I2010*J2010*IF(A2010="SILVER",Summary!$B$5,Summary!$B$6)</f>
        <v>5538</v>
      </c>
      <c r="L2010" s="26" t="n">
        <v>0.089</v>
      </c>
      <c r="M2010" s="27" t="n">
        <f aca="false">IF(K2010&gt;0,1,0)</f>
        <v>1</v>
      </c>
      <c r="N2010" s="11" t="n">
        <f aca="false">SUMIFS(K$2:K2010,A$2:A2010,A2010,B$2:B2010,B2010)</f>
        <v>2361774</v>
      </c>
      <c r="O2010" s="11" t="n">
        <f aca="false">MAX(0,_xlfn.MAXIFS(N$2:N2010,A$2:A2010,A2010,B$2:B2010,B2010))</f>
        <v>2501188</v>
      </c>
      <c r="P2010" s="11" t="n">
        <f aca="false">N2010-O2010</f>
        <v>-139414</v>
      </c>
    </row>
    <row r="2011" customFormat="false" ht="15" hidden="false" customHeight="false" outlineLevel="0" collapsed="false">
      <c r="A2011" s="8" t="s">
        <v>45</v>
      </c>
      <c r="B2011" s="8" t="s">
        <v>43</v>
      </c>
      <c r="C2011" s="8" t="s">
        <v>60</v>
      </c>
      <c r="D2011" s="21" t="n">
        <v>46031.7951388889</v>
      </c>
      <c r="E2011" s="21" t="n">
        <v>46031.9743055556</v>
      </c>
      <c r="F2011" s="22" t="n">
        <f aca="false">DATE(YEAR(E2011),MONTH(E2011),1)</f>
        <v>46023</v>
      </c>
      <c r="G2011" s="23" t="n">
        <v>155620</v>
      </c>
      <c r="H2011" s="8" t="s">
        <v>64</v>
      </c>
      <c r="I2011" s="24" t="n">
        <v>110.73</v>
      </c>
      <c r="J2011" s="25" t="n">
        <f aca="false">Summary!$B$4</f>
        <v>1</v>
      </c>
      <c r="K2011" s="11" t="n">
        <f aca="false">I2011*J2011*IF(A2011="SILVER",Summary!$B$5,Summary!$B$6)</f>
        <v>11073</v>
      </c>
      <c r="L2011" s="26" t="n">
        <v>0.112</v>
      </c>
      <c r="M2011" s="27" t="n">
        <f aca="false">IF(K2011&gt;0,1,0)</f>
        <v>1</v>
      </c>
      <c r="N2011" s="11" t="n">
        <f aca="false">SUMIFS(K$2:K2011,A$2:A2011,A2011,B$2:B2011,B2011)</f>
        <v>2372847</v>
      </c>
      <c r="O2011" s="11" t="n">
        <f aca="false">MAX(0,_xlfn.MAXIFS(N$2:N2011,A$2:A2011,A2011,B$2:B2011,B2011))</f>
        <v>2501188</v>
      </c>
      <c r="P2011" s="11" t="n">
        <f aca="false">N2011-O2011</f>
        <v>-128341</v>
      </c>
    </row>
    <row r="2012" customFormat="false" ht="15" hidden="false" customHeight="false" outlineLevel="0" collapsed="false">
      <c r="A2012" s="8" t="s">
        <v>45</v>
      </c>
      <c r="B2012" s="8" t="s">
        <v>43</v>
      </c>
      <c r="C2012" s="8" t="s">
        <v>60</v>
      </c>
      <c r="D2012" s="21" t="n">
        <v>46034.3784722222</v>
      </c>
      <c r="E2012" s="21" t="n">
        <v>46034.8333333333</v>
      </c>
      <c r="F2012" s="22" t="n">
        <f aca="false">DATE(YEAR(E2012),MONTH(E2012),1)</f>
        <v>46023</v>
      </c>
      <c r="G2012" s="23" t="n">
        <v>157782</v>
      </c>
      <c r="H2012" s="8" t="s">
        <v>61</v>
      </c>
      <c r="I2012" s="24" t="n">
        <v>618.77</v>
      </c>
      <c r="J2012" s="25" t="n">
        <f aca="false">Summary!$B$4</f>
        <v>1</v>
      </c>
      <c r="K2012" s="11" t="n">
        <f aca="false">I2012*J2012*IF(A2012="SILVER",Summary!$B$5,Summary!$B$6)</f>
        <v>61877</v>
      </c>
      <c r="L2012" s="26" t="n">
        <v>0.329</v>
      </c>
      <c r="M2012" s="27" t="n">
        <f aca="false">IF(K2012&gt;0,1,0)</f>
        <v>1</v>
      </c>
      <c r="N2012" s="11" t="n">
        <f aca="false">SUMIFS(K$2:K2012,A$2:A2012,A2012,B$2:B2012,B2012)</f>
        <v>2434724</v>
      </c>
      <c r="O2012" s="11" t="n">
        <f aca="false">MAX(0,_xlfn.MAXIFS(N$2:N2012,A$2:A2012,A2012,B$2:B2012,B2012))</f>
        <v>2501188</v>
      </c>
      <c r="P2012" s="11" t="n">
        <f aca="false">N2012-O2012</f>
        <v>-66464</v>
      </c>
    </row>
    <row r="2013" customFormat="false" ht="15" hidden="false" customHeight="false" outlineLevel="0" collapsed="false">
      <c r="A2013" s="8" t="s">
        <v>45</v>
      </c>
      <c r="B2013" s="8" t="s">
        <v>43</v>
      </c>
      <c r="C2013" s="8" t="s">
        <v>60</v>
      </c>
      <c r="D2013" s="21" t="n">
        <v>46034.8784722222</v>
      </c>
      <c r="E2013" s="21" t="n">
        <v>46035.5069444445</v>
      </c>
      <c r="F2013" s="22" t="n">
        <f aca="false">DATE(YEAR(E2013),MONTH(E2013),1)</f>
        <v>46023</v>
      </c>
      <c r="G2013" s="23" t="n">
        <v>159281</v>
      </c>
      <c r="H2013" s="8" t="s">
        <v>61</v>
      </c>
      <c r="I2013" s="24" t="n">
        <v>-909.39</v>
      </c>
      <c r="J2013" s="25" t="n">
        <f aca="false">Summary!$B$4</f>
        <v>1</v>
      </c>
      <c r="K2013" s="11" t="n">
        <f aca="false">I2013*J2013*IF(A2013="SILVER",Summary!$B$5,Summary!$B$6)</f>
        <v>-90939</v>
      </c>
      <c r="L2013" s="26" t="n">
        <v>-0.796</v>
      </c>
      <c r="M2013" s="27" t="n">
        <f aca="false">IF(K2013&gt;0,1,0)</f>
        <v>0</v>
      </c>
      <c r="N2013" s="11" t="n">
        <f aca="false">SUMIFS(K$2:K2013,A$2:A2013,A2013,B$2:B2013,B2013)</f>
        <v>2343785</v>
      </c>
      <c r="O2013" s="11" t="n">
        <f aca="false">MAX(0,_xlfn.MAXIFS(N$2:N2013,A$2:A2013,A2013,B$2:B2013,B2013))</f>
        <v>2501188</v>
      </c>
      <c r="P2013" s="11" t="n">
        <f aca="false">N2013-O2013</f>
        <v>-157403</v>
      </c>
    </row>
    <row r="2014" customFormat="false" ht="15" hidden="false" customHeight="false" outlineLevel="0" collapsed="false">
      <c r="A2014" s="8" t="s">
        <v>45</v>
      </c>
      <c r="B2014" s="8" t="s">
        <v>43</v>
      </c>
      <c r="C2014" s="8" t="s">
        <v>60</v>
      </c>
      <c r="D2014" s="21" t="n">
        <v>46035.7777777778</v>
      </c>
      <c r="E2014" s="21" t="n">
        <v>46035.7805555556</v>
      </c>
      <c r="F2014" s="22" t="n">
        <f aca="false">DATE(YEAR(E2014),MONTH(E2014),1)</f>
        <v>46023</v>
      </c>
      <c r="G2014" s="23" t="n">
        <v>158880</v>
      </c>
      <c r="H2014" s="8" t="s">
        <v>64</v>
      </c>
      <c r="I2014" s="24" t="n">
        <v>48.08</v>
      </c>
      <c r="J2014" s="25" t="n">
        <f aca="false">Summary!$B$4</f>
        <v>1</v>
      </c>
      <c r="K2014" s="11" t="n">
        <f aca="false">I2014*J2014*IF(A2014="SILVER",Summary!$B$5,Summary!$B$6)</f>
        <v>4808</v>
      </c>
      <c r="L2014" s="26" t="n">
        <v>0.083</v>
      </c>
      <c r="M2014" s="27" t="n">
        <f aca="false">IF(K2014&gt;0,1,0)</f>
        <v>1</v>
      </c>
      <c r="N2014" s="11" t="n">
        <f aca="false">SUMIFS(K$2:K2014,A$2:A2014,A2014,B$2:B2014,B2014)</f>
        <v>2348593</v>
      </c>
      <c r="O2014" s="11" t="n">
        <f aca="false">MAX(0,_xlfn.MAXIFS(N$2:N2014,A$2:A2014,A2014,B$2:B2014,B2014))</f>
        <v>2501188</v>
      </c>
      <c r="P2014" s="11" t="n">
        <f aca="false">N2014-O2014</f>
        <v>-152595</v>
      </c>
    </row>
    <row r="2015" customFormat="false" ht="15" hidden="false" customHeight="false" outlineLevel="0" collapsed="false">
      <c r="A2015" s="8" t="s">
        <v>45</v>
      </c>
      <c r="B2015" s="8" t="s">
        <v>43</v>
      </c>
      <c r="C2015" s="8" t="s">
        <v>60</v>
      </c>
      <c r="D2015" s="21" t="n">
        <v>46035.7951388889</v>
      </c>
      <c r="E2015" s="21" t="n">
        <v>46035.8333333333</v>
      </c>
      <c r="F2015" s="22" t="n">
        <f aca="false">DATE(YEAR(E2015),MONTH(E2015),1)</f>
        <v>46023</v>
      </c>
      <c r="G2015" s="23" t="n">
        <v>159310</v>
      </c>
      <c r="H2015" s="8" t="s">
        <v>64</v>
      </c>
      <c r="I2015" s="24" t="n">
        <v>90.74</v>
      </c>
      <c r="J2015" s="25" t="n">
        <f aca="false">Summary!$B$4</f>
        <v>1</v>
      </c>
      <c r="K2015" s="11" t="n">
        <f aca="false">I2015*J2015*IF(A2015="SILVER",Summary!$B$5,Summary!$B$6)</f>
        <v>9074</v>
      </c>
      <c r="L2015" s="26" t="n">
        <v>0.105</v>
      </c>
      <c r="M2015" s="27" t="n">
        <f aca="false">IF(K2015&gt;0,1,0)</f>
        <v>1</v>
      </c>
      <c r="N2015" s="11" t="n">
        <f aca="false">SUMIFS(K$2:K2015,A$2:A2015,A2015,B$2:B2015,B2015)</f>
        <v>2357667</v>
      </c>
      <c r="O2015" s="11" t="n">
        <f aca="false">MAX(0,_xlfn.MAXIFS(N$2:N2015,A$2:A2015,A2015,B$2:B2015,B2015))</f>
        <v>2501188</v>
      </c>
      <c r="P2015" s="11" t="n">
        <f aca="false">N2015-O2015</f>
        <v>-143521</v>
      </c>
    </row>
    <row r="2016" customFormat="false" ht="15" hidden="false" customHeight="false" outlineLevel="0" collapsed="false">
      <c r="A2016" s="8" t="s">
        <v>45</v>
      </c>
      <c r="B2016" s="8" t="s">
        <v>43</v>
      </c>
      <c r="C2016" s="8" t="s">
        <v>60</v>
      </c>
      <c r="D2016" s="21" t="n">
        <v>46035.84375</v>
      </c>
      <c r="E2016" s="21" t="n">
        <v>46036.3888888889</v>
      </c>
      <c r="F2016" s="22" t="n">
        <f aca="false">DATE(YEAR(E2016),MONTH(E2016),1)</f>
        <v>46023</v>
      </c>
      <c r="G2016" s="23" t="n">
        <v>159622</v>
      </c>
      <c r="H2016" s="8" t="s">
        <v>64</v>
      </c>
      <c r="I2016" s="24" t="n">
        <v>94.26</v>
      </c>
      <c r="J2016" s="25" t="n">
        <f aca="false">Summary!$B$4</f>
        <v>1</v>
      </c>
      <c r="K2016" s="11" t="n">
        <f aca="false">I2016*J2016*IF(A2016="SILVER",Summary!$B$5,Summary!$B$6)</f>
        <v>9426</v>
      </c>
      <c r="L2016" s="26" t="n">
        <v>0.106</v>
      </c>
      <c r="M2016" s="27" t="n">
        <f aca="false">IF(K2016&gt;0,1,0)</f>
        <v>1</v>
      </c>
      <c r="N2016" s="11" t="n">
        <f aca="false">SUMIFS(K$2:K2016,A$2:A2016,A2016,B$2:B2016,B2016)</f>
        <v>2367093</v>
      </c>
      <c r="O2016" s="11" t="n">
        <f aca="false">MAX(0,_xlfn.MAXIFS(N$2:N2016,A$2:A2016,A2016,B$2:B2016,B2016))</f>
        <v>2501188</v>
      </c>
      <c r="P2016" s="11" t="n">
        <f aca="false">N2016-O2016</f>
        <v>-134095</v>
      </c>
    </row>
    <row r="2017" customFormat="false" ht="15" hidden="false" customHeight="false" outlineLevel="0" collapsed="false">
      <c r="A2017" s="8" t="s">
        <v>45</v>
      </c>
      <c r="B2017" s="8" t="s">
        <v>43</v>
      </c>
      <c r="C2017" s="8" t="s">
        <v>60</v>
      </c>
      <c r="D2017" s="21" t="n">
        <v>46036.4097222222</v>
      </c>
      <c r="E2017" s="21" t="n">
        <v>46036.4763888889</v>
      </c>
      <c r="F2017" s="22" t="n">
        <f aca="false">DATE(YEAR(E2017),MONTH(E2017),1)</f>
        <v>46023</v>
      </c>
      <c r="G2017" s="23" t="n">
        <v>159945</v>
      </c>
      <c r="H2017" s="8" t="s">
        <v>64</v>
      </c>
      <c r="I2017" s="24" t="n">
        <v>123.11</v>
      </c>
      <c r="J2017" s="25" t="n">
        <f aca="false">Summary!$B$4</f>
        <v>1</v>
      </c>
      <c r="K2017" s="11" t="n">
        <f aca="false">I2017*J2017*IF(A2017="SILVER",Summary!$B$5,Summary!$B$6)</f>
        <v>12311</v>
      </c>
      <c r="L2017" s="26" t="n">
        <v>0.114</v>
      </c>
      <c r="M2017" s="27" t="n">
        <f aca="false">IF(K2017&gt;0,1,0)</f>
        <v>1</v>
      </c>
      <c r="N2017" s="11" t="n">
        <f aca="false">SUMIFS(K$2:K2017,A$2:A2017,A2017,B$2:B2017,B2017)</f>
        <v>2379404</v>
      </c>
      <c r="O2017" s="11" t="n">
        <f aca="false">MAX(0,_xlfn.MAXIFS(N$2:N2017,A$2:A2017,A2017,B$2:B2017,B2017))</f>
        <v>2501188</v>
      </c>
      <c r="P2017" s="11" t="n">
        <f aca="false">N2017-O2017</f>
        <v>-121784</v>
      </c>
    </row>
    <row r="2018" customFormat="false" ht="15" hidden="false" customHeight="false" outlineLevel="0" collapsed="false">
      <c r="A2018" s="8" t="s">
        <v>45</v>
      </c>
      <c r="B2018" s="8" t="s">
        <v>43</v>
      </c>
      <c r="C2018" s="8" t="s">
        <v>60</v>
      </c>
      <c r="D2018" s="21" t="n">
        <v>46036.7708333333</v>
      </c>
      <c r="E2018" s="21" t="n">
        <v>46036.8402777778</v>
      </c>
      <c r="F2018" s="22" t="n">
        <f aca="false">DATE(YEAR(E2018),MONTH(E2018),1)</f>
        <v>46023</v>
      </c>
      <c r="G2018" s="23" t="n">
        <v>160497</v>
      </c>
      <c r="H2018" s="8" t="s">
        <v>61</v>
      </c>
      <c r="I2018" s="24" t="n">
        <v>-685.65</v>
      </c>
      <c r="J2018" s="25" t="n">
        <f aca="false">Summary!$B$4</f>
        <v>1</v>
      </c>
      <c r="K2018" s="11" t="n">
        <f aca="false">I2018*J2018*IF(A2018="SILVER",Summary!$B$5,Summary!$B$6)</f>
        <v>-68565</v>
      </c>
      <c r="L2018" s="26" t="n">
        <v>-1.293</v>
      </c>
      <c r="M2018" s="27" t="n">
        <f aca="false">IF(K2018&gt;0,1,0)</f>
        <v>0</v>
      </c>
      <c r="N2018" s="11" t="n">
        <f aca="false">SUMIFS(K$2:K2018,A$2:A2018,A2018,B$2:B2018,B2018)</f>
        <v>2310839</v>
      </c>
      <c r="O2018" s="11" t="n">
        <f aca="false">MAX(0,_xlfn.MAXIFS(N$2:N2018,A$2:A2018,A2018,B$2:B2018,B2018))</f>
        <v>2501188</v>
      </c>
      <c r="P2018" s="11" t="n">
        <f aca="false">N2018-O2018</f>
        <v>-190349</v>
      </c>
    </row>
    <row r="2019" customFormat="false" ht="15" hidden="false" customHeight="false" outlineLevel="0" collapsed="false">
      <c r="A2019" s="8" t="s">
        <v>45</v>
      </c>
      <c r="B2019" s="8" t="s">
        <v>43</v>
      </c>
      <c r="C2019" s="8" t="s">
        <v>60</v>
      </c>
      <c r="D2019" s="21" t="n">
        <v>46037.8680555556</v>
      </c>
      <c r="E2019" s="21" t="n">
        <v>46038.3784722222</v>
      </c>
      <c r="F2019" s="22" t="n">
        <f aca="false">DATE(YEAR(E2019),MONTH(E2019),1)</f>
        <v>46023</v>
      </c>
      <c r="G2019" s="23" t="n">
        <v>159936</v>
      </c>
      <c r="H2019" s="8" t="s">
        <v>61</v>
      </c>
      <c r="I2019" s="24" t="n">
        <v>-652.54</v>
      </c>
      <c r="J2019" s="25" t="n">
        <f aca="false">Summary!$B$4</f>
        <v>1</v>
      </c>
      <c r="K2019" s="11" t="n">
        <f aca="false">I2019*J2019*IF(A2019="SILVER",Summary!$B$5,Summary!$B$6)</f>
        <v>-65254</v>
      </c>
      <c r="L2019" s="26" t="n">
        <v>-0.647</v>
      </c>
      <c r="M2019" s="27" t="n">
        <f aca="false">IF(K2019&gt;0,1,0)</f>
        <v>0</v>
      </c>
      <c r="N2019" s="11" t="n">
        <f aca="false">SUMIFS(K$2:K2019,A$2:A2019,A2019,B$2:B2019,B2019)</f>
        <v>2245585</v>
      </c>
      <c r="O2019" s="11" t="n">
        <f aca="false">MAX(0,_xlfn.MAXIFS(N$2:N2019,A$2:A2019,A2019,B$2:B2019,B2019))</f>
        <v>2501188</v>
      </c>
      <c r="P2019" s="11" t="n">
        <f aca="false">N2019-O2019</f>
        <v>-255603</v>
      </c>
    </row>
    <row r="2020" customFormat="false" ht="15" hidden="false" customHeight="false" outlineLevel="0" collapsed="false">
      <c r="A2020" s="8" t="s">
        <v>45</v>
      </c>
      <c r="B2020" s="8" t="s">
        <v>43</v>
      </c>
      <c r="C2020" s="8" t="s">
        <v>60</v>
      </c>
      <c r="D2020" s="21" t="n">
        <v>46041.3784722222</v>
      </c>
      <c r="E2020" s="21" t="n">
        <v>46042.6111111111</v>
      </c>
      <c r="F2020" s="22" t="n">
        <f aca="false">DATE(YEAR(E2020),MONTH(E2020),1)</f>
        <v>46023</v>
      </c>
      <c r="G2020" s="23" t="n">
        <v>161296</v>
      </c>
      <c r="H2020" s="8" t="s">
        <v>61</v>
      </c>
      <c r="I2020" s="24" t="n">
        <v>4641.65</v>
      </c>
      <c r="J2020" s="25" t="n">
        <f aca="false">Summary!$B$4</f>
        <v>1</v>
      </c>
      <c r="K2020" s="11" t="n">
        <f aca="false">I2020*J2020*IF(A2020="SILVER",Summary!$B$5,Summary!$B$6)</f>
        <v>464165</v>
      </c>
      <c r="L2020" s="26" t="n">
        <v>2.695</v>
      </c>
      <c r="M2020" s="27" t="n">
        <f aca="false">IF(K2020&gt;0,1,0)</f>
        <v>1</v>
      </c>
      <c r="N2020" s="11" t="n">
        <f aca="false">SUMIFS(K$2:K2020,A$2:A2020,A2020,B$2:B2020,B2020)</f>
        <v>2709750</v>
      </c>
      <c r="O2020" s="11" t="n">
        <f aca="false">MAX(0,_xlfn.MAXIFS(N$2:N2020,A$2:A2020,A2020,B$2:B2020,B2020))</f>
        <v>2709750</v>
      </c>
      <c r="P2020" s="11" t="n">
        <f aca="false">N2020-O2020</f>
        <v>0</v>
      </c>
    </row>
    <row r="2021" customFormat="false" ht="15" hidden="false" customHeight="false" outlineLevel="0" collapsed="false">
      <c r="A2021" s="8" t="s">
        <v>45</v>
      </c>
      <c r="B2021" s="8" t="s">
        <v>43</v>
      </c>
      <c r="C2021" s="8" t="s">
        <v>60</v>
      </c>
      <c r="D2021" s="21" t="n">
        <v>46043.3784722222</v>
      </c>
      <c r="E2021" s="21" t="n">
        <v>46043.8472222222</v>
      </c>
      <c r="F2021" s="22" t="n">
        <f aca="false">DATE(YEAR(E2021),MONTH(E2021),1)</f>
        <v>46023</v>
      </c>
      <c r="G2021" s="23" t="n">
        <v>170107</v>
      </c>
      <c r="H2021" s="8" t="s">
        <v>61</v>
      </c>
      <c r="I2021" s="24" t="n">
        <v>4113.95</v>
      </c>
      <c r="J2021" s="25" t="n">
        <f aca="false">Summary!$B$4</f>
        <v>1</v>
      </c>
      <c r="K2021" s="11" t="n">
        <f aca="false">I2021*J2021*IF(A2021="SILVER",Summary!$B$5,Summary!$B$6)</f>
        <v>411395</v>
      </c>
      <c r="L2021" s="26" t="n">
        <v>1.741</v>
      </c>
      <c r="M2021" s="27" t="n">
        <f aca="false">IF(K2021&gt;0,1,0)</f>
        <v>1</v>
      </c>
      <c r="N2021" s="11" t="n">
        <f aca="false">SUMIFS(K$2:K2021,A$2:A2021,A2021,B$2:B2021,B2021)</f>
        <v>3121145</v>
      </c>
      <c r="O2021" s="11" t="n">
        <f aca="false">MAX(0,_xlfn.MAXIFS(N$2:N2021,A$2:A2021,A2021,B$2:B2021,B2021))</f>
        <v>3121145</v>
      </c>
      <c r="P2021" s="11" t="n">
        <f aca="false">N2021-O2021</f>
        <v>0</v>
      </c>
    </row>
    <row r="2022" customFormat="false" ht="15" hidden="false" customHeight="false" outlineLevel="0" collapsed="false">
      <c r="A2022" s="8" t="s">
        <v>45</v>
      </c>
      <c r="B2022" s="8" t="s">
        <v>43</v>
      </c>
      <c r="C2022" s="8" t="s">
        <v>60</v>
      </c>
      <c r="D2022" s="21" t="n">
        <v>46050.3784722222</v>
      </c>
      <c r="E2022" s="21" t="n">
        <v>46050.4027777778</v>
      </c>
      <c r="F2022" s="22" t="n">
        <f aca="false">DATE(YEAR(E2022),MONTH(E2022),1)</f>
        <v>46023</v>
      </c>
      <c r="G2022" s="23" t="n">
        <v>177259</v>
      </c>
      <c r="H2022" s="8" t="s">
        <v>64</v>
      </c>
      <c r="I2022" s="24" t="n">
        <v>206.12</v>
      </c>
      <c r="J2022" s="25" t="n">
        <f aca="false">Summary!$B$4</f>
        <v>1</v>
      </c>
      <c r="K2022" s="11" t="n">
        <f aca="false">I2022*J2022*IF(A2022="SILVER",Summary!$B$5,Summary!$B$6)</f>
        <v>20612</v>
      </c>
      <c r="L2022" s="26" t="n">
        <v>0.125</v>
      </c>
      <c r="M2022" s="27" t="n">
        <f aca="false">IF(K2022&gt;0,1,0)</f>
        <v>1</v>
      </c>
      <c r="N2022" s="11" t="n">
        <f aca="false">SUMIFS(K$2:K2022,A$2:A2022,A2022,B$2:B2022,B2022)</f>
        <v>3141757</v>
      </c>
      <c r="O2022" s="11" t="n">
        <f aca="false">MAX(0,_xlfn.MAXIFS(N$2:N2022,A$2:A2022,A2022,B$2:B2022,B2022))</f>
        <v>3141757</v>
      </c>
      <c r="P2022" s="11" t="n">
        <f aca="false">N2022-O2022</f>
        <v>0</v>
      </c>
    </row>
    <row r="2023" customFormat="false" ht="15" hidden="false" customHeight="false" outlineLevel="0" collapsed="false">
      <c r="A2023" s="8" t="s">
        <v>45</v>
      </c>
      <c r="B2023" s="8" t="s">
        <v>43</v>
      </c>
      <c r="C2023" s="8" t="s">
        <v>60</v>
      </c>
      <c r="D2023" s="21" t="n">
        <v>46050.4861111111</v>
      </c>
      <c r="E2023" s="21" t="n">
        <v>46051.5763888889</v>
      </c>
      <c r="F2023" s="22" t="n">
        <f aca="false">DATE(YEAR(E2023),MONTH(E2023),1)</f>
        <v>46023</v>
      </c>
      <c r="G2023" s="23" t="n">
        <v>179380</v>
      </c>
      <c r="H2023" s="8" t="s">
        <v>61</v>
      </c>
      <c r="I2023" s="24" t="n">
        <v>12048.28</v>
      </c>
      <c r="J2023" s="25" t="n">
        <f aca="false">Summary!$B$4</f>
        <v>1</v>
      </c>
      <c r="K2023" s="11" t="n">
        <f aca="false">I2023*J2023*IF(A2023="SILVER",Summary!$B$5,Summary!$B$6)</f>
        <v>1204828</v>
      </c>
      <c r="L2023" s="26" t="n">
        <v>6.727</v>
      </c>
      <c r="M2023" s="27" t="n">
        <f aca="false">IF(K2023&gt;0,1,0)</f>
        <v>1</v>
      </c>
      <c r="N2023" s="11" t="n">
        <f aca="false">SUMIFS(K$2:K2023,A$2:A2023,A2023,B$2:B2023,B2023)</f>
        <v>4346585</v>
      </c>
      <c r="O2023" s="11" t="n">
        <f aca="false">MAX(0,_xlfn.MAXIFS(N$2:N2023,A$2:A2023,A2023,B$2:B2023,B2023))</f>
        <v>4346585</v>
      </c>
      <c r="P2023" s="11" t="n">
        <f aca="false">N2023-O2023</f>
        <v>0</v>
      </c>
    </row>
    <row r="2024" customFormat="false" ht="15" hidden="false" customHeight="false" outlineLevel="0" collapsed="false">
      <c r="A2024" s="8" t="s">
        <v>45</v>
      </c>
      <c r="B2024" s="8" t="s">
        <v>43</v>
      </c>
      <c r="C2024" s="8" t="s">
        <v>62</v>
      </c>
      <c r="D2024" s="21" t="n">
        <v>46055.3923611111</v>
      </c>
      <c r="E2024" s="21" t="n">
        <v>46055.4819444444</v>
      </c>
      <c r="F2024" s="22" t="n">
        <f aca="false">DATE(YEAR(E2024),MONTH(E2024),1)</f>
        <v>46054</v>
      </c>
      <c r="G2024" s="23" t="n">
        <v>155177</v>
      </c>
      <c r="H2024" s="8" t="s">
        <v>64</v>
      </c>
      <c r="I2024" s="24" t="n">
        <v>818.36</v>
      </c>
      <c r="J2024" s="25" t="n">
        <f aca="false">Summary!$B$4</f>
        <v>1</v>
      </c>
      <c r="K2024" s="11" t="n">
        <f aca="false">I2024*J2024*IF(A2024="SILVER",Summary!$B$5,Summary!$B$6)</f>
        <v>81836</v>
      </c>
      <c r="L2024" s="26" t="n">
        <v>0.135</v>
      </c>
      <c r="M2024" s="27" t="n">
        <f aca="false">IF(K2024&gt;0,1,0)</f>
        <v>1</v>
      </c>
      <c r="N2024" s="11" t="n">
        <f aca="false">SUMIFS(K$2:K2024,A$2:A2024,A2024,B$2:B2024,B2024)</f>
        <v>4428421</v>
      </c>
      <c r="O2024" s="11" t="n">
        <f aca="false">MAX(0,_xlfn.MAXIFS(N$2:N2024,A$2:A2024,A2024,B$2:B2024,B2024))</f>
        <v>4428421</v>
      </c>
      <c r="P2024" s="11" t="n">
        <f aca="false">N2024-O2024</f>
        <v>0</v>
      </c>
    </row>
    <row r="2025" customFormat="false" ht="15" hidden="false" customHeight="false" outlineLevel="0" collapsed="false">
      <c r="A2025" s="8" t="s">
        <v>45</v>
      </c>
      <c r="B2025" s="8" t="s">
        <v>43</v>
      </c>
      <c r="C2025" s="8" t="s">
        <v>62</v>
      </c>
      <c r="D2025" s="21" t="n">
        <v>46055.4979166667</v>
      </c>
      <c r="E2025" s="21" t="n">
        <v>46055.5555555556</v>
      </c>
      <c r="F2025" s="22" t="n">
        <f aca="false">DATE(YEAR(E2025),MONTH(E2025),1)</f>
        <v>46054</v>
      </c>
      <c r="G2025" s="23" t="n">
        <v>150610</v>
      </c>
      <c r="H2025" s="8" t="s">
        <v>61</v>
      </c>
      <c r="I2025" s="24" t="n">
        <v>-5848.35</v>
      </c>
      <c r="J2025" s="25" t="n">
        <f aca="false">Summary!$B$4</f>
        <v>1</v>
      </c>
      <c r="K2025" s="11" t="n">
        <f aca="false">I2025*J2025*IF(A2025="SILVER",Summary!$B$5,Summary!$B$6)</f>
        <v>-584835</v>
      </c>
      <c r="L2025" s="26" t="n">
        <v>-0.783</v>
      </c>
      <c r="M2025" s="27" t="n">
        <f aca="false">IF(K2025&gt;0,1,0)</f>
        <v>0</v>
      </c>
      <c r="N2025" s="11" t="n">
        <f aca="false">SUMIFS(K$2:K2025,A$2:A2025,A2025,B$2:B2025,B2025)</f>
        <v>3843586</v>
      </c>
      <c r="O2025" s="11" t="n">
        <f aca="false">MAX(0,_xlfn.MAXIFS(N$2:N2025,A$2:A2025,A2025,B$2:B2025,B2025))</f>
        <v>4428421</v>
      </c>
      <c r="P2025" s="11" t="n">
        <f aca="false">N2025-O2025</f>
        <v>-584835</v>
      </c>
    </row>
    <row r="2026" customFormat="false" ht="15" hidden="false" customHeight="false" outlineLevel="0" collapsed="false">
      <c r="A2026" s="8" t="s">
        <v>45</v>
      </c>
      <c r="B2026" s="8" t="s">
        <v>43</v>
      </c>
      <c r="C2026" s="8" t="s">
        <v>62</v>
      </c>
      <c r="D2026" s="21" t="n">
        <v>46055.9201388889</v>
      </c>
      <c r="E2026" s="21" t="n">
        <v>46055.9881944444</v>
      </c>
      <c r="F2026" s="22" t="n">
        <f aca="false">DATE(YEAR(E2026),MONTH(E2026),1)</f>
        <v>46054</v>
      </c>
      <c r="G2026" s="23" t="n">
        <v>159528</v>
      </c>
      <c r="H2026" s="8" t="s">
        <v>64</v>
      </c>
      <c r="I2026" s="24" t="n">
        <v>392.59</v>
      </c>
      <c r="J2026" s="25" t="n">
        <f aca="false">Summary!$B$4</f>
        <v>1</v>
      </c>
      <c r="K2026" s="11" t="n">
        <f aca="false">I2026*J2026*IF(A2026="SILVER",Summary!$B$5,Summary!$B$6)</f>
        <v>39259</v>
      </c>
      <c r="L2026" s="26" t="n">
        <v>0.098</v>
      </c>
      <c r="M2026" s="27" t="n">
        <f aca="false">IF(K2026&gt;0,1,0)</f>
        <v>1</v>
      </c>
      <c r="N2026" s="11" t="n">
        <f aca="false">SUMIFS(K$2:K2026,A$2:A2026,A2026,B$2:B2026,B2026)</f>
        <v>3882845</v>
      </c>
      <c r="O2026" s="11" t="n">
        <f aca="false">MAX(0,_xlfn.MAXIFS(N$2:N2026,A$2:A2026,A2026,B$2:B2026,B2026))</f>
        <v>4428421</v>
      </c>
      <c r="P2026" s="11" t="n">
        <f aca="false">N2026-O2026</f>
        <v>-545576</v>
      </c>
    </row>
    <row r="2027" customFormat="false" ht="15" hidden="false" customHeight="false" outlineLevel="0" collapsed="false">
      <c r="A2027" s="8" t="s">
        <v>45</v>
      </c>
      <c r="B2027" s="8" t="s">
        <v>43</v>
      </c>
      <c r="C2027" s="8" t="s">
        <v>62</v>
      </c>
      <c r="D2027" s="21" t="n">
        <v>46057.8368055556</v>
      </c>
      <c r="E2027" s="21" t="n">
        <v>46057.8430555556</v>
      </c>
      <c r="F2027" s="22" t="n">
        <f aca="false">DATE(YEAR(E2027),MONTH(E2027),1)</f>
        <v>46054</v>
      </c>
      <c r="G2027" s="23" t="n">
        <v>165102</v>
      </c>
      <c r="H2027" s="8" t="s">
        <v>64</v>
      </c>
      <c r="I2027" s="24" t="n">
        <v>342.06</v>
      </c>
      <c r="J2027" s="25" t="n">
        <f aca="false">Summary!$B$4</f>
        <v>1</v>
      </c>
      <c r="K2027" s="11" t="n">
        <f aca="false">I2027*J2027*IF(A2027="SILVER",Summary!$B$5,Summary!$B$6)</f>
        <v>34206</v>
      </c>
      <c r="L2027" s="26" t="n">
        <v>0.134</v>
      </c>
      <c r="M2027" s="27" t="n">
        <f aca="false">IF(K2027&gt;0,1,0)</f>
        <v>1</v>
      </c>
      <c r="N2027" s="11" t="n">
        <f aca="false">SUMIFS(K$2:K2027,A$2:A2027,A2027,B$2:B2027,B2027)</f>
        <v>3917051</v>
      </c>
      <c r="O2027" s="11" t="n">
        <f aca="false">MAX(0,_xlfn.MAXIFS(N$2:N2027,A$2:A2027,A2027,B$2:B2027,B2027))</f>
        <v>4428421</v>
      </c>
      <c r="P2027" s="11" t="n">
        <f aca="false">N2027-O2027</f>
        <v>-511370</v>
      </c>
    </row>
    <row r="2028" customFormat="false" ht="15" hidden="false" customHeight="false" outlineLevel="0" collapsed="false">
      <c r="A2028" s="8" t="s">
        <v>45</v>
      </c>
      <c r="B2028" s="8" t="s">
        <v>43</v>
      </c>
      <c r="C2028" s="8" t="s">
        <v>62</v>
      </c>
      <c r="D2028" s="21" t="n">
        <v>46057.875</v>
      </c>
      <c r="E2028" s="21" t="n">
        <v>46059.4722222222</v>
      </c>
      <c r="F2028" s="22" t="n">
        <f aca="false">DATE(YEAR(E2028),MONTH(E2028),1)</f>
        <v>46054</v>
      </c>
      <c r="G2028" s="23" t="n">
        <v>162808</v>
      </c>
      <c r="H2028" s="8" t="s">
        <v>61</v>
      </c>
      <c r="I2028" s="24" t="n">
        <v>2166.17</v>
      </c>
      <c r="J2028" s="25" t="n">
        <f aca="false">Summary!$B$4</f>
        <v>1</v>
      </c>
      <c r="K2028" s="11" t="n">
        <f aca="false">I2028*J2028*IF(A2028="SILVER",Summary!$B$5,Summary!$B$6)</f>
        <v>216617</v>
      </c>
      <c r="L2028" s="26" t="n">
        <v>0.518</v>
      </c>
      <c r="M2028" s="27" t="n">
        <f aca="false">IF(K2028&gt;0,1,0)</f>
        <v>1</v>
      </c>
      <c r="N2028" s="11" t="n">
        <f aca="false">SUMIFS(K$2:K2028,A$2:A2028,A2028,B$2:B2028,B2028)</f>
        <v>4133668</v>
      </c>
      <c r="O2028" s="11" t="n">
        <f aca="false">MAX(0,_xlfn.MAXIFS(N$2:N2028,A$2:A2028,A2028,B$2:B2028,B2028))</f>
        <v>4428421</v>
      </c>
      <c r="P2028" s="11" t="n">
        <f aca="false">N2028-O2028</f>
        <v>-294753</v>
      </c>
    </row>
    <row r="2029" customFormat="false" ht="15" hidden="false" customHeight="false" outlineLevel="0" collapsed="false">
      <c r="A2029" s="8" t="s">
        <v>45</v>
      </c>
      <c r="B2029" s="8" t="s">
        <v>43</v>
      </c>
      <c r="C2029" s="8" t="s">
        <v>62</v>
      </c>
      <c r="D2029" s="21" t="n">
        <v>46062.6736111111</v>
      </c>
      <c r="E2029" s="21" t="n">
        <v>46062.8784722222</v>
      </c>
      <c r="F2029" s="22" t="n">
        <f aca="false">DATE(YEAR(E2029),MONTH(E2029),1)</f>
        <v>46054</v>
      </c>
      <c r="G2029" s="23" t="n">
        <v>164002</v>
      </c>
      <c r="H2029" s="8" t="s">
        <v>61</v>
      </c>
      <c r="I2029" s="24" t="n">
        <v>-1368.44</v>
      </c>
      <c r="J2029" s="25" t="n">
        <f aca="false">Summary!$B$4</f>
        <v>1</v>
      </c>
      <c r="K2029" s="11" t="n">
        <f aca="false">I2029*J2029*IF(A2029="SILVER",Summary!$B$5,Summary!$B$6)</f>
        <v>-136844</v>
      </c>
      <c r="L2029" s="26" t="n">
        <v>-0.987</v>
      </c>
      <c r="M2029" s="27" t="n">
        <f aca="false">IF(K2029&gt;0,1,0)</f>
        <v>0</v>
      </c>
      <c r="N2029" s="11" t="n">
        <f aca="false">SUMIFS(K$2:K2029,A$2:A2029,A2029,B$2:B2029,B2029)</f>
        <v>3996824</v>
      </c>
      <c r="O2029" s="11" t="n">
        <f aca="false">MAX(0,_xlfn.MAXIFS(N$2:N2029,A$2:A2029,A2029,B$2:B2029,B2029))</f>
        <v>4428421</v>
      </c>
      <c r="P2029" s="11" t="n">
        <f aca="false">N2029-O2029</f>
        <v>-431597</v>
      </c>
    </row>
    <row r="2030" customFormat="false" ht="15" hidden="false" customHeight="false" outlineLevel="0" collapsed="false">
      <c r="A2030" s="8" t="s">
        <v>45</v>
      </c>
      <c r="B2030" s="8" t="s">
        <v>43</v>
      </c>
      <c r="C2030" s="8" t="s">
        <v>62</v>
      </c>
      <c r="D2030" s="21" t="n">
        <v>46063.3784722222</v>
      </c>
      <c r="E2030" s="21" t="n">
        <v>46063.6631944445</v>
      </c>
      <c r="F2030" s="22" t="n">
        <f aca="false">DATE(YEAR(E2030),MONTH(E2030),1)</f>
        <v>46054</v>
      </c>
      <c r="G2030" s="23" t="n">
        <v>164810</v>
      </c>
      <c r="H2030" s="8" t="s">
        <v>61</v>
      </c>
      <c r="I2030" s="24" t="n">
        <v>-833.55</v>
      </c>
      <c r="J2030" s="25" t="n">
        <f aca="false">Summary!$B$4</f>
        <v>1</v>
      </c>
      <c r="K2030" s="11" t="n">
        <f aca="false">I2030*J2030*IF(A2030="SILVER",Summary!$B$5,Summary!$B$6)</f>
        <v>-83355</v>
      </c>
      <c r="L2030" s="26" t="n">
        <v>-0.46</v>
      </c>
      <c r="M2030" s="27" t="n">
        <f aca="false">IF(K2030&gt;0,1,0)</f>
        <v>0</v>
      </c>
      <c r="N2030" s="11" t="n">
        <f aca="false">SUMIFS(K$2:K2030,A$2:A2030,A2030,B$2:B2030,B2030)</f>
        <v>3913469</v>
      </c>
      <c r="O2030" s="11" t="n">
        <f aca="false">MAX(0,_xlfn.MAXIFS(N$2:N2030,A$2:A2030,A2030,B$2:B2030,B2030))</f>
        <v>4428421</v>
      </c>
      <c r="P2030" s="11" t="n">
        <f aca="false">N2030-O2030</f>
        <v>-514952</v>
      </c>
    </row>
    <row r="2031" customFormat="false" ht="15" hidden="false" customHeight="false" outlineLevel="0" collapsed="false">
      <c r="A2031" s="8" t="s">
        <v>45</v>
      </c>
      <c r="B2031" s="8" t="s">
        <v>43</v>
      </c>
      <c r="C2031" s="8" t="s">
        <v>62</v>
      </c>
      <c r="D2031" s="21" t="n">
        <v>46063.8472222222</v>
      </c>
      <c r="E2031" s="21" t="n">
        <v>46063.8923611111</v>
      </c>
      <c r="F2031" s="22" t="n">
        <f aca="false">DATE(YEAR(E2031),MONTH(E2031),1)</f>
        <v>46054</v>
      </c>
      <c r="G2031" s="23" t="n">
        <v>165090</v>
      </c>
      <c r="H2031" s="8" t="s">
        <v>64</v>
      </c>
      <c r="I2031" s="24" t="n">
        <v>187.78</v>
      </c>
      <c r="J2031" s="25" t="n">
        <f aca="false">Summary!$B$4</f>
        <v>1</v>
      </c>
      <c r="K2031" s="11" t="n">
        <f aca="false">I2031*J2031*IF(A2031="SILVER",Summary!$B$5,Summary!$B$6)</f>
        <v>18778</v>
      </c>
      <c r="L2031" s="26" t="n">
        <v>0.123</v>
      </c>
      <c r="M2031" s="27" t="n">
        <f aca="false">IF(K2031&gt;0,1,0)</f>
        <v>1</v>
      </c>
      <c r="N2031" s="11" t="n">
        <f aca="false">SUMIFS(K$2:K2031,A$2:A2031,A2031,B$2:B2031,B2031)</f>
        <v>3932247</v>
      </c>
      <c r="O2031" s="11" t="n">
        <f aca="false">MAX(0,_xlfn.MAXIFS(N$2:N2031,A$2:A2031,A2031,B$2:B2031,B2031))</f>
        <v>4428421</v>
      </c>
      <c r="P2031" s="11" t="n">
        <f aca="false">N2031-O2031</f>
        <v>-496174</v>
      </c>
    </row>
    <row r="2032" customFormat="false" ht="15" hidden="false" customHeight="false" outlineLevel="0" collapsed="false">
      <c r="A2032" s="8" t="s">
        <v>45</v>
      </c>
      <c r="B2032" s="8" t="s">
        <v>43</v>
      </c>
      <c r="C2032" s="8" t="s">
        <v>62</v>
      </c>
      <c r="D2032" s="21" t="n">
        <v>46064.7604166667</v>
      </c>
      <c r="E2032" s="21" t="n">
        <v>46064.7979166667</v>
      </c>
      <c r="F2032" s="22" t="n">
        <f aca="false">DATE(YEAR(E2032),MONTH(E2032),1)</f>
        <v>46054</v>
      </c>
      <c r="G2032" s="23" t="n">
        <v>166301</v>
      </c>
      <c r="H2032" s="8" t="s">
        <v>64</v>
      </c>
      <c r="I2032" s="24" t="n">
        <v>160.49</v>
      </c>
      <c r="J2032" s="25" t="n">
        <f aca="false">Summary!$B$4</f>
        <v>1</v>
      </c>
      <c r="K2032" s="11" t="n">
        <f aca="false">I2032*J2032*IF(A2032="SILVER",Summary!$B$5,Summary!$B$6)</f>
        <v>16049</v>
      </c>
      <c r="L2032" s="26" t="n">
        <v>0.119</v>
      </c>
      <c r="M2032" s="27" t="n">
        <f aca="false">IF(K2032&gt;0,1,0)</f>
        <v>1</v>
      </c>
      <c r="N2032" s="11" t="n">
        <f aca="false">SUMIFS(K$2:K2032,A$2:A2032,A2032,B$2:B2032,B2032)</f>
        <v>3948296</v>
      </c>
      <c r="O2032" s="11" t="n">
        <f aca="false">MAX(0,_xlfn.MAXIFS(N$2:N2032,A$2:A2032,A2032,B$2:B2032,B2032))</f>
        <v>4428421</v>
      </c>
      <c r="P2032" s="11" t="n">
        <f aca="false">N2032-O2032</f>
        <v>-480125</v>
      </c>
    </row>
    <row r="2033" customFormat="false" ht="15" hidden="false" customHeight="false" outlineLevel="0" collapsed="false">
      <c r="A2033" s="8" t="s">
        <v>45</v>
      </c>
      <c r="B2033" s="8" t="s">
        <v>43</v>
      </c>
      <c r="C2033" s="8" t="s">
        <v>62</v>
      </c>
      <c r="D2033" s="21" t="n">
        <v>46065.7638888889</v>
      </c>
      <c r="E2033" s="21" t="n">
        <v>46065.7694444444</v>
      </c>
      <c r="F2033" s="22" t="n">
        <f aca="false">DATE(YEAR(E2033),MONTH(E2033),1)</f>
        <v>46054</v>
      </c>
      <c r="G2033" s="23" t="n">
        <v>165087</v>
      </c>
      <c r="H2033" s="8" t="s">
        <v>64</v>
      </c>
      <c r="I2033" s="24" t="n">
        <v>58.95</v>
      </c>
      <c r="J2033" s="25" t="n">
        <f aca="false">Summary!$B$4</f>
        <v>1</v>
      </c>
      <c r="K2033" s="11" t="n">
        <f aca="false">I2033*J2033*IF(A2033="SILVER",Summary!$B$5,Summary!$B$6)</f>
        <v>5895</v>
      </c>
      <c r="L2033" s="26" t="n">
        <v>0.088</v>
      </c>
      <c r="M2033" s="27" t="n">
        <f aca="false">IF(K2033&gt;0,1,0)</f>
        <v>1</v>
      </c>
      <c r="N2033" s="11" t="n">
        <f aca="false">SUMIFS(K$2:K2033,A$2:A2033,A2033,B$2:B2033,B2033)</f>
        <v>3954191</v>
      </c>
      <c r="O2033" s="11" t="n">
        <f aca="false">MAX(0,_xlfn.MAXIFS(N$2:N2033,A$2:A2033,A2033,B$2:B2033,B2033))</f>
        <v>4428421</v>
      </c>
      <c r="P2033" s="11" t="n">
        <f aca="false">N2033-O2033</f>
        <v>-474230</v>
      </c>
    </row>
    <row r="2034" customFormat="false" ht="15" hidden="false" customHeight="false" outlineLevel="0" collapsed="false">
      <c r="A2034" s="8" t="s">
        <v>45</v>
      </c>
      <c r="B2034" s="8" t="s">
        <v>43</v>
      </c>
      <c r="C2034" s="8" t="s">
        <v>62</v>
      </c>
      <c r="D2034" s="21" t="n">
        <v>46065.8541666667</v>
      </c>
      <c r="E2034" s="21" t="n">
        <v>46066.4097222222</v>
      </c>
      <c r="F2034" s="22" t="n">
        <f aca="false">DATE(YEAR(E2034),MONTH(E2034),1)</f>
        <v>46054</v>
      </c>
      <c r="G2034" s="23" t="n">
        <v>164789</v>
      </c>
      <c r="H2034" s="8" t="s">
        <v>61</v>
      </c>
      <c r="I2034" s="24" t="n">
        <v>2547.81</v>
      </c>
      <c r="J2034" s="25" t="n">
        <f aca="false">Summary!$B$4</f>
        <v>1</v>
      </c>
      <c r="K2034" s="11" t="n">
        <f aca="false">I2034*J2034*IF(A2034="SILVER",Summary!$B$5,Summary!$B$6)</f>
        <v>254781</v>
      </c>
      <c r="L2034" s="26" t="n">
        <v>3.197</v>
      </c>
      <c r="M2034" s="27" t="n">
        <f aca="false">IF(K2034&gt;0,1,0)</f>
        <v>1</v>
      </c>
      <c r="N2034" s="11" t="n">
        <f aca="false">SUMIFS(K$2:K2034,A$2:A2034,A2034,B$2:B2034,B2034)</f>
        <v>4208972</v>
      </c>
      <c r="O2034" s="11" t="n">
        <f aca="false">MAX(0,_xlfn.MAXIFS(N$2:N2034,A$2:A2034,A2034,B$2:B2034,B2034))</f>
        <v>4428421</v>
      </c>
      <c r="P2034" s="11" t="n">
        <f aca="false">N2034-O2034</f>
        <v>-219449</v>
      </c>
    </row>
    <row r="2035" customFormat="false" ht="15" hidden="false" customHeight="false" outlineLevel="0" collapsed="false">
      <c r="A2035" s="8" t="s">
        <v>45</v>
      </c>
      <c r="B2035" s="8" t="s">
        <v>43</v>
      </c>
      <c r="C2035" s="8" t="s">
        <v>62</v>
      </c>
      <c r="D2035" s="21" t="n">
        <v>46066.7048611111</v>
      </c>
      <c r="E2035" s="21" t="n">
        <v>46066.7951388889</v>
      </c>
      <c r="F2035" s="22" t="n">
        <f aca="false">DATE(YEAR(E2035),MONTH(E2035),1)</f>
        <v>46054</v>
      </c>
      <c r="G2035" s="23" t="n">
        <v>160901</v>
      </c>
      <c r="H2035" s="8" t="s">
        <v>61</v>
      </c>
      <c r="I2035" s="24" t="n">
        <v>-1599.84</v>
      </c>
      <c r="J2035" s="25" t="n">
        <f aca="false">Summary!$B$4</f>
        <v>1</v>
      </c>
      <c r="K2035" s="11" t="n">
        <f aca="false">I2035*J2035*IF(A2035="SILVER",Summary!$B$5,Summary!$B$6)</f>
        <v>-159984</v>
      </c>
      <c r="L2035" s="26" t="n">
        <v>-1.336</v>
      </c>
      <c r="M2035" s="27" t="n">
        <f aca="false">IF(K2035&gt;0,1,0)</f>
        <v>0</v>
      </c>
      <c r="N2035" s="11" t="n">
        <f aca="false">SUMIFS(K$2:K2035,A$2:A2035,A2035,B$2:B2035,B2035)</f>
        <v>4048988</v>
      </c>
      <c r="O2035" s="11" t="n">
        <f aca="false">MAX(0,_xlfn.MAXIFS(N$2:N2035,A$2:A2035,A2035,B$2:B2035,B2035))</f>
        <v>4428421</v>
      </c>
      <c r="P2035" s="11" t="n">
        <f aca="false">N2035-O2035</f>
        <v>-379433</v>
      </c>
    </row>
    <row r="2036" customFormat="false" ht="15" hidden="false" customHeight="false" outlineLevel="0" collapsed="false">
      <c r="A2036" s="8" t="s">
        <v>45</v>
      </c>
      <c r="B2036" s="8" t="s">
        <v>43</v>
      </c>
      <c r="C2036" s="8" t="s">
        <v>62</v>
      </c>
      <c r="D2036" s="21" t="n">
        <v>46069.3888888889</v>
      </c>
      <c r="E2036" s="21" t="n">
        <v>46069.9055555556</v>
      </c>
      <c r="F2036" s="22" t="n">
        <f aca="false">DATE(YEAR(E2036),MONTH(E2036),1)</f>
        <v>46054</v>
      </c>
      <c r="G2036" s="23" t="n">
        <v>162151</v>
      </c>
      <c r="H2036" s="8" t="s">
        <v>64</v>
      </c>
      <c r="I2036" s="24" t="n">
        <v>219.1</v>
      </c>
      <c r="J2036" s="25" t="n">
        <f aca="false">Summary!$B$4</f>
        <v>1</v>
      </c>
      <c r="K2036" s="11" t="n">
        <f aca="false">I2036*J2036*IF(A2036="SILVER",Summary!$B$5,Summary!$B$6)</f>
        <v>21910</v>
      </c>
      <c r="L2036" s="26" t="n">
        <v>0.123</v>
      </c>
      <c r="M2036" s="27" t="n">
        <f aca="false">IF(K2036&gt;0,1,0)</f>
        <v>1</v>
      </c>
      <c r="N2036" s="11" t="n">
        <f aca="false">SUMIFS(K$2:K2036,A$2:A2036,A2036,B$2:B2036,B2036)</f>
        <v>4070898</v>
      </c>
      <c r="O2036" s="11" t="n">
        <f aca="false">MAX(0,_xlfn.MAXIFS(N$2:N2036,A$2:A2036,A2036,B$2:B2036,B2036))</f>
        <v>4428421</v>
      </c>
      <c r="P2036" s="11" t="n">
        <f aca="false">N2036-O2036</f>
        <v>-357523</v>
      </c>
    </row>
    <row r="2037" customFormat="false" ht="15" hidden="false" customHeight="false" outlineLevel="0" collapsed="false">
      <c r="A2037" s="8" t="s">
        <v>45</v>
      </c>
      <c r="B2037" s="8" t="s">
        <v>43</v>
      </c>
      <c r="C2037" s="8" t="s">
        <v>62</v>
      </c>
      <c r="D2037" s="21" t="n">
        <v>46070.3784722222</v>
      </c>
      <c r="E2037" s="21" t="n">
        <v>46070.7395833333</v>
      </c>
      <c r="F2037" s="22" t="n">
        <f aca="false">DATE(YEAR(E2037),MONTH(E2037),1)</f>
        <v>46054</v>
      </c>
      <c r="G2037" s="23" t="n">
        <v>161102</v>
      </c>
      <c r="H2037" s="8" t="s">
        <v>64</v>
      </c>
      <c r="I2037" s="24" t="n">
        <v>128.46</v>
      </c>
      <c r="J2037" s="25" t="n">
        <f aca="false">Summary!$B$4</f>
        <v>1</v>
      </c>
      <c r="K2037" s="11" t="n">
        <f aca="false">I2037*J2037*IF(A2037="SILVER",Summary!$B$5,Summary!$B$6)</f>
        <v>12846</v>
      </c>
      <c r="L2037" s="26" t="n">
        <v>0.114</v>
      </c>
      <c r="M2037" s="27" t="n">
        <f aca="false">IF(K2037&gt;0,1,0)</f>
        <v>1</v>
      </c>
      <c r="N2037" s="11" t="n">
        <f aca="false">SUMIFS(K$2:K2037,A$2:A2037,A2037,B$2:B2037,B2037)</f>
        <v>4083744</v>
      </c>
      <c r="O2037" s="11" t="n">
        <f aca="false">MAX(0,_xlfn.MAXIFS(N$2:N2037,A$2:A2037,A2037,B$2:B2037,B2037))</f>
        <v>4428421</v>
      </c>
      <c r="P2037" s="11" t="n">
        <f aca="false">N2037-O2037</f>
        <v>-344677</v>
      </c>
    </row>
    <row r="2038" customFormat="false" ht="15" hidden="false" customHeight="false" outlineLevel="0" collapsed="false">
      <c r="A2038" s="8" t="s">
        <v>45</v>
      </c>
      <c r="B2038" s="8" t="s">
        <v>43</v>
      </c>
      <c r="C2038" s="8" t="s">
        <v>62</v>
      </c>
      <c r="D2038" s="21" t="n">
        <v>46070.7951388889</v>
      </c>
      <c r="E2038" s="21" t="n">
        <v>46070.8340277778</v>
      </c>
      <c r="F2038" s="22" t="n">
        <f aca="false">DATE(YEAR(E2038),MONTH(E2038),1)</f>
        <v>46054</v>
      </c>
      <c r="G2038" s="23" t="n">
        <v>160110</v>
      </c>
      <c r="H2038" s="8" t="s">
        <v>64</v>
      </c>
      <c r="I2038" s="24" t="n">
        <v>109.76</v>
      </c>
      <c r="J2038" s="25" t="n">
        <f aca="false">Summary!$B$4</f>
        <v>1</v>
      </c>
      <c r="K2038" s="11" t="n">
        <f aca="false">I2038*J2038*IF(A2038="SILVER",Summary!$B$5,Summary!$B$6)</f>
        <v>10976</v>
      </c>
      <c r="L2038" s="26" t="n">
        <v>0.11</v>
      </c>
      <c r="M2038" s="27" t="n">
        <f aca="false">IF(K2038&gt;0,1,0)</f>
        <v>1</v>
      </c>
      <c r="N2038" s="11" t="n">
        <f aca="false">SUMIFS(K$2:K2038,A$2:A2038,A2038,B$2:B2038,B2038)</f>
        <v>4094720</v>
      </c>
      <c r="O2038" s="11" t="n">
        <f aca="false">MAX(0,_xlfn.MAXIFS(N$2:N2038,A$2:A2038,A2038,B$2:B2038,B2038))</f>
        <v>4428421</v>
      </c>
      <c r="P2038" s="11" t="n">
        <f aca="false">N2038-O2038</f>
        <v>-333701</v>
      </c>
    </row>
    <row r="2039" customFormat="false" ht="15" hidden="false" customHeight="false" outlineLevel="0" collapsed="false">
      <c r="A2039" s="8" t="s">
        <v>45</v>
      </c>
      <c r="B2039" s="8" t="s">
        <v>43</v>
      </c>
      <c r="C2039" s="8" t="s">
        <v>62</v>
      </c>
      <c r="D2039" s="21" t="n">
        <v>46084.8541666667</v>
      </c>
      <c r="E2039" s="21" t="n">
        <v>46085.3923611111</v>
      </c>
      <c r="F2039" s="22" t="n">
        <f aca="false">DATE(YEAR(E2039),MONTH(E2039),1)</f>
        <v>46082</v>
      </c>
      <c r="G2039" s="23" t="n">
        <v>167015</v>
      </c>
      <c r="H2039" s="8" t="s">
        <v>61</v>
      </c>
      <c r="I2039" s="24" t="n">
        <v>-4078.32</v>
      </c>
      <c r="J2039" s="25" t="n">
        <f aca="false">Summary!$B$4</f>
        <v>1</v>
      </c>
      <c r="K2039" s="11" t="n">
        <f aca="false">I2039*J2039*IF(A2039="SILVER",Summary!$B$5,Summary!$B$6)</f>
        <v>-407832</v>
      </c>
      <c r="L2039" s="26" t="n">
        <v>-0.842</v>
      </c>
      <c r="M2039" s="27" t="n">
        <f aca="false">IF(K2039&gt;0,1,0)</f>
        <v>0</v>
      </c>
      <c r="N2039" s="11" t="n">
        <f aca="false">SUMIFS(K$2:K2039,A$2:A2039,A2039,B$2:B2039,B2039)</f>
        <v>3686888</v>
      </c>
      <c r="O2039" s="11" t="n">
        <f aca="false">MAX(0,_xlfn.MAXIFS(N$2:N2039,A$2:A2039,A2039,B$2:B2039,B2039))</f>
        <v>4428421</v>
      </c>
      <c r="P2039" s="11" t="n">
        <f aca="false">N2039-O2039</f>
        <v>-741533</v>
      </c>
    </row>
    <row r="2040" customFormat="false" ht="15" hidden="false" customHeight="false" outlineLevel="0" collapsed="false">
      <c r="A2040" s="8" t="s">
        <v>45</v>
      </c>
      <c r="B2040" s="8" t="s">
        <v>43</v>
      </c>
      <c r="C2040" s="8" t="s">
        <v>62</v>
      </c>
      <c r="D2040" s="21" t="n">
        <v>46085.8125</v>
      </c>
      <c r="E2040" s="21" t="n">
        <v>46085.8784722222</v>
      </c>
      <c r="F2040" s="22" t="n">
        <f aca="false">DATE(YEAR(E2040),MONTH(E2040),1)</f>
        <v>46082</v>
      </c>
      <c r="G2040" s="23" t="n">
        <v>170309</v>
      </c>
      <c r="H2040" s="8" t="s">
        <v>64</v>
      </c>
      <c r="I2040" s="24" t="n">
        <v>157.98</v>
      </c>
      <c r="J2040" s="25" t="n">
        <f aca="false">Summary!$B$4</f>
        <v>1</v>
      </c>
      <c r="K2040" s="11" t="n">
        <f aca="false">I2040*J2040*IF(A2040="SILVER",Summary!$B$5,Summary!$B$6)</f>
        <v>15798</v>
      </c>
      <c r="L2040" s="26" t="n">
        <v>0.118</v>
      </c>
      <c r="M2040" s="27" t="n">
        <f aca="false">IF(K2040&gt;0,1,0)</f>
        <v>1</v>
      </c>
      <c r="N2040" s="11" t="n">
        <f aca="false">SUMIFS(K$2:K2040,A$2:A2040,A2040,B$2:B2040,B2040)</f>
        <v>3702686</v>
      </c>
      <c r="O2040" s="11" t="n">
        <f aca="false">MAX(0,_xlfn.MAXIFS(N$2:N2040,A$2:A2040,A2040,B$2:B2040,B2040))</f>
        <v>4428421</v>
      </c>
      <c r="P2040" s="11" t="n">
        <f aca="false">N2040-O2040</f>
        <v>-725735</v>
      </c>
    </row>
    <row r="2041" customFormat="false" ht="15" hidden="false" customHeight="false" outlineLevel="0" collapsed="false">
      <c r="A2041" s="8" t="s">
        <v>45</v>
      </c>
      <c r="B2041" s="8" t="s">
        <v>43</v>
      </c>
      <c r="C2041" s="8" t="s">
        <v>62</v>
      </c>
      <c r="D2041" s="21" t="n">
        <v>46085.9548611111</v>
      </c>
      <c r="E2041" s="21" t="n">
        <v>46085.9951388889</v>
      </c>
      <c r="F2041" s="22" t="n">
        <f aca="false">DATE(YEAR(E2041),MONTH(E2041),1)</f>
        <v>46082</v>
      </c>
      <c r="G2041" s="23" t="n">
        <v>169285</v>
      </c>
      <c r="H2041" s="8" t="s">
        <v>64</v>
      </c>
      <c r="I2041" s="24" t="n">
        <v>207.09</v>
      </c>
      <c r="J2041" s="25" t="n">
        <f aca="false">Summary!$B$4</f>
        <v>1</v>
      </c>
      <c r="K2041" s="11" t="n">
        <f aca="false">I2041*J2041*IF(A2041="SILVER",Summary!$B$5,Summary!$B$6)</f>
        <v>20709</v>
      </c>
      <c r="L2041" s="26" t="n">
        <v>0.125</v>
      </c>
      <c r="M2041" s="27" t="n">
        <f aca="false">IF(K2041&gt;0,1,0)</f>
        <v>1</v>
      </c>
      <c r="N2041" s="11" t="n">
        <f aca="false">SUMIFS(K$2:K2041,A$2:A2041,A2041,B$2:B2041,B2041)</f>
        <v>3723395</v>
      </c>
      <c r="O2041" s="11" t="n">
        <f aca="false">MAX(0,_xlfn.MAXIFS(N$2:N2041,A$2:A2041,A2041,B$2:B2041,B2041))</f>
        <v>4428421</v>
      </c>
      <c r="P2041" s="11" t="n">
        <f aca="false">N2041-O2041</f>
        <v>-705026</v>
      </c>
    </row>
    <row r="2042" customFormat="false" ht="15" hidden="false" customHeight="false" outlineLevel="0" collapsed="false">
      <c r="A2042" s="8" t="s">
        <v>45</v>
      </c>
      <c r="B2042" s="8" t="s">
        <v>43</v>
      </c>
      <c r="C2042" s="8" t="s">
        <v>62</v>
      </c>
      <c r="D2042" s="21" t="n">
        <v>46086.4861111111</v>
      </c>
      <c r="E2042" s="21" t="n">
        <v>46086.7909722222</v>
      </c>
      <c r="F2042" s="22" t="n">
        <f aca="false">DATE(YEAR(E2042),MONTH(E2042),1)</f>
        <v>46082</v>
      </c>
      <c r="G2042" s="23" t="n">
        <v>168382</v>
      </c>
      <c r="H2042" s="8" t="s">
        <v>64</v>
      </c>
      <c r="I2042" s="24" t="n">
        <v>157.85</v>
      </c>
      <c r="J2042" s="25" t="n">
        <f aca="false">Summary!$B$4</f>
        <v>1</v>
      </c>
      <c r="K2042" s="11" t="n">
        <f aca="false">I2042*J2042*IF(A2042="SILVER",Summary!$B$5,Summary!$B$6)</f>
        <v>15785</v>
      </c>
      <c r="L2042" s="26" t="n">
        <v>0.092</v>
      </c>
      <c r="M2042" s="27" t="n">
        <f aca="false">IF(K2042&gt;0,1,0)</f>
        <v>1</v>
      </c>
      <c r="N2042" s="11" t="n">
        <f aca="false">SUMIFS(K$2:K2042,A$2:A2042,A2042,B$2:B2042,B2042)</f>
        <v>3739180</v>
      </c>
      <c r="O2042" s="11" t="n">
        <f aca="false">MAX(0,_xlfn.MAXIFS(N$2:N2042,A$2:A2042,A2042,B$2:B2042,B2042))</f>
        <v>4428421</v>
      </c>
      <c r="P2042" s="11" t="n">
        <f aca="false">N2042-O2042</f>
        <v>-689241</v>
      </c>
    </row>
    <row r="2043" customFormat="false" ht="15" hidden="false" customHeight="false" outlineLevel="0" collapsed="false">
      <c r="A2043" s="8" t="s">
        <v>45</v>
      </c>
      <c r="B2043" s="8" t="s">
        <v>43</v>
      </c>
      <c r="C2043" s="8" t="s">
        <v>62</v>
      </c>
      <c r="D2043" s="21" t="n">
        <v>46086.8611111111</v>
      </c>
      <c r="E2043" s="21" t="n">
        <v>46087.7951388889</v>
      </c>
      <c r="F2043" s="22" t="n">
        <f aca="false">DATE(YEAR(E2043),MONTH(E2043),1)</f>
        <v>46082</v>
      </c>
      <c r="G2043" s="23" t="n">
        <v>166837</v>
      </c>
      <c r="H2043" s="8" t="s">
        <v>61</v>
      </c>
      <c r="I2043" s="24" t="n">
        <v>-1607.01</v>
      </c>
      <c r="J2043" s="25" t="n">
        <f aca="false">Summary!$B$4</f>
        <v>1</v>
      </c>
      <c r="K2043" s="11" t="n">
        <f aca="false">I2043*J2043*IF(A2043="SILVER",Summary!$B$5,Summary!$B$6)</f>
        <v>-160701</v>
      </c>
      <c r="L2043" s="26" t="n">
        <v>-0.734</v>
      </c>
      <c r="M2043" s="27" t="n">
        <f aca="false">IF(K2043&gt;0,1,0)</f>
        <v>0</v>
      </c>
      <c r="N2043" s="11" t="n">
        <f aca="false">SUMIFS(K$2:K2043,A$2:A2043,A2043,B$2:B2043,B2043)</f>
        <v>3578479</v>
      </c>
      <c r="O2043" s="11" t="n">
        <f aca="false">MAX(0,_xlfn.MAXIFS(N$2:N2043,A$2:A2043,A2043,B$2:B2043,B2043))</f>
        <v>4428421</v>
      </c>
      <c r="P2043" s="11" t="n">
        <f aca="false">N2043-O2043</f>
        <v>-849942</v>
      </c>
    </row>
    <row r="2044" customFormat="false" ht="15" hidden="false" customHeight="false" outlineLevel="0" collapsed="false">
      <c r="A2044" s="8" t="s">
        <v>45</v>
      </c>
      <c r="B2044" s="8" t="s">
        <v>43</v>
      </c>
      <c r="C2044" s="8" t="s">
        <v>62</v>
      </c>
      <c r="D2044" s="21" t="n">
        <v>46090.3819444445</v>
      </c>
      <c r="E2044" s="21" t="n">
        <v>46090.4722222222</v>
      </c>
      <c r="F2044" s="22" t="n">
        <f aca="false">DATE(YEAR(E2044),MONTH(E2044),1)</f>
        <v>46082</v>
      </c>
      <c r="G2044" s="23" t="n">
        <v>167889</v>
      </c>
      <c r="H2044" s="8" t="s">
        <v>61</v>
      </c>
      <c r="I2044" s="24" t="n">
        <v>-1154.19</v>
      </c>
      <c r="J2044" s="25" t="n">
        <f aca="false">Summary!$B$4</f>
        <v>1</v>
      </c>
      <c r="K2044" s="11" t="n">
        <f aca="false">I2044*J2044*IF(A2044="SILVER",Summary!$B$5,Summary!$B$6)</f>
        <v>-115419</v>
      </c>
      <c r="L2044" s="26" t="n">
        <v>-0.709</v>
      </c>
      <c r="M2044" s="27" t="n">
        <f aca="false">IF(K2044&gt;0,1,0)</f>
        <v>0</v>
      </c>
      <c r="N2044" s="11" t="n">
        <f aca="false">SUMIFS(K$2:K2044,A$2:A2044,A2044,B$2:B2044,B2044)</f>
        <v>3463060</v>
      </c>
      <c r="O2044" s="11" t="n">
        <f aca="false">MAX(0,_xlfn.MAXIFS(N$2:N2044,A$2:A2044,A2044,B$2:B2044,B2044))</f>
        <v>4428421</v>
      </c>
      <c r="P2044" s="11" t="n">
        <f aca="false">N2044-O2044</f>
        <v>-965361</v>
      </c>
    </row>
    <row r="2045" customFormat="false" ht="15" hidden="false" customHeight="false" outlineLevel="0" collapsed="false">
      <c r="A2045" s="8" t="s">
        <v>45</v>
      </c>
      <c r="B2045" s="8" t="s">
        <v>43</v>
      </c>
      <c r="C2045" s="8" t="s">
        <v>62</v>
      </c>
      <c r="D2045" s="21" t="n">
        <v>46090.7048611111</v>
      </c>
      <c r="E2045" s="21" t="n">
        <v>46090.8027777778</v>
      </c>
      <c r="F2045" s="22" t="n">
        <f aca="false">DATE(YEAR(E2045),MONTH(E2045),1)</f>
        <v>46082</v>
      </c>
      <c r="G2045" s="23" t="n">
        <v>167601</v>
      </c>
      <c r="H2045" s="8" t="s">
        <v>64</v>
      </c>
      <c r="I2045" s="24" t="n">
        <v>120.89</v>
      </c>
      <c r="J2045" s="25" t="n">
        <f aca="false">Summary!$B$4</f>
        <v>1</v>
      </c>
      <c r="K2045" s="11" t="n">
        <f aca="false">I2045*J2045*IF(A2045="SILVER",Summary!$B$5,Summary!$B$6)</f>
        <v>12089</v>
      </c>
      <c r="L2045" s="26" t="n">
        <v>0.111</v>
      </c>
      <c r="M2045" s="27" t="n">
        <f aca="false">IF(K2045&gt;0,1,0)</f>
        <v>1</v>
      </c>
      <c r="N2045" s="11" t="n">
        <f aca="false">SUMIFS(K$2:K2045,A$2:A2045,A2045,B$2:B2045,B2045)</f>
        <v>3475149</v>
      </c>
      <c r="O2045" s="11" t="n">
        <f aca="false">MAX(0,_xlfn.MAXIFS(N$2:N2045,A$2:A2045,A2045,B$2:B2045,B2045))</f>
        <v>4428421</v>
      </c>
      <c r="P2045" s="11" t="n">
        <f aca="false">N2045-O2045</f>
        <v>-953272</v>
      </c>
    </row>
    <row r="2046" customFormat="false" ht="15" hidden="false" customHeight="false" outlineLevel="0" collapsed="false">
      <c r="A2046" s="8" t="s">
        <v>45</v>
      </c>
      <c r="B2046" s="8" t="s">
        <v>43</v>
      </c>
      <c r="C2046" s="8" t="s">
        <v>62</v>
      </c>
      <c r="D2046" s="21" t="n">
        <v>46091.5381944445</v>
      </c>
      <c r="E2046" s="21" t="n">
        <v>46091.7743055556</v>
      </c>
      <c r="F2046" s="22" t="n">
        <f aca="false">DATE(YEAR(E2046),MONTH(E2046),1)</f>
        <v>46082</v>
      </c>
      <c r="G2046" s="23" t="n">
        <v>168871</v>
      </c>
      <c r="H2046" s="8" t="s">
        <v>61</v>
      </c>
      <c r="I2046" s="24" t="n">
        <v>-1140.38</v>
      </c>
      <c r="J2046" s="25" t="n">
        <f aca="false">Summary!$B$4</f>
        <v>1</v>
      </c>
      <c r="K2046" s="11" t="n">
        <f aca="false">I2046*J2046*IF(A2046="SILVER",Summary!$B$5,Summary!$B$6)</f>
        <v>-114038</v>
      </c>
      <c r="L2046" s="26" t="n">
        <v>-1.084</v>
      </c>
      <c r="M2046" s="27" t="n">
        <f aca="false">IF(K2046&gt;0,1,0)</f>
        <v>0</v>
      </c>
      <c r="N2046" s="11" t="n">
        <f aca="false">SUMIFS(K$2:K2046,A$2:A2046,A2046,B$2:B2046,B2046)</f>
        <v>3361111</v>
      </c>
      <c r="O2046" s="11" t="n">
        <f aca="false">MAX(0,_xlfn.MAXIFS(N$2:N2046,A$2:A2046,A2046,B$2:B2046,B2046))</f>
        <v>4428421</v>
      </c>
      <c r="P2046" s="11" t="n">
        <f aca="false">N2046-O2046</f>
        <v>-1067310</v>
      </c>
    </row>
    <row r="2047" customFormat="false" ht="15" hidden="false" customHeight="false" outlineLevel="0" collapsed="false">
      <c r="A2047" s="8" t="s">
        <v>45</v>
      </c>
      <c r="B2047" s="8" t="s">
        <v>43</v>
      </c>
      <c r="C2047" s="8" t="s">
        <v>62</v>
      </c>
      <c r="D2047" s="21" t="n">
        <v>46092.4618055556</v>
      </c>
      <c r="E2047" s="21" t="n">
        <v>46092.5520833333</v>
      </c>
      <c r="F2047" s="22" t="n">
        <f aca="false">DATE(YEAR(E2047),MONTH(E2047),1)</f>
        <v>46082</v>
      </c>
      <c r="G2047" s="23" t="n">
        <v>169981</v>
      </c>
      <c r="H2047" s="8" t="s">
        <v>64</v>
      </c>
      <c r="I2047" s="24" t="n">
        <v>65.64</v>
      </c>
      <c r="J2047" s="25" t="n">
        <f aca="false">Summary!$B$4</f>
        <v>1</v>
      </c>
      <c r="K2047" s="11" t="n">
        <f aca="false">I2047*J2047*IF(A2047="SILVER",Summary!$B$5,Summary!$B$6)</f>
        <v>6564</v>
      </c>
      <c r="L2047" s="26" t="n">
        <v>0.091</v>
      </c>
      <c r="M2047" s="27" t="n">
        <f aca="false">IF(K2047&gt;0,1,0)</f>
        <v>1</v>
      </c>
      <c r="N2047" s="11" t="n">
        <f aca="false">SUMIFS(K$2:K2047,A$2:A2047,A2047,B$2:B2047,B2047)</f>
        <v>3367675</v>
      </c>
      <c r="O2047" s="11" t="n">
        <f aca="false">MAX(0,_xlfn.MAXIFS(N$2:N2047,A$2:A2047,A2047,B$2:B2047,B2047))</f>
        <v>4428421</v>
      </c>
      <c r="P2047" s="11" t="n">
        <f aca="false">N2047-O2047</f>
        <v>-1060746</v>
      </c>
    </row>
    <row r="2048" customFormat="false" ht="15" hidden="false" customHeight="false" outlineLevel="0" collapsed="false">
      <c r="A2048" s="8" t="s">
        <v>45</v>
      </c>
      <c r="B2048" s="8" t="s">
        <v>43</v>
      </c>
      <c r="C2048" s="8" t="s">
        <v>62</v>
      </c>
      <c r="D2048" s="21" t="n">
        <v>46092.5902777778</v>
      </c>
      <c r="E2048" s="21" t="n">
        <v>46092.6777777778</v>
      </c>
      <c r="F2048" s="22" t="n">
        <f aca="false">DATE(YEAR(E2048),MONTH(E2048),1)</f>
        <v>46082</v>
      </c>
      <c r="G2048" s="23" t="n">
        <v>169701</v>
      </c>
      <c r="H2048" s="8" t="s">
        <v>64</v>
      </c>
      <c r="I2048" s="24" t="n">
        <v>59.58</v>
      </c>
      <c r="J2048" s="25" t="n">
        <f aca="false">Summary!$B$4</f>
        <v>1</v>
      </c>
      <c r="K2048" s="11" t="n">
        <f aca="false">I2048*J2048*IF(A2048="SILVER",Summary!$B$5,Summary!$B$6)</f>
        <v>5958</v>
      </c>
      <c r="L2048" s="26" t="n">
        <v>0.088</v>
      </c>
      <c r="M2048" s="27" t="n">
        <f aca="false">IF(K2048&gt;0,1,0)</f>
        <v>1</v>
      </c>
      <c r="N2048" s="11" t="n">
        <f aca="false">SUMIFS(K$2:K2048,A$2:A2048,A2048,B$2:B2048,B2048)</f>
        <v>3373633</v>
      </c>
      <c r="O2048" s="11" t="n">
        <f aca="false">MAX(0,_xlfn.MAXIFS(N$2:N2048,A$2:A2048,A2048,B$2:B2048,B2048))</f>
        <v>4428421</v>
      </c>
      <c r="P2048" s="11" t="n">
        <f aca="false">N2048-O2048</f>
        <v>-1054788</v>
      </c>
    </row>
    <row r="2049" customFormat="false" ht="15" hidden="false" customHeight="false" outlineLevel="0" collapsed="false">
      <c r="A2049" s="8" t="s">
        <v>45</v>
      </c>
      <c r="B2049" s="8" t="s">
        <v>43</v>
      </c>
      <c r="C2049" s="8" t="s">
        <v>62</v>
      </c>
      <c r="D2049" s="21" t="n">
        <v>46092.7708333333</v>
      </c>
      <c r="E2049" s="21" t="n">
        <v>46092.8076388889</v>
      </c>
      <c r="F2049" s="22" t="n">
        <f aca="false">DATE(YEAR(E2049),MONTH(E2049),1)</f>
        <v>46082</v>
      </c>
      <c r="G2049" s="23" t="n">
        <v>169191</v>
      </c>
      <c r="H2049" s="8" t="s">
        <v>64</v>
      </c>
      <c r="I2049" s="24" t="n">
        <v>-2.34</v>
      </c>
      <c r="J2049" s="25" t="n">
        <f aca="false">Summary!$B$4</f>
        <v>1</v>
      </c>
      <c r="K2049" s="11" t="n">
        <f aca="false">I2049*J2049*IF(A2049="SILVER",Summary!$B$5,Summary!$B$6)</f>
        <v>-234</v>
      </c>
      <c r="L2049" s="26" t="n">
        <v>-0.002</v>
      </c>
      <c r="M2049" s="27" t="n">
        <f aca="false">IF(K2049&gt;0,1,0)</f>
        <v>0</v>
      </c>
      <c r="N2049" s="11" t="n">
        <f aca="false">SUMIFS(K$2:K2049,A$2:A2049,A2049,B$2:B2049,B2049)</f>
        <v>3373399</v>
      </c>
      <c r="O2049" s="11" t="n">
        <f aca="false">MAX(0,_xlfn.MAXIFS(N$2:N2049,A$2:A2049,A2049,B$2:B2049,B2049))</f>
        <v>4428421</v>
      </c>
      <c r="P2049" s="11" t="n">
        <f aca="false">N2049-O2049</f>
        <v>-1055022</v>
      </c>
    </row>
    <row r="2050" customFormat="false" ht="15" hidden="false" customHeight="false" outlineLevel="0" collapsed="false">
      <c r="A2050" s="8" t="s">
        <v>45</v>
      </c>
      <c r="B2050" s="8" t="s">
        <v>43</v>
      </c>
      <c r="C2050" s="8" t="s">
        <v>62</v>
      </c>
      <c r="D2050" s="21" t="n">
        <v>46093.7951388889</v>
      </c>
      <c r="E2050" s="21" t="n">
        <v>46093.8013888889</v>
      </c>
      <c r="F2050" s="22" t="n">
        <f aca="false">DATE(YEAR(E2050),MONTH(E2050),1)</f>
        <v>46082</v>
      </c>
      <c r="G2050" s="23" t="n">
        <v>169084</v>
      </c>
      <c r="H2050" s="8" t="s">
        <v>64</v>
      </c>
      <c r="I2050" s="24" t="n">
        <v>30.7</v>
      </c>
      <c r="J2050" s="25" t="n">
        <f aca="false">Summary!$B$4</f>
        <v>1</v>
      </c>
      <c r="K2050" s="11" t="n">
        <f aca="false">I2050*J2050*IF(A2050="SILVER",Summary!$B$5,Summary!$B$6)</f>
        <v>3070</v>
      </c>
      <c r="L2050" s="26" t="n">
        <v>0.049</v>
      </c>
      <c r="M2050" s="27" t="n">
        <f aca="false">IF(K2050&gt;0,1,0)</f>
        <v>1</v>
      </c>
      <c r="N2050" s="11" t="n">
        <f aca="false">SUMIFS(K$2:K2050,A$2:A2050,A2050,B$2:B2050,B2050)</f>
        <v>3376469</v>
      </c>
      <c r="O2050" s="11" t="n">
        <f aca="false">MAX(0,_xlfn.MAXIFS(N$2:N2050,A$2:A2050,A2050,B$2:B2050,B2050))</f>
        <v>4428421</v>
      </c>
      <c r="P2050" s="11" t="n">
        <f aca="false">N2050-O2050</f>
        <v>-1051952</v>
      </c>
    </row>
    <row r="2051" customFormat="false" ht="15" hidden="false" customHeight="false" outlineLevel="0" collapsed="false">
      <c r="A2051" s="8" t="s">
        <v>45</v>
      </c>
      <c r="B2051" s="8" t="s">
        <v>43</v>
      </c>
      <c r="C2051" s="8" t="s">
        <v>62</v>
      </c>
      <c r="D2051" s="21" t="n">
        <v>46093.8576388889</v>
      </c>
      <c r="E2051" s="21" t="n">
        <v>46093.8631944444</v>
      </c>
      <c r="F2051" s="22" t="n">
        <f aca="false">DATE(YEAR(E2051),MONTH(E2051),1)</f>
        <v>46082</v>
      </c>
      <c r="G2051" s="23" t="n">
        <v>168387</v>
      </c>
      <c r="H2051" s="8" t="s">
        <v>64</v>
      </c>
      <c r="I2051" s="24" t="n">
        <v>131.62</v>
      </c>
      <c r="J2051" s="25" t="n">
        <f aca="false">Summary!$B$4</f>
        <v>1</v>
      </c>
      <c r="K2051" s="11" t="n">
        <f aca="false">I2051*J2051*IF(A2051="SILVER",Summary!$B$5,Summary!$B$6)</f>
        <v>13162</v>
      </c>
      <c r="L2051" s="26" t="n">
        <v>0.114</v>
      </c>
      <c r="M2051" s="27" t="n">
        <f aca="false">IF(K2051&gt;0,1,0)</f>
        <v>1</v>
      </c>
      <c r="N2051" s="11" t="n">
        <f aca="false">SUMIFS(K$2:K2051,A$2:A2051,A2051,B$2:B2051,B2051)</f>
        <v>3389631</v>
      </c>
      <c r="O2051" s="11" t="n">
        <f aca="false">MAX(0,_xlfn.MAXIFS(N$2:N2051,A$2:A2051,A2051,B$2:B2051,B2051))</f>
        <v>4428421</v>
      </c>
      <c r="P2051" s="11" t="n">
        <f aca="false">N2051-O2051</f>
        <v>-1038790</v>
      </c>
    </row>
    <row r="2052" customFormat="false" ht="15" hidden="false" customHeight="false" outlineLevel="0" collapsed="false">
      <c r="A2052" s="8" t="s">
        <v>45</v>
      </c>
      <c r="B2052" s="8" t="s">
        <v>43</v>
      </c>
      <c r="C2052" s="8" t="s">
        <v>62</v>
      </c>
      <c r="D2052" s="21" t="n">
        <v>46093.8645833333</v>
      </c>
      <c r="E2052" s="21" t="n">
        <v>46094.7291666667</v>
      </c>
      <c r="F2052" s="22" t="n">
        <f aca="false">DATE(YEAR(E2052),MONTH(E2052),1)</f>
        <v>46082</v>
      </c>
      <c r="G2052" s="23" t="n">
        <v>168360</v>
      </c>
      <c r="H2052" s="8" t="s">
        <v>61</v>
      </c>
      <c r="I2052" s="24" t="n">
        <v>716.91</v>
      </c>
      <c r="J2052" s="25" t="n">
        <f aca="false">Summary!$B$4</f>
        <v>1</v>
      </c>
      <c r="K2052" s="11" t="n">
        <f aca="false">I2052*J2052*IF(A2052="SILVER",Summary!$B$5,Summary!$B$6)</f>
        <v>71691</v>
      </c>
      <c r="L2052" s="26" t="n">
        <v>0.827</v>
      </c>
      <c r="M2052" s="27" t="n">
        <f aca="false">IF(K2052&gt;0,1,0)</f>
        <v>1</v>
      </c>
      <c r="N2052" s="11" t="n">
        <f aca="false">SUMIFS(K$2:K2052,A$2:A2052,A2052,B$2:B2052,B2052)</f>
        <v>3461322</v>
      </c>
      <c r="O2052" s="11" t="n">
        <f aca="false">MAX(0,_xlfn.MAXIFS(N$2:N2052,A$2:A2052,A2052,B$2:B2052,B2052))</f>
        <v>4428421</v>
      </c>
      <c r="P2052" s="11" t="n">
        <f aca="false">N2052-O2052</f>
        <v>-967099</v>
      </c>
    </row>
    <row r="2053" customFormat="false" ht="15" hidden="false" customHeight="false" outlineLevel="0" collapsed="false">
      <c r="A2053" s="8" t="s">
        <v>45</v>
      </c>
      <c r="B2053" s="8" t="s">
        <v>43</v>
      </c>
      <c r="C2053" s="8" t="s">
        <v>62</v>
      </c>
      <c r="D2053" s="21" t="n">
        <v>46094.8229166667</v>
      </c>
      <c r="E2053" s="21" t="n">
        <v>46097.7013888889</v>
      </c>
      <c r="F2053" s="22" t="n">
        <f aca="false">DATE(YEAR(E2053),MONTH(E2053),1)</f>
        <v>46082</v>
      </c>
      <c r="G2053" s="23" t="n">
        <v>167023</v>
      </c>
      <c r="H2053" s="8" t="s">
        <v>61</v>
      </c>
      <c r="I2053" s="24" t="n">
        <v>3308.43</v>
      </c>
      <c r="J2053" s="25" t="n">
        <f aca="false">Summary!$B$4</f>
        <v>1</v>
      </c>
      <c r="K2053" s="11" t="n">
        <f aca="false">I2053*J2053*IF(A2053="SILVER",Summary!$B$5,Summary!$B$6)</f>
        <v>330843</v>
      </c>
      <c r="L2053" s="26" t="n">
        <v>2.513</v>
      </c>
      <c r="M2053" s="27" t="n">
        <f aca="false">IF(K2053&gt;0,1,0)</f>
        <v>1</v>
      </c>
      <c r="N2053" s="11" t="n">
        <f aca="false">SUMIFS(K$2:K2053,A$2:A2053,A2053,B$2:B2053,B2053)</f>
        <v>3792165</v>
      </c>
      <c r="O2053" s="11" t="n">
        <f aca="false">MAX(0,_xlfn.MAXIFS(N$2:N2053,A$2:A2053,A2053,B$2:B2053,B2053))</f>
        <v>4428421</v>
      </c>
      <c r="P2053" s="11" t="n">
        <f aca="false">N2053-O2053</f>
        <v>-636256</v>
      </c>
    </row>
    <row r="2054" customFormat="false" ht="15" hidden="false" customHeight="false" outlineLevel="0" collapsed="false">
      <c r="A2054" s="8" t="s">
        <v>45</v>
      </c>
      <c r="B2054" s="8" t="s">
        <v>43</v>
      </c>
      <c r="C2054" s="8" t="s">
        <v>62</v>
      </c>
      <c r="D2054" s="21" t="n">
        <v>46097.8958333333</v>
      </c>
      <c r="E2054" s="21" t="n">
        <v>46098.3784722222</v>
      </c>
      <c r="F2054" s="22" t="n">
        <f aca="false">DATE(YEAR(E2054),MONTH(E2054),1)</f>
        <v>46082</v>
      </c>
      <c r="G2054" s="23" t="n">
        <v>163045</v>
      </c>
      <c r="H2054" s="8" t="s">
        <v>61</v>
      </c>
      <c r="I2054" s="24" t="n">
        <v>-1297.22</v>
      </c>
      <c r="J2054" s="25" t="n">
        <f aca="false">Summary!$B$4</f>
        <v>1</v>
      </c>
      <c r="K2054" s="11" t="n">
        <f aca="false">I2054*J2054*IF(A2054="SILVER",Summary!$B$5,Summary!$B$6)</f>
        <v>-129722</v>
      </c>
      <c r="L2054" s="26" t="n">
        <v>-0.958</v>
      </c>
      <c r="M2054" s="27" t="n">
        <f aca="false">IF(K2054&gt;0,1,0)</f>
        <v>0</v>
      </c>
      <c r="N2054" s="11" t="n">
        <f aca="false">SUMIFS(K$2:K2054,A$2:A2054,A2054,B$2:B2054,B2054)</f>
        <v>3662443</v>
      </c>
      <c r="O2054" s="11" t="n">
        <f aca="false">MAX(0,_xlfn.MAXIFS(N$2:N2054,A$2:A2054,A2054,B$2:B2054,B2054))</f>
        <v>4428421</v>
      </c>
      <c r="P2054" s="11" t="n">
        <f aca="false">N2054-O2054</f>
        <v>-765978</v>
      </c>
    </row>
    <row r="2055" customFormat="false" ht="15" hidden="false" customHeight="false" outlineLevel="0" collapsed="false">
      <c r="A2055" s="8" t="s">
        <v>45</v>
      </c>
      <c r="B2055" s="8" t="s">
        <v>43</v>
      </c>
      <c r="C2055" s="8" t="s">
        <v>62</v>
      </c>
      <c r="D2055" s="21" t="n">
        <v>46098.4861111111</v>
      </c>
      <c r="E2055" s="21" t="n">
        <v>46098.6986111111</v>
      </c>
      <c r="F2055" s="22" t="n">
        <f aca="false">DATE(YEAR(E2055),MONTH(E2055),1)</f>
        <v>46082</v>
      </c>
      <c r="G2055" s="23" t="n">
        <v>163869</v>
      </c>
      <c r="H2055" s="8" t="s">
        <v>64</v>
      </c>
      <c r="I2055" s="24" t="n">
        <v>91.74</v>
      </c>
      <c r="J2055" s="25" t="n">
        <f aca="false">Summary!$B$4</f>
        <v>1</v>
      </c>
      <c r="K2055" s="11" t="n">
        <f aca="false">I2055*J2055*IF(A2055="SILVER",Summary!$B$5,Summary!$B$6)</f>
        <v>9174</v>
      </c>
      <c r="L2055" s="26" t="n">
        <v>0.077</v>
      </c>
      <c r="M2055" s="27" t="n">
        <f aca="false">IF(K2055&gt;0,1,0)</f>
        <v>1</v>
      </c>
      <c r="N2055" s="11" t="n">
        <f aca="false">SUMIFS(K$2:K2055,A$2:A2055,A2055,B$2:B2055,B2055)</f>
        <v>3671617</v>
      </c>
      <c r="O2055" s="11" t="n">
        <f aca="false">MAX(0,_xlfn.MAXIFS(N$2:N2055,A$2:A2055,A2055,B$2:B2055,B2055))</f>
        <v>4428421</v>
      </c>
      <c r="P2055" s="11" t="n">
        <f aca="false">N2055-O2055</f>
        <v>-756804</v>
      </c>
    </row>
    <row r="2056" customFormat="false" ht="15" hidden="false" customHeight="false" outlineLevel="0" collapsed="false">
      <c r="A2056" s="8" t="s">
        <v>45</v>
      </c>
      <c r="B2056" s="8" t="s">
        <v>43</v>
      </c>
      <c r="C2056" s="8" t="s">
        <v>62</v>
      </c>
      <c r="D2056" s="21" t="n">
        <v>46098.8819444445</v>
      </c>
      <c r="E2056" s="21" t="n">
        <v>46099.5034722222</v>
      </c>
      <c r="F2056" s="22" t="n">
        <f aca="false">DATE(YEAR(E2056),MONTH(E2056),1)</f>
        <v>46082</v>
      </c>
      <c r="G2056" s="23" t="n">
        <v>162837</v>
      </c>
      <c r="H2056" s="8" t="s">
        <v>61</v>
      </c>
      <c r="I2056" s="24" t="n">
        <v>-775.14</v>
      </c>
      <c r="J2056" s="25" t="n">
        <f aca="false">Summary!$B$4</f>
        <v>1</v>
      </c>
      <c r="K2056" s="11" t="n">
        <f aca="false">I2056*J2056*IF(A2056="SILVER",Summary!$B$5,Summary!$B$6)</f>
        <v>-77514</v>
      </c>
      <c r="L2056" s="26" t="n">
        <v>-0.614</v>
      </c>
      <c r="M2056" s="27" t="n">
        <f aca="false">IF(K2056&gt;0,1,0)</f>
        <v>0</v>
      </c>
      <c r="N2056" s="11" t="n">
        <f aca="false">SUMIFS(K$2:K2056,A$2:A2056,A2056,B$2:B2056,B2056)</f>
        <v>3594103</v>
      </c>
      <c r="O2056" s="11" t="n">
        <f aca="false">MAX(0,_xlfn.MAXIFS(N$2:N2056,A$2:A2056,A2056,B$2:B2056,B2056))</f>
        <v>4428421</v>
      </c>
      <c r="P2056" s="11" t="n">
        <f aca="false">N2056-O2056</f>
        <v>-834318</v>
      </c>
    </row>
    <row r="2057" customFormat="false" ht="15" hidden="false" customHeight="false" outlineLevel="0" collapsed="false">
      <c r="A2057" s="8" t="s">
        <v>45</v>
      </c>
      <c r="B2057" s="8" t="s">
        <v>43</v>
      </c>
      <c r="C2057" s="8" t="s">
        <v>62</v>
      </c>
      <c r="D2057" s="21" t="n">
        <v>46099.6909722222</v>
      </c>
      <c r="E2057" s="21" t="n">
        <v>46099.69375</v>
      </c>
      <c r="F2057" s="22" t="n">
        <f aca="false">DATE(YEAR(E2057),MONTH(E2057),1)</f>
        <v>46082</v>
      </c>
      <c r="G2057" s="23" t="n">
        <v>162579</v>
      </c>
      <c r="H2057" s="8" t="s">
        <v>64</v>
      </c>
      <c r="I2057" s="24" t="n">
        <v>88.43</v>
      </c>
      <c r="J2057" s="25" t="n">
        <f aca="false">Summary!$B$4</f>
        <v>1</v>
      </c>
      <c r="K2057" s="11" t="n">
        <f aca="false">I2057*J2057*IF(A2057="SILVER",Summary!$B$5,Summary!$B$6)</f>
        <v>8843</v>
      </c>
      <c r="L2057" s="26" t="n">
        <v>0.102</v>
      </c>
      <c r="M2057" s="27" t="n">
        <f aca="false">IF(K2057&gt;0,1,0)</f>
        <v>1</v>
      </c>
      <c r="N2057" s="11" t="n">
        <f aca="false">SUMIFS(K$2:K2057,A$2:A2057,A2057,B$2:B2057,B2057)</f>
        <v>3602946</v>
      </c>
      <c r="O2057" s="11" t="n">
        <f aca="false">MAX(0,_xlfn.MAXIFS(N$2:N2057,A$2:A2057,A2057,B$2:B2057,B2057))</f>
        <v>4428421</v>
      </c>
      <c r="P2057" s="11" t="n">
        <f aca="false">N2057-O2057</f>
        <v>-825475</v>
      </c>
    </row>
    <row r="2058" customFormat="false" ht="15" hidden="false" customHeight="false" outlineLevel="0" collapsed="false">
      <c r="A2058" s="8" t="s">
        <v>45</v>
      </c>
      <c r="B2058" s="8" t="s">
        <v>43</v>
      </c>
      <c r="C2058" s="8" t="s">
        <v>62</v>
      </c>
      <c r="D2058" s="21" t="n">
        <v>46099.6944444445</v>
      </c>
      <c r="E2058" s="21" t="n">
        <v>46099.7090277778</v>
      </c>
      <c r="F2058" s="22" t="n">
        <f aca="false">DATE(YEAR(E2058),MONTH(E2058),1)</f>
        <v>46082</v>
      </c>
      <c r="G2058" s="23" t="n">
        <v>162501</v>
      </c>
      <c r="H2058" s="8" t="s">
        <v>64</v>
      </c>
      <c r="I2058" s="24" t="n">
        <v>63.02</v>
      </c>
      <c r="J2058" s="25" t="n">
        <f aca="false">Summary!$B$4</f>
        <v>1</v>
      </c>
      <c r="K2058" s="11" t="n">
        <f aca="false">I2058*J2058*IF(A2058="SILVER",Summary!$B$5,Summary!$B$6)</f>
        <v>6302</v>
      </c>
      <c r="L2058" s="26" t="n">
        <v>0.082</v>
      </c>
      <c r="M2058" s="27" t="n">
        <f aca="false">IF(K2058&gt;0,1,0)</f>
        <v>1</v>
      </c>
      <c r="N2058" s="11" t="n">
        <f aca="false">SUMIFS(K$2:K2058,A$2:A2058,A2058,B$2:B2058,B2058)</f>
        <v>3609248</v>
      </c>
      <c r="O2058" s="11" t="n">
        <f aca="false">MAX(0,_xlfn.MAXIFS(N$2:N2058,A$2:A2058,A2058,B$2:B2058,B2058))</f>
        <v>4428421</v>
      </c>
      <c r="P2058" s="11" t="n">
        <f aca="false">N2058-O2058</f>
        <v>-819173</v>
      </c>
    </row>
    <row r="2059" customFormat="false" ht="15" hidden="false" customHeight="false" outlineLevel="0" collapsed="false">
      <c r="A2059" s="8" t="s">
        <v>45</v>
      </c>
      <c r="B2059" s="8" t="s">
        <v>43</v>
      </c>
      <c r="C2059" s="8" t="s">
        <v>62</v>
      </c>
      <c r="D2059" s="21" t="n">
        <v>46099.7152777778</v>
      </c>
      <c r="E2059" s="21" t="n">
        <v>46100.8125</v>
      </c>
      <c r="F2059" s="22" t="n">
        <f aca="false">DATE(YEAR(E2059),MONTH(E2059),1)</f>
        <v>46082</v>
      </c>
      <c r="G2059" s="23" t="n">
        <v>162046</v>
      </c>
      <c r="H2059" s="8" t="s">
        <v>61</v>
      </c>
      <c r="I2059" s="24" t="n">
        <v>9209.01</v>
      </c>
      <c r="J2059" s="25" t="n">
        <f aca="false">Summary!$B$4</f>
        <v>1</v>
      </c>
      <c r="K2059" s="11" t="n">
        <f aca="false">I2059*J2059*IF(A2059="SILVER",Summary!$B$5,Summary!$B$6)</f>
        <v>920901</v>
      </c>
      <c r="L2059" s="26" t="n">
        <v>7.626</v>
      </c>
      <c r="M2059" s="27" t="n">
        <f aca="false">IF(K2059&gt;0,1,0)</f>
        <v>1</v>
      </c>
      <c r="N2059" s="11" t="n">
        <f aca="false">SUMIFS(K$2:K2059,A$2:A2059,A2059,B$2:B2059,B2059)</f>
        <v>4530149</v>
      </c>
      <c r="O2059" s="11" t="n">
        <f aca="false">MAX(0,_xlfn.MAXIFS(N$2:N2059,A$2:A2059,A2059,B$2:B2059,B2059))</f>
        <v>4530149</v>
      </c>
      <c r="P2059" s="11" t="n">
        <f aca="false">N2059-O2059</f>
        <v>0</v>
      </c>
    </row>
    <row r="2060" customFormat="false" ht="15" hidden="false" customHeight="false" outlineLevel="0" collapsed="false">
      <c r="A2060" s="8" t="s">
        <v>45</v>
      </c>
      <c r="B2060" s="8" t="s">
        <v>43</v>
      </c>
      <c r="C2060" s="8" t="s">
        <v>62</v>
      </c>
      <c r="D2060" s="21" t="n">
        <v>46101.5104166667</v>
      </c>
      <c r="E2060" s="21" t="n">
        <v>46101.5729166667</v>
      </c>
      <c r="F2060" s="22" t="n">
        <f aca="false">DATE(YEAR(E2060),MONTH(E2060),1)</f>
        <v>46082</v>
      </c>
      <c r="G2060" s="23" t="n">
        <v>153291</v>
      </c>
      <c r="H2060" s="8" t="s">
        <v>61</v>
      </c>
      <c r="I2060" s="24" t="n">
        <v>-2216.38</v>
      </c>
      <c r="J2060" s="25" t="n">
        <f aca="false">Summary!$B$4</f>
        <v>1</v>
      </c>
      <c r="K2060" s="11" t="n">
        <f aca="false">I2060*J2060*IF(A2060="SILVER",Summary!$B$5,Summary!$B$6)</f>
        <v>-221638</v>
      </c>
      <c r="L2060" s="26" t="n">
        <v>-1.039</v>
      </c>
      <c r="M2060" s="27" t="n">
        <f aca="false">IF(K2060&gt;0,1,0)</f>
        <v>0</v>
      </c>
      <c r="N2060" s="11" t="n">
        <f aca="false">SUMIFS(K$2:K2060,A$2:A2060,A2060,B$2:B2060,B2060)</f>
        <v>4308511</v>
      </c>
      <c r="O2060" s="11" t="n">
        <f aca="false">MAX(0,_xlfn.MAXIFS(N$2:N2060,A$2:A2060,A2060,B$2:B2060,B2060))</f>
        <v>4530149</v>
      </c>
      <c r="P2060" s="11" t="n">
        <f aca="false">N2060-O2060</f>
        <v>-221638</v>
      </c>
    </row>
    <row r="2061" customFormat="false" ht="15" hidden="false" customHeight="false" outlineLevel="0" collapsed="false">
      <c r="A2061" s="8" t="s">
        <v>45</v>
      </c>
      <c r="B2061" s="8" t="s">
        <v>43</v>
      </c>
      <c r="C2061" s="8" t="s">
        <v>62</v>
      </c>
      <c r="D2061" s="21" t="n">
        <v>46101.6493055556</v>
      </c>
      <c r="E2061" s="21" t="n">
        <v>46104.6180555556</v>
      </c>
      <c r="F2061" s="22" t="n">
        <f aca="false">DATE(YEAR(E2061),MONTH(E2061),1)</f>
        <v>46082</v>
      </c>
      <c r="G2061" s="23" t="n">
        <v>153849</v>
      </c>
      <c r="H2061" s="8" t="s">
        <v>61</v>
      </c>
      <c r="I2061" s="24" t="n">
        <v>11009.84</v>
      </c>
      <c r="J2061" s="25" t="n">
        <f aca="false">Summary!$B$4</f>
        <v>1</v>
      </c>
      <c r="K2061" s="11" t="n">
        <f aca="false">I2061*J2061*IF(A2061="SILVER",Summary!$B$5,Summary!$B$6)</f>
        <v>1100984</v>
      </c>
      <c r="L2061" s="26" t="n">
        <v>5.207</v>
      </c>
      <c r="M2061" s="27" t="n">
        <f aca="false">IF(K2061&gt;0,1,0)</f>
        <v>1</v>
      </c>
      <c r="N2061" s="11" t="n">
        <f aca="false">SUMIFS(K$2:K2061,A$2:A2061,A2061,B$2:B2061,B2061)</f>
        <v>5409495</v>
      </c>
      <c r="O2061" s="11" t="n">
        <f aca="false">MAX(0,_xlfn.MAXIFS(N$2:N2061,A$2:A2061,A2061,B$2:B2061,B2061))</f>
        <v>5409495</v>
      </c>
      <c r="P2061" s="11" t="n">
        <f aca="false">N2061-O2061</f>
        <v>0</v>
      </c>
    </row>
    <row r="2062" customFormat="false" ht="15" hidden="false" customHeight="false" outlineLevel="0" collapsed="false">
      <c r="A2062" s="8" t="s">
        <v>45</v>
      </c>
      <c r="B2062" s="8" t="s">
        <v>43</v>
      </c>
      <c r="C2062" s="8" t="s">
        <v>62</v>
      </c>
      <c r="D2062" s="21" t="n">
        <v>46105.4444444445</v>
      </c>
      <c r="E2062" s="21" t="n">
        <v>46105.5208333333</v>
      </c>
      <c r="F2062" s="22" t="n">
        <f aca="false">DATE(YEAR(E2062),MONTH(E2062),1)</f>
        <v>46082</v>
      </c>
      <c r="G2062" s="23" t="n">
        <v>143985</v>
      </c>
      <c r="H2062" s="8" t="s">
        <v>61</v>
      </c>
      <c r="I2062" s="24" t="n">
        <v>-2980.59</v>
      </c>
      <c r="J2062" s="25" t="n">
        <f aca="false">Summary!$B$4</f>
        <v>1</v>
      </c>
      <c r="K2062" s="11" t="n">
        <f aca="false">I2062*J2062*IF(A2062="SILVER",Summary!$B$5,Summary!$B$6)</f>
        <v>-298059</v>
      </c>
      <c r="L2062" s="26" t="n">
        <v>-0.99</v>
      </c>
      <c r="M2062" s="27" t="n">
        <f aca="false">IF(K2062&gt;0,1,0)</f>
        <v>0</v>
      </c>
      <c r="N2062" s="11" t="n">
        <f aca="false">SUMIFS(K$2:K2062,A$2:A2062,A2062,B$2:B2062,B2062)</f>
        <v>5111436</v>
      </c>
      <c r="O2062" s="11" t="n">
        <f aca="false">MAX(0,_xlfn.MAXIFS(N$2:N2062,A$2:A2062,A2062,B$2:B2062,B2062))</f>
        <v>5409495</v>
      </c>
      <c r="P2062" s="11" t="n">
        <f aca="false">N2062-O2062</f>
        <v>-298059</v>
      </c>
    </row>
    <row r="2063" customFormat="false" ht="15" hidden="false" customHeight="false" outlineLevel="0" collapsed="false">
      <c r="A2063" s="8" t="s">
        <v>45</v>
      </c>
      <c r="B2063" s="8" t="s">
        <v>43</v>
      </c>
      <c r="C2063" s="8" t="s">
        <v>62</v>
      </c>
      <c r="D2063" s="21" t="n">
        <v>46105.7569444445</v>
      </c>
      <c r="E2063" s="21" t="n">
        <v>46106.3784722222</v>
      </c>
      <c r="F2063" s="22" t="n">
        <f aca="false">DATE(YEAR(E2063),MONTH(E2063),1)</f>
        <v>46082</v>
      </c>
      <c r="G2063" s="23" t="n">
        <v>145551</v>
      </c>
      <c r="H2063" s="8" t="s">
        <v>61</v>
      </c>
      <c r="I2063" s="24" t="n">
        <v>-5656.17</v>
      </c>
      <c r="J2063" s="25" t="n">
        <f aca="false">Summary!$B$4</f>
        <v>1</v>
      </c>
      <c r="K2063" s="11" t="n">
        <f aca="false">I2063*J2063*IF(A2063="SILVER",Summary!$B$5,Summary!$B$6)</f>
        <v>-565617</v>
      </c>
      <c r="L2063" s="26" t="n">
        <v>-2</v>
      </c>
      <c r="M2063" s="27" t="n">
        <f aca="false">IF(K2063&gt;0,1,0)</f>
        <v>0</v>
      </c>
      <c r="N2063" s="11" t="n">
        <f aca="false">SUMIFS(K$2:K2063,A$2:A2063,A2063,B$2:B2063,B2063)</f>
        <v>4545819</v>
      </c>
      <c r="O2063" s="11" t="n">
        <f aca="false">MAX(0,_xlfn.MAXIFS(N$2:N2063,A$2:A2063,A2063,B$2:B2063,B2063))</f>
        <v>5409495</v>
      </c>
      <c r="P2063" s="11" t="n">
        <f aca="false">N2063-O2063</f>
        <v>-863676</v>
      </c>
    </row>
    <row r="2064" customFormat="false" ht="15" hidden="false" customHeight="false" outlineLevel="0" collapsed="false">
      <c r="A2064" s="8" t="s">
        <v>45</v>
      </c>
      <c r="B2064" s="8" t="s">
        <v>43</v>
      </c>
      <c r="C2064" s="8" t="s">
        <v>62</v>
      </c>
      <c r="D2064" s="21" t="n">
        <v>46118.7847222222</v>
      </c>
      <c r="E2064" s="21" t="n">
        <v>46118.9493055556</v>
      </c>
      <c r="F2064" s="22" t="n">
        <f aca="false">DATE(YEAR(E2064),MONTH(E2064),1)</f>
        <v>46113</v>
      </c>
      <c r="G2064" s="23" t="n">
        <v>154355</v>
      </c>
      <c r="H2064" s="8" t="s">
        <v>64</v>
      </c>
      <c r="I2064" s="24" t="n">
        <v>142.05</v>
      </c>
      <c r="J2064" s="25" t="n">
        <f aca="false">Summary!$B$4</f>
        <v>1</v>
      </c>
      <c r="K2064" s="11" t="n">
        <f aca="false">I2064*J2064*IF(A2064="SILVER",Summary!$B$5,Summary!$B$6)</f>
        <v>14205</v>
      </c>
      <c r="L2064" s="26" t="n">
        <v>0.117</v>
      </c>
      <c r="M2064" s="27" t="n">
        <f aca="false">IF(K2064&gt;0,1,0)</f>
        <v>1</v>
      </c>
      <c r="N2064" s="11" t="n">
        <f aca="false">SUMIFS(K$2:K2064,A$2:A2064,A2064,B$2:B2064,B2064)</f>
        <v>4560024</v>
      </c>
      <c r="O2064" s="11" t="n">
        <f aca="false">MAX(0,_xlfn.MAXIFS(N$2:N2064,A$2:A2064,A2064,B$2:B2064,B2064))</f>
        <v>5409495</v>
      </c>
      <c r="P2064" s="11" t="n">
        <f aca="false">N2064-O2064</f>
        <v>-849471</v>
      </c>
    </row>
    <row r="2065" customFormat="false" ht="15" hidden="false" customHeight="false" outlineLevel="0" collapsed="false">
      <c r="A2065" s="8" t="s">
        <v>45</v>
      </c>
      <c r="B2065" s="8" t="s">
        <v>43</v>
      </c>
      <c r="C2065" s="8" t="s">
        <v>62</v>
      </c>
      <c r="D2065" s="21" t="n">
        <v>46119.4583333333</v>
      </c>
      <c r="E2065" s="21" t="n">
        <v>46119.5798611111</v>
      </c>
      <c r="F2065" s="22" t="n">
        <f aca="false">DATE(YEAR(E2065),MONTH(E2065),1)</f>
        <v>46113</v>
      </c>
      <c r="G2065" s="23" t="n">
        <v>153764</v>
      </c>
      <c r="H2065" s="8" t="s">
        <v>61</v>
      </c>
      <c r="I2065" s="24" t="n">
        <v>-1103.01</v>
      </c>
      <c r="J2065" s="25" t="n">
        <f aca="false">Summary!$B$4</f>
        <v>1</v>
      </c>
      <c r="K2065" s="11" t="n">
        <f aca="false">I2065*J2065*IF(A2065="SILVER",Summary!$B$5,Summary!$B$6)</f>
        <v>-110301</v>
      </c>
      <c r="L2065" s="26" t="n">
        <v>-0.904</v>
      </c>
      <c r="M2065" s="27" t="n">
        <f aca="false">IF(K2065&gt;0,1,0)</f>
        <v>0</v>
      </c>
      <c r="N2065" s="11" t="n">
        <f aca="false">SUMIFS(K$2:K2065,A$2:A2065,A2065,B$2:B2065,B2065)</f>
        <v>4449723</v>
      </c>
      <c r="O2065" s="11" t="n">
        <f aca="false">MAX(0,_xlfn.MAXIFS(N$2:N2065,A$2:A2065,A2065,B$2:B2065,B2065))</f>
        <v>5409495</v>
      </c>
      <c r="P2065" s="11" t="n">
        <f aca="false">N2065-O2065</f>
        <v>-959772</v>
      </c>
    </row>
    <row r="2066" customFormat="false" ht="15" hidden="false" customHeight="false" outlineLevel="0" collapsed="false">
      <c r="A2066" s="8" t="s">
        <v>45</v>
      </c>
      <c r="B2066" s="8" t="s">
        <v>43</v>
      </c>
      <c r="C2066" s="8" t="s">
        <v>62</v>
      </c>
      <c r="D2066" s="21" t="n">
        <v>46119.6979166667</v>
      </c>
      <c r="E2066" s="21" t="n">
        <v>46119.8291666667</v>
      </c>
      <c r="F2066" s="22" t="n">
        <f aca="false">DATE(YEAR(E2066),MONTH(E2066),1)</f>
        <v>46113</v>
      </c>
      <c r="G2066" s="23" t="n">
        <v>153805</v>
      </c>
      <c r="H2066" s="8" t="s">
        <v>64</v>
      </c>
      <c r="I2066" s="24" t="n">
        <v>158.47</v>
      </c>
      <c r="J2066" s="25" t="n">
        <f aca="false">Summary!$B$4</f>
        <v>1</v>
      </c>
      <c r="K2066" s="11" t="n">
        <f aca="false">I2066*J2066*IF(A2066="SILVER",Summary!$B$5,Summary!$B$6)</f>
        <v>15847</v>
      </c>
      <c r="L2066" s="26" t="n">
        <v>0.12</v>
      </c>
      <c r="M2066" s="27" t="n">
        <f aca="false">IF(K2066&gt;0,1,0)</f>
        <v>1</v>
      </c>
      <c r="N2066" s="11" t="n">
        <f aca="false">SUMIFS(K$2:K2066,A$2:A2066,A2066,B$2:B2066,B2066)</f>
        <v>4465570</v>
      </c>
      <c r="O2066" s="11" t="n">
        <f aca="false">MAX(0,_xlfn.MAXIFS(N$2:N2066,A$2:A2066,A2066,B$2:B2066,B2066))</f>
        <v>5409495</v>
      </c>
      <c r="P2066" s="11" t="n">
        <f aca="false">N2066-O2066</f>
        <v>-943925</v>
      </c>
    </row>
    <row r="2067" customFormat="false" ht="15" hidden="false" customHeight="false" outlineLevel="0" collapsed="false">
      <c r="A2067" s="8" t="s">
        <v>45</v>
      </c>
      <c r="B2067" s="8" t="s">
        <v>43</v>
      </c>
      <c r="C2067" s="8" t="s">
        <v>62</v>
      </c>
      <c r="D2067" s="21" t="n">
        <v>46120.6354166667</v>
      </c>
      <c r="E2067" s="21" t="n">
        <v>46120.6576388889</v>
      </c>
      <c r="F2067" s="22" t="n">
        <f aca="false">DATE(YEAR(E2067),MONTH(E2067),1)</f>
        <v>46113</v>
      </c>
      <c r="G2067" s="23" t="n">
        <v>157305</v>
      </c>
      <c r="H2067" s="8" t="s">
        <v>64</v>
      </c>
      <c r="I2067" s="24" t="n">
        <v>109.42</v>
      </c>
      <c r="J2067" s="25" t="n">
        <f aca="false">Summary!$B$4</f>
        <v>1</v>
      </c>
      <c r="K2067" s="11" t="n">
        <f aca="false">I2067*J2067*IF(A2067="SILVER",Summary!$B$5,Summary!$B$6)</f>
        <v>10942</v>
      </c>
      <c r="L2067" s="26" t="n">
        <v>0.095</v>
      </c>
      <c r="M2067" s="27" t="n">
        <f aca="false">IF(K2067&gt;0,1,0)</f>
        <v>1</v>
      </c>
      <c r="N2067" s="11" t="n">
        <f aca="false">SUMIFS(K$2:K2067,A$2:A2067,A2067,B$2:B2067,B2067)</f>
        <v>4476512</v>
      </c>
      <c r="O2067" s="11" t="n">
        <f aca="false">MAX(0,_xlfn.MAXIFS(N$2:N2067,A$2:A2067,A2067,B$2:B2067,B2067))</f>
        <v>5409495</v>
      </c>
      <c r="P2067" s="11" t="n">
        <f aca="false">N2067-O2067</f>
        <v>-932983</v>
      </c>
    </row>
    <row r="2068" customFormat="false" ht="15" hidden="false" customHeight="false" outlineLevel="0" collapsed="false">
      <c r="A2068" s="8" t="s">
        <v>45</v>
      </c>
      <c r="B2068" s="8" t="s">
        <v>43</v>
      </c>
      <c r="C2068" s="8" t="s">
        <v>62</v>
      </c>
      <c r="D2068" s="21" t="n">
        <v>46120.8333333333</v>
      </c>
      <c r="E2068" s="21" t="n">
        <v>46120.8381944444</v>
      </c>
      <c r="F2068" s="22" t="n">
        <f aca="false">DATE(YEAR(E2068),MONTH(E2068),1)</f>
        <v>46113</v>
      </c>
      <c r="G2068" s="23" t="n">
        <v>156837</v>
      </c>
      <c r="H2068" s="8" t="s">
        <v>64</v>
      </c>
      <c r="I2068" s="24" t="n">
        <v>166.99</v>
      </c>
      <c r="J2068" s="25" t="n">
        <f aca="false">Summary!$B$4</f>
        <v>1</v>
      </c>
      <c r="K2068" s="11" t="n">
        <f aca="false">I2068*J2068*IF(A2068="SILVER",Summary!$B$5,Summary!$B$6)</f>
        <v>16699</v>
      </c>
      <c r="L2068" s="26" t="n">
        <v>0.121</v>
      </c>
      <c r="M2068" s="27" t="n">
        <f aca="false">IF(K2068&gt;0,1,0)</f>
        <v>1</v>
      </c>
      <c r="N2068" s="11" t="n">
        <f aca="false">SUMIFS(K$2:K2068,A$2:A2068,A2068,B$2:B2068,B2068)</f>
        <v>4493211</v>
      </c>
      <c r="O2068" s="11" t="n">
        <f aca="false">MAX(0,_xlfn.MAXIFS(N$2:N2068,A$2:A2068,A2068,B$2:B2068,B2068))</f>
        <v>5409495</v>
      </c>
      <c r="P2068" s="11" t="n">
        <f aca="false">N2068-O2068</f>
        <v>-916284</v>
      </c>
    </row>
    <row r="2069" customFormat="false" ht="15" hidden="false" customHeight="false" outlineLevel="0" collapsed="false">
      <c r="A2069" s="8" t="s">
        <v>45</v>
      </c>
      <c r="B2069" s="8" t="s">
        <v>43</v>
      </c>
      <c r="C2069" s="8" t="s">
        <v>62</v>
      </c>
      <c r="D2069" s="21" t="n">
        <v>46120.8541666667</v>
      </c>
      <c r="E2069" s="21" t="n">
        <v>46121.48125</v>
      </c>
      <c r="F2069" s="22" t="n">
        <f aca="false">DATE(YEAR(E2069),MONTH(E2069),1)</f>
        <v>46113</v>
      </c>
      <c r="G2069" s="23" t="n">
        <v>156018</v>
      </c>
      <c r="H2069" s="8" t="s">
        <v>64</v>
      </c>
      <c r="I2069" s="24" t="n">
        <v>216.18</v>
      </c>
      <c r="J2069" s="25" t="n">
        <f aca="false">Summary!$B$4</f>
        <v>1</v>
      </c>
      <c r="K2069" s="11" t="n">
        <f aca="false">I2069*J2069*IF(A2069="SILVER",Summary!$B$5,Summary!$B$6)</f>
        <v>21618</v>
      </c>
      <c r="L2069" s="26" t="n">
        <v>0.126</v>
      </c>
      <c r="M2069" s="27" t="n">
        <f aca="false">IF(K2069&gt;0,1,0)</f>
        <v>1</v>
      </c>
      <c r="N2069" s="11" t="n">
        <f aca="false">SUMIFS(K$2:K2069,A$2:A2069,A2069,B$2:B2069,B2069)</f>
        <v>4514829</v>
      </c>
      <c r="O2069" s="11" t="n">
        <f aca="false">MAX(0,_xlfn.MAXIFS(N$2:N2069,A$2:A2069,A2069,B$2:B2069,B2069))</f>
        <v>5409495</v>
      </c>
      <c r="P2069" s="11" t="n">
        <f aca="false">N2069-O2069</f>
        <v>-894666</v>
      </c>
    </row>
    <row r="2070" customFormat="false" ht="15" hidden="false" customHeight="false" outlineLevel="0" collapsed="false">
      <c r="A2070" s="8" t="s">
        <v>45</v>
      </c>
      <c r="B2070" s="8" t="s">
        <v>43</v>
      </c>
      <c r="C2070" s="8" t="s">
        <v>62</v>
      </c>
      <c r="D2070" s="21" t="n">
        <v>46122.4895833333</v>
      </c>
      <c r="E2070" s="21" t="n">
        <v>46122.525</v>
      </c>
      <c r="F2070" s="22" t="n">
        <f aca="false">DATE(YEAR(E2070),MONTH(E2070),1)</f>
        <v>46113</v>
      </c>
      <c r="G2070" s="23" t="n">
        <v>156782</v>
      </c>
      <c r="H2070" s="8" t="s">
        <v>64</v>
      </c>
      <c r="I2070" s="24" t="n">
        <v>78.49</v>
      </c>
      <c r="J2070" s="25" t="n">
        <f aca="false">Summary!$B$4</f>
        <v>1</v>
      </c>
      <c r="K2070" s="11" t="n">
        <f aca="false">I2070*J2070*IF(A2070="SILVER",Summary!$B$5,Summary!$B$6)</f>
        <v>7849</v>
      </c>
      <c r="L2070" s="26" t="n">
        <v>0.099</v>
      </c>
      <c r="M2070" s="27" t="n">
        <f aca="false">IF(K2070&gt;0,1,0)</f>
        <v>1</v>
      </c>
      <c r="N2070" s="11" t="n">
        <f aca="false">SUMIFS(K$2:K2070,A$2:A2070,A2070,B$2:B2070,B2070)</f>
        <v>4522678</v>
      </c>
      <c r="O2070" s="11" t="n">
        <f aca="false">MAX(0,_xlfn.MAXIFS(N$2:N2070,A$2:A2070,A2070,B$2:B2070,B2070))</f>
        <v>5409495</v>
      </c>
      <c r="P2070" s="11" t="n">
        <f aca="false">N2070-O2070</f>
        <v>-886817</v>
      </c>
    </row>
    <row r="2071" customFormat="false" ht="15" hidden="false" customHeight="false" outlineLevel="0" collapsed="false">
      <c r="A2071" s="8" t="s">
        <v>45</v>
      </c>
      <c r="B2071" s="8" t="s">
        <v>43</v>
      </c>
      <c r="C2071" s="8" t="s">
        <v>62</v>
      </c>
      <c r="D2071" s="21" t="n">
        <v>46122.5972222222</v>
      </c>
      <c r="E2071" s="21" t="n">
        <v>46122.7159722222</v>
      </c>
      <c r="F2071" s="22" t="n">
        <f aca="false">DATE(YEAR(E2071),MONTH(E2071),1)</f>
        <v>46113</v>
      </c>
      <c r="G2071" s="23" t="n">
        <v>156089</v>
      </c>
      <c r="H2071" s="8" t="s">
        <v>61</v>
      </c>
      <c r="I2071" s="24" t="n">
        <v>-834.45</v>
      </c>
      <c r="J2071" s="25" t="n">
        <f aca="false">Summary!$B$4</f>
        <v>1</v>
      </c>
      <c r="K2071" s="11" t="n">
        <f aca="false">I2071*J2071*IF(A2071="SILVER",Summary!$B$5,Summary!$B$6)</f>
        <v>-83445</v>
      </c>
      <c r="L2071" s="26" t="n">
        <v>-0.896</v>
      </c>
      <c r="M2071" s="27" t="n">
        <f aca="false">IF(K2071&gt;0,1,0)</f>
        <v>0</v>
      </c>
      <c r="N2071" s="11" t="n">
        <f aca="false">SUMIFS(K$2:K2071,A$2:A2071,A2071,B$2:B2071,B2071)</f>
        <v>4439233</v>
      </c>
      <c r="O2071" s="11" t="n">
        <f aca="false">MAX(0,_xlfn.MAXIFS(N$2:N2071,A$2:A2071,A2071,B$2:B2071,B2071))</f>
        <v>5409495</v>
      </c>
      <c r="P2071" s="11" t="n">
        <f aca="false">N2071-O2071</f>
        <v>-970262</v>
      </c>
    </row>
    <row r="2072" customFormat="false" ht="15" hidden="false" customHeight="false" outlineLevel="0" collapsed="false">
      <c r="A2072" s="8" t="s">
        <v>45</v>
      </c>
      <c r="B2072" s="8" t="s">
        <v>43</v>
      </c>
      <c r="C2072" s="8" t="s">
        <v>62</v>
      </c>
      <c r="D2072" s="21" t="n">
        <v>46125.3784722222</v>
      </c>
      <c r="E2072" s="21" t="n">
        <v>46125.6743055556</v>
      </c>
      <c r="F2072" s="22" t="n">
        <f aca="false">DATE(YEAR(E2072),MONTH(E2072),1)</f>
        <v>46113</v>
      </c>
      <c r="G2072" s="23" t="n">
        <v>155946</v>
      </c>
      <c r="H2072" s="8" t="s">
        <v>64</v>
      </c>
      <c r="I2072" s="24" t="n">
        <v>107.67</v>
      </c>
      <c r="J2072" s="25" t="n">
        <f aca="false">Summary!$B$4</f>
        <v>1</v>
      </c>
      <c r="K2072" s="11" t="n">
        <f aca="false">I2072*J2072*IF(A2072="SILVER",Summary!$B$5,Summary!$B$6)</f>
        <v>10767</v>
      </c>
      <c r="L2072" s="26" t="n">
        <v>0.101</v>
      </c>
      <c r="M2072" s="27" t="n">
        <f aca="false">IF(K2072&gt;0,1,0)</f>
        <v>1</v>
      </c>
      <c r="N2072" s="11" t="n">
        <f aca="false">SUMIFS(K$2:K2072,A$2:A2072,A2072,B$2:B2072,B2072)</f>
        <v>4450000</v>
      </c>
      <c r="O2072" s="11" t="n">
        <f aca="false">MAX(0,_xlfn.MAXIFS(N$2:N2072,A$2:A2072,A2072,B$2:B2072,B2072))</f>
        <v>5409495</v>
      </c>
      <c r="P2072" s="11" t="n">
        <f aca="false">N2072-O2072</f>
        <v>-959495</v>
      </c>
    </row>
    <row r="2073" customFormat="false" ht="15" hidden="false" customHeight="false" outlineLevel="0" collapsed="false">
      <c r="A2073" s="8" t="s">
        <v>45</v>
      </c>
      <c r="B2073" s="8" t="s">
        <v>43</v>
      </c>
      <c r="C2073" s="8" t="s">
        <v>62</v>
      </c>
      <c r="D2073" s="21" t="n">
        <v>46134.71875</v>
      </c>
      <c r="E2073" s="21" t="n">
        <v>46134.7916666667</v>
      </c>
      <c r="F2073" s="22" t="n">
        <f aca="false">DATE(YEAR(E2073),MONTH(E2073),1)</f>
        <v>46113</v>
      </c>
      <c r="G2073" s="23" t="n">
        <v>157222</v>
      </c>
      <c r="H2073" s="8" t="s">
        <v>64</v>
      </c>
      <c r="I2073" s="24" t="n">
        <v>11.42</v>
      </c>
      <c r="J2073" s="25" t="n">
        <f aca="false">Summary!$B$4</f>
        <v>1</v>
      </c>
      <c r="K2073" s="11" t="n">
        <f aca="false">I2073*J2073*IF(A2073="SILVER",Summary!$B$5,Summary!$B$6)</f>
        <v>1142</v>
      </c>
      <c r="L2073" s="26" t="n">
        <v>0.021</v>
      </c>
      <c r="M2073" s="27" t="n">
        <f aca="false">IF(K2073&gt;0,1,0)</f>
        <v>1</v>
      </c>
      <c r="N2073" s="11" t="n">
        <f aca="false">SUMIFS(K$2:K2073,A$2:A2073,A2073,B$2:B2073,B2073)</f>
        <v>4451142</v>
      </c>
      <c r="O2073" s="11" t="n">
        <f aca="false">MAX(0,_xlfn.MAXIFS(N$2:N2073,A$2:A2073,A2073,B$2:B2073,B2073))</f>
        <v>5409495</v>
      </c>
      <c r="P2073" s="11" t="n">
        <f aca="false">N2073-O2073</f>
        <v>-958353</v>
      </c>
    </row>
    <row r="2074" customFormat="false" ht="15" hidden="false" customHeight="false" outlineLevel="0" collapsed="false">
      <c r="A2074" s="8" t="s">
        <v>45</v>
      </c>
      <c r="B2074" s="8" t="s">
        <v>43</v>
      </c>
      <c r="C2074" s="8" t="s">
        <v>62</v>
      </c>
      <c r="D2074" s="21" t="n">
        <v>46134.8368055556</v>
      </c>
      <c r="E2074" s="21" t="n">
        <v>46134.9020833333</v>
      </c>
      <c r="F2074" s="22" t="n">
        <f aca="false">DATE(YEAR(E2074),MONTH(E2074),1)</f>
        <v>46113</v>
      </c>
      <c r="G2074" s="23" t="n">
        <v>156849</v>
      </c>
      <c r="H2074" s="8" t="s">
        <v>64</v>
      </c>
      <c r="I2074" s="24" t="n">
        <v>64.51</v>
      </c>
      <c r="J2074" s="25" t="n">
        <f aca="false">Summary!$B$4</f>
        <v>1</v>
      </c>
      <c r="K2074" s="11" t="n">
        <f aca="false">I2074*J2074*IF(A2074="SILVER",Summary!$B$5,Summary!$B$6)</f>
        <v>6451</v>
      </c>
      <c r="L2074" s="26" t="n">
        <v>0.092</v>
      </c>
      <c r="M2074" s="27" t="n">
        <f aca="false">IF(K2074&gt;0,1,0)</f>
        <v>1</v>
      </c>
      <c r="N2074" s="11" t="n">
        <f aca="false">SUMIFS(K$2:K2074,A$2:A2074,A2074,B$2:B2074,B2074)</f>
        <v>4457593</v>
      </c>
      <c r="O2074" s="11" t="n">
        <f aca="false">MAX(0,_xlfn.MAXIFS(N$2:N2074,A$2:A2074,A2074,B$2:B2074,B2074))</f>
        <v>5409495</v>
      </c>
      <c r="P2074" s="11" t="n">
        <f aca="false">N2074-O2074</f>
        <v>-951902</v>
      </c>
    </row>
    <row r="2075" customFormat="false" ht="15" hidden="false" customHeight="false" outlineLevel="0" collapsed="false">
      <c r="A2075" s="8" t="s">
        <v>45</v>
      </c>
      <c r="B2075" s="8" t="s">
        <v>43</v>
      </c>
      <c r="C2075" s="8" t="s">
        <v>62</v>
      </c>
      <c r="D2075" s="21" t="n">
        <v>46135.3784722222</v>
      </c>
      <c r="E2075" s="21" t="n">
        <v>46135.4590277778</v>
      </c>
      <c r="F2075" s="22" t="n">
        <f aca="false">DATE(YEAR(E2075),MONTH(E2075),1)</f>
        <v>46113</v>
      </c>
      <c r="G2075" s="23" t="n">
        <v>156195</v>
      </c>
      <c r="H2075" s="8" t="s">
        <v>64</v>
      </c>
      <c r="I2075" s="24" t="n">
        <v>85.82</v>
      </c>
      <c r="J2075" s="25" t="n">
        <f aca="false">Summary!$B$4</f>
        <v>1</v>
      </c>
      <c r="K2075" s="11" t="n">
        <f aca="false">I2075*J2075*IF(A2075="SILVER",Summary!$B$5,Summary!$B$6)</f>
        <v>8582</v>
      </c>
      <c r="L2075" s="26" t="n">
        <v>0.102</v>
      </c>
      <c r="M2075" s="27" t="n">
        <f aca="false">IF(K2075&gt;0,1,0)</f>
        <v>1</v>
      </c>
      <c r="N2075" s="11" t="n">
        <f aca="false">SUMIFS(K$2:K2075,A$2:A2075,A2075,B$2:B2075,B2075)</f>
        <v>4466175</v>
      </c>
      <c r="O2075" s="11" t="n">
        <f aca="false">MAX(0,_xlfn.MAXIFS(N$2:N2075,A$2:A2075,A2075,B$2:B2075,B2075))</f>
        <v>5409495</v>
      </c>
      <c r="P2075" s="11" t="n">
        <f aca="false">N2075-O2075</f>
        <v>-943320</v>
      </c>
    </row>
    <row r="2076" customFormat="false" ht="15" hidden="false" customHeight="false" outlineLevel="0" collapsed="false">
      <c r="A2076" s="8" t="s">
        <v>45</v>
      </c>
      <c r="B2076" s="8" t="s">
        <v>43</v>
      </c>
      <c r="C2076" s="8" t="s">
        <v>62</v>
      </c>
      <c r="D2076" s="21" t="n">
        <v>46135.6597222222</v>
      </c>
      <c r="E2076" s="21" t="n">
        <v>46135.7256944445</v>
      </c>
      <c r="F2076" s="22" t="n">
        <f aca="false">DATE(YEAR(E2076),MONTH(E2076),1)</f>
        <v>46113</v>
      </c>
      <c r="G2076" s="23" t="n">
        <v>155855</v>
      </c>
      <c r="H2076" s="8" t="s">
        <v>61</v>
      </c>
      <c r="I2076" s="24" t="n">
        <v>-709.39</v>
      </c>
      <c r="J2076" s="25" t="n">
        <f aca="false">Summary!$B$4</f>
        <v>1</v>
      </c>
      <c r="K2076" s="11" t="n">
        <f aca="false">I2076*J2076*IF(A2076="SILVER",Summary!$B$5,Summary!$B$6)</f>
        <v>-70939</v>
      </c>
      <c r="L2076" s="26" t="n">
        <v>-0.951</v>
      </c>
      <c r="M2076" s="27" t="n">
        <f aca="false">IF(K2076&gt;0,1,0)</f>
        <v>0</v>
      </c>
      <c r="N2076" s="11" t="n">
        <f aca="false">SUMIFS(K$2:K2076,A$2:A2076,A2076,B$2:B2076,B2076)</f>
        <v>4395236</v>
      </c>
      <c r="O2076" s="11" t="n">
        <f aca="false">MAX(0,_xlfn.MAXIFS(N$2:N2076,A$2:A2076,A2076,B$2:B2076,B2076))</f>
        <v>5409495</v>
      </c>
      <c r="P2076" s="11" t="n">
        <f aca="false">N2076-O2076</f>
        <v>-1014259</v>
      </c>
    </row>
    <row r="2077" customFormat="false" ht="15" hidden="false" customHeight="false" outlineLevel="0" collapsed="false">
      <c r="A2077" s="8" t="s">
        <v>45</v>
      </c>
      <c r="B2077" s="8" t="s">
        <v>43</v>
      </c>
      <c r="C2077" s="8" t="s">
        <v>62</v>
      </c>
      <c r="D2077" s="21" t="n">
        <v>46135.9652777778</v>
      </c>
      <c r="E2077" s="21" t="n">
        <v>46135.9743055556</v>
      </c>
      <c r="F2077" s="22" t="n">
        <f aca="false">DATE(YEAR(E2077),MONTH(E2077),1)</f>
        <v>46113</v>
      </c>
      <c r="G2077" s="23" t="n">
        <v>156356</v>
      </c>
      <c r="H2077" s="8" t="s">
        <v>64</v>
      </c>
      <c r="I2077" s="24" t="n">
        <v>89.61</v>
      </c>
      <c r="J2077" s="25" t="n">
        <f aca="false">Summary!$B$4</f>
        <v>1</v>
      </c>
      <c r="K2077" s="11" t="n">
        <f aca="false">I2077*J2077*IF(A2077="SILVER",Summary!$B$5,Summary!$B$6)</f>
        <v>8961</v>
      </c>
      <c r="L2077" s="26" t="n">
        <v>0.103</v>
      </c>
      <c r="M2077" s="27" t="n">
        <f aca="false">IF(K2077&gt;0,1,0)</f>
        <v>1</v>
      </c>
      <c r="N2077" s="11" t="n">
        <f aca="false">SUMIFS(K$2:K2077,A$2:A2077,A2077,B$2:B2077,B2077)</f>
        <v>4404197</v>
      </c>
      <c r="O2077" s="11" t="n">
        <f aca="false">MAX(0,_xlfn.MAXIFS(N$2:N2077,A$2:A2077,A2077,B$2:B2077,B2077))</f>
        <v>5409495</v>
      </c>
      <c r="P2077" s="11" t="n">
        <f aca="false">N2077-O2077</f>
        <v>-1005298</v>
      </c>
    </row>
    <row r="2078" customFormat="false" ht="15" hidden="false" customHeight="false" outlineLevel="0" collapsed="false">
      <c r="A2078" s="8" t="s">
        <v>45</v>
      </c>
      <c r="B2078" s="8" t="s">
        <v>43</v>
      </c>
      <c r="C2078" s="8" t="s">
        <v>62</v>
      </c>
      <c r="D2078" s="21" t="n">
        <v>46136.3993055556</v>
      </c>
      <c r="E2078" s="21" t="n">
        <v>46136.6979166667</v>
      </c>
      <c r="F2078" s="22" t="n">
        <f aca="false">DATE(YEAR(E2078),MONTH(E2078),1)</f>
        <v>46113</v>
      </c>
      <c r="G2078" s="23" t="n">
        <v>155405</v>
      </c>
      <c r="H2078" s="8" t="s">
        <v>61</v>
      </c>
      <c r="I2078" s="24" t="n">
        <v>-829.31</v>
      </c>
      <c r="J2078" s="25" t="n">
        <f aca="false">Summary!$B$4</f>
        <v>1</v>
      </c>
      <c r="K2078" s="11" t="n">
        <f aca="false">I2078*J2078*IF(A2078="SILVER",Summary!$B$5,Summary!$B$6)</f>
        <v>-82931</v>
      </c>
      <c r="L2078" s="26" t="n">
        <v>-0.619</v>
      </c>
      <c r="M2078" s="27" t="n">
        <f aca="false">IF(K2078&gt;0,1,0)</f>
        <v>0</v>
      </c>
      <c r="N2078" s="11" t="n">
        <f aca="false">SUMIFS(K$2:K2078,A$2:A2078,A2078,B$2:B2078,B2078)</f>
        <v>4321266</v>
      </c>
      <c r="O2078" s="11" t="n">
        <f aca="false">MAX(0,_xlfn.MAXIFS(N$2:N2078,A$2:A2078,A2078,B$2:B2078,B2078))</f>
        <v>5409495</v>
      </c>
      <c r="P2078" s="11" t="n">
        <f aca="false">N2078-O2078</f>
        <v>-1088229</v>
      </c>
    </row>
    <row r="2079" customFormat="false" ht="15" hidden="false" customHeight="false" outlineLevel="0" collapsed="false">
      <c r="A2079" s="8" t="s">
        <v>45</v>
      </c>
      <c r="B2079" s="8" t="s">
        <v>43</v>
      </c>
      <c r="C2079" s="8" t="s">
        <v>62</v>
      </c>
      <c r="D2079" s="21" t="n">
        <v>46139.4756944445</v>
      </c>
      <c r="E2079" s="21" t="n">
        <v>46139.59375</v>
      </c>
      <c r="F2079" s="22" t="n">
        <f aca="false">DATE(YEAR(E2079),MONTH(E2079),1)</f>
        <v>46113</v>
      </c>
      <c r="G2079" s="23" t="n">
        <v>156655</v>
      </c>
      <c r="H2079" s="8" t="s">
        <v>64</v>
      </c>
      <c r="I2079" s="24" t="n">
        <v>14.52</v>
      </c>
      <c r="J2079" s="25" t="n">
        <f aca="false">Summary!$B$4</f>
        <v>1</v>
      </c>
      <c r="K2079" s="11" t="n">
        <f aca="false">I2079*J2079*IF(A2079="SILVER",Summary!$B$5,Summary!$B$6)</f>
        <v>1452</v>
      </c>
      <c r="L2079" s="26" t="n">
        <v>0.026</v>
      </c>
      <c r="M2079" s="27" t="n">
        <f aca="false">IF(K2079&gt;0,1,0)</f>
        <v>1</v>
      </c>
      <c r="N2079" s="11" t="n">
        <f aca="false">SUMIFS(K$2:K2079,A$2:A2079,A2079,B$2:B2079,B2079)</f>
        <v>4322718</v>
      </c>
      <c r="O2079" s="11" t="n">
        <f aca="false">MAX(0,_xlfn.MAXIFS(N$2:N2079,A$2:A2079,A2079,B$2:B2079,B2079))</f>
        <v>5409495</v>
      </c>
      <c r="P2079" s="11" t="n">
        <f aca="false">N2079-O2079</f>
        <v>-1086777</v>
      </c>
    </row>
    <row r="2080" customFormat="false" ht="15" hidden="false" customHeight="false" outlineLevel="0" collapsed="false">
      <c r="A2080" s="8" t="s">
        <v>45</v>
      </c>
      <c r="B2080" s="8" t="s">
        <v>43</v>
      </c>
      <c r="C2080" s="8" t="s">
        <v>62</v>
      </c>
      <c r="D2080" s="21" t="n">
        <v>46139.625</v>
      </c>
      <c r="E2080" s="21" t="n">
        <v>46139.7597222222</v>
      </c>
      <c r="F2080" s="22" t="n">
        <f aca="false">DATE(YEAR(E2080),MONTH(E2080),1)</f>
        <v>46113</v>
      </c>
      <c r="G2080" s="23" t="n">
        <v>156356</v>
      </c>
      <c r="H2080" s="8" t="s">
        <v>64</v>
      </c>
      <c r="I2080" s="24" t="n">
        <v>29.59</v>
      </c>
      <c r="J2080" s="25" t="n">
        <f aca="false">Summary!$B$4</f>
        <v>1</v>
      </c>
      <c r="K2080" s="11" t="n">
        <f aca="false">I2080*J2080*IF(A2080="SILVER",Summary!$B$5,Summary!$B$6)</f>
        <v>2959</v>
      </c>
      <c r="L2080" s="26" t="n">
        <v>0.051</v>
      </c>
      <c r="M2080" s="27" t="n">
        <f aca="false">IF(K2080&gt;0,1,0)</f>
        <v>1</v>
      </c>
      <c r="N2080" s="11" t="n">
        <f aca="false">SUMIFS(K$2:K2080,A$2:A2080,A2080,B$2:B2080,B2080)</f>
        <v>4325677</v>
      </c>
      <c r="O2080" s="11" t="n">
        <f aca="false">MAX(0,_xlfn.MAXIFS(N$2:N2080,A$2:A2080,A2080,B$2:B2080,B2080))</f>
        <v>5409495</v>
      </c>
      <c r="P2080" s="11" t="n">
        <f aca="false">N2080-O2080</f>
        <v>-1083818</v>
      </c>
    </row>
    <row r="2081" customFormat="false" ht="15" hidden="false" customHeight="false" outlineLevel="0" collapsed="false">
      <c r="A2081" s="8" t="s">
        <v>45</v>
      </c>
      <c r="B2081" s="8" t="s">
        <v>43</v>
      </c>
      <c r="C2081" s="8" t="s">
        <v>62</v>
      </c>
      <c r="D2081" s="21" t="n">
        <v>46139.7604166667</v>
      </c>
      <c r="E2081" s="21" t="n">
        <v>46139.8076388889</v>
      </c>
      <c r="F2081" s="22" t="n">
        <f aca="false">DATE(YEAR(E2081),MONTH(E2081),1)</f>
        <v>46113</v>
      </c>
      <c r="G2081" s="23" t="n">
        <v>156220</v>
      </c>
      <c r="H2081" s="8" t="s">
        <v>64</v>
      </c>
      <c r="I2081" s="24" t="n">
        <v>26.62</v>
      </c>
      <c r="J2081" s="25" t="n">
        <f aca="false">Summary!$B$4</f>
        <v>1</v>
      </c>
      <c r="K2081" s="11" t="n">
        <f aca="false">I2081*J2081*IF(A2081="SILVER",Summary!$B$5,Summary!$B$6)</f>
        <v>2662</v>
      </c>
      <c r="L2081" s="26" t="n">
        <v>0.048</v>
      </c>
      <c r="M2081" s="27" t="n">
        <f aca="false">IF(K2081&gt;0,1,0)</f>
        <v>1</v>
      </c>
      <c r="N2081" s="11" t="n">
        <f aca="false">SUMIFS(K$2:K2081,A$2:A2081,A2081,B$2:B2081,B2081)</f>
        <v>4328339</v>
      </c>
      <c r="O2081" s="11" t="n">
        <f aca="false">MAX(0,_xlfn.MAXIFS(N$2:N2081,A$2:A2081,A2081,B$2:B2081,B2081))</f>
        <v>5409495</v>
      </c>
      <c r="P2081" s="11" t="n">
        <f aca="false">N2081-O2081</f>
        <v>-1081156</v>
      </c>
    </row>
    <row r="2082" customFormat="false" ht="15" hidden="false" customHeight="false" outlineLevel="0" collapsed="false">
      <c r="A2082" s="8" t="s">
        <v>45</v>
      </c>
      <c r="B2082" s="8" t="s">
        <v>43</v>
      </c>
      <c r="C2082" s="8" t="s">
        <v>62</v>
      </c>
      <c r="D2082" s="21" t="n">
        <v>46139.8333333333</v>
      </c>
      <c r="E2082" s="21" t="n">
        <v>46139.8520833333</v>
      </c>
      <c r="F2082" s="22" t="n">
        <f aca="false">DATE(YEAR(E2082),MONTH(E2082),1)</f>
        <v>46113</v>
      </c>
      <c r="G2082" s="23" t="n">
        <v>155995</v>
      </c>
      <c r="H2082" s="8" t="s">
        <v>64</v>
      </c>
      <c r="I2082" s="24" t="n">
        <v>58.19</v>
      </c>
      <c r="J2082" s="25" t="n">
        <f aca="false">Summary!$B$4</f>
        <v>1</v>
      </c>
      <c r="K2082" s="11" t="n">
        <f aca="false">I2082*J2082*IF(A2082="SILVER",Summary!$B$5,Summary!$B$6)</f>
        <v>5819</v>
      </c>
      <c r="L2082" s="26" t="n">
        <v>0.089</v>
      </c>
      <c r="M2082" s="27" t="n">
        <f aca="false">IF(K2082&gt;0,1,0)</f>
        <v>1</v>
      </c>
      <c r="N2082" s="11" t="n">
        <f aca="false">SUMIFS(K$2:K2082,A$2:A2082,A2082,B$2:B2082,B2082)</f>
        <v>4334158</v>
      </c>
      <c r="O2082" s="11" t="n">
        <f aca="false">MAX(0,_xlfn.MAXIFS(N$2:N2082,A$2:A2082,A2082,B$2:B2082,B2082))</f>
        <v>5409495</v>
      </c>
      <c r="P2082" s="11" t="n">
        <f aca="false">N2082-O2082</f>
        <v>-1075337</v>
      </c>
    </row>
    <row r="2083" customFormat="false" ht="15" hidden="false" customHeight="false" outlineLevel="0" collapsed="false">
      <c r="A2083" s="8" t="s">
        <v>45</v>
      </c>
      <c r="B2083" s="8" t="s">
        <v>43</v>
      </c>
      <c r="C2083" s="8" t="s">
        <v>62</v>
      </c>
      <c r="D2083" s="21" t="n">
        <v>46139.8541666667</v>
      </c>
      <c r="E2083" s="21" t="n">
        <v>46139.8611111111</v>
      </c>
      <c r="F2083" s="22" t="n">
        <f aca="false">DATE(YEAR(E2083),MONTH(E2083),1)</f>
        <v>46113</v>
      </c>
      <c r="G2083" s="23" t="n">
        <v>155798</v>
      </c>
      <c r="H2083" s="8" t="s">
        <v>64</v>
      </c>
      <c r="I2083" s="24" t="n">
        <v>68.17</v>
      </c>
      <c r="J2083" s="25" t="n">
        <f aca="false">Summary!$B$4</f>
        <v>1</v>
      </c>
      <c r="K2083" s="11" t="n">
        <f aca="false">I2083*J2083*IF(A2083="SILVER",Summary!$B$5,Summary!$B$6)</f>
        <v>6817</v>
      </c>
      <c r="L2083" s="26" t="n">
        <v>0.094</v>
      </c>
      <c r="M2083" s="27" t="n">
        <f aca="false">IF(K2083&gt;0,1,0)</f>
        <v>1</v>
      </c>
      <c r="N2083" s="11" t="n">
        <f aca="false">SUMIFS(K$2:K2083,A$2:A2083,A2083,B$2:B2083,B2083)</f>
        <v>4340975</v>
      </c>
      <c r="O2083" s="11" t="n">
        <f aca="false">MAX(0,_xlfn.MAXIFS(N$2:N2083,A$2:A2083,A2083,B$2:B2083,B2083))</f>
        <v>5409495</v>
      </c>
      <c r="P2083" s="11" t="n">
        <f aca="false">N2083-O2083</f>
        <v>-1068520</v>
      </c>
    </row>
    <row r="2084" customFormat="false" ht="15" hidden="false" customHeight="false" outlineLevel="0" collapsed="false">
      <c r="A2084" s="8" t="s">
        <v>45</v>
      </c>
      <c r="B2084" s="8" t="s">
        <v>43</v>
      </c>
      <c r="C2084" s="8" t="s">
        <v>62</v>
      </c>
      <c r="D2084" s="21" t="n">
        <v>46140.4444444445</v>
      </c>
      <c r="E2084" s="21" t="n">
        <v>46140.4486111111</v>
      </c>
      <c r="F2084" s="22" t="n">
        <f aca="false">DATE(YEAR(E2084),MONTH(E2084),1)</f>
        <v>46113</v>
      </c>
      <c r="G2084" s="23" t="n">
        <v>155457</v>
      </c>
      <c r="H2084" s="8" t="s">
        <v>64</v>
      </c>
      <c r="I2084" s="24" t="n">
        <v>26.76</v>
      </c>
      <c r="J2084" s="25" t="n">
        <f aca="false">Summary!$B$4</f>
        <v>1</v>
      </c>
      <c r="K2084" s="11" t="n">
        <f aca="false">I2084*J2084*IF(A2084="SILVER",Summary!$B$5,Summary!$B$6)</f>
        <v>2676</v>
      </c>
      <c r="L2084" s="26" t="n">
        <v>0.05</v>
      </c>
      <c r="M2084" s="27" t="n">
        <f aca="false">IF(K2084&gt;0,1,0)</f>
        <v>1</v>
      </c>
      <c r="N2084" s="11" t="n">
        <f aca="false">SUMIFS(K$2:K2084,A$2:A2084,A2084,B$2:B2084,B2084)</f>
        <v>4343651</v>
      </c>
      <c r="O2084" s="11" t="n">
        <f aca="false">MAX(0,_xlfn.MAXIFS(N$2:N2084,A$2:A2084,A2084,B$2:B2084,B2084))</f>
        <v>5409495</v>
      </c>
      <c r="P2084" s="11" t="n">
        <f aca="false">N2084-O2084</f>
        <v>-1065844</v>
      </c>
    </row>
    <row r="2085" customFormat="false" ht="15" hidden="false" customHeight="false" outlineLevel="0" collapsed="false">
      <c r="A2085" s="8" t="s">
        <v>45</v>
      </c>
      <c r="B2085" s="8" t="s">
        <v>43</v>
      </c>
      <c r="C2085" s="8" t="s">
        <v>62</v>
      </c>
      <c r="D2085" s="21" t="n">
        <v>46140.4652777778</v>
      </c>
      <c r="E2085" s="21" t="n">
        <v>46140.5826388889</v>
      </c>
      <c r="F2085" s="22" t="n">
        <f aca="false">DATE(YEAR(E2085),MONTH(E2085),1)</f>
        <v>46113</v>
      </c>
      <c r="G2085" s="23" t="n">
        <v>154939</v>
      </c>
      <c r="H2085" s="8" t="s">
        <v>64</v>
      </c>
      <c r="I2085" s="24" t="n">
        <v>97</v>
      </c>
      <c r="J2085" s="25" t="n">
        <f aca="false">Summary!$B$4</f>
        <v>1</v>
      </c>
      <c r="K2085" s="11" t="n">
        <f aca="false">I2085*J2085*IF(A2085="SILVER",Summary!$B$5,Summary!$B$6)</f>
        <v>9700</v>
      </c>
      <c r="L2085" s="26" t="n">
        <v>0.106</v>
      </c>
      <c r="M2085" s="27" t="n">
        <f aca="false">IF(K2085&gt;0,1,0)</f>
        <v>1</v>
      </c>
      <c r="N2085" s="11" t="n">
        <f aca="false">SUMIFS(K$2:K2085,A$2:A2085,A2085,B$2:B2085,B2085)</f>
        <v>4353351</v>
      </c>
      <c r="O2085" s="11" t="n">
        <f aca="false">MAX(0,_xlfn.MAXIFS(N$2:N2085,A$2:A2085,A2085,B$2:B2085,B2085))</f>
        <v>5409495</v>
      </c>
      <c r="P2085" s="11" t="n">
        <f aca="false">N2085-O2085</f>
        <v>-1056144</v>
      </c>
    </row>
    <row r="2086" customFormat="false" ht="15" hidden="false" customHeight="false" outlineLevel="0" collapsed="false">
      <c r="A2086" s="8" t="s">
        <v>45</v>
      </c>
      <c r="B2086" s="8" t="s">
        <v>43</v>
      </c>
      <c r="C2086" s="8" t="s">
        <v>62</v>
      </c>
      <c r="D2086" s="21" t="n">
        <v>46140.6354166667</v>
      </c>
      <c r="E2086" s="21" t="n">
        <v>46140.6458333333</v>
      </c>
      <c r="F2086" s="22" t="n">
        <f aca="false">DATE(YEAR(E2086),MONTH(E2086),1)</f>
        <v>46113</v>
      </c>
      <c r="G2086" s="23" t="n">
        <v>154442</v>
      </c>
      <c r="H2086" s="8" t="s">
        <v>64</v>
      </c>
      <c r="I2086" s="24" t="n">
        <v>61.96</v>
      </c>
      <c r="J2086" s="25" t="n">
        <f aca="false">Summary!$B$4</f>
        <v>1</v>
      </c>
      <c r="K2086" s="11" t="n">
        <f aca="false">I2086*J2086*IF(A2086="SILVER",Summary!$B$5,Summary!$B$6)</f>
        <v>6196</v>
      </c>
      <c r="L2086" s="26" t="n">
        <v>0.091</v>
      </c>
      <c r="M2086" s="27" t="n">
        <f aca="false">IF(K2086&gt;0,1,0)</f>
        <v>1</v>
      </c>
      <c r="N2086" s="11" t="n">
        <f aca="false">SUMIFS(K$2:K2086,A$2:A2086,A2086,B$2:B2086,B2086)</f>
        <v>4359547</v>
      </c>
      <c r="O2086" s="11" t="n">
        <f aca="false">MAX(0,_xlfn.MAXIFS(N$2:N2086,A$2:A2086,A2086,B$2:B2086,B2086))</f>
        <v>5409495</v>
      </c>
      <c r="P2086" s="11" t="n">
        <f aca="false">N2086-O2086</f>
        <v>-1049948</v>
      </c>
    </row>
    <row r="2087" customFormat="false" ht="15" hidden="false" customHeight="false" outlineLevel="0" collapsed="false">
      <c r="A2087" s="8" t="s">
        <v>45</v>
      </c>
      <c r="B2087" s="8" t="s">
        <v>43</v>
      </c>
      <c r="C2087" s="8" t="s">
        <v>62</v>
      </c>
      <c r="D2087" s="21" t="n">
        <v>46140.6944444445</v>
      </c>
      <c r="E2087" s="21" t="n">
        <v>46140.7611111111</v>
      </c>
      <c r="F2087" s="22" t="n">
        <f aca="false">DATE(YEAR(E2087),MONTH(E2087),1)</f>
        <v>46113</v>
      </c>
      <c r="G2087" s="23" t="n">
        <v>154111</v>
      </c>
      <c r="H2087" s="8" t="s">
        <v>64</v>
      </c>
      <c r="I2087" s="24" t="n">
        <v>68.69</v>
      </c>
      <c r="J2087" s="25" t="n">
        <f aca="false">Summary!$B$4</f>
        <v>1</v>
      </c>
      <c r="K2087" s="11" t="n">
        <f aca="false">I2087*J2087*IF(A2087="SILVER",Summary!$B$5,Summary!$B$6)</f>
        <v>6869</v>
      </c>
      <c r="L2087" s="26" t="n">
        <v>0.095</v>
      </c>
      <c r="M2087" s="27" t="n">
        <f aca="false">IF(K2087&gt;0,1,0)</f>
        <v>1</v>
      </c>
      <c r="N2087" s="11" t="n">
        <f aca="false">SUMIFS(K$2:K2087,A$2:A2087,A2087,B$2:B2087,B2087)</f>
        <v>4366416</v>
      </c>
      <c r="O2087" s="11" t="n">
        <f aca="false">MAX(0,_xlfn.MAXIFS(N$2:N2087,A$2:A2087,A2087,B$2:B2087,B2087))</f>
        <v>5409495</v>
      </c>
      <c r="P2087" s="11" t="n">
        <f aca="false">N2087-O2087</f>
        <v>-1043079</v>
      </c>
    </row>
    <row r="2088" customFormat="false" ht="15" hidden="false" customHeight="false" outlineLevel="0" collapsed="false">
      <c r="A2088" s="8" t="s">
        <v>45</v>
      </c>
      <c r="B2088" s="8" t="s">
        <v>43</v>
      </c>
      <c r="C2088" s="8" t="s">
        <v>62</v>
      </c>
      <c r="D2088" s="21" t="n">
        <v>46141.5347222222</v>
      </c>
      <c r="E2088" s="21" t="n">
        <v>46141.5395833333</v>
      </c>
      <c r="F2088" s="22" t="n">
        <f aca="false">DATE(YEAR(E2088),MONTH(E2088),1)</f>
        <v>46113</v>
      </c>
      <c r="G2088" s="23" t="n">
        <v>153657</v>
      </c>
      <c r="H2088" s="8" t="s">
        <v>64</v>
      </c>
      <c r="I2088" s="24" t="n">
        <v>83.84</v>
      </c>
      <c r="J2088" s="25" t="n">
        <f aca="false">Summary!$B$4</f>
        <v>1</v>
      </c>
      <c r="K2088" s="11" t="n">
        <f aca="false">I2088*J2088*IF(A2088="SILVER",Summary!$B$5,Summary!$B$6)</f>
        <v>8384</v>
      </c>
      <c r="L2088" s="26" t="n">
        <v>0.102</v>
      </c>
      <c r="M2088" s="27" t="n">
        <f aca="false">IF(K2088&gt;0,1,0)</f>
        <v>1</v>
      </c>
      <c r="N2088" s="11" t="n">
        <f aca="false">SUMIFS(K$2:K2088,A$2:A2088,A2088,B$2:B2088,B2088)</f>
        <v>4374800</v>
      </c>
      <c r="O2088" s="11" t="n">
        <f aca="false">MAX(0,_xlfn.MAXIFS(N$2:N2088,A$2:A2088,A2088,B$2:B2088,B2088))</f>
        <v>5409495</v>
      </c>
      <c r="P2088" s="11" t="n">
        <f aca="false">N2088-O2088</f>
        <v>-1034695</v>
      </c>
    </row>
    <row r="2089" customFormat="false" ht="15" hidden="false" customHeight="false" outlineLevel="0" collapsed="false">
      <c r="A2089" s="8" t="s">
        <v>45</v>
      </c>
      <c r="B2089" s="8" t="s">
        <v>43</v>
      </c>
      <c r="C2089" s="8" t="s">
        <v>62</v>
      </c>
      <c r="D2089" s="21" t="n">
        <v>46141.6423611111</v>
      </c>
      <c r="E2089" s="21" t="n">
        <v>46141.8354166667</v>
      </c>
      <c r="F2089" s="22" t="n">
        <f aca="false">DATE(YEAR(E2089),MONTH(E2089),1)</f>
        <v>46113</v>
      </c>
      <c r="G2089" s="23" t="n">
        <v>153062</v>
      </c>
      <c r="H2089" s="8" t="s">
        <v>64</v>
      </c>
      <c r="I2089" s="24" t="n">
        <v>79.06</v>
      </c>
      <c r="J2089" s="25" t="n">
        <f aca="false">Summary!$B$4</f>
        <v>1</v>
      </c>
      <c r="K2089" s="11" t="n">
        <f aca="false">I2089*J2089*IF(A2089="SILVER",Summary!$B$5,Summary!$B$6)</f>
        <v>7906</v>
      </c>
      <c r="L2089" s="26" t="n">
        <v>0.1</v>
      </c>
      <c r="M2089" s="27" t="n">
        <f aca="false">IF(K2089&gt;0,1,0)</f>
        <v>1</v>
      </c>
      <c r="N2089" s="11" t="n">
        <f aca="false">SUMIFS(K$2:K2089,A$2:A2089,A2089,B$2:B2089,B2089)</f>
        <v>4382706</v>
      </c>
      <c r="O2089" s="11" t="n">
        <f aca="false">MAX(0,_xlfn.MAXIFS(N$2:N2089,A$2:A2089,A2089,B$2:B2089,B2089))</f>
        <v>5409495</v>
      </c>
      <c r="P2089" s="11" t="n">
        <f aca="false">N2089-O2089</f>
        <v>-1026789</v>
      </c>
    </row>
    <row r="2090" customFormat="false" ht="15" hidden="false" customHeight="false" outlineLevel="0" collapsed="false">
      <c r="A2090" s="8" t="s">
        <v>45</v>
      </c>
      <c r="B2090" s="8" t="s">
        <v>43</v>
      </c>
      <c r="C2090" s="8" t="s">
        <v>62</v>
      </c>
      <c r="D2090" s="21" t="n">
        <v>46163.5208333333</v>
      </c>
      <c r="E2090" s="21" t="n">
        <v>46163.55625</v>
      </c>
      <c r="F2090" s="22" t="n">
        <f aca="false">DATE(YEAR(E2090),MONTH(E2090),1)</f>
        <v>46143</v>
      </c>
      <c r="G2090" s="23" t="n">
        <v>163655</v>
      </c>
      <c r="H2090" s="8" t="s">
        <v>64</v>
      </c>
      <c r="I2090" s="24" t="n">
        <v>53.42</v>
      </c>
      <c r="J2090" s="25" t="n">
        <f aca="false">Summary!$B$4</f>
        <v>1</v>
      </c>
      <c r="K2090" s="11" t="n">
        <f aca="false">I2090*J2090*IF(A2090="SILVER",Summary!$B$5,Summary!$B$6)</f>
        <v>5342</v>
      </c>
      <c r="L2090" s="26" t="n">
        <v>0.084</v>
      </c>
      <c r="M2090" s="27" t="n">
        <f aca="false">IF(K2090&gt;0,1,0)</f>
        <v>1</v>
      </c>
      <c r="N2090" s="11" t="n">
        <f aca="false">SUMIFS(K$2:K2090,A$2:A2090,A2090,B$2:B2090,B2090)</f>
        <v>4388048</v>
      </c>
      <c r="O2090" s="11" t="n">
        <f aca="false">MAX(0,_xlfn.MAXIFS(N$2:N2090,A$2:A2090,A2090,B$2:B2090,B2090))</f>
        <v>5409495</v>
      </c>
      <c r="P2090" s="11" t="n">
        <f aca="false">N2090-O2090</f>
        <v>-1021447</v>
      </c>
    </row>
    <row r="2091" customFormat="false" ht="15" hidden="false" customHeight="false" outlineLevel="0" collapsed="false">
      <c r="A2091" s="8" t="s">
        <v>45</v>
      </c>
      <c r="B2091" s="8" t="s">
        <v>43</v>
      </c>
      <c r="C2091" s="8" t="s">
        <v>62</v>
      </c>
      <c r="D2091" s="21" t="n">
        <v>46163.7465277778</v>
      </c>
      <c r="E2091" s="21" t="n">
        <v>46163.8034722222</v>
      </c>
      <c r="F2091" s="22" t="n">
        <f aca="false">DATE(YEAR(E2091),MONTH(E2091),1)</f>
        <v>46143</v>
      </c>
      <c r="G2091" s="23" t="n">
        <v>163218</v>
      </c>
      <c r="H2091" s="8" t="s">
        <v>64</v>
      </c>
      <c r="I2091" s="24" t="n">
        <v>65.22</v>
      </c>
      <c r="J2091" s="25" t="n">
        <f aca="false">Summary!$B$4</f>
        <v>1</v>
      </c>
      <c r="K2091" s="11" t="n">
        <f aca="false">I2091*J2091*IF(A2091="SILVER",Summary!$B$5,Summary!$B$6)</f>
        <v>6522</v>
      </c>
      <c r="L2091" s="26" t="n">
        <v>0.091</v>
      </c>
      <c r="M2091" s="27" t="n">
        <f aca="false">IF(K2091&gt;0,1,0)</f>
        <v>1</v>
      </c>
      <c r="N2091" s="11" t="n">
        <f aca="false">SUMIFS(K$2:K2091,A$2:A2091,A2091,B$2:B2091,B2091)</f>
        <v>4394570</v>
      </c>
      <c r="O2091" s="11" t="n">
        <f aca="false">MAX(0,_xlfn.MAXIFS(N$2:N2091,A$2:A2091,A2091,B$2:B2091,B2091))</f>
        <v>5409495</v>
      </c>
      <c r="P2091" s="11" t="n">
        <f aca="false">N2091-O2091</f>
        <v>-1014925</v>
      </c>
    </row>
    <row r="2092" customFormat="false" ht="15" hidden="false" customHeight="false" outlineLevel="0" collapsed="false">
      <c r="A2092" s="8" t="s">
        <v>45</v>
      </c>
      <c r="B2092" s="8" t="s">
        <v>43</v>
      </c>
      <c r="C2092" s="8" t="s">
        <v>62</v>
      </c>
      <c r="D2092" s="21" t="n">
        <v>46164.4791666667</v>
      </c>
      <c r="E2092" s="21" t="n">
        <v>46164.8756944445</v>
      </c>
      <c r="F2092" s="22" t="n">
        <f aca="false">DATE(YEAR(E2092),MONTH(E2092),1)</f>
        <v>46143</v>
      </c>
      <c r="G2092" s="23" t="n">
        <v>163169</v>
      </c>
      <c r="H2092" s="8" t="s">
        <v>64</v>
      </c>
      <c r="I2092" s="24" t="n">
        <v>89.19</v>
      </c>
      <c r="J2092" s="25" t="n">
        <f aca="false">Summary!$B$4</f>
        <v>1</v>
      </c>
      <c r="K2092" s="11" t="n">
        <f aca="false">I2092*J2092*IF(A2092="SILVER",Summary!$B$5,Summary!$B$6)</f>
        <v>8919</v>
      </c>
      <c r="L2092" s="26" t="n">
        <v>0.102</v>
      </c>
      <c r="M2092" s="27" t="n">
        <f aca="false">IF(K2092&gt;0,1,0)</f>
        <v>1</v>
      </c>
      <c r="N2092" s="11" t="n">
        <f aca="false">SUMIFS(K$2:K2092,A$2:A2092,A2092,B$2:B2092,B2092)</f>
        <v>4403489</v>
      </c>
      <c r="O2092" s="11" t="n">
        <f aca="false">MAX(0,_xlfn.MAXIFS(N$2:N2092,A$2:A2092,A2092,B$2:B2092,B2092))</f>
        <v>5409495</v>
      </c>
      <c r="P2092" s="11" t="n">
        <f aca="false">N2092-O2092</f>
        <v>-1006006</v>
      </c>
    </row>
    <row r="2093" customFormat="false" ht="15" hidden="false" customHeight="false" outlineLevel="0" collapsed="false">
      <c r="A2093" s="8" t="s">
        <v>45</v>
      </c>
      <c r="B2093" s="8" t="s">
        <v>43</v>
      </c>
      <c r="C2093" s="8" t="s">
        <v>62</v>
      </c>
      <c r="D2093" s="21" t="n">
        <v>46167.9722222222</v>
      </c>
      <c r="E2093" s="21" t="n">
        <v>46168.6701388889</v>
      </c>
      <c r="F2093" s="22" t="n">
        <f aca="false">DATE(YEAR(E2093),MONTH(E2093),1)</f>
        <v>46143</v>
      </c>
      <c r="G2093" s="23" t="n">
        <v>163308</v>
      </c>
      <c r="H2093" s="8" t="s">
        <v>61</v>
      </c>
      <c r="I2093" s="24" t="n">
        <v>672.26</v>
      </c>
      <c r="J2093" s="25" t="n">
        <f aca="false">Summary!$B$4</f>
        <v>1</v>
      </c>
      <c r="K2093" s="11" t="n">
        <f aca="false">I2093*J2093*IF(A2093="SILVER",Summary!$B$5,Summary!$B$6)</f>
        <v>67226</v>
      </c>
      <c r="L2093" s="26" t="n">
        <v>1.821</v>
      </c>
      <c r="M2093" s="27" t="n">
        <f aca="false">IF(K2093&gt;0,1,0)</f>
        <v>1</v>
      </c>
      <c r="N2093" s="11" t="n">
        <f aca="false">SUMIFS(K$2:K2093,A$2:A2093,A2093,B$2:B2093,B2093)</f>
        <v>4470715</v>
      </c>
      <c r="O2093" s="11" t="n">
        <f aca="false">MAX(0,_xlfn.MAXIFS(N$2:N2093,A$2:A2093,A2093,B$2:B2093,B2093))</f>
        <v>5409495</v>
      </c>
      <c r="P2093" s="11" t="n">
        <f aca="false">N2093-O2093</f>
        <v>-938780</v>
      </c>
    </row>
    <row r="2094" customFormat="false" ht="15" hidden="false" customHeight="false" outlineLevel="0" collapsed="false">
      <c r="A2094" s="8" t="s">
        <v>45</v>
      </c>
      <c r="B2094" s="8" t="s">
        <v>43</v>
      </c>
      <c r="C2094" s="8" t="s">
        <v>62</v>
      </c>
      <c r="D2094" s="21" t="n">
        <v>46168.8694444444</v>
      </c>
      <c r="E2094" s="21" t="n">
        <v>46169.375</v>
      </c>
      <c r="F2094" s="22" t="n">
        <f aca="false">DATE(YEAR(E2094),MONTH(E2094),1)</f>
        <v>46143</v>
      </c>
      <c r="G2094" s="23" t="n">
        <v>161917</v>
      </c>
      <c r="H2094" s="8" t="s">
        <v>64</v>
      </c>
      <c r="I2094" s="24" t="n">
        <v>41.14</v>
      </c>
      <c r="J2094" s="25" t="n">
        <f aca="false">Summary!$B$4</f>
        <v>1</v>
      </c>
      <c r="K2094" s="11" t="n">
        <f aca="false">I2094*J2094*IF(A2094="SILVER",Summary!$B$5,Summary!$B$6)</f>
        <v>4114</v>
      </c>
      <c r="L2094" s="26" t="n">
        <v>0.075</v>
      </c>
      <c r="M2094" s="27" t="n">
        <f aca="false">IF(K2094&gt;0,1,0)</f>
        <v>1</v>
      </c>
      <c r="N2094" s="11" t="n">
        <f aca="false">SUMIFS(K$2:K2094,A$2:A2094,A2094,B$2:B2094,B2094)</f>
        <v>4474829</v>
      </c>
      <c r="O2094" s="11" t="n">
        <f aca="false">MAX(0,_xlfn.MAXIFS(N$2:N2094,A$2:A2094,A2094,B$2:B2094,B2094))</f>
        <v>5409495</v>
      </c>
      <c r="P2094" s="11" t="n">
        <f aca="false">N2094-O2094</f>
        <v>-934666</v>
      </c>
    </row>
    <row r="2095" customFormat="false" ht="15" hidden="false" customHeight="false" outlineLevel="0" collapsed="false">
      <c r="A2095" s="8" t="s">
        <v>45</v>
      </c>
      <c r="B2095" s="8" t="s">
        <v>43</v>
      </c>
      <c r="C2095" s="8" t="s">
        <v>62</v>
      </c>
      <c r="D2095" s="21" t="n">
        <v>46169.46875</v>
      </c>
      <c r="E2095" s="21" t="n">
        <v>46170.7847222222</v>
      </c>
      <c r="F2095" s="22" t="n">
        <f aca="false">DATE(YEAR(E2095),MONTH(E2095),1)</f>
        <v>46143</v>
      </c>
      <c r="G2095" s="23" t="n">
        <v>161645</v>
      </c>
      <c r="H2095" s="8" t="s">
        <v>61</v>
      </c>
      <c r="I2095" s="24" t="n">
        <v>2647.79</v>
      </c>
      <c r="J2095" s="25" t="n">
        <f aca="false">Summary!$B$4</f>
        <v>1</v>
      </c>
      <c r="K2095" s="11" t="n">
        <f aca="false">I2095*J2095*IF(A2095="SILVER",Summary!$B$5,Summary!$B$6)</f>
        <v>264779</v>
      </c>
      <c r="L2095" s="26" t="n">
        <v>4.339</v>
      </c>
      <c r="M2095" s="27" t="n">
        <f aca="false">IF(K2095&gt;0,1,0)</f>
        <v>1</v>
      </c>
      <c r="N2095" s="11" t="n">
        <f aca="false">SUMIFS(K$2:K2095,A$2:A2095,A2095,B$2:B2095,B2095)</f>
        <v>4739608</v>
      </c>
      <c r="O2095" s="11" t="n">
        <f aca="false">MAX(0,_xlfn.MAXIFS(N$2:N2095,A$2:A2095,A2095,B$2:B2095,B2095))</f>
        <v>5409495</v>
      </c>
      <c r="P2095" s="11" t="n">
        <f aca="false">N2095-O2095</f>
        <v>-669887</v>
      </c>
    </row>
    <row r="2096" customFormat="false" ht="15" hidden="false" customHeight="false" outlineLevel="0" collapsed="false">
      <c r="A2096" s="8" t="s">
        <v>45</v>
      </c>
      <c r="B2096" s="8" t="s">
        <v>43</v>
      </c>
      <c r="C2096" s="8" t="s">
        <v>62</v>
      </c>
      <c r="D2096" s="21" t="n">
        <v>46171.5763888889</v>
      </c>
      <c r="E2096" s="21" t="n">
        <v>46171.8097222222</v>
      </c>
      <c r="F2096" s="22" t="n">
        <f aca="false">DATE(YEAR(E2096),MONTH(E2096),1)</f>
        <v>46143</v>
      </c>
      <c r="G2096" s="23" t="n">
        <v>160340</v>
      </c>
      <c r="H2096" s="8" t="s">
        <v>64</v>
      </c>
      <c r="I2096" s="24" t="n">
        <v>90.55</v>
      </c>
      <c r="J2096" s="25" t="n">
        <f aca="false">Summary!$B$4</f>
        <v>1</v>
      </c>
      <c r="K2096" s="11" t="n">
        <f aca="false">I2096*J2096*IF(A2096="SILVER",Summary!$B$5,Summary!$B$6)</f>
        <v>9055</v>
      </c>
      <c r="L2096" s="26" t="n">
        <v>0.103</v>
      </c>
      <c r="M2096" s="27" t="n">
        <f aca="false">IF(K2096&gt;0,1,0)</f>
        <v>1</v>
      </c>
      <c r="N2096" s="11" t="n">
        <f aca="false">SUMIFS(K$2:K2096,A$2:A2096,A2096,B$2:B2096,B2096)</f>
        <v>4748663</v>
      </c>
      <c r="O2096" s="11" t="n">
        <f aca="false">MAX(0,_xlfn.MAXIFS(N$2:N2096,A$2:A2096,A2096,B$2:B2096,B2096))</f>
        <v>5409495</v>
      </c>
      <c r="P2096" s="11" t="n">
        <f aca="false">N2096-O2096</f>
        <v>-660832</v>
      </c>
    </row>
    <row r="2097" customFormat="false" ht="15" hidden="false" customHeight="false" outlineLevel="0" collapsed="false">
      <c r="A2097" s="8" t="s">
        <v>45</v>
      </c>
      <c r="B2097" s="8" t="s">
        <v>43</v>
      </c>
      <c r="C2097" s="8" t="s">
        <v>62</v>
      </c>
      <c r="D2097" s="21" t="n">
        <v>46174.3784722222</v>
      </c>
      <c r="E2097" s="21" t="n">
        <v>46174.3868055556</v>
      </c>
      <c r="F2097" s="22" t="n">
        <f aca="false">DATE(YEAR(E2097),MONTH(E2097),1)</f>
        <v>46174</v>
      </c>
      <c r="G2097" s="23" t="n">
        <v>158905</v>
      </c>
      <c r="H2097" s="8" t="s">
        <v>64</v>
      </c>
      <c r="I2097" s="24" t="n">
        <v>232.82</v>
      </c>
      <c r="J2097" s="25" t="n">
        <f aca="false">Summary!$B$4</f>
        <v>1</v>
      </c>
      <c r="K2097" s="11" t="n">
        <f aca="false">I2097*J2097*IF(A2097="SILVER",Summary!$B$5,Summary!$B$6)</f>
        <v>23282</v>
      </c>
      <c r="L2097" s="26" t="n">
        <v>0.128</v>
      </c>
      <c r="M2097" s="27" t="n">
        <f aca="false">IF(K2097&gt;0,1,0)</f>
        <v>1</v>
      </c>
      <c r="N2097" s="11" t="n">
        <f aca="false">SUMIFS(K$2:K2097,A$2:A2097,A2097,B$2:B2097,B2097)</f>
        <v>4771945</v>
      </c>
      <c r="O2097" s="11" t="n">
        <f aca="false">MAX(0,_xlfn.MAXIFS(N$2:N2097,A$2:A2097,A2097,B$2:B2097,B2097))</f>
        <v>5409495</v>
      </c>
      <c r="P2097" s="11" t="n">
        <f aca="false">N2097-O2097</f>
        <v>-637550</v>
      </c>
    </row>
    <row r="2098" customFormat="false" ht="15" hidden="false" customHeight="false" outlineLevel="0" collapsed="false">
      <c r="A2098" s="8" t="s">
        <v>45</v>
      </c>
      <c r="B2098" s="8" t="s">
        <v>43</v>
      </c>
      <c r="C2098" s="8" t="s">
        <v>62</v>
      </c>
      <c r="D2098" s="21" t="n">
        <v>46174.7923611111</v>
      </c>
      <c r="E2098" s="21" t="n">
        <v>46174.81875</v>
      </c>
      <c r="F2098" s="22" t="n">
        <f aca="false">DATE(YEAR(E2098),MONTH(E2098),1)</f>
        <v>46174</v>
      </c>
      <c r="G2098" s="23" t="n">
        <v>158083</v>
      </c>
      <c r="H2098" s="8" t="s">
        <v>64</v>
      </c>
      <c r="I2098" s="24" t="n">
        <v>80.3</v>
      </c>
      <c r="J2098" s="25" t="n">
        <f aca="false">Summary!$B$4</f>
        <v>1</v>
      </c>
      <c r="K2098" s="11" t="n">
        <f aca="false">I2098*J2098*IF(A2098="SILVER",Summary!$B$5,Summary!$B$6)</f>
        <v>8030</v>
      </c>
      <c r="L2098" s="26" t="n">
        <v>0.1</v>
      </c>
      <c r="M2098" s="27" t="n">
        <f aca="false">IF(K2098&gt;0,1,0)</f>
        <v>1</v>
      </c>
      <c r="N2098" s="11" t="n">
        <f aca="false">SUMIFS(K$2:K2098,A$2:A2098,A2098,B$2:B2098,B2098)</f>
        <v>4779975</v>
      </c>
      <c r="O2098" s="11" t="n">
        <f aca="false">MAX(0,_xlfn.MAXIFS(N$2:N2098,A$2:A2098,A2098,B$2:B2098,B2098))</f>
        <v>5409495</v>
      </c>
      <c r="P2098" s="11" t="n">
        <f aca="false">N2098-O2098</f>
        <v>-629520</v>
      </c>
    </row>
    <row r="2099" customFormat="false" ht="15" hidden="false" customHeight="false" outlineLevel="0" collapsed="false">
      <c r="A2099" s="8" t="s">
        <v>45</v>
      </c>
      <c r="B2099" s="8" t="s">
        <v>43</v>
      </c>
      <c r="C2099" s="8" t="s">
        <v>62</v>
      </c>
      <c r="D2099" s="21" t="n">
        <v>46176.3958333333</v>
      </c>
      <c r="E2099" s="21" t="n">
        <v>46176.6694444444</v>
      </c>
      <c r="F2099" s="22" t="n">
        <f aca="false">DATE(YEAR(E2099),MONTH(E2099),1)</f>
        <v>46174</v>
      </c>
      <c r="G2099" s="23" t="n">
        <v>159032</v>
      </c>
      <c r="H2099" s="8" t="s">
        <v>64</v>
      </c>
      <c r="I2099" s="24" t="n">
        <v>-53.95</v>
      </c>
      <c r="J2099" s="25" t="n">
        <f aca="false">Summary!$B$4</f>
        <v>1</v>
      </c>
      <c r="K2099" s="11" t="n">
        <f aca="false">I2099*J2099*IF(A2099="SILVER",Summary!$B$5,Summary!$B$6)</f>
        <v>-5395</v>
      </c>
      <c r="L2099" s="26" t="n">
        <v>-0.05</v>
      </c>
      <c r="M2099" s="27" t="n">
        <f aca="false">IF(K2099&gt;0,1,0)</f>
        <v>0</v>
      </c>
      <c r="N2099" s="11" t="n">
        <f aca="false">SUMIFS(K$2:K2099,A$2:A2099,A2099,B$2:B2099,B2099)</f>
        <v>4774580</v>
      </c>
      <c r="O2099" s="11" t="n">
        <f aca="false">MAX(0,_xlfn.MAXIFS(N$2:N2099,A$2:A2099,A2099,B$2:B2099,B2099))</f>
        <v>5409495</v>
      </c>
      <c r="P2099" s="11" t="n">
        <f aca="false">N2099-O2099</f>
        <v>-634915</v>
      </c>
    </row>
    <row r="2100" customFormat="false" ht="15" hidden="false" customHeight="false" outlineLevel="0" collapsed="false">
      <c r="A2100" s="8" t="s">
        <v>45</v>
      </c>
      <c r="B2100" s="8" t="s">
        <v>43</v>
      </c>
      <c r="C2100" s="8" t="s">
        <v>62</v>
      </c>
      <c r="D2100" s="21" t="n">
        <v>46178.4027777778</v>
      </c>
      <c r="E2100" s="21" t="n">
        <v>46178.68125</v>
      </c>
      <c r="F2100" s="22" t="n">
        <f aca="false">DATE(YEAR(E2100),MONTH(E2100),1)</f>
        <v>46174</v>
      </c>
      <c r="G2100" s="23" t="n">
        <v>158830</v>
      </c>
      <c r="H2100" s="8" t="s">
        <v>64</v>
      </c>
      <c r="I2100" s="24" t="n">
        <v>134.11</v>
      </c>
      <c r="J2100" s="25" t="n">
        <f aca="false">Summary!$B$4</f>
        <v>1</v>
      </c>
      <c r="K2100" s="11" t="n">
        <f aca="false">I2100*J2100*IF(A2100="SILVER",Summary!$B$5,Summary!$B$6)</f>
        <v>13411</v>
      </c>
      <c r="L2100" s="26" t="n">
        <v>0.086</v>
      </c>
      <c r="M2100" s="27" t="n">
        <f aca="false">IF(K2100&gt;0,1,0)</f>
        <v>1</v>
      </c>
      <c r="N2100" s="11" t="n">
        <f aca="false">SUMIFS(K$2:K2100,A$2:A2100,A2100,B$2:B2100,B2100)</f>
        <v>4787991</v>
      </c>
      <c r="O2100" s="11" t="n">
        <f aca="false">MAX(0,_xlfn.MAXIFS(N$2:N2100,A$2:A2100,A2100,B$2:B2100,B2100))</f>
        <v>5409495</v>
      </c>
      <c r="P2100" s="11" t="n">
        <f aca="false">N2100-O2100</f>
        <v>-621504</v>
      </c>
    </row>
    <row r="2101" customFormat="false" ht="15" hidden="false" customHeight="false" outlineLevel="0" collapsed="false">
      <c r="A2101" s="8" t="s">
        <v>45</v>
      </c>
      <c r="B2101" s="8" t="s">
        <v>43</v>
      </c>
      <c r="C2101" s="8" t="s">
        <v>62</v>
      </c>
      <c r="D2101" s="21" t="n">
        <v>46178.8159722222</v>
      </c>
      <c r="E2101" s="21" t="n">
        <v>46181.6979166667</v>
      </c>
      <c r="F2101" s="22" t="n">
        <f aca="false">DATE(YEAR(E2101),MONTH(E2101),1)</f>
        <v>46174</v>
      </c>
      <c r="G2101" s="23" t="n">
        <v>155931</v>
      </c>
      <c r="H2101" s="8" t="s">
        <v>61</v>
      </c>
      <c r="I2101" s="24" t="n">
        <v>-1139.62</v>
      </c>
      <c r="J2101" s="25" t="n">
        <f aca="false">Summary!$B$4</f>
        <v>1</v>
      </c>
      <c r="K2101" s="11" t="n">
        <f aca="false">I2101*J2101*IF(A2101="SILVER",Summary!$B$5,Summary!$B$6)</f>
        <v>-113962</v>
      </c>
      <c r="L2101" s="26" t="n">
        <v>-0.366</v>
      </c>
      <c r="M2101" s="27" t="n">
        <f aca="false">IF(K2101&gt;0,1,0)</f>
        <v>0</v>
      </c>
      <c r="N2101" s="11" t="n">
        <f aca="false">SUMIFS(K$2:K2101,A$2:A2101,A2101,B$2:B2101,B2101)</f>
        <v>4674029</v>
      </c>
      <c r="O2101" s="11" t="n">
        <f aca="false">MAX(0,_xlfn.MAXIFS(N$2:N2101,A$2:A2101,A2101,B$2:B2101,B2101))</f>
        <v>5409495</v>
      </c>
      <c r="P2101" s="11" t="n">
        <f aca="false">N2101-O2101</f>
        <v>-735466</v>
      </c>
    </row>
    <row r="2102" customFormat="false" ht="15" hidden="false" customHeight="false" outlineLevel="0" collapsed="false">
      <c r="A2102" s="8" t="s">
        <v>45</v>
      </c>
      <c r="B2102" s="8" t="s">
        <v>43</v>
      </c>
      <c r="C2102" s="8" t="s">
        <v>62</v>
      </c>
      <c r="D2102" s="21" t="n">
        <v>46182.5659722222</v>
      </c>
      <c r="E2102" s="21" t="n">
        <v>46182.6104166667</v>
      </c>
      <c r="F2102" s="22" t="n">
        <f aca="false">DATE(YEAR(E2102),MONTH(E2102),1)</f>
        <v>46174</v>
      </c>
      <c r="G2102" s="23" t="n">
        <v>157179</v>
      </c>
      <c r="H2102" s="8" t="s">
        <v>64</v>
      </c>
      <c r="I2102" s="24" t="n">
        <v>70.09</v>
      </c>
      <c r="J2102" s="25" t="n">
        <f aca="false">Summary!$B$4</f>
        <v>1</v>
      </c>
      <c r="K2102" s="11" t="n">
        <f aca="false">I2102*J2102*IF(A2102="SILVER",Summary!$B$5,Summary!$B$6)</f>
        <v>7009</v>
      </c>
      <c r="L2102" s="26" t="n">
        <v>0.09</v>
      </c>
      <c r="M2102" s="27" t="n">
        <f aca="false">IF(K2102&gt;0,1,0)</f>
        <v>1</v>
      </c>
      <c r="N2102" s="11" t="n">
        <f aca="false">SUMIFS(K$2:K2102,A$2:A2102,A2102,B$2:B2102,B2102)</f>
        <v>4681038</v>
      </c>
      <c r="O2102" s="11" t="n">
        <f aca="false">MAX(0,_xlfn.MAXIFS(N$2:N2102,A$2:A2102,A2102,B$2:B2102,B2102))</f>
        <v>5409495</v>
      </c>
      <c r="P2102" s="11" t="n">
        <f aca="false">N2102-O2102</f>
        <v>-728457</v>
      </c>
    </row>
    <row r="2103" customFormat="false" ht="15" hidden="false" customHeight="false" outlineLevel="0" collapsed="false">
      <c r="A2103" s="8" t="s">
        <v>45</v>
      </c>
      <c r="B2103" s="8" t="s">
        <v>43</v>
      </c>
      <c r="C2103" s="8" t="s">
        <v>62</v>
      </c>
      <c r="D2103" s="21" t="n">
        <v>46182.8263888889</v>
      </c>
      <c r="E2103" s="21" t="n">
        <v>46183.8020833333</v>
      </c>
      <c r="F2103" s="22" t="n">
        <f aca="false">DATE(YEAR(E2103),MONTH(E2103),1)</f>
        <v>46174</v>
      </c>
      <c r="G2103" s="23" t="n">
        <v>156629</v>
      </c>
      <c r="H2103" s="8" t="s">
        <v>61</v>
      </c>
      <c r="I2103" s="24" t="n">
        <v>4170.63</v>
      </c>
      <c r="J2103" s="25" t="n">
        <f aca="false">Summary!$B$4</f>
        <v>1</v>
      </c>
      <c r="K2103" s="11" t="n">
        <f aca="false">I2103*J2103*IF(A2103="SILVER",Summary!$B$5,Summary!$B$6)</f>
        <v>417063</v>
      </c>
      <c r="L2103" s="26" t="n">
        <v>3.207</v>
      </c>
      <c r="M2103" s="27" t="n">
        <f aca="false">IF(K2103&gt;0,1,0)</f>
        <v>1</v>
      </c>
      <c r="N2103" s="11" t="n">
        <f aca="false">SUMIFS(K$2:K2103,A$2:A2103,A2103,B$2:B2103,B2103)</f>
        <v>5098101</v>
      </c>
      <c r="O2103" s="11" t="n">
        <f aca="false">MAX(0,_xlfn.MAXIFS(N$2:N2103,A$2:A2103,A2103,B$2:B2103,B2103))</f>
        <v>5409495</v>
      </c>
      <c r="P2103" s="11" t="n">
        <f aca="false">N2103-O2103</f>
        <v>-311394</v>
      </c>
    </row>
    <row r="2104" customFormat="false" ht="15" hidden="false" customHeight="false" outlineLevel="0" collapsed="false">
      <c r="A2104" s="8" t="s">
        <v>45</v>
      </c>
      <c r="B2104" s="8" t="s">
        <v>43</v>
      </c>
      <c r="C2104" s="8" t="s">
        <v>62</v>
      </c>
      <c r="D2104" s="21" t="n">
        <v>46183.8680555556</v>
      </c>
      <c r="E2104" s="21" t="n">
        <v>46184.46875</v>
      </c>
      <c r="F2104" s="22" t="n">
        <f aca="false">DATE(YEAR(E2104),MONTH(E2104),1)</f>
        <v>46174</v>
      </c>
      <c r="G2104" s="23" t="n">
        <v>150784</v>
      </c>
      <c r="H2104" s="8" t="s">
        <v>64</v>
      </c>
      <c r="I2104" s="24" t="n">
        <v>230.24</v>
      </c>
      <c r="J2104" s="25" t="n">
        <f aca="false">Summary!$B$4</f>
        <v>1</v>
      </c>
      <c r="K2104" s="11" t="n">
        <f aca="false">I2104*J2104*IF(A2104="SILVER",Summary!$B$5,Summary!$B$6)</f>
        <v>23024</v>
      </c>
      <c r="L2104" s="26" t="n">
        <v>0.128</v>
      </c>
      <c r="M2104" s="27" t="n">
        <f aca="false">IF(K2104&gt;0,1,0)</f>
        <v>1</v>
      </c>
      <c r="N2104" s="11" t="n">
        <f aca="false">SUMIFS(K$2:K2104,A$2:A2104,A2104,B$2:B2104,B2104)</f>
        <v>5121125</v>
      </c>
      <c r="O2104" s="11" t="n">
        <f aca="false">MAX(0,_xlfn.MAXIFS(N$2:N2104,A$2:A2104,A2104,B$2:B2104,B2104))</f>
        <v>5409495</v>
      </c>
      <c r="P2104" s="11" t="n">
        <f aca="false">N2104-O2104</f>
        <v>-288370</v>
      </c>
    </row>
    <row r="2105" customFormat="false" ht="15" hidden="false" customHeight="false" outlineLevel="0" collapsed="false">
      <c r="A2105" s="8" t="s">
        <v>45</v>
      </c>
      <c r="B2105" s="8" t="s">
        <v>43</v>
      </c>
      <c r="C2105" s="8" t="s">
        <v>62</v>
      </c>
      <c r="D2105" s="21" t="n">
        <v>46185.8125</v>
      </c>
      <c r="E2105" s="21" t="n">
        <v>46185.8715277778</v>
      </c>
      <c r="F2105" s="22" t="n">
        <f aca="false">DATE(YEAR(E2105),MONTH(E2105),1)</f>
        <v>46174</v>
      </c>
      <c r="G2105" s="23" t="n">
        <v>152399</v>
      </c>
      <c r="H2105" s="8" t="s">
        <v>61</v>
      </c>
      <c r="I2105" s="24" t="n">
        <v>-1145.06</v>
      </c>
      <c r="J2105" s="25" t="n">
        <f aca="false">Summary!$B$4</f>
        <v>1</v>
      </c>
      <c r="K2105" s="11" t="n">
        <f aca="false">I2105*J2105*IF(A2105="SILVER",Summary!$B$5,Summary!$B$6)</f>
        <v>-114506</v>
      </c>
      <c r="L2105" s="26" t="n">
        <v>-1.198</v>
      </c>
      <c r="M2105" s="27" t="n">
        <f aca="false">IF(K2105&gt;0,1,0)</f>
        <v>0</v>
      </c>
      <c r="N2105" s="11" t="n">
        <f aca="false">SUMIFS(K$2:K2105,A$2:A2105,A2105,B$2:B2105,B2105)</f>
        <v>5006619</v>
      </c>
      <c r="O2105" s="11" t="n">
        <f aca="false">MAX(0,_xlfn.MAXIFS(N$2:N2105,A$2:A2105,A2105,B$2:B2105,B2105))</f>
        <v>5409495</v>
      </c>
      <c r="P2105" s="11" t="n">
        <f aca="false">N2105-O2105</f>
        <v>-402876</v>
      </c>
    </row>
    <row r="2106" customFormat="false" ht="15" hidden="false" customHeight="false" outlineLevel="0" collapsed="false">
      <c r="A2106" s="8" t="s">
        <v>45</v>
      </c>
      <c r="B2106" s="8" t="s">
        <v>43</v>
      </c>
      <c r="C2106" s="8" t="s">
        <v>62</v>
      </c>
      <c r="D2106" s="21" t="n">
        <v>46191.5833333333</v>
      </c>
      <c r="E2106" s="21" t="n">
        <v>46191.6180555556</v>
      </c>
      <c r="F2106" s="22" t="n">
        <f aca="false">DATE(YEAR(E2106),MONTH(E2106),1)</f>
        <v>46174</v>
      </c>
      <c r="G2106" s="23" t="n">
        <v>153524</v>
      </c>
      <c r="H2106" s="8" t="s">
        <v>64</v>
      </c>
      <c r="I2106" s="24" t="n">
        <v>103.77</v>
      </c>
      <c r="J2106" s="25" t="n">
        <f aca="false">Summary!$B$4</f>
        <v>1</v>
      </c>
      <c r="K2106" s="11" t="n">
        <f aca="false">I2106*J2106*IF(A2106="SILVER",Summary!$B$5,Summary!$B$6)</f>
        <v>10377</v>
      </c>
      <c r="L2106" s="26" t="n">
        <v>0.108</v>
      </c>
      <c r="M2106" s="27" t="n">
        <f aca="false">IF(K2106&gt;0,1,0)</f>
        <v>1</v>
      </c>
      <c r="N2106" s="11" t="n">
        <f aca="false">SUMIFS(K$2:K2106,A$2:A2106,A2106,B$2:B2106,B2106)</f>
        <v>5016996</v>
      </c>
      <c r="O2106" s="11" t="n">
        <f aca="false">MAX(0,_xlfn.MAXIFS(N$2:N2106,A$2:A2106,A2106,B$2:B2106,B2106))</f>
        <v>5409495</v>
      </c>
      <c r="P2106" s="11" t="n">
        <f aca="false">N2106-O2106</f>
        <v>-392499</v>
      </c>
    </row>
    <row r="2107" customFormat="false" ht="15" hidden="false" customHeight="false" outlineLevel="0" collapsed="false">
      <c r="A2107" s="8" t="s">
        <v>45</v>
      </c>
      <c r="B2107" s="8" t="s">
        <v>43</v>
      </c>
      <c r="C2107" s="8" t="s">
        <v>62</v>
      </c>
      <c r="D2107" s="21" t="n">
        <v>46191.6909722222</v>
      </c>
      <c r="E2107" s="21" t="n">
        <v>46191.6972222222</v>
      </c>
      <c r="F2107" s="22" t="n">
        <f aca="false">DATE(YEAR(E2107),MONTH(E2107),1)</f>
        <v>46174</v>
      </c>
      <c r="G2107" s="23" t="n">
        <v>152829</v>
      </c>
      <c r="H2107" s="8" t="s">
        <v>64</v>
      </c>
      <c r="I2107" s="24" t="n">
        <v>102.89</v>
      </c>
      <c r="J2107" s="25" t="n">
        <f aca="false">Summary!$B$4</f>
        <v>1</v>
      </c>
      <c r="K2107" s="11" t="n">
        <f aca="false">I2107*J2107*IF(A2107="SILVER",Summary!$B$5,Summary!$B$6)</f>
        <v>10289</v>
      </c>
      <c r="L2107" s="26" t="n">
        <v>0.108</v>
      </c>
      <c r="M2107" s="27" t="n">
        <f aca="false">IF(K2107&gt;0,1,0)</f>
        <v>1</v>
      </c>
      <c r="N2107" s="11" t="n">
        <f aca="false">SUMIFS(K$2:K2107,A$2:A2107,A2107,B$2:B2107,B2107)</f>
        <v>5027285</v>
      </c>
      <c r="O2107" s="11" t="n">
        <f aca="false">MAX(0,_xlfn.MAXIFS(N$2:N2107,A$2:A2107,A2107,B$2:B2107,B2107))</f>
        <v>5409495</v>
      </c>
      <c r="P2107" s="11" t="n">
        <f aca="false">N2107-O2107</f>
        <v>-382210</v>
      </c>
    </row>
    <row r="2108" customFormat="false" ht="15" hidden="false" customHeight="false" outlineLevel="0" collapsed="false">
      <c r="A2108" s="8" t="s">
        <v>45</v>
      </c>
      <c r="B2108" s="8" t="s">
        <v>43</v>
      </c>
      <c r="C2108" s="8" t="s">
        <v>62</v>
      </c>
      <c r="D2108" s="21" t="n">
        <v>46191.6979166667</v>
      </c>
      <c r="E2108" s="21" t="n">
        <v>46191.7243055556</v>
      </c>
      <c r="F2108" s="22" t="n">
        <f aca="false">DATE(YEAR(E2108),MONTH(E2108),1)</f>
        <v>46174</v>
      </c>
      <c r="G2108" s="23" t="n">
        <v>152734</v>
      </c>
      <c r="H2108" s="8" t="s">
        <v>64</v>
      </c>
      <c r="I2108" s="24" t="n">
        <v>64</v>
      </c>
      <c r="J2108" s="25" t="n">
        <f aca="false">Summary!$B$4</f>
        <v>1</v>
      </c>
      <c r="K2108" s="11" t="n">
        <f aca="false">I2108*J2108*IF(A2108="SILVER",Summary!$B$5,Summary!$B$6)</f>
        <v>6400</v>
      </c>
      <c r="L2108" s="26" t="n">
        <v>0.073</v>
      </c>
      <c r="M2108" s="27" t="n">
        <f aca="false">IF(K2108&gt;0,1,0)</f>
        <v>1</v>
      </c>
      <c r="N2108" s="11" t="n">
        <f aca="false">SUMIFS(K$2:K2108,A$2:A2108,A2108,B$2:B2108,B2108)</f>
        <v>5033685</v>
      </c>
      <c r="O2108" s="11" t="n">
        <f aca="false">MAX(0,_xlfn.MAXIFS(N$2:N2108,A$2:A2108,A2108,B$2:B2108,B2108))</f>
        <v>5409495</v>
      </c>
      <c r="P2108" s="11" t="n">
        <f aca="false">N2108-O2108</f>
        <v>-375810</v>
      </c>
    </row>
    <row r="2109" customFormat="false" ht="15" hidden="false" customHeight="false" outlineLevel="0" collapsed="false">
      <c r="A2109" s="8" t="s">
        <v>45</v>
      </c>
      <c r="B2109" s="8" t="s">
        <v>43</v>
      </c>
      <c r="C2109" s="8" t="s">
        <v>62</v>
      </c>
      <c r="D2109" s="21" t="n">
        <v>46191.7256944445</v>
      </c>
      <c r="E2109" s="21" t="n">
        <v>46192.5277777778</v>
      </c>
      <c r="F2109" s="22" t="n">
        <f aca="false">DATE(YEAR(E2109),MONTH(E2109),1)</f>
        <v>46174</v>
      </c>
      <c r="G2109" s="23" t="n">
        <v>152489</v>
      </c>
      <c r="H2109" s="8" t="s">
        <v>61</v>
      </c>
      <c r="I2109" s="24" t="n">
        <v>2524.28</v>
      </c>
      <c r="J2109" s="25" t="n">
        <f aca="false">Summary!$B$4</f>
        <v>1</v>
      </c>
      <c r="K2109" s="11" t="n">
        <f aca="false">I2109*J2109*IF(A2109="SILVER",Summary!$B$5,Summary!$B$6)</f>
        <v>252428</v>
      </c>
      <c r="L2109" s="26" t="n">
        <v>2.48</v>
      </c>
      <c r="M2109" s="27" t="n">
        <f aca="false">IF(K2109&gt;0,1,0)</f>
        <v>1</v>
      </c>
      <c r="N2109" s="11" t="n">
        <f aca="false">SUMIFS(K$2:K2109,A$2:A2109,A2109,B$2:B2109,B2109)</f>
        <v>5286113</v>
      </c>
      <c r="O2109" s="11" t="n">
        <f aca="false">MAX(0,_xlfn.MAXIFS(N$2:N2109,A$2:A2109,A2109,B$2:B2109,B2109))</f>
        <v>5409495</v>
      </c>
      <c r="P2109" s="11" t="n">
        <f aca="false">N2109-O2109</f>
        <v>-123382</v>
      </c>
    </row>
    <row r="2110" customFormat="false" ht="15" hidden="false" customHeight="false" outlineLevel="0" collapsed="false">
      <c r="A2110" s="8" t="s">
        <v>45</v>
      </c>
      <c r="B2110" s="8" t="s">
        <v>43</v>
      </c>
      <c r="C2110" s="8" t="s">
        <v>62</v>
      </c>
      <c r="D2110" s="21" t="n">
        <v>46192.6979166667</v>
      </c>
      <c r="E2110" s="21" t="n">
        <v>46192.7708333333</v>
      </c>
      <c r="F2110" s="22" t="n">
        <f aca="false">DATE(YEAR(E2110),MONTH(E2110),1)</f>
        <v>46174</v>
      </c>
      <c r="G2110" s="23" t="n">
        <v>149463</v>
      </c>
      <c r="H2110" s="8" t="s">
        <v>61</v>
      </c>
      <c r="I2110" s="24" t="n">
        <v>-1099.47</v>
      </c>
      <c r="J2110" s="25" t="n">
        <f aca="false">Summary!$B$4</f>
        <v>1</v>
      </c>
      <c r="K2110" s="11" t="n">
        <f aca="false">I2110*J2110*IF(A2110="SILVER",Summary!$B$5,Summary!$B$6)</f>
        <v>-109947</v>
      </c>
      <c r="L2110" s="26" t="n">
        <v>-1.156</v>
      </c>
      <c r="M2110" s="27" t="n">
        <f aca="false">IF(K2110&gt;0,1,0)</f>
        <v>0</v>
      </c>
      <c r="N2110" s="11" t="n">
        <f aca="false">SUMIFS(K$2:K2110,A$2:A2110,A2110,B$2:B2110,B2110)</f>
        <v>5176166</v>
      </c>
      <c r="O2110" s="11" t="n">
        <f aca="false">MAX(0,_xlfn.MAXIFS(N$2:N2110,A$2:A2110,A2110,B$2:B2110,B2110))</f>
        <v>5409495</v>
      </c>
      <c r="P2110" s="11" t="n">
        <f aca="false">N2110-O2110</f>
        <v>-233329</v>
      </c>
    </row>
    <row r="2111" customFormat="false" ht="15" hidden="false" customHeight="false" outlineLevel="0" collapsed="false">
      <c r="A2111" s="8" t="s">
        <v>45</v>
      </c>
      <c r="B2111" s="8" t="s">
        <v>43</v>
      </c>
      <c r="C2111" s="8" t="s">
        <v>62</v>
      </c>
      <c r="D2111" s="21" t="n">
        <v>46195.7916666667</v>
      </c>
      <c r="E2111" s="21" t="n">
        <v>46195.9361111111</v>
      </c>
      <c r="F2111" s="22" t="n">
        <f aca="false">DATE(YEAR(E2111),MONTH(E2111),1)</f>
        <v>46174</v>
      </c>
      <c r="G2111" s="23" t="n">
        <v>151109</v>
      </c>
      <c r="H2111" s="8" t="s">
        <v>64</v>
      </c>
      <c r="I2111" s="24" t="n">
        <v>68.35</v>
      </c>
      <c r="J2111" s="25" t="n">
        <f aca="false">Summary!$B$4</f>
        <v>1</v>
      </c>
      <c r="K2111" s="11" t="n">
        <f aca="false">I2111*J2111*IF(A2111="SILVER",Summary!$B$5,Summary!$B$6)</f>
        <v>6835</v>
      </c>
      <c r="L2111" s="26" t="n">
        <v>0.095</v>
      </c>
      <c r="M2111" s="27" t="n">
        <f aca="false">IF(K2111&gt;0,1,0)</f>
        <v>1</v>
      </c>
      <c r="N2111" s="11" t="n">
        <f aca="false">SUMIFS(K$2:K2111,A$2:A2111,A2111,B$2:B2111,B2111)</f>
        <v>5183001</v>
      </c>
      <c r="O2111" s="11" t="n">
        <f aca="false">MAX(0,_xlfn.MAXIFS(N$2:N2111,A$2:A2111,A2111,B$2:B2111,B2111))</f>
        <v>5409495</v>
      </c>
      <c r="P2111" s="11" t="n">
        <f aca="false">N2111-O2111</f>
        <v>-226494</v>
      </c>
    </row>
    <row r="2112" customFormat="false" ht="15" hidden="false" customHeight="false" outlineLevel="0" collapsed="false">
      <c r="A2112" s="8" t="s">
        <v>45</v>
      </c>
      <c r="B2112" s="8" t="s">
        <v>43</v>
      </c>
      <c r="C2112" s="8" t="s">
        <v>62</v>
      </c>
      <c r="D2112" s="21" t="n">
        <v>46196.3784722222</v>
      </c>
      <c r="E2112" s="21" t="n">
        <v>46196.3847222222</v>
      </c>
      <c r="F2112" s="22" t="n">
        <f aca="false">DATE(YEAR(E2112),MONTH(E2112),1)</f>
        <v>46174</v>
      </c>
      <c r="G2112" s="23" t="n">
        <v>149529</v>
      </c>
      <c r="H2112" s="8" t="s">
        <v>64</v>
      </c>
      <c r="I2112" s="24" t="n">
        <v>91.63</v>
      </c>
      <c r="J2112" s="25" t="n">
        <f aca="false">Summary!$B$4</f>
        <v>1</v>
      </c>
      <c r="K2112" s="11" t="n">
        <f aca="false">I2112*J2112*IF(A2112="SILVER",Summary!$B$5,Summary!$B$6)</f>
        <v>9163</v>
      </c>
      <c r="L2112" s="26" t="n">
        <v>0.08</v>
      </c>
      <c r="M2112" s="27" t="n">
        <f aca="false">IF(K2112&gt;0,1,0)</f>
        <v>1</v>
      </c>
      <c r="N2112" s="11" t="n">
        <f aca="false">SUMIFS(K$2:K2112,A$2:A2112,A2112,B$2:B2112,B2112)</f>
        <v>5192164</v>
      </c>
      <c r="O2112" s="11" t="n">
        <f aca="false">MAX(0,_xlfn.MAXIFS(N$2:N2112,A$2:A2112,A2112,B$2:B2112,B2112))</f>
        <v>5409495</v>
      </c>
      <c r="P2112" s="11" t="n">
        <f aca="false">N2112-O2112</f>
        <v>-217331</v>
      </c>
    </row>
    <row r="2113" customFormat="false" ht="15" hidden="false" customHeight="false" outlineLevel="0" collapsed="false">
      <c r="A2113" s="8" t="s">
        <v>45</v>
      </c>
      <c r="B2113" s="8" t="s">
        <v>43</v>
      </c>
      <c r="C2113" s="8" t="s">
        <v>62</v>
      </c>
      <c r="D2113" s="21" t="n">
        <v>46196.4375</v>
      </c>
      <c r="E2113" s="21" t="n">
        <v>46196.6090277778</v>
      </c>
      <c r="F2113" s="22" t="n">
        <f aca="false">DATE(YEAR(E2113),MONTH(E2113),1)</f>
        <v>46174</v>
      </c>
      <c r="G2113" s="23" t="n">
        <v>148954</v>
      </c>
      <c r="H2113" s="8" t="s">
        <v>64</v>
      </c>
      <c r="I2113" s="24" t="n">
        <v>135.77</v>
      </c>
      <c r="J2113" s="25" t="n">
        <f aca="false">Summary!$B$4</f>
        <v>1</v>
      </c>
      <c r="K2113" s="11" t="n">
        <f aca="false">I2113*J2113*IF(A2113="SILVER",Summary!$B$5,Summary!$B$6)</f>
        <v>13577</v>
      </c>
      <c r="L2113" s="26" t="n">
        <v>0.112</v>
      </c>
      <c r="M2113" s="27" t="n">
        <f aca="false">IF(K2113&gt;0,1,0)</f>
        <v>1</v>
      </c>
      <c r="N2113" s="11" t="n">
        <f aca="false">SUMIFS(K$2:K2113,A$2:A2113,A2113,B$2:B2113,B2113)</f>
        <v>5205741</v>
      </c>
      <c r="O2113" s="11" t="n">
        <f aca="false">MAX(0,_xlfn.MAXIFS(N$2:N2113,A$2:A2113,A2113,B$2:B2113,B2113))</f>
        <v>5409495</v>
      </c>
      <c r="P2113" s="11" t="n">
        <f aca="false">N2113-O2113</f>
        <v>-203754</v>
      </c>
    </row>
    <row r="2114" customFormat="false" ht="15" hidden="false" customHeight="false" outlineLevel="0" collapsed="false">
      <c r="A2114" s="8" t="s">
        <v>45</v>
      </c>
      <c r="B2114" s="8" t="s">
        <v>43</v>
      </c>
      <c r="C2114" s="8" t="s">
        <v>62</v>
      </c>
      <c r="D2114" s="21" t="n">
        <v>46197.3784722222</v>
      </c>
      <c r="E2114" s="21" t="n">
        <v>46197.4145833333</v>
      </c>
      <c r="F2114" s="22" t="n">
        <f aca="false">DATE(YEAR(E2114),MONTH(E2114),1)</f>
        <v>46174</v>
      </c>
      <c r="G2114" s="23" t="n">
        <v>147353</v>
      </c>
      <c r="H2114" s="8" t="s">
        <v>64</v>
      </c>
      <c r="I2114" s="24" t="n">
        <v>140.41</v>
      </c>
      <c r="J2114" s="25" t="n">
        <f aca="false">Summary!$B$4</f>
        <v>1</v>
      </c>
      <c r="K2114" s="11" t="n">
        <f aca="false">I2114*J2114*IF(A2114="SILVER",Summary!$B$5,Summary!$B$6)</f>
        <v>14041</v>
      </c>
      <c r="L2114" s="26" t="n">
        <v>0.117</v>
      </c>
      <c r="M2114" s="27" t="n">
        <f aca="false">IF(K2114&gt;0,1,0)</f>
        <v>1</v>
      </c>
      <c r="N2114" s="11" t="n">
        <f aca="false">SUMIFS(K$2:K2114,A$2:A2114,A2114,B$2:B2114,B2114)</f>
        <v>5219782</v>
      </c>
      <c r="O2114" s="11" t="n">
        <f aca="false">MAX(0,_xlfn.MAXIFS(N$2:N2114,A$2:A2114,A2114,B$2:B2114,B2114))</f>
        <v>5409495</v>
      </c>
      <c r="P2114" s="11" t="n">
        <f aca="false">N2114-O2114</f>
        <v>-189713</v>
      </c>
    </row>
    <row r="2115" customFormat="false" ht="15" hidden="false" customHeight="false" outlineLevel="0" collapsed="false">
      <c r="A2115" s="8" t="s">
        <v>45</v>
      </c>
      <c r="B2115" s="8" t="s">
        <v>43</v>
      </c>
      <c r="C2115" s="8" t="s">
        <v>62</v>
      </c>
      <c r="D2115" s="21" t="n">
        <v>46197.6909722222</v>
      </c>
      <c r="E2115" s="21" t="n">
        <v>46197.8125</v>
      </c>
      <c r="F2115" s="22" t="n">
        <f aca="false">DATE(YEAR(E2115),MONTH(E2115),1)</f>
        <v>46174</v>
      </c>
      <c r="G2115" s="23" t="n">
        <v>146777</v>
      </c>
      <c r="H2115" s="8" t="s">
        <v>61</v>
      </c>
      <c r="I2115" s="24" t="n">
        <v>863.26</v>
      </c>
      <c r="J2115" s="25" t="n">
        <f aca="false">Summary!$B$4</f>
        <v>1</v>
      </c>
      <c r="K2115" s="11" t="n">
        <f aca="false">I2115*J2115*IF(A2115="SILVER",Summary!$B$5,Summary!$B$6)</f>
        <v>86326</v>
      </c>
      <c r="L2115" s="26" t="n">
        <v>1.023</v>
      </c>
      <c r="M2115" s="27" t="n">
        <f aca="false">IF(K2115&gt;0,1,0)</f>
        <v>1</v>
      </c>
      <c r="N2115" s="11" t="n">
        <f aca="false">SUMIFS(K$2:K2115,A$2:A2115,A2115,B$2:B2115,B2115)</f>
        <v>5306108</v>
      </c>
      <c r="O2115" s="11" t="n">
        <f aca="false">MAX(0,_xlfn.MAXIFS(N$2:N2115,A$2:A2115,A2115,B$2:B2115,B2115))</f>
        <v>5409495</v>
      </c>
      <c r="P2115" s="11" t="n">
        <f aca="false">N2115-O2115</f>
        <v>-103387</v>
      </c>
    </row>
    <row r="2116" customFormat="false" ht="15" hidden="false" customHeight="false" outlineLevel="0" collapsed="false">
      <c r="A2116" s="8" t="s">
        <v>45</v>
      </c>
      <c r="B2116" s="8" t="s">
        <v>43</v>
      </c>
      <c r="C2116" s="8" t="s">
        <v>62</v>
      </c>
      <c r="D2116" s="21" t="n">
        <v>46198.3819444445</v>
      </c>
      <c r="E2116" s="21" t="n">
        <v>46198.5763888889</v>
      </c>
      <c r="F2116" s="22" t="n">
        <f aca="false">DATE(YEAR(E2116),MONTH(E2116),1)</f>
        <v>46174</v>
      </c>
      <c r="G2116" s="23" t="n">
        <v>143304</v>
      </c>
      <c r="H2116" s="8" t="s">
        <v>61</v>
      </c>
      <c r="I2116" s="24" t="n">
        <v>-1467.28</v>
      </c>
      <c r="J2116" s="25" t="n">
        <f aca="false">Summary!$B$4</f>
        <v>1</v>
      </c>
      <c r="K2116" s="11" t="n">
        <f aca="false">I2116*J2116*IF(A2116="SILVER",Summary!$B$5,Summary!$B$6)</f>
        <v>-146728</v>
      </c>
      <c r="L2116" s="26" t="n">
        <v>-1.036</v>
      </c>
      <c r="M2116" s="27" t="n">
        <f aca="false">IF(K2116&gt;0,1,0)</f>
        <v>0</v>
      </c>
      <c r="N2116" s="11" t="n">
        <f aca="false">SUMIFS(K$2:K2116,A$2:A2116,A2116,B$2:B2116,B2116)</f>
        <v>5159380</v>
      </c>
      <c r="O2116" s="11" t="n">
        <f aca="false">MAX(0,_xlfn.MAXIFS(N$2:N2116,A$2:A2116,A2116,B$2:B2116,B2116))</f>
        <v>5409495</v>
      </c>
      <c r="P2116" s="11" t="n">
        <f aca="false">N2116-O2116</f>
        <v>-250115</v>
      </c>
    </row>
    <row r="2117" customFormat="false" ht="15" hidden="false" customHeight="false" outlineLevel="0" collapsed="false">
      <c r="A2117" s="8" t="s">
        <v>45</v>
      </c>
      <c r="B2117" s="8" t="s">
        <v>43</v>
      </c>
      <c r="C2117" s="8" t="s">
        <v>62</v>
      </c>
      <c r="D2117" s="21" t="n">
        <v>46198.7083333333</v>
      </c>
      <c r="E2117" s="21" t="n">
        <v>46198.7638888889</v>
      </c>
      <c r="F2117" s="22" t="n">
        <f aca="false">DATE(YEAR(E2117),MONTH(E2117),1)</f>
        <v>46174</v>
      </c>
      <c r="G2117" s="23" t="n">
        <v>143921</v>
      </c>
      <c r="H2117" s="8" t="s">
        <v>61</v>
      </c>
      <c r="I2117" s="24" t="n">
        <v>-1250.38</v>
      </c>
      <c r="J2117" s="25" t="n">
        <f aca="false">Summary!$B$4</f>
        <v>1</v>
      </c>
      <c r="K2117" s="11" t="n">
        <f aca="false">I2117*J2117*IF(A2117="SILVER",Summary!$B$5,Summary!$B$6)</f>
        <v>-125038</v>
      </c>
      <c r="L2117" s="26" t="n">
        <v>-1.355</v>
      </c>
      <c r="M2117" s="27" t="n">
        <f aca="false">IF(K2117&gt;0,1,0)</f>
        <v>0</v>
      </c>
      <c r="N2117" s="11" t="n">
        <f aca="false">SUMIFS(K$2:K2117,A$2:A2117,A2117,B$2:B2117,B2117)</f>
        <v>5034342</v>
      </c>
      <c r="O2117" s="11" t="n">
        <f aca="false">MAX(0,_xlfn.MAXIFS(N$2:N2117,A$2:A2117,A2117,B$2:B2117,B2117))</f>
        <v>5409495</v>
      </c>
      <c r="P2117" s="11" t="n">
        <f aca="false">N2117-O2117</f>
        <v>-375153</v>
      </c>
    </row>
    <row r="2118" customFormat="false" ht="15" hidden="false" customHeight="false" outlineLevel="0" collapsed="false">
      <c r="A2118" s="8" t="s">
        <v>45</v>
      </c>
      <c r="B2118" s="8" t="s">
        <v>43</v>
      </c>
      <c r="C2118" s="8" t="s">
        <v>62</v>
      </c>
      <c r="D2118" s="21" t="n">
        <v>46202.3819444445</v>
      </c>
      <c r="E2118" s="21" t="n">
        <v>46202.4263888889</v>
      </c>
      <c r="F2118" s="22" t="n">
        <f aca="false">DATE(YEAR(E2118),MONTH(E2118),1)</f>
        <v>46174</v>
      </c>
      <c r="G2118" s="23" t="n">
        <v>146132</v>
      </c>
      <c r="H2118" s="8" t="s">
        <v>64</v>
      </c>
      <c r="I2118" s="24" t="n">
        <v>134.31</v>
      </c>
      <c r="J2118" s="25" t="n">
        <f aca="false">Summary!$B$4</f>
        <v>1</v>
      </c>
      <c r="K2118" s="11" t="n">
        <f aca="false">I2118*J2118*IF(A2118="SILVER",Summary!$B$5,Summary!$B$6)</f>
        <v>13431</v>
      </c>
      <c r="L2118" s="26" t="n">
        <v>0.112</v>
      </c>
      <c r="M2118" s="27" t="n">
        <f aca="false">IF(K2118&gt;0,1,0)</f>
        <v>1</v>
      </c>
      <c r="N2118" s="11" t="n">
        <f aca="false">SUMIFS(K$2:K2118,A$2:A2118,A2118,B$2:B2118,B2118)</f>
        <v>5047773</v>
      </c>
      <c r="O2118" s="11" t="n">
        <f aca="false">MAX(0,_xlfn.MAXIFS(N$2:N2118,A$2:A2118,A2118,B$2:B2118,B2118))</f>
        <v>5409495</v>
      </c>
      <c r="P2118" s="11" t="n">
        <f aca="false">N2118-O2118</f>
        <v>-361722</v>
      </c>
    </row>
    <row r="2119" customFormat="false" ht="15" hidden="false" customHeight="false" outlineLevel="0" collapsed="false">
      <c r="A2119" s="8" t="s">
        <v>45</v>
      </c>
      <c r="B2119" s="8" t="s">
        <v>43</v>
      </c>
      <c r="C2119" s="8" t="s">
        <v>62</v>
      </c>
      <c r="D2119" s="21" t="n">
        <v>46202.4618055556</v>
      </c>
      <c r="E2119" s="21" t="n">
        <v>46203.5</v>
      </c>
      <c r="F2119" s="22" t="n">
        <f aca="false">DATE(YEAR(E2119),MONTH(E2119),1)</f>
        <v>46174</v>
      </c>
      <c r="G2119" s="23" t="n">
        <v>145479</v>
      </c>
      <c r="H2119" s="8" t="s">
        <v>61</v>
      </c>
      <c r="I2119" s="24" t="n">
        <v>846.52</v>
      </c>
      <c r="J2119" s="25" t="n">
        <f aca="false">Summary!$B$4</f>
        <v>1</v>
      </c>
      <c r="K2119" s="11" t="n">
        <f aca="false">I2119*J2119*IF(A2119="SILVER",Summary!$B$5,Summary!$B$6)</f>
        <v>84652</v>
      </c>
      <c r="L2119" s="26" t="n">
        <v>0.838</v>
      </c>
      <c r="M2119" s="27" t="n">
        <f aca="false">IF(K2119&gt;0,1,0)</f>
        <v>1</v>
      </c>
      <c r="N2119" s="11" t="n">
        <f aca="false">SUMIFS(K$2:K2119,A$2:A2119,A2119,B$2:B2119,B2119)</f>
        <v>5132425</v>
      </c>
      <c r="O2119" s="11" t="n">
        <f aca="false">MAX(0,_xlfn.MAXIFS(N$2:N2119,A$2:A2119,A2119,B$2:B2119,B2119))</f>
        <v>5409495</v>
      </c>
      <c r="P2119" s="11" t="n">
        <f aca="false">N2119-O2119</f>
        <v>-277070</v>
      </c>
    </row>
    <row r="2120" customFormat="false" ht="15" hidden="false" customHeight="false" outlineLevel="0" collapsed="false">
      <c r="A2120" s="8" t="s">
        <v>45</v>
      </c>
      <c r="B2120" s="8" t="s">
        <v>43</v>
      </c>
      <c r="C2120" s="8" t="s">
        <v>62</v>
      </c>
      <c r="D2120" s="21" t="n">
        <v>46203.7708333333</v>
      </c>
      <c r="E2120" s="21" t="n">
        <v>46203.8229166667</v>
      </c>
      <c r="F2120" s="22" t="n">
        <f aca="false">DATE(YEAR(E2120),MONTH(E2120),1)</f>
        <v>46174</v>
      </c>
      <c r="G2120" s="23" t="n">
        <v>144638</v>
      </c>
      <c r="H2120" s="8" t="s">
        <v>61</v>
      </c>
      <c r="I2120" s="24" t="n">
        <v>-1078.5</v>
      </c>
      <c r="J2120" s="25" t="n">
        <f aca="false">Summary!$B$4</f>
        <v>1</v>
      </c>
      <c r="K2120" s="11" t="n">
        <f aca="false">I2120*J2120*IF(A2120="SILVER",Summary!$B$5,Summary!$B$6)</f>
        <v>-107850</v>
      </c>
      <c r="L2120" s="26" t="n">
        <v>-1.172</v>
      </c>
      <c r="M2120" s="27" t="n">
        <f aca="false">IF(K2120&gt;0,1,0)</f>
        <v>0</v>
      </c>
      <c r="N2120" s="11" t="n">
        <f aca="false">SUMIFS(K$2:K2120,A$2:A2120,A2120,B$2:B2120,B2120)</f>
        <v>5024575</v>
      </c>
      <c r="O2120" s="11" t="n">
        <f aca="false">MAX(0,_xlfn.MAXIFS(N$2:N2120,A$2:A2120,A2120,B$2:B2120,B2120))</f>
        <v>5409495</v>
      </c>
      <c r="P2120" s="11" t="n">
        <f aca="false">N2120-O2120</f>
        <v>-384920</v>
      </c>
    </row>
    <row r="2121" customFormat="false" ht="15" hidden="false" customHeight="false" outlineLevel="0" collapsed="false">
      <c r="A2121" s="8" t="s">
        <v>45</v>
      </c>
      <c r="B2121" s="8" t="s">
        <v>43</v>
      </c>
      <c r="C2121" s="8" t="s">
        <v>62</v>
      </c>
      <c r="D2121" s="21" t="n">
        <v>46203.9444444445</v>
      </c>
      <c r="E2121" s="21" t="n">
        <v>46204.5763888889</v>
      </c>
      <c r="F2121" s="22" t="n">
        <f aca="false">DATE(YEAR(E2121),MONTH(E2121),1)</f>
        <v>46204</v>
      </c>
      <c r="G2121" s="23" t="n">
        <v>144847</v>
      </c>
      <c r="H2121" s="8" t="s">
        <v>61</v>
      </c>
      <c r="I2121" s="24" t="n">
        <v>649.63</v>
      </c>
      <c r="J2121" s="25" t="n">
        <f aca="false">Summary!$B$4</f>
        <v>1</v>
      </c>
      <c r="K2121" s="11" t="n">
        <f aca="false">I2121*J2121*IF(A2121="SILVER",Summary!$B$5,Summary!$B$6)</f>
        <v>64963</v>
      </c>
      <c r="L2121" s="26" t="n">
        <v>0.579</v>
      </c>
      <c r="M2121" s="27" t="n">
        <f aca="false">IF(K2121&gt;0,1,0)</f>
        <v>1</v>
      </c>
      <c r="N2121" s="11" t="n">
        <f aca="false">SUMIFS(K$2:K2121,A$2:A2121,A2121,B$2:B2121,B2121)</f>
        <v>5089538</v>
      </c>
      <c r="O2121" s="11" t="n">
        <f aca="false">MAX(0,_xlfn.MAXIFS(N$2:N2121,A$2:A2121,A2121,B$2:B2121,B2121))</f>
        <v>5409495</v>
      </c>
      <c r="P2121" s="11" t="n">
        <f aca="false">N2121-O2121</f>
        <v>-319957</v>
      </c>
    </row>
    <row r="2122" customFormat="false" ht="15" hidden="false" customHeight="false" outlineLevel="0" collapsed="false">
      <c r="A2122" s="8" t="s">
        <v>45</v>
      </c>
      <c r="B2122" s="8" t="s">
        <v>43</v>
      </c>
      <c r="C2122" s="8" t="s">
        <v>62</v>
      </c>
      <c r="D2122" s="21" t="n">
        <v>46211.84375</v>
      </c>
      <c r="E2122" s="21" t="n">
        <v>46211.9618055556</v>
      </c>
      <c r="F2122" s="22" t="n">
        <f aca="false">DATE(YEAR(E2122),MONTH(E2122),1)</f>
        <v>46204</v>
      </c>
      <c r="G2122" s="23" t="n">
        <v>145272</v>
      </c>
      <c r="H2122" s="8" t="s">
        <v>61</v>
      </c>
      <c r="I2122" s="24" t="n">
        <v>-1236.65</v>
      </c>
      <c r="J2122" s="25" t="n">
        <f aca="false">Summary!$B$4</f>
        <v>1</v>
      </c>
      <c r="K2122" s="11" t="n">
        <f aca="false">I2122*J2122*IF(A2122="SILVER",Summary!$B$5,Summary!$B$6)</f>
        <v>-123665</v>
      </c>
      <c r="L2122" s="26" t="n">
        <v>-0.834</v>
      </c>
      <c r="M2122" s="27" t="n">
        <f aca="false">IF(K2122&gt;0,1,0)</f>
        <v>0</v>
      </c>
      <c r="N2122" s="11" t="n">
        <f aca="false">SUMIFS(K$2:K2122,A$2:A2122,A2122,B$2:B2122,B2122)</f>
        <v>4965873</v>
      </c>
      <c r="O2122" s="11" t="n">
        <f aca="false">MAX(0,_xlfn.MAXIFS(N$2:N2122,A$2:A2122,A2122,B$2:B2122,B2122))</f>
        <v>5409495</v>
      </c>
      <c r="P2122" s="11" t="n">
        <f aca="false">N2122-O2122</f>
        <v>-443622</v>
      </c>
    </row>
    <row r="2123" customFormat="false" ht="15" hidden="false" customHeight="false" outlineLevel="0" collapsed="false">
      <c r="A2123" s="8" t="s">
        <v>45</v>
      </c>
      <c r="B2123" s="8" t="s">
        <v>43</v>
      </c>
      <c r="C2123" s="8" t="s">
        <v>62</v>
      </c>
      <c r="D2123" s="21" t="n">
        <v>46213.4131944445</v>
      </c>
      <c r="E2123" s="21" t="n">
        <v>46213.5347222222</v>
      </c>
      <c r="F2123" s="22" t="n">
        <f aca="false">DATE(YEAR(E2123),MONTH(E2123),1)</f>
        <v>46204</v>
      </c>
      <c r="G2123" s="23" t="n">
        <v>147306</v>
      </c>
      <c r="H2123" s="8" t="s">
        <v>64</v>
      </c>
      <c r="I2123" s="24" t="n">
        <v>68.72</v>
      </c>
      <c r="J2123" s="25" t="n">
        <f aca="false">Summary!$B$4</f>
        <v>1</v>
      </c>
      <c r="K2123" s="11" t="n">
        <f aca="false">I2123*J2123*IF(A2123="SILVER",Summary!$B$5,Summary!$B$6)</f>
        <v>6872</v>
      </c>
      <c r="L2123" s="26" t="n">
        <v>0.096</v>
      </c>
      <c r="M2123" s="27" t="n">
        <f aca="false">IF(K2123&gt;0,1,0)</f>
        <v>1</v>
      </c>
      <c r="N2123" s="11" t="n">
        <f aca="false">SUMIFS(K$2:K2123,A$2:A2123,A2123,B$2:B2123,B2123)</f>
        <v>4972745</v>
      </c>
      <c r="O2123" s="11" t="n">
        <f aca="false">MAX(0,_xlfn.MAXIFS(N$2:N2123,A$2:A2123,A2123,B$2:B2123,B2123))</f>
        <v>5409495</v>
      </c>
      <c r="P2123" s="11" t="n">
        <f aca="false">N2123-O2123</f>
        <v>-436750</v>
      </c>
    </row>
    <row r="2124" customFormat="false" ht="15" hidden="false" customHeight="false" outlineLevel="0" collapsed="false">
      <c r="A2124" s="8" t="s">
        <v>45</v>
      </c>
      <c r="B2124" s="8" t="s">
        <v>43</v>
      </c>
      <c r="C2124" s="8" t="s">
        <v>62</v>
      </c>
      <c r="D2124" s="21" t="n">
        <v>46213.5555555556</v>
      </c>
      <c r="E2124" s="21" t="n">
        <v>46213.575</v>
      </c>
      <c r="F2124" s="22" t="n">
        <f aca="false">DATE(YEAR(E2124),MONTH(E2124),1)</f>
        <v>46204</v>
      </c>
      <c r="G2124" s="23" t="n">
        <v>146980</v>
      </c>
      <c r="H2124" s="8" t="s">
        <v>64</v>
      </c>
      <c r="I2124" s="24" t="n">
        <v>50.63</v>
      </c>
      <c r="J2124" s="25" t="n">
        <f aca="false">Summary!$B$4</f>
        <v>1</v>
      </c>
      <c r="K2124" s="11" t="n">
        <f aca="false">I2124*J2124*IF(A2124="SILVER",Summary!$B$5,Summary!$B$6)</f>
        <v>5063</v>
      </c>
      <c r="L2124" s="26" t="n">
        <v>0.085</v>
      </c>
      <c r="M2124" s="27" t="n">
        <f aca="false">IF(K2124&gt;0,1,0)</f>
        <v>1</v>
      </c>
      <c r="N2124" s="11" t="n">
        <f aca="false">SUMIFS(K$2:K2124,A$2:A2124,A2124,B$2:B2124,B2124)</f>
        <v>4977808</v>
      </c>
      <c r="O2124" s="11" t="n">
        <f aca="false">MAX(0,_xlfn.MAXIFS(N$2:N2124,A$2:A2124,A2124,B$2:B2124,B2124))</f>
        <v>5409495</v>
      </c>
      <c r="P2124" s="11" t="n">
        <f aca="false">N2124-O2124</f>
        <v>-431687</v>
      </c>
    </row>
    <row r="2125" customFormat="false" ht="15" hidden="false" customHeight="false" outlineLevel="0" collapsed="false">
      <c r="A2125" s="8" t="s">
        <v>45</v>
      </c>
      <c r="B2125" s="8" t="s">
        <v>43</v>
      </c>
      <c r="C2125" s="8" t="s">
        <v>62</v>
      </c>
      <c r="D2125" s="21" t="n">
        <v>46213.5868055556</v>
      </c>
      <c r="E2125" s="21" t="n">
        <v>46213.7923611111</v>
      </c>
      <c r="F2125" s="22" t="n">
        <f aca="false">DATE(YEAR(E2125),MONTH(E2125),1)</f>
        <v>46204</v>
      </c>
      <c r="G2125" s="23" t="n">
        <v>146683</v>
      </c>
      <c r="H2125" s="8" t="s">
        <v>64</v>
      </c>
      <c r="I2125" s="24" t="n">
        <v>65.54</v>
      </c>
      <c r="J2125" s="25" t="n">
        <f aca="false">Summary!$B$4</f>
        <v>1</v>
      </c>
      <c r="K2125" s="11" t="n">
        <f aca="false">I2125*J2125*IF(A2125="SILVER",Summary!$B$5,Summary!$B$6)</f>
        <v>6554</v>
      </c>
      <c r="L2125" s="26" t="n">
        <v>0.094</v>
      </c>
      <c r="M2125" s="27" t="n">
        <f aca="false">IF(K2125&gt;0,1,0)</f>
        <v>1</v>
      </c>
      <c r="N2125" s="11" t="n">
        <f aca="false">SUMIFS(K$2:K2125,A$2:A2125,A2125,B$2:B2125,B2125)</f>
        <v>4984362</v>
      </c>
      <c r="O2125" s="11" t="n">
        <f aca="false">MAX(0,_xlfn.MAXIFS(N$2:N2125,A$2:A2125,A2125,B$2:B2125,B2125))</f>
        <v>5409495</v>
      </c>
      <c r="P2125" s="11" t="n">
        <f aca="false">N2125-O2125</f>
        <v>-425133</v>
      </c>
    </row>
    <row r="2126" customFormat="false" ht="15" hidden="false" customHeight="false" outlineLevel="0" collapsed="false">
      <c r="A2126" s="8" t="s">
        <v>45</v>
      </c>
      <c r="B2126" s="8" t="s">
        <v>43</v>
      </c>
      <c r="C2126" s="8" t="s">
        <v>62</v>
      </c>
      <c r="D2126" s="21" t="n">
        <v>46216.3784722222</v>
      </c>
      <c r="E2126" s="21" t="n">
        <v>46217.3819444445</v>
      </c>
      <c r="F2126" s="22" t="n">
        <f aca="false">DATE(YEAR(E2126),MONTH(E2126),1)</f>
        <v>46204</v>
      </c>
      <c r="G2126" s="23" t="n">
        <v>144544</v>
      </c>
      <c r="H2126" s="8" t="s">
        <v>61</v>
      </c>
      <c r="I2126" s="24" t="n">
        <v>952.71</v>
      </c>
      <c r="J2126" s="25" t="n">
        <f aca="false">Summary!$B$4</f>
        <v>1</v>
      </c>
      <c r="K2126" s="11" t="n">
        <f aca="false">I2126*J2126*IF(A2126="SILVER",Summary!$B$5,Summary!$B$6)</f>
        <v>95271</v>
      </c>
      <c r="L2126" s="26" t="n">
        <v>0.683</v>
      </c>
      <c r="M2126" s="27" t="n">
        <f aca="false">IF(K2126&gt;0,1,0)</f>
        <v>1</v>
      </c>
      <c r="N2126" s="11" t="n">
        <f aca="false">SUMIFS(K$2:K2126,A$2:A2126,A2126,B$2:B2126,B2126)</f>
        <v>5079633</v>
      </c>
      <c r="O2126" s="11" t="n">
        <f aca="false">MAX(0,_xlfn.MAXIFS(N$2:N2126,A$2:A2126,A2126,B$2:B2126,B2126))</f>
        <v>5409495</v>
      </c>
      <c r="P2126" s="11" t="n">
        <f aca="false">N2126-O2126</f>
        <v>-329862</v>
      </c>
    </row>
    <row r="2127" customFormat="false" ht="15" hidden="false" customHeight="false" outlineLevel="0" collapsed="false">
      <c r="A2127" s="8" t="s">
        <v>45</v>
      </c>
      <c r="B2127" s="8" t="s">
        <v>43</v>
      </c>
      <c r="C2127" s="8" t="s">
        <v>62</v>
      </c>
      <c r="D2127" s="21" t="n">
        <v>46218.3784722222</v>
      </c>
      <c r="E2127" s="21" t="n">
        <v>46218.3868055556</v>
      </c>
      <c r="F2127" s="22" t="n">
        <f aca="false">DATE(YEAR(E2127),MONTH(E2127),1)</f>
        <v>46204</v>
      </c>
      <c r="G2127" s="23" t="n">
        <v>144248</v>
      </c>
      <c r="H2127" s="8" t="s">
        <v>64</v>
      </c>
      <c r="I2127" s="24" t="n">
        <v>81.07</v>
      </c>
      <c r="J2127" s="25" t="n">
        <f aca="false">Summary!$B$4</f>
        <v>1</v>
      </c>
      <c r="K2127" s="11" t="n">
        <f aca="false">I2127*J2127*IF(A2127="SILVER",Summary!$B$5,Summary!$B$6)</f>
        <v>8107</v>
      </c>
      <c r="L2127" s="26" t="n">
        <v>0.102</v>
      </c>
      <c r="M2127" s="27" t="n">
        <f aca="false">IF(K2127&gt;0,1,0)</f>
        <v>1</v>
      </c>
      <c r="N2127" s="11" t="n">
        <f aca="false">SUMIFS(K$2:K2127,A$2:A2127,A2127,B$2:B2127,B2127)</f>
        <v>5087740</v>
      </c>
      <c r="O2127" s="11" t="n">
        <f aca="false">MAX(0,_xlfn.MAXIFS(N$2:N2127,A$2:A2127,A2127,B$2:B2127,B2127))</f>
        <v>5409495</v>
      </c>
      <c r="P2127" s="11" t="n">
        <f aca="false">N2127-O2127</f>
        <v>-321755</v>
      </c>
    </row>
    <row r="2128" customFormat="false" ht="15" hidden="false" customHeight="false" outlineLevel="0" collapsed="false">
      <c r="A2128" s="8" t="s">
        <v>45</v>
      </c>
      <c r="B2128" s="8" t="s">
        <v>43</v>
      </c>
      <c r="C2128" s="8" t="s">
        <v>62</v>
      </c>
      <c r="D2128" s="21" t="n">
        <v>46218.90625</v>
      </c>
      <c r="E2128" s="21" t="n">
        <v>46218.9277777778</v>
      </c>
      <c r="F2128" s="22" t="n">
        <f aca="false">DATE(YEAR(E2128),MONTH(E2128),1)</f>
        <v>46204</v>
      </c>
      <c r="G2128" s="23" t="n">
        <v>144009</v>
      </c>
      <c r="H2128" s="8" t="s">
        <v>64</v>
      </c>
      <c r="I2128" s="24" t="n">
        <v>92.61</v>
      </c>
      <c r="J2128" s="25" t="n">
        <f aca="false">Summary!$B$4</f>
        <v>1</v>
      </c>
      <c r="K2128" s="11" t="n">
        <f aca="false">I2128*J2128*IF(A2128="SILVER",Summary!$B$5,Summary!$B$6)</f>
        <v>9261</v>
      </c>
      <c r="L2128" s="26" t="n">
        <v>0.106</v>
      </c>
      <c r="M2128" s="27" t="n">
        <f aca="false">IF(K2128&gt;0,1,0)</f>
        <v>1</v>
      </c>
      <c r="N2128" s="11" t="n">
        <f aca="false">SUMIFS(K$2:K2128,A$2:A2128,A2128,B$2:B2128,B2128)</f>
        <v>5097001</v>
      </c>
      <c r="O2128" s="11" t="n">
        <f aca="false">MAX(0,_xlfn.MAXIFS(N$2:N2128,A$2:A2128,A2128,B$2:B2128,B2128))</f>
        <v>5409495</v>
      </c>
      <c r="P2128" s="11" t="n">
        <f aca="false">N2128-O2128</f>
        <v>-312494</v>
      </c>
    </row>
    <row r="2129" customFormat="false" ht="15" hidden="false" customHeight="false" outlineLevel="0" collapsed="false">
      <c r="A2129" s="8" t="s">
        <v>45</v>
      </c>
      <c r="B2129" s="8" t="s">
        <v>43</v>
      </c>
      <c r="C2129" s="8" t="s">
        <v>62</v>
      </c>
      <c r="D2129" s="21" t="n">
        <v>46219.7569444445</v>
      </c>
      <c r="E2129" s="21" t="n">
        <v>46219.7805555556</v>
      </c>
      <c r="F2129" s="22" t="n">
        <f aca="false">DATE(YEAR(E2129),MONTH(E2129),1)</f>
        <v>46204</v>
      </c>
      <c r="G2129" s="23" t="n">
        <v>143529</v>
      </c>
      <c r="H2129" s="8" t="s">
        <v>64</v>
      </c>
      <c r="I2129" s="24" t="n">
        <v>121.89</v>
      </c>
      <c r="J2129" s="25" t="n">
        <f aca="false">Summary!$B$4</f>
        <v>1</v>
      </c>
      <c r="K2129" s="11" t="n">
        <f aca="false">I2129*J2129*IF(A2129="SILVER",Summary!$B$5,Summary!$B$6)</f>
        <v>12189</v>
      </c>
      <c r="L2129" s="26" t="n">
        <v>0.114</v>
      </c>
      <c r="M2129" s="27" t="n">
        <f aca="false">IF(K2129&gt;0,1,0)</f>
        <v>1</v>
      </c>
      <c r="N2129" s="11" t="n">
        <f aca="false">SUMIFS(K$2:K2129,A$2:A2129,A2129,B$2:B2129,B2129)</f>
        <v>5109190</v>
      </c>
      <c r="O2129" s="11" t="n">
        <f aca="false">MAX(0,_xlfn.MAXIFS(N$2:N2129,A$2:A2129,A2129,B$2:B2129,B2129))</f>
        <v>5409495</v>
      </c>
      <c r="P2129" s="11" t="n">
        <f aca="false">N2129-O2129</f>
        <v>-300305</v>
      </c>
    </row>
    <row r="2130" customFormat="false" ht="15" hidden="false" customHeight="false" outlineLevel="0" collapsed="false">
      <c r="A2130" s="8" t="s">
        <v>45</v>
      </c>
      <c r="B2130" s="8" t="s">
        <v>43</v>
      </c>
      <c r="C2130" s="8" t="s">
        <v>62</v>
      </c>
      <c r="D2130" s="21" t="n">
        <v>46220.4270833333</v>
      </c>
      <c r="E2130" s="21" t="n">
        <v>46220.4930555556</v>
      </c>
      <c r="F2130" s="22" t="n">
        <f aca="false">DATE(YEAR(E2130),MONTH(E2130),1)</f>
        <v>46204</v>
      </c>
      <c r="G2130" s="23" t="n">
        <v>142579</v>
      </c>
      <c r="H2130" s="8" t="s">
        <v>61</v>
      </c>
      <c r="I2130" s="24" t="n">
        <v>-934.08</v>
      </c>
      <c r="J2130" s="25" t="n">
        <f aca="false">Summary!$B$4</f>
        <v>1</v>
      </c>
      <c r="K2130" s="11" t="n">
        <f aca="false">I2130*J2130*IF(A2130="SILVER",Summary!$B$5,Summary!$B$6)</f>
        <v>-93408</v>
      </c>
      <c r="L2130" s="26" t="n">
        <v>-1.015</v>
      </c>
      <c r="M2130" s="27" t="n">
        <f aca="false">IF(K2130&gt;0,1,0)</f>
        <v>0</v>
      </c>
      <c r="N2130" s="11" t="n">
        <f aca="false">SUMIFS(K$2:K2130,A$2:A2130,A2130,B$2:B2130,B2130)</f>
        <v>5015782</v>
      </c>
      <c r="O2130" s="11" t="n">
        <f aca="false">MAX(0,_xlfn.MAXIFS(N$2:N2130,A$2:A2130,A2130,B$2:B2130,B2130))</f>
        <v>5409495</v>
      </c>
      <c r="P2130" s="11" t="n">
        <f aca="false">N2130-O2130</f>
        <v>-393713</v>
      </c>
    </row>
    <row r="2131" customFormat="false" ht="15" hidden="false" customHeight="false" outlineLevel="0" collapsed="false">
      <c r="A2131" s="8" t="s">
        <v>45</v>
      </c>
      <c r="B2131" s="8" t="s">
        <v>43</v>
      </c>
      <c r="C2131" s="8" t="s">
        <v>62</v>
      </c>
      <c r="D2131" s="21" t="n">
        <v>46220.7534722222</v>
      </c>
      <c r="E2131" s="21" t="n">
        <v>46220.7611111111</v>
      </c>
      <c r="F2131" s="22" t="n">
        <f aca="false">DATE(YEAR(E2131),MONTH(E2131),1)</f>
        <v>46204</v>
      </c>
      <c r="G2131" s="23" t="n">
        <v>142771</v>
      </c>
      <c r="H2131" s="8" t="s">
        <v>64</v>
      </c>
      <c r="I2131" s="24" t="n">
        <v>64.83</v>
      </c>
      <c r="J2131" s="25" t="n">
        <f aca="false">Summary!$B$4</f>
        <v>1</v>
      </c>
      <c r="K2131" s="11" t="n">
        <f aca="false">I2131*J2131*IF(A2131="SILVER",Summary!$B$5,Summary!$B$6)</f>
        <v>6483</v>
      </c>
      <c r="L2131" s="26" t="n">
        <v>0.095</v>
      </c>
      <c r="M2131" s="27" t="n">
        <f aca="false">IF(K2131&gt;0,1,0)</f>
        <v>1</v>
      </c>
      <c r="N2131" s="11" t="n">
        <f aca="false">SUMIFS(K$2:K2131,A$2:A2131,A2131,B$2:B2131,B2131)</f>
        <v>5022265</v>
      </c>
      <c r="O2131" s="11" t="n">
        <f aca="false">MAX(0,_xlfn.MAXIFS(N$2:N2131,A$2:A2131,A2131,B$2:B2131,B2131))</f>
        <v>5409495</v>
      </c>
      <c r="P2131" s="11" t="n">
        <f aca="false">N2131-O2131</f>
        <v>-387230</v>
      </c>
    </row>
    <row r="2132" customFormat="false" ht="15" hidden="false" customHeight="false" outlineLevel="0" collapsed="false">
      <c r="A2132" s="8" t="s">
        <v>45</v>
      </c>
      <c r="B2132" s="8" t="s">
        <v>43</v>
      </c>
      <c r="C2132" s="8" t="s">
        <v>62</v>
      </c>
      <c r="D2132" s="21" t="n">
        <v>46223.8159722222</v>
      </c>
      <c r="E2132" s="21" t="n">
        <v>46223.8298611111</v>
      </c>
      <c r="F2132" s="22" t="n">
        <f aca="false">DATE(YEAR(E2132),MONTH(E2132),1)</f>
        <v>46204</v>
      </c>
      <c r="G2132" s="23" t="n">
        <v>144154</v>
      </c>
      <c r="H2132" s="8" t="s">
        <v>64</v>
      </c>
      <c r="I2132" s="24" t="n">
        <v>10.7</v>
      </c>
      <c r="J2132" s="25" t="n">
        <f aca="false">Summary!$B$4</f>
        <v>1</v>
      </c>
      <c r="K2132" s="11" t="n">
        <f aca="false">I2132*J2132*IF(A2132="SILVER",Summary!$B$5,Summary!$B$6)</f>
        <v>1070</v>
      </c>
      <c r="L2132" s="26" t="n">
        <v>0.019</v>
      </c>
      <c r="M2132" s="27" t="n">
        <f aca="false">IF(K2132&gt;0,1,0)</f>
        <v>1</v>
      </c>
      <c r="N2132" s="11" t="n">
        <f aca="false">SUMIFS(K$2:K2132,A$2:A2132,A2132,B$2:B2132,B2132)</f>
        <v>5023335</v>
      </c>
      <c r="O2132" s="11" t="n">
        <f aca="false">MAX(0,_xlfn.MAXIFS(N$2:N2132,A$2:A2132,A2132,B$2:B2132,B2132))</f>
        <v>5409495</v>
      </c>
      <c r="P2132" s="11" t="n">
        <f aca="false">N2132-O2132</f>
        <v>-386160</v>
      </c>
    </row>
    <row r="2133" customFormat="false" ht="15" hidden="false" customHeight="false" outlineLevel="0" collapsed="false">
      <c r="A2133" s="8" t="s">
        <v>45</v>
      </c>
      <c r="B2133" s="8" t="s">
        <v>43</v>
      </c>
      <c r="C2133" s="8" t="s">
        <v>62</v>
      </c>
      <c r="D2133" s="21" t="n">
        <v>46224.7604166667</v>
      </c>
      <c r="E2133" s="21" t="n">
        <v>46224.8048611111</v>
      </c>
      <c r="F2133" s="22" t="n">
        <f aca="false">DATE(YEAR(E2133),MONTH(E2133),1)</f>
        <v>46204</v>
      </c>
      <c r="G2133" s="23" t="n">
        <v>145129</v>
      </c>
      <c r="H2133" s="8" t="s">
        <v>64</v>
      </c>
      <c r="I2133" s="24" t="n">
        <v>16.51</v>
      </c>
      <c r="J2133" s="25" t="n">
        <f aca="false">Summary!$B$4</f>
        <v>1</v>
      </c>
      <c r="K2133" s="11" t="n">
        <f aca="false">I2133*J2133*IF(A2133="SILVER",Summary!$B$5,Summary!$B$6)</f>
        <v>1651</v>
      </c>
      <c r="L2133" s="26" t="n">
        <v>0.029</v>
      </c>
      <c r="M2133" s="27" t="n">
        <f aca="false">IF(K2133&gt;0,1,0)</f>
        <v>1</v>
      </c>
      <c r="N2133" s="11" t="n">
        <f aca="false">SUMIFS(K$2:K2133,A$2:A2133,A2133,B$2:B2133,B2133)</f>
        <v>5024986</v>
      </c>
      <c r="O2133" s="11" t="n">
        <f aca="false">MAX(0,_xlfn.MAXIFS(N$2:N2133,A$2:A2133,A2133,B$2:B2133,B2133))</f>
        <v>5409495</v>
      </c>
      <c r="P2133" s="11" t="n">
        <f aca="false">N2133-O2133</f>
        <v>-384509</v>
      </c>
    </row>
    <row r="2134" customFormat="false" ht="15" hidden="false" customHeight="false" outlineLevel="0" collapsed="false">
      <c r="A2134" s="8" t="s">
        <v>45</v>
      </c>
      <c r="B2134" s="8" t="s">
        <v>43</v>
      </c>
      <c r="C2134" s="8" t="s">
        <v>62</v>
      </c>
      <c r="D2134" s="21" t="n">
        <v>46227.3784722222</v>
      </c>
      <c r="E2134" s="21" t="n">
        <v>46227.4930555556</v>
      </c>
      <c r="F2134" s="22" t="n">
        <f aca="false">DATE(YEAR(E2134),MONTH(E2134),1)</f>
        <v>46204</v>
      </c>
      <c r="G2134" s="23" t="n">
        <v>144924</v>
      </c>
      <c r="H2134" s="8" t="s">
        <v>64</v>
      </c>
      <c r="I2134" s="24" t="n">
        <v>54.46</v>
      </c>
      <c r="J2134" s="25" t="n">
        <f aca="false">Summary!$B$4</f>
        <v>1</v>
      </c>
      <c r="K2134" s="11" t="n">
        <f aca="false">I2134*J2134*IF(A2134="SILVER",Summary!$B$5,Summary!$B$6)</f>
        <v>5446</v>
      </c>
      <c r="L2134" s="26" t="n">
        <v>0.088</v>
      </c>
      <c r="M2134" s="27" t="n">
        <f aca="false">IF(K2134&gt;0,1,0)</f>
        <v>1</v>
      </c>
      <c r="N2134" s="11" t="n">
        <f aca="false">SUMIFS(K$2:K2134,A$2:A2134,A2134,B$2:B2134,B2134)</f>
        <v>5030432</v>
      </c>
      <c r="O2134" s="11" t="n">
        <f aca="false">MAX(0,_xlfn.MAXIFS(N$2:N2134,A$2:A2134,A2134,B$2:B2134,B2134))</f>
        <v>5409495</v>
      </c>
      <c r="P2134" s="11" t="n">
        <f aca="false">N2134-O2134</f>
        <v>-379063</v>
      </c>
    </row>
    <row r="2135" customFormat="false" ht="15" hidden="false" customHeight="false" outlineLevel="0" collapsed="false">
      <c r="A2135" s="8" t="s">
        <v>45</v>
      </c>
      <c r="B2135" s="8" t="s">
        <v>43</v>
      </c>
      <c r="C2135" s="8" t="s">
        <v>62</v>
      </c>
      <c r="D2135" s="21" t="n">
        <v>46227.7222222222</v>
      </c>
      <c r="E2135" s="21" t="n">
        <v>46230.3784722222</v>
      </c>
      <c r="F2135" s="22" t="n">
        <f aca="false">DATE(YEAR(E2135),MONTH(E2135),1)</f>
        <v>46204</v>
      </c>
      <c r="G2135" s="23" t="n">
        <v>145312</v>
      </c>
      <c r="H2135" s="8" t="s">
        <v>61</v>
      </c>
      <c r="I2135" s="24" t="n">
        <v>-1183.66</v>
      </c>
      <c r="J2135" s="25" t="n">
        <f aca="false">Summary!$B$4</f>
        <v>1</v>
      </c>
      <c r="K2135" s="11" t="n">
        <f aca="false">I2135*J2135*IF(A2135="SILVER",Summary!$B$5,Summary!$B$6)</f>
        <v>-118366</v>
      </c>
      <c r="L2135" s="26" t="n">
        <v>-1.534</v>
      </c>
      <c r="M2135" s="27" t="n">
        <f aca="false">IF(K2135&gt;0,1,0)</f>
        <v>0</v>
      </c>
      <c r="N2135" s="11" t="n">
        <f aca="false">SUMIFS(K$2:K2135,A$2:A2135,A2135,B$2:B2135,B2135)</f>
        <v>4912066</v>
      </c>
      <c r="O2135" s="11" t="n">
        <f aca="false">MAX(0,_xlfn.MAXIFS(N$2:N2135,A$2:A2135,A2135,B$2:B2135,B2135))</f>
        <v>5409495</v>
      </c>
      <c r="P2135" s="11" t="n">
        <f aca="false">N2135-O2135</f>
        <v>-497429</v>
      </c>
    </row>
    <row r="2136" customFormat="false" ht="15" hidden="false" customHeight="false" outlineLevel="0" collapsed="false">
      <c r="A2136" s="8" t="s">
        <v>45</v>
      </c>
      <c r="B2136" s="8" t="s">
        <v>43</v>
      </c>
      <c r="C2136" s="8" t="s">
        <v>62</v>
      </c>
      <c r="D2136" s="21" t="n">
        <v>46230.5868055556</v>
      </c>
      <c r="E2136" s="21" t="n">
        <v>46230.7472222222</v>
      </c>
      <c r="F2136" s="22" t="n">
        <f aca="false">DATE(YEAR(E2136),MONTH(E2136),1)</f>
        <v>46204</v>
      </c>
      <c r="G2136" s="23" t="n">
        <v>146389</v>
      </c>
      <c r="H2136" s="8" t="s">
        <v>64</v>
      </c>
      <c r="I2136" s="24" t="n">
        <v>30.89</v>
      </c>
      <c r="J2136" s="25" t="n">
        <f aca="false">Summary!$B$4</f>
        <v>1</v>
      </c>
      <c r="K2136" s="11" t="n">
        <f aca="false">I2136*J2136*IF(A2136="SILVER",Summary!$B$5,Summary!$B$6)</f>
        <v>3089</v>
      </c>
      <c r="L2136" s="26" t="n">
        <v>0.067</v>
      </c>
      <c r="M2136" s="27" t="n">
        <f aca="false">IF(K2136&gt;0,1,0)</f>
        <v>1</v>
      </c>
      <c r="N2136" s="11" t="n">
        <f aca="false">SUMIFS(K$2:K2136,A$2:A2136,A2136,B$2:B2136,B2136)</f>
        <v>4915155</v>
      </c>
      <c r="O2136" s="11" t="n">
        <f aca="false">MAX(0,_xlfn.MAXIFS(N$2:N2136,A$2:A2136,A2136,B$2:B2136,B2136))</f>
        <v>5409495</v>
      </c>
      <c r="P2136" s="11" t="n">
        <f aca="false">N2136-O2136</f>
        <v>-494340</v>
      </c>
    </row>
    <row r="2137" customFormat="false" ht="15" hidden="false" customHeight="false" outlineLevel="0" collapsed="false">
      <c r="A2137" s="8" t="s">
        <v>45</v>
      </c>
      <c r="B2137" s="8" t="s">
        <v>43</v>
      </c>
      <c r="C2137" s="8" t="s">
        <v>62</v>
      </c>
      <c r="D2137" s="21" t="n">
        <v>46230.8125</v>
      </c>
      <c r="E2137" s="21" t="n">
        <v>46230.8534722222</v>
      </c>
      <c r="F2137" s="22" t="n">
        <f aca="false">DATE(YEAR(E2137),MONTH(E2137),1)</f>
        <v>46204</v>
      </c>
      <c r="G2137" s="23" t="n">
        <v>145894</v>
      </c>
      <c r="H2137" s="8" t="s">
        <v>64</v>
      </c>
      <c r="I2137" s="24" t="n">
        <v>86.72</v>
      </c>
      <c r="J2137" s="25" t="n">
        <f aca="false">Summary!$B$4</f>
        <v>1</v>
      </c>
      <c r="K2137" s="11" t="n">
        <f aca="false">I2137*J2137*IF(A2137="SILVER",Summary!$B$5,Summary!$B$6)</f>
        <v>8672</v>
      </c>
      <c r="L2137" s="26" t="n">
        <v>0.104</v>
      </c>
      <c r="M2137" s="27" t="n">
        <f aca="false">IF(K2137&gt;0,1,0)</f>
        <v>1</v>
      </c>
      <c r="N2137" s="11" t="n">
        <f aca="false">SUMIFS(K$2:K2137,A$2:A2137,A2137,B$2:B2137,B2137)</f>
        <v>4923827</v>
      </c>
      <c r="O2137" s="11" t="n">
        <f aca="false">MAX(0,_xlfn.MAXIFS(N$2:N2137,A$2:A2137,A2137,B$2:B2137,B2137))</f>
        <v>5409495</v>
      </c>
      <c r="P2137" s="11" t="n">
        <f aca="false">N2137-O2137</f>
        <v>-485668</v>
      </c>
    </row>
    <row r="2138" customFormat="false" ht="15" hidden="false" customHeight="false" outlineLevel="0" collapsed="false">
      <c r="A2138" s="8" t="s">
        <v>45</v>
      </c>
      <c r="B2138" s="8" t="s">
        <v>43</v>
      </c>
      <c r="C2138" s="8" t="s">
        <v>62</v>
      </c>
      <c r="D2138" s="21" t="n">
        <v>46231.3784722222</v>
      </c>
      <c r="E2138" s="21" t="n">
        <v>46231.5013888889</v>
      </c>
      <c r="F2138" s="22" t="n">
        <f aca="false">DATE(YEAR(E2138),MONTH(E2138),1)</f>
        <v>46204</v>
      </c>
      <c r="G2138" s="23" t="n">
        <v>144883</v>
      </c>
      <c r="H2138" s="8" t="s">
        <v>64</v>
      </c>
      <c r="I2138" s="24" t="n">
        <v>83.99</v>
      </c>
      <c r="J2138" s="25" t="n">
        <f aca="false">Summary!$B$4</f>
        <v>1</v>
      </c>
      <c r="K2138" s="11" t="n">
        <f aca="false">I2138*J2138*IF(A2138="SILVER",Summary!$B$5,Summary!$B$6)</f>
        <v>8399</v>
      </c>
      <c r="L2138" s="26" t="n">
        <v>0.103</v>
      </c>
      <c r="M2138" s="27" t="n">
        <f aca="false">IF(K2138&gt;0,1,0)</f>
        <v>1</v>
      </c>
      <c r="N2138" s="11" t="n">
        <f aca="false">SUMIFS(K$2:K2138,A$2:A2138,A2138,B$2:B2138,B2138)</f>
        <v>4932226</v>
      </c>
      <c r="O2138" s="11" t="n">
        <f aca="false">MAX(0,_xlfn.MAXIFS(N$2:N2138,A$2:A2138,A2138,B$2:B2138,B2138))</f>
        <v>5409495</v>
      </c>
      <c r="P2138" s="11" t="n">
        <f aca="false">N2138-O2138</f>
        <v>-477269</v>
      </c>
    </row>
    <row r="2139" customFormat="false" ht="15" hidden="false" customHeight="false" outlineLevel="0" collapsed="false">
      <c r="A2139" s="8" t="s">
        <v>45</v>
      </c>
      <c r="B2139" s="8" t="s">
        <v>43</v>
      </c>
      <c r="C2139" s="8" t="s">
        <v>62</v>
      </c>
      <c r="D2139" s="21" t="n">
        <v>46231.6388888889</v>
      </c>
      <c r="E2139" s="21" t="n">
        <v>46231.6833333333</v>
      </c>
      <c r="F2139" s="22" t="n">
        <f aca="false">DATE(YEAR(E2139),MONTH(E2139),1)</f>
        <v>46204</v>
      </c>
      <c r="G2139" s="23" t="n">
        <v>144264</v>
      </c>
      <c r="H2139" s="8" t="s">
        <v>64</v>
      </c>
      <c r="I2139" s="24" t="n">
        <v>-8.33</v>
      </c>
      <c r="J2139" s="25" t="n">
        <f aca="false">Summary!$B$4</f>
        <v>1</v>
      </c>
      <c r="K2139" s="11" t="n">
        <f aca="false">I2139*J2139*IF(A2139="SILVER",Summary!$B$5,Summary!$B$6)</f>
        <v>-833</v>
      </c>
      <c r="L2139" s="26" t="n">
        <v>-0.016</v>
      </c>
      <c r="M2139" s="27" t="n">
        <f aca="false">IF(K2139&gt;0,1,0)</f>
        <v>0</v>
      </c>
      <c r="N2139" s="11" t="n">
        <f aca="false">SUMIFS(K$2:K2139,A$2:A2139,A2139,B$2:B2139,B2139)</f>
        <v>4931393</v>
      </c>
      <c r="O2139" s="11" t="n">
        <f aca="false">MAX(0,_xlfn.MAXIFS(N$2:N2139,A$2:A2139,A2139,B$2:B2139,B2139))</f>
        <v>5409495</v>
      </c>
      <c r="P2139" s="11" t="n">
        <f aca="false">N2139-O2139</f>
        <v>-478102</v>
      </c>
    </row>
    <row r="2140" customFormat="false" ht="15" hidden="false" customHeight="false" outlineLevel="0" collapsed="false">
      <c r="A2140" s="8" t="s">
        <v>45</v>
      </c>
      <c r="B2140" s="8" t="s">
        <v>43</v>
      </c>
      <c r="C2140" s="8" t="s">
        <v>62</v>
      </c>
      <c r="D2140" s="21" t="n">
        <v>46231.8263888889</v>
      </c>
      <c r="E2140" s="21" t="n">
        <v>46231.8888888889</v>
      </c>
      <c r="F2140" s="22" t="n">
        <f aca="false">DATE(YEAR(E2140),MONTH(E2140),1)</f>
        <v>46204</v>
      </c>
      <c r="G2140" s="23" t="n">
        <v>143940</v>
      </c>
      <c r="H2140" s="8" t="s">
        <v>61</v>
      </c>
      <c r="I2140" s="24" t="n">
        <v>-639.32</v>
      </c>
      <c r="J2140" s="25" t="n">
        <f aca="false">Summary!$B$4</f>
        <v>1</v>
      </c>
      <c r="K2140" s="11" t="n">
        <f aca="false">I2140*J2140*IF(A2140="SILVER",Summary!$B$5,Summary!$B$6)</f>
        <v>-63932</v>
      </c>
      <c r="L2140" s="26" t="n">
        <v>-1.072</v>
      </c>
      <c r="M2140" s="27" t="n">
        <f aca="false">IF(K2140&gt;0,1,0)</f>
        <v>0</v>
      </c>
      <c r="N2140" s="11" t="n">
        <f aca="false">SUMIFS(K$2:K2140,A$2:A2140,A2140,B$2:B2140,B2140)</f>
        <v>4867461</v>
      </c>
      <c r="O2140" s="11" t="n">
        <f aca="false">MAX(0,_xlfn.MAXIFS(N$2:N2140,A$2:A2140,A2140,B$2:B2140,B2140))</f>
        <v>5409495</v>
      </c>
      <c r="P2140" s="11" t="n">
        <f aca="false">N2140-O2140</f>
        <v>-542034</v>
      </c>
    </row>
    <row r="2141" customFormat="false" ht="15" hidden="false" customHeight="false" outlineLevel="0" collapsed="false">
      <c r="A2141" s="8" t="s">
        <v>45</v>
      </c>
      <c r="B2141" s="8" t="s">
        <v>43</v>
      </c>
      <c r="C2141" s="8" t="s">
        <v>62</v>
      </c>
      <c r="D2141" s="21" t="n">
        <v>46232.3784722222</v>
      </c>
      <c r="E2141" s="21" t="n">
        <v>46232.4826388889</v>
      </c>
      <c r="F2141" s="22" t="n">
        <f aca="false">DATE(YEAR(E2141),MONTH(E2141),1)</f>
        <v>46204</v>
      </c>
      <c r="G2141" s="23" t="n">
        <v>143999</v>
      </c>
      <c r="H2141" s="8" t="s">
        <v>61</v>
      </c>
      <c r="I2141" s="24" t="n">
        <v>-459.32</v>
      </c>
      <c r="J2141" s="25" t="n">
        <f aca="false">Summary!$B$4</f>
        <v>1</v>
      </c>
      <c r="K2141" s="11" t="n">
        <f aca="false">I2141*J2141*IF(A2141="SILVER",Summary!$B$5,Summary!$B$6)</f>
        <v>-45932</v>
      </c>
      <c r="L2141" s="26" t="n">
        <v>-0.725</v>
      </c>
      <c r="M2141" s="27" t="n">
        <f aca="false">IF(K2141&gt;0,1,0)</f>
        <v>0</v>
      </c>
      <c r="N2141" s="11" t="n">
        <f aca="false">SUMIFS(K$2:K2141,A$2:A2141,A2141,B$2:B2141,B2141)</f>
        <v>4821529</v>
      </c>
      <c r="O2141" s="11" t="n">
        <f aca="false">MAX(0,_xlfn.MAXIFS(N$2:N2141,A$2:A2141,A2141,B$2:B2141,B2141))</f>
        <v>5409495</v>
      </c>
      <c r="P2141" s="11" t="n">
        <f aca="false">N2141-O2141</f>
        <v>-587966</v>
      </c>
    </row>
    <row r="2142" customFormat="false" ht="15" hidden="false" customHeight="false" outlineLevel="0" collapsed="false">
      <c r="A2142" s="8" t="s">
        <v>45</v>
      </c>
      <c r="B2142" s="8" t="s">
        <v>43</v>
      </c>
      <c r="C2142" s="8" t="s">
        <v>62</v>
      </c>
      <c r="D2142" s="21" t="n">
        <v>46232.6284722222</v>
      </c>
      <c r="E2142" s="21" t="n">
        <v>46232.6791666667</v>
      </c>
      <c r="F2142" s="22" t="n">
        <f aca="false">DATE(YEAR(E2142),MONTH(E2142),1)</f>
        <v>46204</v>
      </c>
      <c r="G2142" s="23" t="n">
        <v>144186</v>
      </c>
      <c r="H2142" s="8" t="s">
        <v>64</v>
      </c>
      <c r="I2142" s="24" t="n">
        <v>29.19</v>
      </c>
      <c r="J2142" s="25" t="n">
        <f aca="false">Summary!$B$4</f>
        <v>1</v>
      </c>
      <c r="K2142" s="11" t="n">
        <f aca="false">I2142*J2142*IF(A2142="SILVER",Summary!$B$5,Summary!$B$6)</f>
        <v>2919</v>
      </c>
      <c r="L2142" s="26" t="n">
        <v>0.065</v>
      </c>
      <c r="M2142" s="27" t="n">
        <f aca="false">IF(K2142&gt;0,1,0)</f>
        <v>1</v>
      </c>
      <c r="N2142" s="11" t="n">
        <f aca="false">SUMIFS(K$2:K2142,A$2:A2142,A2142,B$2:B2142,B2142)</f>
        <v>4824448</v>
      </c>
      <c r="O2142" s="11" t="n">
        <f aca="false">MAX(0,_xlfn.MAXIFS(N$2:N2142,A$2:A2142,A2142,B$2:B2142,B2142))</f>
        <v>5409495</v>
      </c>
      <c r="P2142" s="11" t="n">
        <f aca="false">N2142-O2142</f>
        <v>-585047</v>
      </c>
    </row>
    <row r="2143" customFormat="false" ht="15" hidden="false" customHeight="false" outlineLevel="0" collapsed="false">
      <c r="A2143" s="8" t="s">
        <v>45</v>
      </c>
      <c r="B2143" s="8" t="s">
        <v>43</v>
      </c>
      <c r="C2143" s="8" t="s">
        <v>62</v>
      </c>
      <c r="D2143" s="21" t="n">
        <v>46232.7951388889</v>
      </c>
      <c r="E2143" s="21" t="n">
        <v>46232.9201388889</v>
      </c>
      <c r="F2143" s="22" t="n">
        <f aca="false">DATE(YEAR(E2143),MONTH(E2143),1)</f>
        <v>46204</v>
      </c>
      <c r="G2143" s="23" t="n">
        <v>143834</v>
      </c>
      <c r="H2143" s="8" t="s">
        <v>64</v>
      </c>
      <c r="I2143" s="24" t="n">
        <v>21.53</v>
      </c>
      <c r="J2143" s="25" t="n">
        <f aca="false">Summary!$B$4</f>
        <v>1</v>
      </c>
      <c r="K2143" s="11" t="n">
        <f aca="false">I2143*J2143*IF(A2143="SILVER",Summary!$B$5,Summary!$B$6)</f>
        <v>2153</v>
      </c>
      <c r="L2143" s="26" t="n">
        <v>0.054</v>
      </c>
      <c r="M2143" s="27" t="n">
        <f aca="false">IF(K2143&gt;0,1,0)</f>
        <v>1</v>
      </c>
      <c r="N2143" s="11" t="n">
        <f aca="false">SUMIFS(K$2:K2143,A$2:A2143,A2143,B$2:B2143,B2143)</f>
        <v>4826601</v>
      </c>
      <c r="O2143" s="11" t="n">
        <f aca="false">MAX(0,_xlfn.MAXIFS(N$2:N2143,A$2:A2143,A2143,B$2:B2143,B2143))</f>
        <v>5409495</v>
      </c>
      <c r="P2143" s="11" t="n">
        <f aca="false">N2143-O2143</f>
        <v>-582894</v>
      </c>
    </row>
    <row r="2144" customFormat="false" ht="15" hidden="false" customHeight="false" outlineLevel="0" collapsed="false">
      <c r="A2144" s="8" t="s">
        <v>45</v>
      </c>
      <c r="B2144" s="8" t="s">
        <v>43</v>
      </c>
      <c r="C2144" s="8" t="s">
        <v>60</v>
      </c>
      <c r="D2144" s="21" t="n">
        <v>46254.3784722222</v>
      </c>
      <c r="E2144" s="21" t="n">
        <v>46254.7222222222</v>
      </c>
      <c r="F2144" s="22" t="n">
        <f aca="false">DATE(YEAR(E2144),MONTH(E2144),1)</f>
        <v>46235</v>
      </c>
      <c r="G2144" s="23" t="n">
        <v>158460</v>
      </c>
      <c r="H2144" s="8" t="s">
        <v>61</v>
      </c>
      <c r="I2144" s="24" t="n">
        <v>-761.62</v>
      </c>
      <c r="J2144" s="25" t="n">
        <f aca="false">Summary!$B$4</f>
        <v>1</v>
      </c>
      <c r="K2144" s="11" t="n">
        <f aca="false">I2144*J2144*IF(A2144="SILVER",Summary!$B$5,Summary!$B$6)</f>
        <v>-76162</v>
      </c>
      <c r="L2144" s="26" t="n">
        <v>-0.668</v>
      </c>
      <c r="M2144" s="27" t="n">
        <f aca="false">IF(K2144&gt;0,1,0)</f>
        <v>0</v>
      </c>
      <c r="N2144" s="11" t="n">
        <f aca="false">SUMIFS(K$2:K2144,A$2:A2144,A2144,B$2:B2144,B2144)</f>
        <v>4750439</v>
      </c>
      <c r="O2144" s="11" t="n">
        <f aca="false">MAX(0,_xlfn.MAXIFS(N$2:N2144,A$2:A2144,A2144,B$2:B2144,B2144))</f>
        <v>5409495</v>
      </c>
      <c r="P2144" s="11" t="n">
        <f aca="false">N2144-O2144</f>
        <v>-659056</v>
      </c>
    </row>
    <row r="2145" customFormat="false" ht="15" hidden="false" customHeight="false" outlineLevel="0" collapsed="false">
      <c r="A2145" s="8" t="s">
        <v>45</v>
      </c>
      <c r="B2145" s="8" t="s">
        <v>43</v>
      </c>
      <c r="C2145" s="8" t="s">
        <v>60</v>
      </c>
      <c r="D2145" s="21" t="n">
        <v>46254.7986111111</v>
      </c>
      <c r="E2145" s="21" t="n">
        <v>46255.7569444445</v>
      </c>
      <c r="F2145" s="22" t="n">
        <f aca="false">DATE(YEAR(E2145),MONTH(E2145),1)</f>
        <v>46235</v>
      </c>
      <c r="G2145" s="23" t="n">
        <v>158190</v>
      </c>
      <c r="H2145" s="8" t="s">
        <v>61</v>
      </c>
      <c r="I2145" s="24" t="n">
        <v>2350.13</v>
      </c>
      <c r="J2145" s="25" t="n">
        <f aca="false">Summary!$B$4</f>
        <v>1</v>
      </c>
      <c r="K2145" s="11" t="n">
        <f aca="false">I2145*J2145*IF(A2145="SILVER",Summary!$B$5,Summary!$B$6)</f>
        <v>235013</v>
      </c>
      <c r="L2145" s="26" t="n">
        <v>1.914</v>
      </c>
      <c r="M2145" s="27" t="n">
        <f aca="false">IF(K2145&gt;0,1,0)</f>
        <v>1</v>
      </c>
      <c r="N2145" s="11" t="n">
        <f aca="false">SUMIFS(K$2:K2145,A$2:A2145,A2145,B$2:B2145,B2145)</f>
        <v>4985452</v>
      </c>
      <c r="O2145" s="11" t="n">
        <f aca="false">MAX(0,_xlfn.MAXIFS(N$2:N2145,A$2:A2145,A2145,B$2:B2145,B2145))</f>
        <v>5409495</v>
      </c>
      <c r="P2145" s="11" t="n">
        <f aca="false">N2145-O2145</f>
        <v>-424043</v>
      </c>
    </row>
    <row r="2146" customFormat="false" ht="15" hidden="false" customHeight="false" outlineLevel="0" collapsed="false">
      <c r="A2146" s="8" t="s">
        <v>45</v>
      </c>
      <c r="B2146" s="8" t="s">
        <v>43</v>
      </c>
      <c r="C2146" s="8" t="s">
        <v>60</v>
      </c>
      <c r="D2146" s="21" t="n">
        <v>46255.8923611111</v>
      </c>
      <c r="E2146" s="21" t="n">
        <v>46255.9472222222</v>
      </c>
      <c r="F2146" s="22" t="n">
        <f aca="false">DATE(YEAR(E2146),MONTH(E2146),1)</f>
        <v>46235</v>
      </c>
      <c r="G2146" s="23" t="n">
        <v>162200</v>
      </c>
      <c r="H2146" s="8" t="s">
        <v>64</v>
      </c>
      <c r="I2146" s="24" t="n">
        <v>159.58</v>
      </c>
      <c r="J2146" s="25" t="n">
        <f aca="false">Summary!$B$4</f>
        <v>1</v>
      </c>
      <c r="K2146" s="11" t="n">
        <f aca="false">I2146*J2146*IF(A2146="SILVER",Summary!$B$5,Summary!$B$6)</f>
        <v>15958</v>
      </c>
      <c r="L2146" s="26" t="n">
        <v>0.118</v>
      </c>
      <c r="M2146" s="27" t="n">
        <f aca="false">IF(K2146&gt;0,1,0)</f>
        <v>1</v>
      </c>
      <c r="N2146" s="11" t="n">
        <f aca="false">SUMIFS(K$2:K2146,A$2:A2146,A2146,B$2:B2146,B2146)</f>
        <v>5001410</v>
      </c>
      <c r="O2146" s="11" t="n">
        <f aca="false">MAX(0,_xlfn.MAXIFS(N$2:N2146,A$2:A2146,A2146,B$2:B2146,B2146))</f>
        <v>5409495</v>
      </c>
      <c r="P2146" s="11" t="n">
        <f aca="false">N2146-O2146</f>
        <v>-408085</v>
      </c>
    </row>
    <row r="2147" customFormat="false" ht="15" hidden="false" customHeight="false" outlineLevel="0" collapsed="false">
      <c r="A2147" s="8" t="s">
        <v>45</v>
      </c>
      <c r="B2147" s="8" t="s">
        <v>43</v>
      </c>
      <c r="C2147" s="8" t="s">
        <v>60</v>
      </c>
      <c r="D2147" s="21" t="n">
        <v>46258.3784722222</v>
      </c>
      <c r="E2147" s="21" t="n">
        <v>46258.8881944444</v>
      </c>
      <c r="F2147" s="22" t="n">
        <f aca="false">DATE(YEAR(E2147),MONTH(E2147),1)</f>
        <v>46235</v>
      </c>
      <c r="G2147" s="23" t="n">
        <v>163500</v>
      </c>
      <c r="H2147" s="8" t="s">
        <v>64</v>
      </c>
      <c r="I2147" s="24" t="n">
        <v>252.12</v>
      </c>
      <c r="J2147" s="25" t="n">
        <f aca="false">Summary!$B$4</f>
        <v>1</v>
      </c>
      <c r="K2147" s="11" t="n">
        <f aca="false">I2147*J2147*IF(A2147="SILVER",Summary!$B$5,Summary!$B$6)</f>
        <v>25212</v>
      </c>
      <c r="L2147" s="26" t="n">
        <v>0.128</v>
      </c>
      <c r="M2147" s="27" t="n">
        <f aca="false">IF(K2147&gt;0,1,0)</f>
        <v>1</v>
      </c>
      <c r="N2147" s="11" t="n">
        <f aca="false">SUMIFS(K$2:K2147,A$2:A2147,A2147,B$2:B2147,B2147)</f>
        <v>5026622</v>
      </c>
      <c r="O2147" s="11" t="n">
        <f aca="false">MAX(0,_xlfn.MAXIFS(N$2:N2147,A$2:A2147,A2147,B$2:B2147,B2147))</f>
        <v>5409495</v>
      </c>
      <c r="P2147" s="11" t="n">
        <f aca="false">N2147-O2147</f>
        <v>-382873</v>
      </c>
    </row>
    <row r="2148" customFormat="false" ht="15" hidden="false" customHeight="false" outlineLevel="0" collapsed="false">
      <c r="A2148" s="8" t="s">
        <v>45</v>
      </c>
      <c r="B2148" s="8" t="s">
        <v>43</v>
      </c>
      <c r="C2148" s="8" t="s">
        <v>60</v>
      </c>
      <c r="D2148" s="21" t="n">
        <v>46259.8819444445</v>
      </c>
      <c r="E2148" s="21" t="n">
        <v>46260.5</v>
      </c>
      <c r="F2148" s="22" t="n">
        <f aca="false">DATE(YEAR(E2148),MONTH(E2148),1)</f>
        <v>46235</v>
      </c>
      <c r="G2148" s="23" t="n">
        <v>163269</v>
      </c>
      <c r="H2148" s="8" t="s">
        <v>61</v>
      </c>
      <c r="I2148" s="24" t="n">
        <v>-975.56</v>
      </c>
      <c r="J2148" s="25" t="n">
        <f aca="false">Summary!$B$4</f>
        <v>1</v>
      </c>
      <c r="K2148" s="11" t="n">
        <f aca="false">I2148*J2148*IF(A2148="SILVER",Summary!$B$5,Summary!$B$6)</f>
        <v>-97556</v>
      </c>
      <c r="L2148" s="26" t="n">
        <v>-0.699</v>
      </c>
      <c r="M2148" s="27" t="n">
        <f aca="false">IF(K2148&gt;0,1,0)</f>
        <v>0</v>
      </c>
      <c r="N2148" s="11" t="n">
        <f aca="false">SUMIFS(K$2:K2148,A$2:A2148,A2148,B$2:B2148,B2148)</f>
        <v>4929066</v>
      </c>
      <c r="O2148" s="11" t="n">
        <f aca="false">MAX(0,_xlfn.MAXIFS(N$2:N2148,A$2:A2148,A2148,B$2:B2148,B2148))</f>
        <v>5409495</v>
      </c>
      <c r="P2148" s="11" t="n">
        <f aca="false">N2148-O2148</f>
        <v>-480429</v>
      </c>
    </row>
    <row r="2149" customFormat="false" ht="15" hidden="false" customHeight="false" outlineLevel="0" collapsed="false">
      <c r="A2149" s="8" t="s">
        <v>45</v>
      </c>
      <c r="B2149" s="8" t="s">
        <v>43</v>
      </c>
      <c r="C2149" s="8" t="s">
        <v>60</v>
      </c>
      <c r="D2149" s="21" t="n">
        <v>46268.8576388889</v>
      </c>
      <c r="E2149" s="21" t="n">
        <v>46269.3756944445</v>
      </c>
      <c r="F2149" s="22" t="n">
        <f aca="false">DATE(YEAR(E2149),MONTH(E2149),1)</f>
        <v>46266</v>
      </c>
      <c r="G2149" s="23" t="n">
        <v>155930</v>
      </c>
      <c r="H2149" s="8" t="s">
        <v>64</v>
      </c>
      <c r="I2149" s="24" t="n">
        <v>-881.1</v>
      </c>
      <c r="J2149" s="25" t="n">
        <f aca="false">Summary!$B$4</f>
        <v>1</v>
      </c>
      <c r="K2149" s="11" t="n">
        <f aca="false">I2149*J2149*IF(A2149="SILVER",Summary!$B$5,Summary!$B$6)</f>
        <v>-88110</v>
      </c>
      <c r="L2149" s="26" t="n">
        <v>-0.549</v>
      </c>
      <c r="M2149" s="27" t="n">
        <f aca="false">IF(K2149&gt;0,1,0)</f>
        <v>0</v>
      </c>
      <c r="N2149" s="11" t="n">
        <f aca="false">SUMIFS(K$2:K2149,A$2:A2149,A2149,B$2:B2149,B2149)</f>
        <v>4840956</v>
      </c>
      <c r="O2149" s="11" t="n">
        <f aca="false">MAX(0,_xlfn.MAXIFS(N$2:N2149,A$2:A2149,A2149,B$2:B2149,B2149))</f>
        <v>5409495</v>
      </c>
      <c r="P2149" s="11" t="n">
        <f aca="false">N2149-O2149</f>
        <v>-568539</v>
      </c>
    </row>
    <row r="2150" customFormat="false" ht="15" hidden="false" customHeight="false" outlineLevel="0" collapsed="false">
      <c r="A2150" s="8" t="s">
        <v>45</v>
      </c>
      <c r="B2150" s="8" t="s">
        <v>43</v>
      </c>
      <c r="C2150" s="8" t="s">
        <v>60</v>
      </c>
      <c r="D2150" s="21" t="n">
        <v>46269.5555555556</v>
      </c>
      <c r="E2150" s="21" t="n">
        <v>46269.7534722222</v>
      </c>
      <c r="F2150" s="22" t="n">
        <f aca="false">DATE(YEAR(E2150),MONTH(E2150),1)</f>
        <v>46266</v>
      </c>
      <c r="G2150" s="23" t="n">
        <v>155616</v>
      </c>
      <c r="H2150" s="8" t="s">
        <v>61</v>
      </c>
      <c r="I2150" s="24" t="n">
        <v>-3297.81</v>
      </c>
      <c r="J2150" s="25" t="n">
        <f aca="false">Summary!$B$4</f>
        <v>1</v>
      </c>
      <c r="K2150" s="11" t="n">
        <f aca="false">I2150*J2150*IF(A2150="SILVER",Summary!$B$5,Summary!$B$6)</f>
        <v>-329781</v>
      </c>
      <c r="L2150" s="26" t="n">
        <v>-3.644</v>
      </c>
      <c r="M2150" s="27" t="n">
        <f aca="false">IF(K2150&gt;0,1,0)</f>
        <v>0</v>
      </c>
      <c r="N2150" s="11" t="n">
        <f aca="false">SUMIFS(K$2:K2150,A$2:A2150,A2150,B$2:B2150,B2150)</f>
        <v>4511175</v>
      </c>
      <c r="O2150" s="11" t="n">
        <f aca="false">MAX(0,_xlfn.MAXIFS(N$2:N2150,A$2:A2150,A2150,B$2:B2150,B2150))</f>
        <v>5409495</v>
      </c>
      <c r="P2150" s="11" t="n">
        <f aca="false">N2150-O2150</f>
        <v>-898320</v>
      </c>
    </row>
    <row r="2151" customFormat="false" ht="15" hidden="false" customHeight="false" outlineLevel="0" collapsed="false">
      <c r="A2151" s="8" t="s">
        <v>45</v>
      </c>
      <c r="B2151" s="8" t="s">
        <v>43</v>
      </c>
      <c r="C2151" s="8" t="s">
        <v>60</v>
      </c>
      <c r="D2151" s="21" t="n">
        <v>46272.5763888889</v>
      </c>
      <c r="E2151" s="21" t="n">
        <v>46273.4805555556</v>
      </c>
      <c r="F2151" s="22" t="n">
        <f aca="false">DATE(YEAR(E2151),MONTH(E2151),1)</f>
        <v>46266</v>
      </c>
      <c r="G2151" s="23" t="n">
        <v>153192</v>
      </c>
      <c r="H2151" s="8" t="s">
        <v>64</v>
      </c>
      <c r="I2151" s="24" t="n">
        <v>122.01</v>
      </c>
      <c r="J2151" s="25" t="n">
        <f aca="false">Summary!$B$4</f>
        <v>1</v>
      </c>
      <c r="K2151" s="11" t="n">
        <f aca="false">I2151*J2151*IF(A2151="SILVER",Summary!$B$5,Summary!$B$6)</f>
        <v>12201</v>
      </c>
      <c r="L2151" s="26" t="n">
        <v>0.113</v>
      </c>
      <c r="M2151" s="27" t="n">
        <f aca="false">IF(K2151&gt;0,1,0)</f>
        <v>1</v>
      </c>
      <c r="N2151" s="11" t="n">
        <f aca="false">SUMIFS(K$2:K2151,A$2:A2151,A2151,B$2:B2151,B2151)</f>
        <v>4523376</v>
      </c>
      <c r="O2151" s="11" t="n">
        <f aca="false">MAX(0,_xlfn.MAXIFS(N$2:N2151,A$2:A2151,A2151,B$2:B2151,B2151))</f>
        <v>5409495</v>
      </c>
      <c r="P2151" s="11" t="n">
        <f aca="false">N2151-O2151</f>
        <v>-886119</v>
      </c>
    </row>
    <row r="2152" customFormat="false" ht="15" hidden="false" customHeight="false" outlineLevel="0" collapsed="false">
      <c r="A2152" s="8" t="s">
        <v>45</v>
      </c>
      <c r="B2152" s="8" t="s">
        <v>43</v>
      </c>
      <c r="C2152" s="8" t="s">
        <v>60</v>
      </c>
      <c r="D2152" s="21" t="n">
        <v>46274.4652777778</v>
      </c>
      <c r="E2152" s="21" t="n">
        <v>46274.4972222222</v>
      </c>
      <c r="F2152" s="22" t="n">
        <f aca="false">DATE(YEAR(E2152),MONTH(E2152),1)</f>
        <v>46266</v>
      </c>
      <c r="G2152" s="23" t="n">
        <v>153150</v>
      </c>
      <c r="H2152" s="8" t="s">
        <v>64</v>
      </c>
      <c r="I2152" s="24" t="n">
        <v>85.87</v>
      </c>
      <c r="J2152" s="25" t="n">
        <f aca="false">Summary!$B$4</f>
        <v>1</v>
      </c>
      <c r="K2152" s="11" t="n">
        <f aca="false">I2152*J2152*IF(A2152="SILVER",Summary!$B$5,Summary!$B$6)</f>
        <v>8587</v>
      </c>
      <c r="L2152" s="26" t="n">
        <v>0.102</v>
      </c>
      <c r="M2152" s="27" t="n">
        <f aca="false">IF(K2152&gt;0,1,0)</f>
        <v>1</v>
      </c>
      <c r="N2152" s="11" t="n">
        <f aca="false">SUMIFS(K$2:K2152,A$2:A2152,A2152,B$2:B2152,B2152)</f>
        <v>4531963</v>
      </c>
      <c r="O2152" s="11" t="n">
        <f aca="false">MAX(0,_xlfn.MAXIFS(N$2:N2152,A$2:A2152,A2152,B$2:B2152,B2152))</f>
        <v>5409495</v>
      </c>
      <c r="P2152" s="11" t="n">
        <f aca="false">N2152-O2152</f>
        <v>-877532</v>
      </c>
    </row>
    <row r="2153" customFormat="false" ht="15" hidden="false" customHeight="false" outlineLevel="0" collapsed="false">
      <c r="A2153" s="8" t="s">
        <v>45</v>
      </c>
      <c r="B2153" s="8" t="s">
        <v>43</v>
      </c>
      <c r="C2153" s="8" t="s">
        <v>60</v>
      </c>
      <c r="D2153" s="21" t="n">
        <v>46274.5555555556</v>
      </c>
      <c r="E2153" s="21" t="n">
        <v>46274.7986111111</v>
      </c>
      <c r="F2153" s="22" t="n">
        <f aca="false">DATE(YEAR(E2153),MONTH(E2153),1)</f>
        <v>46266</v>
      </c>
      <c r="G2153" s="23" t="n">
        <v>153691</v>
      </c>
      <c r="H2153" s="8" t="s">
        <v>64</v>
      </c>
      <c r="I2153" s="24" t="n">
        <v>78.45</v>
      </c>
      <c r="J2153" s="25" t="n">
        <f aca="false">Summary!$B$4</f>
        <v>1</v>
      </c>
      <c r="K2153" s="11" t="n">
        <f aca="false">I2153*J2153*IF(A2153="SILVER",Summary!$B$5,Summary!$B$6)</f>
        <v>7845</v>
      </c>
      <c r="L2153" s="26" t="n">
        <v>0.099</v>
      </c>
      <c r="M2153" s="27" t="n">
        <f aca="false">IF(K2153&gt;0,1,0)</f>
        <v>1</v>
      </c>
      <c r="N2153" s="11" t="n">
        <f aca="false">SUMIFS(K$2:K2153,A$2:A2153,A2153,B$2:B2153,B2153)</f>
        <v>4539808</v>
      </c>
      <c r="O2153" s="11" t="n">
        <f aca="false">MAX(0,_xlfn.MAXIFS(N$2:N2153,A$2:A2153,A2153,B$2:B2153,B2153))</f>
        <v>5409495</v>
      </c>
      <c r="P2153" s="11" t="n">
        <f aca="false">N2153-O2153</f>
        <v>-869687</v>
      </c>
    </row>
    <row r="2154" customFormat="false" ht="15" hidden="false" customHeight="false" outlineLevel="0" collapsed="false">
      <c r="A2154" s="8" t="s">
        <v>45</v>
      </c>
      <c r="B2154" s="8" t="s">
        <v>43</v>
      </c>
      <c r="C2154" s="8" t="s">
        <v>60</v>
      </c>
      <c r="D2154" s="21" t="n">
        <v>46276.46875</v>
      </c>
      <c r="E2154" s="21" t="n">
        <v>46276.5430555556</v>
      </c>
      <c r="F2154" s="22" t="n">
        <f aca="false">DATE(YEAR(E2154),MONTH(E2154),1)</f>
        <v>46266</v>
      </c>
      <c r="G2154" s="23" t="n">
        <v>152115</v>
      </c>
      <c r="H2154" s="8" t="s">
        <v>64</v>
      </c>
      <c r="I2154" s="24" t="n">
        <v>144.93</v>
      </c>
      <c r="J2154" s="25" t="n">
        <f aca="false">Summary!$B$4</f>
        <v>1</v>
      </c>
      <c r="K2154" s="11" t="n">
        <f aca="false">I2154*J2154*IF(A2154="SILVER",Summary!$B$5,Summary!$B$6)</f>
        <v>14493</v>
      </c>
      <c r="L2154" s="26" t="n">
        <v>0.117</v>
      </c>
      <c r="M2154" s="27" t="n">
        <f aca="false">IF(K2154&gt;0,1,0)</f>
        <v>1</v>
      </c>
      <c r="N2154" s="11" t="n">
        <f aca="false">SUMIFS(K$2:K2154,A$2:A2154,A2154,B$2:B2154,B2154)</f>
        <v>4554301</v>
      </c>
      <c r="O2154" s="11" t="n">
        <f aca="false">MAX(0,_xlfn.MAXIFS(N$2:N2154,A$2:A2154,A2154,B$2:B2154,B2154))</f>
        <v>5409495</v>
      </c>
      <c r="P2154" s="11" t="n">
        <f aca="false">N2154-O2154</f>
        <v>-855194</v>
      </c>
    </row>
    <row r="2155" customFormat="false" ht="15" hidden="false" customHeight="false" outlineLevel="0" collapsed="false">
      <c r="A2155" s="8" t="s">
        <v>45</v>
      </c>
      <c r="B2155" s="8" t="s">
        <v>43</v>
      </c>
      <c r="C2155" s="8" t="s">
        <v>60</v>
      </c>
      <c r="D2155" s="21" t="n">
        <v>46276.7569444445</v>
      </c>
      <c r="E2155" s="21" t="n">
        <v>46276.8375</v>
      </c>
      <c r="F2155" s="22" t="n">
        <f aca="false">DATE(YEAR(E2155),MONTH(E2155),1)</f>
        <v>46266</v>
      </c>
      <c r="G2155" s="23" t="n">
        <v>152644</v>
      </c>
      <c r="H2155" s="8" t="s">
        <v>64</v>
      </c>
      <c r="I2155" s="24" t="n">
        <v>191.93</v>
      </c>
      <c r="J2155" s="25" t="n">
        <f aca="false">Summary!$B$4</f>
        <v>1</v>
      </c>
      <c r="K2155" s="11" t="n">
        <f aca="false">I2155*J2155*IF(A2155="SILVER",Summary!$B$5,Summary!$B$6)</f>
        <v>19193</v>
      </c>
      <c r="L2155" s="26" t="n">
        <v>0.124</v>
      </c>
      <c r="M2155" s="27" t="n">
        <f aca="false">IF(K2155&gt;0,1,0)</f>
        <v>1</v>
      </c>
      <c r="N2155" s="11" t="n">
        <f aca="false">SUMIFS(K$2:K2155,A$2:A2155,A2155,B$2:B2155,B2155)</f>
        <v>4573494</v>
      </c>
      <c r="O2155" s="11" t="n">
        <f aca="false">MAX(0,_xlfn.MAXIFS(N$2:N2155,A$2:A2155,A2155,B$2:B2155,B2155))</f>
        <v>5409495</v>
      </c>
      <c r="P2155" s="11" t="n">
        <f aca="false">N2155-O2155</f>
        <v>-836001</v>
      </c>
    </row>
    <row r="2156" customFormat="false" ht="15" hidden="false" customHeight="false" outlineLevel="0" collapsed="false">
      <c r="A2156" s="8" t="s">
        <v>45</v>
      </c>
      <c r="B2156" s="8" t="s">
        <v>43</v>
      </c>
      <c r="C2156" s="8" t="s">
        <v>60</v>
      </c>
      <c r="D2156" s="21" t="n">
        <v>46283.5069444445</v>
      </c>
      <c r="E2156" s="21" t="n">
        <v>46283.5791666667</v>
      </c>
      <c r="F2156" s="22" t="n">
        <f aca="false">DATE(YEAR(E2156),MONTH(E2156),1)</f>
        <v>46266</v>
      </c>
      <c r="G2156" s="23" t="n">
        <v>154142</v>
      </c>
      <c r="H2156" s="8" t="s">
        <v>64</v>
      </c>
      <c r="I2156" s="24" t="n">
        <v>111.88</v>
      </c>
      <c r="J2156" s="25" t="n">
        <f aca="false">Summary!$B$4</f>
        <v>1</v>
      </c>
      <c r="K2156" s="11" t="n">
        <f aca="false">I2156*J2156*IF(A2156="SILVER",Summary!$B$5,Summary!$B$6)</f>
        <v>11188</v>
      </c>
      <c r="L2156" s="26" t="n">
        <v>0.11</v>
      </c>
      <c r="M2156" s="27" t="n">
        <f aca="false">IF(K2156&gt;0,1,0)</f>
        <v>1</v>
      </c>
      <c r="N2156" s="11" t="n">
        <f aca="false">SUMIFS(K$2:K2156,A$2:A2156,A2156,B$2:B2156,B2156)</f>
        <v>4584682</v>
      </c>
      <c r="O2156" s="11" t="n">
        <f aca="false">MAX(0,_xlfn.MAXIFS(N$2:N2156,A$2:A2156,A2156,B$2:B2156,B2156))</f>
        <v>5409495</v>
      </c>
      <c r="P2156" s="11" t="n">
        <f aca="false">N2156-O2156</f>
        <v>-824813</v>
      </c>
    </row>
    <row r="2157" customFormat="false" ht="15" hidden="false" customHeight="false" outlineLevel="0" collapsed="false">
      <c r="A2157" s="8" t="s">
        <v>45</v>
      </c>
      <c r="B2157" s="8" t="s">
        <v>43</v>
      </c>
      <c r="C2157" s="8" t="s">
        <v>60</v>
      </c>
      <c r="D2157" s="21" t="n">
        <v>46283.6041666667</v>
      </c>
      <c r="E2157" s="21" t="n">
        <v>46283.7256944445</v>
      </c>
      <c r="F2157" s="22" t="n">
        <f aca="false">DATE(YEAR(E2157),MONTH(E2157),1)</f>
        <v>46266</v>
      </c>
      <c r="G2157" s="23" t="n">
        <v>154478</v>
      </c>
      <c r="H2157" s="8" t="s">
        <v>61</v>
      </c>
      <c r="I2157" s="24" t="n">
        <v>-727.83</v>
      </c>
      <c r="J2157" s="25" t="n">
        <f aca="false">Summary!$B$4</f>
        <v>1</v>
      </c>
      <c r="K2157" s="11" t="n">
        <f aca="false">I2157*J2157*IF(A2157="SILVER",Summary!$B$5,Summary!$B$6)</f>
        <v>-72783</v>
      </c>
      <c r="L2157" s="26" t="n">
        <v>-1.044</v>
      </c>
      <c r="M2157" s="27" t="n">
        <f aca="false">IF(K2157&gt;0,1,0)</f>
        <v>0</v>
      </c>
      <c r="N2157" s="11" t="n">
        <f aca="false">SUMIFS(K$2:K2157,A$2:A2157,A2157,B$2:B2157,B2157)</f>
        <v>4511899</v>
      </c>
      <c r="O2157" s="11" t="n">
        <f aca="false">MAX(0,_xlfn.MAXIFS(N$2:N2157,A$2:A2157,A2157,B$2:B2157,B2157))</f>
        <v>5409495</v>
      </c>
      <c r="P2157" s="11" t="n">
        <f aca="false">N2157-O2157</f>
        <v>-897596</v>
      </c>
    </row>
    <row r="2158" customFormat="false" ht="15" hidden="false" customHeight="false" outlineLevel="0" collapsed="false">
      <c r="A2158" s="8" t="s">
        <v>45</v>
      </c>
      <c r="B2158" s="8" t="s">
        <v>43</v>
      </c>
      <c r="C2158" s="8" t="s">
        <v>60</v>
      </c>
      <c r="D2158" s="21" t="n">
        <v>46283.9201388889</v>
      </c>
      <c r="E2158" s="21" t="n">
        <v>46286.3923611111</v>
      </c>
      <c r="F2158" s="22" t="n">
        <f aca="false">DATE(YEAR(E2158),MONTH(E2158),1)</f>
        <v>46266</v>
      </c>
      <c r="G2158" s="23" t="n">
        <v>154200</v>
      </c>
      <c r="H2158" s="8" t="s">
        <v>61</v>
      </c>
      <c r="I2158" s="24" t="n">
        <v>-600.79</v>
      </c>
      <c r="J2158" s="25" t="n">
        <f aca="false">Summary!$B$4</f>
        <v>1</v>
      </c>
      <c r="K2158" s="11" t="n">
        <f aca="false">I2158*J2158*IF(A2158="SILVER",Summary!$B$5,Summary!$B$6)</f>
        <v>-60079</v>
      </c>
      <c r="L2158" s="26" t="n">
        <v>-0.618</v>
      </c>
      <c r="M2158" s="27" t="n">
        <f aca="false">IF(K2158&gt;0,1,0)</f>
        <v>0</v>
      </c>
      <c r="N2158" s="11" t="n">
        <f aca="false">SUMIFS(K$2:K2158,A$2:A2158,A2158,B$2:B2158,B2158)</f>
        <v>4451820</v>
      </c>
      <c r="O2158" s="11" t="n">
        <f aca="false">MAX(0,_xlfn.MAXIFS(N$2:N2158,A$2:A2158,A2158,B$2:B2158,B2158))</f>
        <v>5409495</v>
      </c>
      <c r="P2158" s="11" t="n">
        <f aca="false">N2158-O2158</f>
        <v>-957675</v>
      </c>
    </row>
    <row r="2159" customFormat="false" ht="15" hidden="false" customHeight="false" outlineLevel="0" collapsed="false">
      <c r="A2159" s="8" t="s">
        <v>45</v>
      </c>
      <c r="B2159" s="8" t="s">
        <v>43</v>
      </c>
      <c r="C2159" s="8" t="s">
        <v>60</v>
      </c>
      <c r="D2159" s="21" t="n">
        <v>46286.7256944445</v>
      </c>
      <c r="E2159" s="21" t="n">
        <v>46286.8159722222</v>
      </c>
      <c r="F2159" s="22" t="n">
        <f aca="false">DATE(YEAR(E2159),MONTH(E2159),1)</f>
        <v>46266</v>
      </c>
      <c r="G2159" s="23" t="n">
        <v>154040</v>
      </c>
      <c r="H2159" s="8" t="s">
        <v>61</v>
      </c>
      <c r="I2159" s="24" t="n">
        <v>-939.72</v>
      </c>
      <c r="J2159" s="25" t="n">
        <f aca="false">Summary!$B$4</f>
        <v>1</v>
      </c>
      <c r="K2159" s="11" t="n">
        <f aca="false">I2159*J2159*IF(A2159="SILVER",Summary!$B$5,Summary!$B$6)</f>
        <v>-93972</v>
      </c>
      <c r="L2159" s="26" t="n">
        <v>-1.295</v>
      </c>
      <c r="M2159" s="27" t="n">
        <f aca="false">IF(K2159&gt;0,1,0)</f>
        <v>0</v>
      </c>
      <c r="N2159" s="11" t="n">
        <f aca="false">SUMIFS(K$2:K2159,A$2:A2159,A2159,B$2:B2159,B2159)</f>
        <v>4357848</v>
      </c>
      <c r="O2159" s="11" t="n">
        <f aca="false">MAX(0,_xlfn.MAXIFS(N$2:N2159,A$2:A2159,A2159,B$2:B2159,B2159))</f>
        <v>5409495</v>
      </c>
      <c r="P2159" s="11" t="n">
        <f aca="false">N2159-O2159</f>
        <v>-1051647</v>
      </c>
    </row>
    <row r="2160" customFormat="false" ht="15" hidden="false" customHeight="false" outlineLevel="0" collapsed="false">
      <c r="A2160" s="8" t="s">
        <v>45</v>
      </c>
      <c r="B2160" s="8" t="s">
        <v>43</v>
      </c>
      <c r="C2160" s="8" t="s">
        <v>60</v>
      </c>
      <c r="D2160" s="21" t="n">
        <v>46287.5972222222</v>
      </c>
      <c r="E2160" s="21" t="n">
        <v>46287.6527777778</v>
      </c>
      <c r="F2160" s="22" t="n">
        <f aca="false">DATE(YEAR(E2160),MONTH(E2160),1)</f>
        <v>46266</v>
      </c>
      <c r="G2160" s="23" t="n">
        <v>152503</v>
      </c>
      <c r="H2160" s="8" t="s">
        <v>64</v>
      </c>
      <c r="I2160" s="24" t="n">
        <v>73.48</v>
      </c>
      <c r="J2160" s="25" t="n">
        <f aca="false">Summary!$B$4</f>
        <v>1</v>
      </c>
      <c r="K2160" s="11" t="n">
        <f aca="false">I2160*J2160*IF(A2160="SILVER",Summary!$B$5,Summary!$B$6)</f>
        <v>7348</v>
      </c>
      <c r="L2160" s="26" t="n">
        <v>0.064</v>
      </c>
      <c r="M2160" s="27" t="n">
        <f aca="false">IF(K2160&gt;0,1,0)</f>
        <v>1</v>
      </c>
      <c r="N2160" s="11" t="n">
        <f aca="false">SUMIFS(K$2:K2160,A$2:A2160,A2160,B$2:B2160,B2160)</f>
        <v>4365196</v>
      </c>
      <c r="O2160" s="11" t="n">
        <f aca="false">MAX(0,_xlfn.MAXIFS(N$2:N2160,A$2:A2160,A2160,B$2:B2160,B2160))</f>
        <v>5409495</v>
      </c>
      <c r="P2160" s="11" t="n">
        <f aca="false">N2160-O2160</f>
        <v>-1044299</v>
      </c>
    </row>
    <row r="2161" customFormat="false" ht="15" hidden="false" customHeight="false" outlineLevel="0" collapsed="false">
      <c r="A2161" s="8" t="s">
        <v>45</v>
      </c>
      <c r="B2161" s="8" t="s">
        <v>43</v>
      </c>
      <c r="C2161" s="8" t="s">
        <v>60</v>
      </c>
      <c r="D2161" s="21" t="n">
        <v>46288.375</v>
      </c>
      <c r="E2161" s="21" t="n">
        <v>46288.3805555556</v>
      </c>
      <c r="F2161" s="22" t="n">
        <f aca="false">DATE(YEAR(E2161),MONTH(E2161),1)</f>
        <v>46266</v>
      </c>
      <c r="G2161" s="23" t="n">
        <v>152575</v>
      </c>
      <c r="H2161" s="8" t="s">
        <v>64</v>
      </c>
      <c r="I2161" s="24" t="n">
        <v>17.03</v>
      </c>
      <c r="J2161" s="25" t="n">
        <f aca="false">Summary!$B$4</f>
        <v>1</v>
      </c>
      <c r="K2161" s="11" t="n">
        <f aca="false">I2161*J2161*IF(A2161="SILVER",Summary!$B$5,Summary!$B$6)</f>
        <v>1703</v>
      </c>
      <c r="L2161" s="26" t="n">
        <v>0.044</v>
      </c>
      <c r="M2161" s="27" t="n">
        <f aca="false">IF(K2161&gt;0,1,0)</f>
        <v>1</v>
      </c>
      <c r="N2161" s="11" t="n">
        <f aca="false">SUMIFS(K$2:K2161,A$2:A2161,A2161,B$2:B2161,B2161)</f>
        <v>4366899</v>
      </c>
      <c r="O2161" s="11" t="n">
        <f aca="false">MAX(0,_xlfn.MAXIFS(N$2:N2161,A$2:A2161,A2161,B$2:B2161,B2161))</f>
        <v>5409495</v>
      </c>
      <c r="P2161" s="11" t="n">
        <f aca="false">N2161-O2161</f>
        <v>-1042596</v>
      </c>
    </row>
  </sheetData>
  <autoFilter ref="A1:P21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7" min="2" style="0" width="13"/>
  </cols>
  <sheetData>
    <row r="1" customFormat="false" ht="17.35" hidden="false" customHeight="false" outlineLevel="0" collapsed="false">
      <c r="A1" s="1" t="s">
        <v>65</v>
      </c>
    </row>
    <row r="2" customFormat="false" ht="15" hidden="false" customHeight="false" outlineLevel="0" collapsed="false">
      <c r="A2" s="5" t="s">
        <v>66</v>
      </c>
    </row>
    <row r="3" customFormat="false" ht="30" hidden="false" customHeight="true" outlineLevel="0" collapsed="false">
      <c r="A3" s="6" t="s">
        <v>67</v>
      </c>
      <c r="B3" s="6" t="s">
        <v>68</v>
      </c>
      <c r="C3" s="6"/>
      <c r="D3" s="6"/>
      <c r="E3" s="6"/>
      <c r="F3" s="6" t="s">
        <v>69</v>
      </c>
      <c r="G3" s="6"/>
      <c r="H3" s="6"/>
      <c r="I3" s="6"/>
      <c r="J3" s="6" t="s">
        <v>70</v>
      </c>
      <c r="K3" s="6"/>
      <c r="L3" s="6"/>
      <c r="M3" s="6"/>
      <c r="N3" s="6" t="s">
        <v>71</v>
      </c>
      <c r="O3" s="6"/>
      <c r="P3" s="6"/>
      <c r="Q3" s="6"/>
      <c r="R3" s="6" t="s">
        <v>72</v>
      </c>
      <c r="S3" s="6"/>
      <c r="T3" s="6"/>
      <c r="U3" s="6"/>
      <c r="V3" s="6" t="s">
        <v>73</v>
      </c>
      <c r="W3" s="6"/>
      <c r="X3" s="6"/>
      <c r="Y3" s="6"/>
      <c r="Z3" s="6" t="s">
        <v>74</v>
      </c>
      <c r="AA3" s="6"/>
      <c r="AB3" s="6"/>
      <c r="AC3" s="6"/>
      <c r="AD3" s="6" t="s">
        <v>75</v>
      </c>
      <c r="AE3" s="6"/>
      <c r="AF3" s="6"/>
      <c r="AG3" s="6"/>
      <c r="AH3" s="6" t="s">
        <v>76</v>
      </c>
      <c r="AI3" s="6"/>
      <c r="AJ3" s="6"/>
      <c r="AK3" s="6"/>
    </row>
    <row r="4" customFormat="false" ht="15" hidden="false" customHeight="false" outlineLevel="0" collapsed="false">
      <c r="A4" s="6"/>
      <c r="B4" s="28" t="s">
        <v>12</v>
      </c>
      <c r="C4" s="28" t="s">
        <v>14</v>
      </c>
      <c r="D4" s="28" t="s">
        <v>15</v>
      </c>
      <c r="E4" s="28" t="s">
        <v>77</v>
      </c>
      <c r="F4" s="28" t="s">
        <v>12</v>
      </c>
      <c r="G4" s="28" t="s">
        <v>14</v>
      </c>
      <c r="H4" s="28" t="s">
        <v>15</v>
      </c>
      <c r="I4" s="28" t="s">
        <v>77</v>
      </c>
      <c r="J4" s="28" t="s">
        <v>12</v>
      </c>
      <c r="K4" s="28" t="s">
        <v>14</v>
      </c>
      <c r="L4" s="28" t="s">
        <v>15</v>
      </c>
      <c r="M4" s="28" t="s">
        <v>77</v>
      </c>
      <c r="N4" s="28" t="s">
        <v>12</v>
      </c>
      <c r="O4" s="28" t="s">
        <v>14</v>
      </c>
      <c r="P4" s="28" t="s">
        <v>15</v>
      </c>
      <c r="Q4" s="28" t="s">
        <v>77</v>
      </c>
      <c r="R4" s="28" t="s">
        <v>12</v>
      </c>
      <c r="S4" s="28" t="s">
        <v>14</v>
      </c>
      <c r="T4" s="28" t="s">
        <v>15</v>
      </c>
      <c r="U4" s="28" t="s">
        <v>77</v>
      </c>
      <c r="V4" s="28" t="s">
        <v>12</v>
      </c>
      <c r="W4" s="28" t="s">
        <v>14</v>
      </c>
      <c r="X4" s="28" t="s">
        <v>15</v>
      </c>
      <c r="Y4" s="28" t="s">
        <v>77</v>
      </c>
      <c r="Z4" s="28" t="s">
        <v>12</v>
      </c>
      <c r="AA4" s="28" t="s">
        <v>14</v>
      </c>
      <c r="AB4" s="28" t="s">
        <v>15</v>
      </c>
      <c r="AC4" s="28" t="s">
        <v>77</v>
      </c>
      <c r="AD4" s="28" t="s">
        <v>12</v>
      </c>
      <c r="AE4" s="28" t="s">
        <v>14</v>
      </c>
      <c r="AF4" s="28" t="s">
        <v>15</v>
      </c>
      <c r="AG4" s="28" t="s">
        <v>77</v>
      </c>
      <c r="AH4" s="28" t="s">
        <v>12</v>
      </c>
      <c r="AI4" s="28" t="s">
        <v>14</v>
      </c>
      <c r="AJ4" s="28" t="s">
        <v>15</v>
      </c>
      <c r="AK4" s="28" t="s">
        <v>77</v>
      </c>
    </row>
    <row r="5" customFormat="false" ht="15" hidden="false" customHeight="false" outlineLevel="0" collapsed="false">
      <c r="A5" s="29" t="n">
        <v>45658</v>
      </c>
      <c r="B5" s="9" t="n">
        <f aca="false">COUNTIFS(Trades!$A$2:$A$2161,"SILVER",Trades!$B$2:$B$2161,"V0",Trades!$F$2:$F$2161,$A5)</f>
        <v>2</v>
      </c>
      <c r="C5" s="10" t="n">
        <f aca="false">IF(B5=0,"",COUNTIFS(Trades!$A$2:$A$2161,"SILVER",Trades!$B$2:$B$2161,"V0",Trades!$F$2:$F$2161,$A5,Trades!$M$2:$M$2161,1)/B5)</f>
        <v>0</v>
      </c>
      <c r="D5" s="11" t="n">
        <f aca="false">SUMIFS(Trades!$K$2:$K$2161,Trades!$A$2:$A$2161,"SILVER",Trades!$B$2:$B$2161,"V0",Trades!$F$2:$F$2161,$A5)</f>
        <v>-79423.2</v>
      </c>
      <c r="E5" s="11" t="n">
        <f aca="false">D5</f>
        <v>-79423.2</v>
      </c>
      <c r="F5" s="9" t="n">
        <f aca="false">COUNTIFS(Trades!$A$2:$A$2161,"SILVER",Trades!$B$2:$B$2161,"V1",Trades!$F$2:$F$2161,$A5)</f>
        <v>0</v>
      </c>
      <c r="G5" s="10" t="str">
        <f aca="false">IF(F5=0,"",COUNTIFS(Trades!$A$2:$A$2161,"SILVER",Trades!$B$2:$B$2161,"V1",Trades!$F$2:$F$2161,$A5,Trades!$M$2:$M$2161,1)/F5)</f>
        <v/>
      </c>
      <c r="H5" s="11" t="n">
        <f aca="false">SUMIFS(Trades!$K$2:$K$2161,Trades!$A$2:$A$2161,"SILVER",Trades!$B$2:$B$2161,"V1",Trades!$F$2:$F$2161,$A5)</f>
        <v>0</v>
      </c>
      <c r="I5" s="11" t="n">
        <f aca="false">H5</f>
        <v>0</v>
      </c>
      <c r="J5" s="9" t="n">
        <f aca="false">COUNTIFS(Trades!$A$2:$A$2161,"SILVER",Trades!$B$2:$B$2161,"W8",Trades!$F$2:$F$2161,$A5)</f>
        <v>0</v>
      </c>
      <c r="K5" s="10" t="str">
        <f aca="false">IF(J5=0,"",COUNTIFS(Trades!$A$2:$A$2161,"SILVER",Trades!$B$2:$B$2161,"W8",Trades!$F$2:$F$2161,$A5,Trades!$M$2:$M$2161,1)/J5)</f>
        <v/>
      </c>
      <c r="L5" s="11" t="n">
        <f aca="false">SUMIFS(Trades!$K$2:$K$2161,Trades!$A$2:$A$2161,"SILVER",Trades!$B$2:$B$2161,"W8",Trades!$F$2:$F$2161,$A5)</f>
        <v>0</v>
      </c>
      <c r="M5" s="11" t="n">
        <f aca="false">L5</f>
        <v>0</v>
      </c>
      <c r="N5" s="9" t="n">
        <f aca="false">COUNTIFS(Trades!$A$2:$A$2161,"SILVER",Trades!$B$2:$B$2161,"W8C",Trades!$F$2:$F$2161,$A5)</f>
        <v>0</v>
      </c>
      <c r="O5" s="10" t="str">
        <f aca="false">IF(N5=0,"",COUNTIFS(Trades!$A$2:$A$2161,"SILVER",Trades!$B$2:$B$2161,"W8C",Trades!$F$2:$F$2161,$A5,Trades!$M$2:$M$2161,1)/N5)</f>
        <v/>
      </c>
      <c r="P5" s="11" t="n">
        <f aca="false">SUMIFS(Trades!$K$2:$K$2161,Trades!$A$2:$A$2161,"SILVER",Trades!$B$2:$B$2161,"W8C",Trades!$F$2:$F$2161,$A5)</f>
        <v>0</v>
      </c>
      <c r="Q5" s="11" t="n">
        <f aca="false">P5</f>
        <v>0</v>
      </c>
      <c r="R5" s="9" t="n">
        <f aca="false">COUNTIFS(Trades!$A$2:$A$2161,"SILVER",Trades!$B$2:$B$2161,"T6",Trades!$F$2:$F$2161,$A5)</f>
        <v>0</v>
      </c>
      <c r="S5" s="10" t="str">
        <f aca="false">IF(R5=0,"",COUNTIFS(Trades!$A$2:$A$2161,"SILVER",Trades!$B$2:$B$2161,"T6",Trades!$F$2:$F$2161,$A5,Trades!$M$2:$M$2161,1)/R5)</f>
        <v/>
      </c>
      <c r="T5" s="11" t="n">
        <f aca="false">SUMIFS(Trades!$K$2:$K$2161,Trades!$A$2:$A$2161,"SILVER",Trades!$B$2:$B$2161,"T6",Trades!$F$2:$F$2161,$A5)</f>
        <v>0</v>
      </c>
      <c r="U5" s="11" t="n">
        <f aca="false">T5</f>
        <v>0</v>
      </c>
      <c r="V5" s="9" t="n">
        <f aca="false">COUNTIFS(Trades!$A$2:$A$2161,"SILVER",Trades!$B$2:$B$2161,"T7",Trades!$F$2:$F$2161,$A5)</f>
        <v>0</v>
      </c>
      <c r="W5" s="10" t="str">
        <f aca="false">IF(V5=0,"",COUNTIFS(Trades!$A$2:$A$2161,"SILVER",Trades!$B$2:$B$2161,"T7",Trades!$F$2:$F$2161,$A5,Trades!$M$2:$M$2161,1)/V5)</f>
        <v/>
      </c>
      <c r="X5" s="11" t="n">
        <f aca="false">SUMIFS(Trades!$K$2:$K$2161,Trades!$A$2:$A$2161,"SILVER",Trades!$B$2:$B$2161,"T7",Trades!$F$2:$F$2161,$A5)</f>
        <v>0</v>
      </c>
      <c r="Y5" s="11" t="n">
        <f aca="false">X5</f>
        <v>0</v>
      </c>
      <c r="Z5" s="9" t="n">
        <f aca="false">COUNTIFS(Trades!$A$2:$A$2161,"SILVER",Trades!$B$2:$B$2161,"U1",Trades!$F$2:$F$2161,$A5)</f>
        <v>0</v>
      </c>
      <c r="AA5" s="10" t="str">
        <f aca="false">IF(Z5=0,"",COUNTIFS(Trades!$A$2:$A$2161,"SILVER",Trades!$B$2:$B$2161,"U1",Trades!$F$2:$F$2161,$A5,Trades!$M$2:$M$2161,1)/Z5)</f>
        <v/>
      </c>
      <c r="AB5" s="11" t="n">
        <f aca="false">SUMIFS(Trades!$K$2:$K$2161,Trades!$A$2:$A$2161,"SILVER",Trades!$B$2:$B$2161,"U1",Trades!$F$2:$F$2161,$A5)</f>
        <v>0</v>
      </c>
      <c r="AC5" s="11" t="n">
        <f aca="false">AB5</f>
        <v>0</v>
      </c>
      <c r="AD5" s="9" t="n">
        <f aca="false">COUNTIFS(Trades!$A$2:$A$2161,"SILVER",Trades!$B$2:$B$2161,"U9",Trades!$F$2:$F$2161,$A5)</f>
        <v>1</v>
      </c>
      <c r="AE5" s="10" t="n">
        <f aca="false">IF(AD5=0,"",COUNTIFS(Trades!$A$2:$A$2161,"SILVER",Trades!$B$2:$B$2161,"U9",Trades!$F$2:$F$2161,$A5,Trades!$M$2:$M$2161,1)/AD5)</f>
        <v>1</v>
      </c>
      <c r="AF5" s="11" t="n">
        <f aca="false">SUMIFS(Trades!$K$2:$K$2161,Trades!$A$2:$A$2161,"SILVER",Trades!$B$2:$B$2161,"U9",Trades!$F$2:$F$2161,$A5)</f>
        <v>702</v>
      </c>
      <c r="AG5" s="11" t="n">
        <f aca="false">AF5</f>
        <v>702</v>
      </c>
      <c r="AH5" s="9" t="n">
        <f aca="false">COUNTIFS(Trades!$A$2:$A$2161,"SILVER",Trades!$B$2:$B$2161,"Q1",Trades!$F$2:$F$2161,$A5)</f>
        <v>0</v>
      </c>
      <c r="AI5" s="10" t="str">
        <f aca="false">IF(AH5=0,"",COUNTIFS(Trades!$A$2:$A$2161,"SILVER",Trades!$B$2:$B$2161,"Q1",Trades!$F$2:$F$2161,$A5,Trades!$M$2:$M$2161,1)/AH5)</f>
        <v/>
      </c>
      <c r="AJ5" s="11" t="n">
        <f aca="false">SUMIFS(Trades!$K$2:$K$2161,Trades!$A$2:$A$2161,"SILVER",Trades!$B$2:$B$2161,"Q1",Trades!$F$2:$F$2161,$A5)</f>
        <v>0</v>
      </c>
      <c r="AK5" s="11" t="n">
        <f aca="false">AJ5</f>
        <v>0</v>
      </c>
    </row>
    <row r="6" customFormat="false" ht="15" hidden="false" customHeight="false" outlineLevel="0" collapsed="false">
      <c r="A6" s="29" t="n">
        <v>45689</v>
      </c>
      <c r="B6" s="9" t="n">
        <f aca="false">COUNTIFS(Trades!$A$2:$A$2161,"SILVER",Trades!$B$2:$B$2161,"V0",Trades!$F$2:$F$2161,$A6)</f>
        <v>3</v>
      </c>
      <c r="C6" s="10" t="n">
        <f aca="false">IF(B6=0,"",COUNTIFS(Trades!$A$2:$A$2161,"SILVER",Trades!$B$2:$B$2161,"V0",Trades!$F$2:$F$2161,$A6,Trades!$M$2:$M$2161,1)/B6)</f>
        <v>0.333333333333333</v>
      </c>
      <c r="D6" s="11" t="n">
        <f aca="false">SUMIFS(Trades!$K$2:$K$2161,Trades!$A$2:$A$2161,"SILVER",Trades!$B$2:$B$2161,"V0",Trades!$F$2:$F$2161,$A6)</f>
        <v>-93862.8</v>
      </c>
      <c r="E6" s="11" t="n">
        <f aca="false">E5+D6</f>
        <v>-173286</v>
      </c>
      <c r="F6" s="9" t="n">
        <f aca="false">COUNTIFS(Trades!$A$2:$A$2161,"SILVER",Trades!$B$2:$B$2161,"V1",Trades!$F$2:$F$2161,$A6)</f>
        <v>1</v>
      </c>
      <c r="G6" s="10" t="n">
        <f aca="false">IF(F6=0,"",COUNTIFS(Trades!$A$2:$A$2161,"SILVER",Trades!$B$2:$B$2161,"V1",Trades!$F$2:$F$2161,$A6,Trades!$M$2:$M$2161,1)/F6)</f>
        <v>0</v>
      </c>
      <c r="H6" s="11" t="n">
        <f aca="false">SUMIFS(Trades!$K$2:$K$2161,Trades!$A$2:$A$2161,"SILVER",Trades!$B$2:$B$2161,"V1",Trades!$F$2:$F$2161,$A6)</f>
        <v>-92219.1</v>
      </c>
      <c r="I6" s="11" t="n">
        <f aca="false">I5+H6</f>
        <v>-92219.1</v>
      </c>
      <c r="J6" s="9" t="n">
        <f aca="false">COUNTIFS(Trades!$A$2:$A$2161,"SILVER",Trades!$B$2:$B$2161,"W8",Trades!$F$2:$F$2161,$A6)</f>
        <v>1</v>
      </c>
      <c r="K6" s="10" t="n">
        <f aca="false">IF(J6=0,"",COUNTIFS(Trades!$A$2:$A$2161,"SILVER",Trades!$B$2:$B$2161,"W8",Trades!$F$2:$F$2161,$A6,Trades!$M$2:$M$2161,1)/J6)</f>
        <v>0</v>
      </c>
      <c r="L6" s="11" t="n">
        <f aca="false">SUMIFS(Trades!$K$2:$K$2161,Trades!$A$2:$A$2161,"SILVER",Trades!$B$2:$B$2161,"W8",Trades!$F$2:$F$2161,$A6)</f>
        <v>-92219.1</v>
      </c>
      <c r="M6" s="11" t="n">
        <f aca="false">M5+L6</f>
        <v>-92219.1</v>
      </c>
      <c r="N6" s="9" t="n">
        <f aca="false">COUNTIFS(Trades!$A$2:$A$2161,"SILVER",Trades!$B$2:$B$2161,"W8C",Trades!$F$2:$F$2161,$A6)</f>
        <v>0</v>
      </c>
      <c r="O6" s="10" t="str">
        <f aca="false">IF(N6=0,"",COUNTIFS(Trades!$A$2:$A$2161,"SILVER",Trades!$B$2:$B$2161,"W8C",Trades!$F$2:$F$2161,$A6,Trades!$M$2:$M$2161,1)/N6)</f>
        <v/>
      </c>
      <c r="P6" s="11" t="n">
        <f aca="false">SUMIFS(Trades!$K$2:$K$2161,Trades!$A$2:$A$2161,"SILVER",Trades!$B$2:$B$2161,"W8C",Trades!$F$2:$F$2161,$A6)</f>
        <v>0</v>
      </c>
      <c r="Q6" s="11" t="n">
        <f aca="false">Q5+P6</f>
        <v>0</v>
      </c>
      <c r="R6" s="9" t="n">
        <f aca="false">COUNTIFS(Trades!$A$2:$A$2161,"SILVER",Trades!$B$2:$B$2161,"T6",Trades!$F$2:$F$2161,$A6)</f>
        <v>3</v>
      </c>
      <c r="S6" s="10" t="n">
        <f aca="false">IF(R6=0,"",COUNTIFS(Trades!$A$2:$A$2161,"SILVER",Trades!$B$2:$B$2161,"T6",Trades!$F$2:$F$2161,$A6,Trades!$M$2:$M$2161,1)/R6)</f>
        <v>0.666666666666667</v>
      </c>
      <c r="T6" s="11" t="n">
        <f aca="false">SUMIFS(Trades!$K$2:$K$2161,Trades!$A$2:$A$2161,"SILVER",Trades!$B$2:$B$2161,"T6",Trades!$F$2:$F$2161,$A6)</f>
        <v>-28711.2</v>
      </c>
      <c r="U6" s="11" t="n">
        <f aca="false">U5+T6</f>
        <v>-28711.2</v>
      </c>
      <c r="V6" s="9" t="n">
        <f aca="false">COUNTIFS(Trades!$A$2:$A$2161,"SILVER",Trades!$B$2:$B$2161,"T7",Trades!$F$2:$F$2161,$A6)</f>
        <v>4</v>
      </c>
      <c r="W6" s="10" t="n">
        <f aca="false">IF(V6=0,"",COUNTIFS(Trades!$A$2:$A$2161,"SILVER",Trades!$B$2:$B$2161,"T7",Trades!$F$2:$F$2161,$A6,Trades!$M$2:$M$2161,1)/V6)</f>
        <v>1</v>
      </c>
      <c r="X6" s="11" t="n">
        <f aca="false">SUMIFS(Trades!$K$2:$K$2161,Trades!$A$2:$A$2161,"SILVER",Trades!$B$2:$B$2161,"T7",Trades!$F$2:$F$2161,$A6)</f>
        <v>19050.3</v>
      </c>
      <c r="Y6" s="11" t="n">
        <f aca="false">Y5+X6</f>
        <v>19050.3</v>
      </c>
      <c r="Z6" s="9" t="n">
        <f aca="false">COUNTIFS(Trades!$A$2:$A$2161,"SILVER",Trades!$B$2:$B$2161,"U1",Trades!$F$2:$F$2161,$A6)</f>
        <v>5</v>
      </c>
      <c r="AA6" s="10" t="n">
        <f aca="false">IF(Z6=0,"",COUNTIFS(Trades!$A$2:$A$2161,"SILVER",Trades!$B$2:$B$2161,"U1",Trades!$F$2:$F$2161,$A6,Trades!$M$2:$M$2161,1)/Z6)</f>
        <v>0.6</v>
      </c>
      <c r="AB6" s="11" t="n">
        <f aca="false">SUMIFS(Trades!$K$2:$K$2161,Trades!$A$2:$A$2161,"SILVER",Trades!$B$2:$B$2161,"U1",Trades!$F$2:$F$2161,$A6)</f>
        <v>8373.3</v>
      </c>
      <c r="AC6" s="11" t="n">
        <f aca="false">AC5+AB6</f>
        <v>8373.3</v>
      </c>
      <c r="AD6" s="9" t="n">
        <f aca="false">COUNTIFS(Trades!$A$2:$A$2161,"SILVER",Trades!$B$2:$B$2161,"U9",Trades!$F$2:$F$2161,$A6)</f>
        <v>20</v>
      </c>
      <c r="AE6" s="10" t="n">
        <f aca="false">IF(AD6=0,"",COUNTIFS(Trades!$A$2:$A$2161,"SILVER",Trades!$B$2:$B$2161,"U9",Trades!$F$2:$F$2161,$A6,Trades!$M$2:$M$2161,1)/AD6)</f>
        <v>0.75</v>
      </c>
      <c r="AF6" s="11" t="n">
        <f aca="false">SUMIFS(Trades!$K$2:$K$2161,Trades!$A$2:$A$2161,"SILVER",Trades!$B$2:$B$2161,"U9",Trades!$F$2:$F$2161,$A6)</f>
        <v>-38111.7</v>
      </c>
      <c r="AG6" s="11" t="n">
        <f aca="false">AG5+AF6</f>
        <v>-37409.7</v>
      </c>
      <c r="AH6" s="9" t="n">
        <f aca="false">COUNTIFS(Trades!$A$2:$A$2161,"SILVER",Trades!$B$2:$B$2161,"Q1",Trades!$F$2:$F$2161,$A6)</f>
        <v>24</v>
      </c>
      <c r="AI6" s="10" t="n">
        <f aca="false">IF(AH6=0,"",COUNTIFS(Trades!$A$2:$A$2161,"SILVER",Trades!$B$2:$B$2161,"Q1",Trades!$F$2:$F$2161,$A6,Trades!$M$2:$M$2161,1)/AH6)</f>
        <v>0.583333333333333</v>
      </c>
      <c r="AJ6" s="11" t="n">
        <f aca="false">SUMIFS(Trades!$K$2:$K$2161,Trades!$A$2:$A$2161,"SILVER",Trades!$B$2:$B$2161,"Q1",Trades!$F$2:$F$2161,$A6)</f>
        <v>-134557.2</v>
      </c>
      <c r="AK6" s="11" t="n">
        <f aca="false">AK5+AJ6</f>
        <v>-134557.2</v>
      </c>
    </row>
    <row r="7" customFormat="false" ht="15" hidden="false" customHeight="false" outlineLevel="0" collapsed="false">
      <c r="A7" s="29" t="n">
        <v>45717</v>
      </c>
      <c r="B7" s="9" t="n">
        <f aca="false">COUNTIFS(Trades!$A$2:$A$2161,"SILVER",Trades!$B$2:$B$2161,"V0",Trades!$F$2:$F$2161,$A7)</f>
        <v>3</v>
      </c>
      <c r="C7" s="10" t="n">
        <f aca="false">IF(B7=0,"",COUNTIFS(Trades!$A$2:$A$2161,"SILVER",Trades!$B$2:$B$2161,"V0",Trades!$F$2:$F$2161,$A7,Trades!$M$2:$M$2161,1)/B7)</f>
        <v>0.666666666666667</v>
      </c>
      <c r="D7" s="11" t="n">
        <f aca="false">SUMIFS(Trades!$K$2:$K$2161,Trades!$A$2:$A$2161,"SILVER",Trades!$B$2:$B$2161,"V0",Trades!$F$2:$F$2161,$A7)</f>
        <v>42534.6</v>
      </c>
      <c r="E7" s="11" t="n">
        <f aca="false">E6+D7</f>
        <v>-130751.4</v>
      </c>
      <c r="F7" s="9" t="n">
        <f aca="false">COUNTIFS(Trades!$A$2:$A$2161,"SILVER",Trades!$B$2:$B$2161,"V1",Trades!$F$2:$F$2161,$A7)</f>
        <v>2</v>
      </c>
      <c r="G7" s="10" t="n">
        <f aca="false">IF(F7=0,"",COUNTIFS(Trades!$A$2:$A$2161,"SILVER",Trades!$B$2:$B$2161,"V1",Trades!$F$2:$F$2161,$A7,Trades!$M$2:$M$2161,1)/F7)</f>
        <v>0.5</v>
      </c>
      <c r="H7" s="11" t="n">
        <f aca="false">SUMIFS(Trades!$K$2:$K$2161,Trades!$A$2:$A$2161,"SILVER",Trades!$B$2:$B$2161,"V1",Trades!$F$2:$F$2161,$A7)</f>
        <v>-9058.5</v>
      </c>
      <c r="I7" s="11" t="n">
        <f aca="false">I6+H7</f>
        <v>-101277.6</v>
      </c>
      <c r="J7" s="9" t="n">
        <f aca="false">COUNTIFS(Trades!$A$2:$A$2161,"SILVER",Trades!$B$2:$B$2161,"W8",Trades!$F$2:$F$2161,$A7)</f>
        <v>2</v>
      </c>
      <c r="K7" s="10" t="n">
        <f aca="false">IF(J7=0,"",COUNTIFS(Trades!$A$2:$A$2161,"SILVER",Trades!$B$2:$B$2161,"W8",Trades!$F$2:$F$2161,$A7,Trades!$M$2:$M$2161,1)/J7)</f>
        <v>1</v>
      </c>
      <c r="L7" s="11" t="n">
        <f aca="false">SUMIFS(Trades!$K$2:$K$2161,Trades!$A$2:$A$2161,"SILVER",Trades!$B$2:$B$2161,"W8",Trades!$F$2:$F$2161,$A7)</f>
        <v>21321.3</v>
      </c>
      <c r="M7" s="11" t="n">
        <f aca="false">M6+L7</f>
        <v>-70897.8</v>
      </c>
      <c r="N7" s="9" t="n">
        <f aca="false">COUNTIFS(Trades!$A$2:$A$2161,"SILVER",Trades!$B$2:$B$2161,"W8C",Trades!$F$2:$F$2161,$A7)</f>
        <v>2</v>
      </c>
      <c r="O7" s="10" t="n">
        <f aca="false">IF(N7=0,"",COUNTIFS(Trades!$A$2:$A$2161,"SILVER",Trades!$B$2:$B$2161,"W8C",Trades!$F$2:$F$2161,$A7,Trades!$M$2:$M$2161,1)/N7)</f>
        <v>1</v>
      </c>
      <c r="P7" s="11" t="n">
        <f aca="false">SUMIFS(Trades!$K$2:$K$2161,Trades!$A$2:$A$2161,"SILVER",Trades!$B$2:$B$2161,"W8C",Trades!$F$2:$F$2161,$A7)</f>
        <v>15062.4</v>
      </c>
      <c r="Q7" s="11" t="n">
        <f aca="false">Q6+P7</f>
        <v>15062.4</v>
      </c>
      <c r="R7" s="9" t="n">
        <f aca="false">COUNTIFS(Trades!$A$2:$A$2161,"SILVER",Trades!$B$2:$B$2161,"T6",Trades!$F$2:$F$2161,$A7)</f>
        <v>3</v>
      </c>
      <c r="S7" s="10" t="n">
        <f aca="false">IF(R7=0,"",COUNTIFS(Trades!$A$2:$A$2161,"SILVER",Trades!$B$2:$B$2161,"T6",Trades!$F$2:$F$2161,$A7,Trades!$M$2:$M$2161,1)/R7)</f>
        <v>1</v>
      </c>
      <c r="T7" s="11" t="n">
        <f aca="false">SUMIFS(Trades!$K$2:$K$2161,Trades!$A$2:$A$2161,"SILVER",Trades!$B$2:$B$2161,"T6",Trades!$F$2:$F$2161,$A7)</f>
        <v>57892.2</v>
      </c>
      <c r="U7" s="11" t="n">
        <f aca="false">U6+T7</f>
        <v>29181</v>
      </c>
      <c r="V7" s="9" t="n">
        <f aca="false">COUNTIFS(Trades!$A$2:$A$2161,"SILVER",Trades!$B$2:$B$2161,"T7",Trades!$F$2:$F$2161,$A7)</f>
        <v>4</v>
      </c>
      <c r="W7" s="10" t="n">
        <f aca="false">IF(V7=0,"",COUNTIFS(Trades!$A$2:$A$2161,"SILVER",Trades!$B$2:$B$2161,"T7",Trades!$F$2:$F$2161,$A7,Trades!$M$2:$M$2161,1)/V7)</f>
        <v>0.5</v>
      </c>
      <c r="X7" s="11" t="n">
        <f aca="false">SUMIFS(Trades!$K$2:$K$2161,Trades!$A$2:$A$2161,"SILVER",Trades!$B$2:$B$2161,"T7",Trades!$F$2:$F$2161,$A7)</f>
        <v>-60510.6</v>
      </c>
      <c r="Y7" s="11" t="n">
        <f aca="false">Y6+X7</f>
        <v>-41460.3</v>
      </c>
      <c r="Z7" s="9" t="n">
        <f aca="false">COUNTIFS(Trades!$A$2:$A$2161,"SILVER",Trades!$B$2:$B$2161,"U1",Trades!$F$2:$F$2161,$A7)</f>
        <v>6</v>
      </c>
      <c r="AA7" s="10" t="n">
        <f aca="false">IF(Z7=0,"",COUNTIFS(Trades!$A$2:$A$2161,"SILVER",Trades!$B$2:$B$2161,"U1",Trades!$F$2:$F$2161,$A7,Trades!$M$2:$M$2161,1)/Z7)</f>
        <v>0.5</v>
      </c>
      <c r="AB7" s="11" t="n">
        <f aca="false">SUMIFS(Trades!$K$2:$K$2161,Trades!$A$2:$A$2161,"SILVER",Trades!$B$2:$B$2161,"U1",Trades!$F$2:$F$2161,$A7)</f>
        <v>-34608.3</v>
      </c>
      <c r="AC7" s="11" t="n">
        <f aca="false">AC6+AB7</f>
        <v>-26235</v>
      </c>
      <c r="AD7" s="9" t="n">
        <f aca="false">COUNTIFS(Trades!$A$2:$A$2161,"SILVER",Trades!$B$2:$B$2161,"U9",Trades!$F$2:$F$2161,$A7)</f>
        <v>16</v>
      </c>
      <c r="AE7" s="10" t="n">
        <f aca="false">IF(AD7=0,"",COUNTIFS(Trades!$A$2:$A$2161,"SILVER",Trades!$B$2:$B$2161,"U9",Trades!$F$2:$F$2161,$A7,Trades!$M$2:$M$2161,1)/AD7)</f>
        <v>0.5</v>
      </c>
      <c r="AF7" s="11" t="n">
        <f aca="false">SUMIFS(Trades!$K$2:$K$2161,Trades!$A$2:$A$2161,"SILVER",Trades!$B$2:$B$2161,"U9",Trades!$F$2:$F$2161,$A7)</f>
        <v>-130689</v>
      </c>
      <c r="AG7" s="11" t="n">
        <f aca="false">AG6+AF7</f>
        <v>-168098.7</v>
      </c>
      <c r="AH7" s="9" t="n">
        <f aca="false">COUNTIFS(Trades!$A$2:$A$2161,"SILVER",Trades!$B$2:$B$2161,"Q1",Trades!$F$2:$F$2161,$A7)</f>
        <v>9</v>
      </c>
      <c r="AI7" s="10" t="n">
        <f aca="false">IF(AH7=0,"",COUNTIFS(Trades!$A$2:$A$2161,"SILVER",Trades!$B$2:$B$2161,"Q1",Trades!$F$2:$F$2161,$A7,Trades!$M$2:$M$2161,1)/AH7)</f>
        <v>0.555555555555556</v>
      </c>
      <c r="AJ7" s="11" t="n">
        <f aca="false">SUMIFS(Trades!$K$2:$K$2161,Trades!$A$2:$A$2161,"SILVER",Trades!$B$2:$B$2161,"Q1",Trades!$F$2:$F$2161,$A7)</f>
        <v>-76943.4</v>
      </c>
      <c r="AK7" s="11" t="n">
        <f aca="false">AK6+AJ7</f>
        <v>-211500.6</v>
      </c>
    </row>
    <row r="8" customFormat="false" ht="15" hidden="false" customHeight="false" outlineLevel="0" collapsed="false">
      <c r="A8" s="29" t="n">
        <v>45748</v>
      </c>
      <c r="B8" s="9" t="n">
        <f aca="false">COUNTIFS(Trades!$A$2:$A$2161,"SILVER",Trades!$B$2:$B$2161,"V0",Trades!$F$2:$F$2161,$A8)</f>
        <v>3</v>
      </c>
      <c r="C8" s="10" t="n">
        <f aca="false">IF(B8=0,"",COUNTIFS(Trades!$A$2:$A$2161,"SILVER",Trades!$B$2:$B$2161,"V0",Trades!$F$2:$F$2161,$A8,Trades!$M$2:$M$2161,1)/B8)</f>
        <v>0.666666666666667</v>
      </c>
      <c r="D8" s="11" t="n">
        <f aca="false">SUMIFS(Trades!$K$2:$K$2161,Trades!$A$2:$A$2161,"SILVER",Trades!$B$2:$B$2161,"V0",Trades!$F$2:$F$2161,$A8)</f>
        <v>224826.3</v>
      </c>
      <c r="E8" s="11" t="n">
        <f aca="false">E7+D8</f>
        <v>94074.9</v>
      </c>
      <c r="F8" s="9" t="n">
        <f aca="false">COUNTIFS(Trades!$A$2:$A$2161,"SILVER",Trades!$B$2:$B$2161,"V1",Trades!$F$2:$F$2161,$A8)</f>
        <v>1</v>
      </c>
      <c r="G8" s="10" t="n">
        <f aca="false">IF(F8=0,"",COUNTIFS(Trades!$A$2:$A$2161,"SILVER",Trades!$B$2:$B$2161,"V1",Trades!$F$2:$F$2161,$A8,Trades!$M$2:$M$2161,1)/F8)</f>
        <v>1</v>
      </c>
      <c r="H8" s="11" t="n">
        <f aca="false">SUMIFS(Trades!$K$2:$K$2161,Trades!$A$2:$A$2161,"SILVER",Trades!$B$2:$B$2161,"V1",Trades!$F$2:$F$2161,$A8)</f>
        <v>194663.7</v>
      </c>
      <c r="I8" s="11" t="n">
        <f aca="false">I7+H8</f>
        <v>93386.1</v>
      </c>
      <c r="J8" s="9" t="n">
        <f aca="false">COUNTIFS(Trades!$A$2:$A$2161,"SILVER",Trades!$B$2:$B$2161,"W8",Trades!$F$2:$F$2161,$A8)</f>
        <v>1</v>
      </c>
      <c r="K8" s="10" t="n">
        <f aca="false">IF(J8=0,"",COUNTIFS(Trades!$A$2:$A$2161,"SILVER",Trades!$B$2:$B$2161,"W8",Trades!$F$2:$F$2161,$A8,Trades!$M$2:$M$2161,1)/J8)</f>
        <v>1</v>
      </c>
      <c r="L8" s="11" t="n">
        <f aca="false">SUMIFS(Trades!$K$2:$K$2161,Trades!$A$2:$A$2161,"SILVER",Trades!$B$2:$B$2161,"W8",Trades!$F$2:$F$2161,$A8)</f>
        <v>194663.7</v>
      </c>
      <c r="M8" s="11" t="n">
        <f aca="false">M7+L8</f>
        <v>123765.9</v>
      </c>
      <c r="N8" s="9" t="n">
        <f aca="false">COUNTIFS(Trades!$A$2:$A$2161,"SILVER",Trades!$B$2:$B$2161,"W8C",Trades!$F$2:$F$2161,$A8)</f>
        <v>0</v>
      </c>
      <c r="O8" s="10" t="str">
        <f aca="false">IF(N8=0,"",COUNTIFS(Trades!$A$2:$A$2161,"SILVER",Trades!$B$2:$B$2161,"W8C",Trades!$F$2:$F$2161,$A8,Trades!$M$2:$M$2161,1)/N8)</f>
        <v/>
      </c>
      <c r="P8" s="11" t="n">
        <f aca="false">SUMIFS(Trades!$K$2:$K$2161,Trades!$A$2:$A$2161,"SILVER",Trades!$B$2:$B$2161,"W8C",Trades!$F$2:$F$2161,$A8)</f>
        <v>0</v>
      </c>
      <c r="Q8" s="11" t="n">
        <f aca="false">Q7+P8</f>
        <v>15062.4</v>
      </c>
      <c r="R8" s="9" t="n">
        <f aca="false">COUNTIFS(Trades!$A$2:$A$2161,"SILVER",Trades!$B$2:$B$2161,"T6",Trades!$F$2:$F$2161,$A8)</f>
        <v>2</v>
      </c>
      <c r="S8" s="10" t="n">
        <f aca="false">IF(R8=0,"",COUNTIFS(Trades!$A$2:$A$2161,"SILVER",Trades!$B$2:$B$2161,"T6",Trades!$F$2:$F$2161,$A8,Trades!$M$2:$M$2161,1)/R8)</f>
        <v>0</v>
      </c>
      <c r="T8" s="11" t="n">
        <f aca="false">SUMIFS(Trades!$K$2:$K$2161,Trades!$A$2:$A$2161,"SILVER",Trades!$B$2:$B$2161,"T6",Trades!$F$2:$F$2161,$A8)</f>
        <v>-119112</v>
      </c>
      <c r="U8" s="11" t="n">
        <f aca="false">U7+T8</f>
        <v>-89931</v>
      </c>
      <c r="V8" s="9" t="n">
        <f aca="false">COUNTIFS(Trades!$A$2:$A$2161,"SILVER",Trades!$B$2:$B$2161,"T7",Trades!$F$2:$F$2161,$A8)</f>
        <v>3</v>
      </c>
      <c r="W8" s="10" t="n">
        <f aca="false">IF(V8=0,"",COUNTIFS(Trades!$A$2:$A$2161,"SILVER",Trades!$B$2:$B$2161,"T7",Trades!$F$2:$F$2161,$A8,Trades!$M$2:$M$2161,1)/V8)</f>
        <v>0.333333333333333</v>
      </c>
      <c r="X8" s="11" t="n">
        <f aca="false">SUMIFS(Trades!$K$2:$K$2161,Trades!$A$2:$A$2161,"SILVER",Trades!$B$2:$B$2161,"T7",Trades!$F$2:$F$2161,$A8)</f>
        <v>139572.9</v>
      </c>
      <c r="Y8" s="11" t="n">
        <f aca="false">Y7+X8</f>
        <v>98112.6</v>
      </c>
      <c r="Z8" s="9" t="n">
        <f aca="false">COUNTIFS(Trades!$A$2:$A$2161,"SILVER",Trades!$B$2:$B$2161,"U1",Trades!$F$2:$F$2161,$A8)</f>
        <v>5</v>
      </c>
      <c r="AA8" s="10" t="n">
        <f aca="false">IF(Z8=0,"",COUNTIFS(Trades!$A$2:$A$2161,"SILVER",Trades!$B$2:$B$2161,"U1",Trades!$F$2:$F$2161,$A8,Trades!$M$2:$M$2161,1)/Z8)</f>
        <v>0.6</v>
      </c>
      <c r="AB8" s="11" t="n">
        <f aca="false">SUMIFS(Trades!$K$2:$K$2161,Trades!$A$2:$A$2161,"SILVER",Trades!$B$2:$B$2161,"U1",Trades!$F$2:$F$2161,$A8)</f>
        <v>-19603.8</v>
      </c>
      <c r="AC8" s="11" t="n">
        <f aca="false">AC7+AB8</f>
        <v>-45838.8</v>
      </c>
      <c r="AD8" s="9" t="n">
        <f aca="false">COUNTIFS(Trades!$A$2:$A$2161,"SILVER",Trades!$B$2:$B$2161,"U9",Trades!$F$2:$F$2161,$A8)</f>
        <v>16</v>
      </c>
      <c r="AE8" s="10" t="n">
        <f aca="false">IF(AD8=0,"",COUNTIFS(Trades!$A$2:$A$2161,"SILVER",Trades!$B$2:$B$2161,"U9",Trades!$F$2:$F$2161,$A8,Trades!$M$2:$M$2161,1)/AD8)</f>
        <v>0.5</v>
      </c>
      <c r="AF8" s="11" t="n">
        <f aca="false">SUMIFS(Trades!$K$2:$K$2161,Trades!$A$2:$A$2161,"SILVER",Trades!$B$2:$B$2161,"U9",Trades!$F$2:$F$2161,$A8)</f>
        <v>274004.7</v>
      </c>
      <c r="AG8" s="11" t="n">
        <f aca="false">AG7+AF8</f>
        <v>105906</v>
      </c>
      <c r="AH8" s="9" t="n">
        <f aca="false">COUNTIFS(Trades!$A$2:$A$2161,"SILVER",Trades!$B$2:$B$2161,"Q1",Trades!$F$2:$F$2161,$A8)</f>
        <v>7</v>
      </c>
      <c r="AI8" s="10" t="n">
        <f aca="false">IF(AH8=0,"",COUNTIFS(Trades!$A$2:$A$2161,"SILVER",Trades!$B$2:$B$2161,"Q1",Trades!$F$2:$F$2161,$A8,Trades!$M$2:$M$2161,1)/AH8)</f>
        <v>0.857142857142857</v>
      </c>
      <c r="AJ8" s="11" t="n">
        <f aca="false">SUMIFS(Trades!$K$2:$K$2161,Trades!$A$2:$A$2161,"SILVER",Trades!$B$2:$B$2161,"Q1",Trades!$F$2:$F$2161,$A8)</f>
        <v>285214.2</v>
      </c>
      <c r="AK8" s="11" t="n">
        <f aca="false">AK7+AJ8</f>
        <v>73713.6</v>
      </c>
    </row>
    <row r="9" customFormat="false" ht="15" hidden="false" customHeight="false" outlineLevel="0" collapsed="false">
      <c r="A9" s="29" t="n">
        <v>45778</v>
      </c>
      <c r="B9" s="9" t="n">
        <f aca="false">COUNTIFS(Trades!$A$2:$A$2161,"SILVER",Trades!$B$2:$B$2161,"V0",Trades!$F$2:$F$2161,$A9)</f>
        <v>4</v>
      </c>
      <c r="C9" s="10" t="n">
        <f aca="false">IF(B9=0,"",COUNTIFS(Trades!$A$2:$A$2161,"SILVER",Trades!$B$2:$B$2161,"V0",Trades!$F$2:$F$2161,$A9,Trades!$M$2:$M$2161,1)/B9)</f>
        <v>0</v>
      </c>
      <c r="D9" s="11" t="n">
        <f aca="false">SUMIFS(Trades!$K$2:$K$2161,Trades!$A$2:$A$2161,"SILVER",Trades!$B$2:$B$2161,"V0",Trades!$F$2:$F$2161,$A9)</f>
        <v>-238361.4</v>
      </c>
      <c r="E9" s="11" t="n">
        <f aca="false">E8+D9</f>
        <v>-144286.5</v>
      </c>
      <c r="F9" s="9" t="n">
        <f aca="false">COUNTIFS(Trades!$A$2:$A$2161,"SILVER",Trades!$B$2:$B$2161,"V1",Trades!$F$2:$F$2161,$A9)</f>
        <v>2</v>
      </c>
      <c r="G9" s="10" t="n">
        <f aca="false">IF(F9=0,"",COUNTIFS(Trades!$A$2:$A$2161,"SILVER",Trades!$B$2:$B$2161,"V1",Trades!$F$2:$F$2161,$A9,Trades!$M$2:$M$2161,1)/F9)</f>
        <v>0</v>
      </c>
      <c r="H9" s="11" t="n">
        <f aca="false">SUMIFS(Trades!$K$2:$K$2161,Trades!$A$2:$A$2161,"SILVER",Trades!$B$2:$B$2161,"V1",Trades!$F$2:$F$2161,$A9)</f>
        <v>-127134.3</v>
      </c>
      <c r="I9" s="11" t="n">
        <f aca="false">I8+H9</f>
        <v>-33748.2</v>
      </c>
      <c r="J9" s="9" t="n">
        <f aca="false">COUNTIFS(Trades!$A$2:$A$2161,"SILVER",Trades!$B$2:$B$2161,"W8",Trades!$F$2:$F$2161,$A9)</f>
        <v>2</v>
      </c>
      <c r="K9" s="10" t="n">
        <f aca="false">IF(J9=0,"",COUNTIFS(Trades!$A$2:$A$2161,"SILVER",Trades!$B$2:$B$2161,"W8",Trades!$F$2:$F$2161,$A9,Trades!$M$2:$M$2161,1)/J9)</f>
        <v>0.5</v>
      </c>
      <c r="L9" s="11" t="n">
        <f aca="false">SUMIFS(Trades!$K$2:$K$2161,Trades!$A$2:$A$2161,"SILVER",Trades!$B$2:$B$2161,"W8",Trades!$F$2:$F$2161,$A9)</f>
        <v>-79947.9</v>
      </c>
      <c r="M9" s="11" t="n">
        <f aca="false">M8+L9</f>
        <v>43818</v>
      </c>
      <c r="N9" s="9" t="n">
        <f aca="false">COUNTIFS(Trades!$A$2:$A$2161,"SILVER",Trades!$B$2:$B$2161,"W8C",Trades!$F$2:$F$2161,$A9)</f>
        <v>1</v>
      </c>
      <c r="O9" s="10" t="n">
        <f aca="false">IF(N9=0,"",COUNTIFS(Trades!$A$2:$A$2161,"SILVER",Trades!$B$2:$B$2161,"W8C",Trades!$F$2:$F$2161,$A9,Trades!$M$2:$M$2161,1)/N9)</f>
        <v>1</v>
      </c>
      <c r="P9" s="11" t="n">
        <f aca="false">SUMIFS(Trades!$K$2:$K$2161,Trades!$A$2:$A$2161,"SILVER",Trades!$B$2:$B$2161,"W8C",Trades!$F$2:$F$2161,$A9)</f>
        <v>7236</v>
      </c>
      <c r="Q9" s="11" t="n">
        <f aca="false">Q8+P9</f>
        <v>22298.4</v>
      </c>
      <c r="R9" s="9" t="n">
        <f aca="false">COUNTIFS(Trades!$A$2:$A$2161,"SILVER",Trades!$B$2:$B$2161,"T6",Trades!$F$2:$F$2161,$A9)</f>
        <v>2</v>
      </c>
      <c r="S9" s="10" t="n">
        <f aca="false">IF(R9=0,"",COUNTIFS(Trades!$A$2:$A$2161,"SILVER",Trades!$B$2:$B$2161,"T6",Trades!$F$2:$F$2161,$A9,Trades!$M$2:$M$2161,1)/R9)</f>
        <v>1</v>
      </c>
      <c r="T9" s="11" t="n">
        <f aca="false">SUMIFS(Trades!$K$2:$K$2161,Trades!$A$2:$A$2161,"SILVER",Trades!$B$2:$B$2161,"T6",Trades!$F$2:$F$2161,$A9)</f>
        <v>31165.8</v>
      </c>
      <c r="U9" s="11" t="n">
        <f aca="false">U8+T9</f>
        <v>-58765.2</v>
      </c>
      <c r="V9" s="9" t="n">
        <f aca="false">COUNTIFS(Trades!$A$2:$A$2161,"SILVER",Trades!$B$2:$B$2161,"T7",Trades!$F$2:$F$2161,$A9)</f>
        <v>3</v>
      </c>
      <c r="W9" s="10" t="n">
        <f aca="false">IF(V9=0,"",COUNTIFS(Trades!$A$2:$A$2161,"SILVER",Trades!$B$2:$B$2161,"T7",Trades!$F$2:$F$2161,$A9,Trades!$M$2:$M$2161,1)/V9)</f>
        <v>0.666666666666667</v>
      </c>
      <c r="X9" s="11" t="n">
        <f aca="false">SUMIFS(Trades!$K$2:$K$2161,Trades!$A$2:$A$2161,"SILVER",Trades!$B$2:$B$2161,"T7",Trades!$F$2:$F$2161,$A9)</f>
        <v>-46257.3</v>
      </c>
      <c r="Y9" s="11" t="n">
        <f aca="false">Y8+X9</f>
        <v>51855.3</v>
      </c>
      <c r="Z9" s="9" t="n">
        <f aca="false">COUNTIFS(Trades!$A$2:$A$2161,"SILVER",Trades!$B$2:$B$2161,"U1",Trades!$F$2:$F$2161,$A9)</f>
        <v>9</v>
      </c>
      <c r="AA9" s="10" t="n">
        <f aca="false">IF(Z9=0,"",COUNTIFS(Trades!$A$2:$A$2161,"SILVER",Trades!$B$2:$B$2161,"U1",Trades!$F$2:$F$2161,$A9,Trades!$M$2:$M$2161,1)/Z9)</f>
        <v>0.444444444444444</v>
      </c>
      <c r="AB9" s="11" t="n">
        <f aca="false">SUMIFS(Trades!$K$2:$K$2161,Trades!$A$2:$A$2161,"SILVER",Trades!$B$2:$B$2161,"U1",Trades!$F$2:$F$2161,$A9)</f>
        <v>-87085.8</v>
      </c>
      <c r="AC9" s="11" t="n">
        <f aca="false">AC8+AB9</f>
        <v>-132924.6</v>
      </c>
      <c r="AD9" s="9" t="n">
        <f aca="false">COUNTIFS(Trades!$A$2:$A$2161,"SILVER",Trades!$B$2:$B$2161,"U9",Trades!$F$2:$F$2161,$A9)</f>
        <v>19</v>
      </c>
      <c r="AE9" s="10" t="n">
        <f aca="false">IF(AD9=0,"",COUNTIFS(Trades!$A$2:$A$2161,"SILVER",Trades!$B$2:$B$2161,"U9",Trades!$F$2:$F$2161,$A9,Trades!$M$2:$M$2161,1)/AD9)</f>
        <v>0.68421052631579</v>
      </c>
      <c r="AF9" s="11" t="n">
        <f aca="false">SUMIFS(Trades!$K$2:$K$2161,Trades!$A$2:$A$2161,"SILVER",Trades!$B$2:$B$2161,"U9",Trades!$F$2:$F$2161,$A9)</f>
        <v>-32210.4</v>
      </c>
      <c r="AG9" s="11" t="n">
        <f aca="false">AG8+AF9</f>
        <v>73695.6</v>
      </c>
      <c r="AH9" s="9" t="n">
        <f aca="false">COUNTIFS(Trades!$A$2:$A$2161,"SILVER",Trades!$B$2:$B$2161,"Q1",Trades!$F$2:$F$2161,$A9)</f>
        <v>24</v>
      </c>
      <c r="AI9" s="10" t="n">
        <f aca="false">IF(AH9=0,"",COUNTIFS(Trades!$A$2:$A$2161,"SILVER",Trades!$B$2:$B$2161,"Q1",Trades!$F$2:$F$2161,$A9,Trades!$M$2:$M$2161,1)/AH9)</f>
        <v>0.75</v>
      </c>
      <c r="AJ9" s="11" t="n">
        <f aca="false">SUMIFS(Trades!$K$2:$K$2161,Trades!$A$2:$A$2161,"SILVER",Trades!$B$2:$B$2161,"Q1",Trades!$F$2:$F$2161,$A9)</f>
        <v>-50085.3</v>
      </c>
      <c r="AK9" s="11" t="n">
        <f aca="false">AK8+AJ9</f>
        <v>23628.3</v>
      </c>
    </row>
    <row r="10" customFormat="false" ht="15" hidden="false" customHeight="false" outlineLevel="0" collapsed="false">
      <c r="A10" s="29" t="n">
        <v>45809</v>
      </c>
      <c r="B10" s="9" t="n">
        <f aca="false">COUNTIFS(Trades!$A$2:$A$2161,"SILVER",Trades!$B$2:$B$2161,"V0",Trades!$F$2:$F$2161,$A10)</f>
        <v>2</v>
      </c>
      <c r="C10" s="10" t="n">
        <f aca="false">IF(B10=0,"",COUNTIFS(Trades!$A$2:$A$2161,"SILVER",Trades!$B$2:$B$2161,"V0",Trades!$F$2:$F$2161,$A10,Trades!$M$2:$M$2161,1)/B10)</f>
        <v>0.5</v>
      </c>
      <c r="D10" s="11" t="n">
        <f aca="false">SUMIFS(Trades!$K$2:$K$2161,Trades!$A$2:$A$2161,"SILVER",Trades!$B$2:$B$2161,"V0",Trades!$F$2:$F$2161,$A10)</f>
        <v>108684.9</v>
      </c>
      <c r="E10" s="11" t="n">
        <f aca="false">E9+D10</f>
        <v>-35601.6</v>
      </c>
      <c r="F10" s="9" t="n">
        <f aca="false">COUNTIFS(Trades!$A$2:$A$2161,"SILVER",Trades!$B$2:$B$2161,"V1",Trades!$F$2:$F$2161,$A10)</f>
        <v>1</v>
      </c>
      <c r="G10" s="10" t="n">
        <f aca="false">IF(F10=0,"",COUNTIFS(Trades!$A$2:$A$2161,"SILVER",Trades!$B$2:$B$2161,"V1",Trades!$F$2:$F$2161,$A10,Trades!$M$2:$M$2161,1)/F10)</f>
        <v>0</v>
      </c>
      <c r="H10" s="11" t="n">
        <f aca="false">SUMIFS(Trades!$K$2:$K$2161,Trades!$A$2:$A$2161,"SILVER",Trades!$B$2:$B$2161,"V1",Trades!$F$2:$F$2161,$A10)</f>
        <v>-80329.2</v>
      </c>
      <c r="I10" s="11" t="n">
        <f aca="false">I9+H10</f>
        <v>-114077.4</v>
      </c>
      <c r="J10" s="9" t="n">
        <f aca="false">COUNTIFS(Trades!$A$2:$A$2161,"SILVER",Trades!$B$2:$B$2161,"W8",Trades!$F$2:$F$2161,$A10)</f>
        <v>1</v>
      </c>
      <c r="K10" s="10" t="n">
        <f aca="false">IF(J10=0,"",COUNTIFS(Trades!$A$2:$A$2161,"SILVER",Trades!$B$2:$B$2161,"W8",Trades!$F$2:$F$2161,$A10,Trades!$M$2:$M$2161,1)/J10)</f>
        <v>0</v>
      </c>
      <c r="L10" s="11" t="n">
        <f aca="false">SUMIFS(Trades!$K$2:$K$2161,Trades!$A$2:$A$2161,"SILVER",Trades!$B$2:$B$2161,"W8",Trades!$F$2:$F$2161,$A10)</f>
        <v>-80329.2</v>
      </c>
      <c r="M10" s="11" t="n">
        <f aca="false">M9+L10</f>
        <v>-36511.2</v>
      </c>
      <c r="N10" s="9" t="n">
        <f aca="false">COUNTIFS(Trades!$A$2:$A$2161,"SILVER",Trades!$B$2:$B$2161,"W8C",Trades!$F$2:$F$2161,$A10)</f>
        <v>0</v>
      </c>
      <c r="O10" s="10" t="str">
        <f aca="false">IF(N10=0,"",COUNTIFS(Trades!$A$2:$A$2161,"SILVER",Trades!$B$2:$B$2161,"W8C",Trades!$F$2:$F$2161,$A10,Trades!$M$2:$M$2161,1)/N10)</f>
        <v/>
      </c>
      <c r="P10" s="11" t="n">
        <f aca="false">SUMIFS(Trades!$K$2:$K$2161,Trades!$A$2:$A$2161,"SILVER",Trades!$B$2:$B$2161,"W8C",Trades!$F$2:$F$2161,$A10)</f>
        <v>0</v>
      </c>
      <c r="Q10" s="11" t="n">
        <f aca="false">Q9+P10</f>
        <v>22298.4</v>
      </c>
      <c r="R10" s="9" t="n">
        <f aca="false">COUNTIFS(Trades!$A$2:$A$2161,"SILVER",Trades!$B$2:$B$2161,"T6",Trades!$F$2:$F$2161,$A10)</f>
        <v>3</v>
      </c>
      <c r="S10" s="10" t="n">
        <f aca="false">IF(R10=0,"",COUNTIFS(Trades!$A$2:$A$2161,"SILVER",Trades!$B$2:$B$2161,"T6",Trades!$F$2:$F$2161,$A10,Trades!$M$2:$M$2161,1)/R10)</f>
        <v>0.666666666666667</v>
      </c>
      <c r="T10" s="11" t="n">
        <f aca="false">SUMIFS(Trades!$K$2:$K$2161,Trades!$A$2:$A$2161,"SILVER",Trades!$B$2:$B$2161,"T6",Trades!$F$2:$F$2161,$A10)</f>
        <v>-71605.5</v>
      </c>
      <c r="U10" s="11" t="n">
        <f aca="false">U9+T10</f>
        <v>-130370.7</v>
      </c>
      <c r="V10" s="9" t="n">
        <f aca="false">COUNTIFS(Trades!$A$2:$A$2161,"SILVER",Trades!$B$2:$B$2161,"T7",Trades!$F$2:$F$2161,$A10)</f>
        <v>4</v>
      </c>
      <c r="W10" s="10" t="n">
        <f aca="false">IF(V10=0,"",COUNTIFS(Trades!$A$2:$A$2161,"SILVER",Trades!$B$2:$B$2161,"T7",Trades!$F$2:$F$2161,$A10,Trades!$M$2:$M$2161,1)/V10)</f>
        <v>0.75</v>
      </c>
      <c r="X10" s="11" t="n">
        <f aca="false">SUMIFS(Trades!$K$2:$K$2161,Trades!$A$2:$A$2161,"SILVER",Trades!$B$2:$B$2161,"T7",Trades!$F$2:$F$2161,$A10)</f>
        <v>-25314.9</v>
      </c>
      <c r="Y10" s="11" t="n">
        <f aca="false">Y9+X10</f>
        <v>26540.4</v>
      </c>
      <c r="Z10" s="9" t="n">
        <f aca="false">COUNTIFS(Trades!$A$2:$A$2161,"SILVER",Trades!$B$2:$B$2161,"U1",Trades!$F$2:$F$2161,$A10)</f>
        <v>3</v>
      </c>
      <c r="AA10" s="10" t="n">
        <f aca="false">IF(Z10=0,"",COUNTIFS(Trades!$A$2:$A$2161,"SILVER",Trades!$B$2:$B$2161,"U1",Trades!$F$2:$F$2161,$A10,Trades!$M$2:$M$2161,1)/Z10)</f>
        <v>0.666666666666667</v>
      </c>
      <c r="AB10" s="11" t="n">
        <f aca="false">SUMIFS(Trades!$K$2:$K$2161,Trades!$A$2:$A$2161,"SILVER",Trades!$B$2:$B$2161,"U1",Trades!$F$2:$F$2161,$A10)</f>
        <v>33897</v>
      </c>
      <c r="AC10" s="11" t="n">
        <f aca="false">AC9+AB10</f>
        <v>-99027.6</v>
      </c>
      <c r="AD10" s="9" t="n">
        <f aca="false">COUNTIFS(Trades!$A$2:$A$2161,"SILVER",Trades!$B$2:$B$2161,"U9",Trades!$F$2:$F$2161,$A10)</f>
        <v>18</v>
      </c>
      <c r="AE10" s="10" t="n">
        <f aca="false">IF(AD10=0,"",COUNTIFS(Trades!$A$2:$A$2161,"SILVER",Trades!$B$2:$B$2161,"U9",Trades!$F$2:$F$2161,$A10,Trades!$M$2:$M$2161,1)/AD10)</f>
        <v>0.444444444444444</v>
      </c>
      <c r="AF10" s="11" t="n">
        <f aca="false">SUMIFS(Trades!$K$2:$K$2161,Trades!$A$2:$A$2161,"SILVER",Trades!$B$2:$B$2161,"U9",Trades!$F$2:$F$2161,$A10)</f>
        <v>-78458.4</v>
      </c>
      <c r="AG10" s="11" t="n">
        <f aca="false">AG9+AF10</f>
        <v>-4762.8</v>
      </c>
      <c r="AH10" s="9" t="n">
        <f aca="false">COUNTIFS(Trades!$A$2:$A$2161,"SILVER",Trades!$B$2:$B$2161,"Q1",Trades!$F$2:$F$2161,$A10)</f>
        <v>13</v>
      </c>
      <c r="AI10" s="10" t="n">
        <f aca="false">IF(AH10=0,"",COUNTIFS(Trades!$A$2:$A$2161,"SILVER",Trades!$B$2:$B$2161,"Q1",Trades!$F$2:$F$2161,$A10,Trades!$M$2:$M$2161,1)/AH10)</f>
        <v>0.692307692307692</v>
      </c>
      <c r="AJ10" s="11" t="n">
        <f aca="false">SUMIFS(Trades!$K$2:$K$2161,Trades!$A$2:$A$2161,"SILVER",Trades!$B$2:$B$2161,"Q1",Trades!$F$2:$F$2161,$A10)</f>
        <v>-6321.6</v>
      </c>
      <c r="AK10" s="11" t="n">
        <f aca="false">AK9+AJ10</f>
        <v>17306.7</v>
      </c>
    </row>
    <row r="11" customFormat="false" ht="15" hidden="false" customHeight="false" outlineLevel="0" collapsed="false">
      <c r="A11" s="29" t="n">
        <v>45839</v>
      </c>
      <c r="B11" s="9" t="n">
        <f aca="false">COUNTIFS(Trades!$A$2:$A$2161,"SILVER",Trades!$B$2:$B$2161,"V0",Trades!$F$2:$F$2161,$A11)</f>
        <v>4</v>
      </c>
      <c r="C11" s="10" t="n">
        <f aca="false">IF(B11=0,"",COUNTIFS(Trades!$A$2:$A$2161,"SILVER",Trades!$B$2:$B$2161,"V0",Trades!$F$2:$F$2161,$A11,Trades!$M$2:$M$2161,1)/B11)</f>
        <v>0.25</v>
      </c>
      <c r="D11" s="11" t="n">
        <f aca="false">SUMIFS(Trades!$K$2:$K$2161,Trades!$A$2:$A$2161,"SILVER",Trades!$B$2:$B$2161,"V0",Trades!$F$2:$F$2161,$A11)</f>
        <v>-46191.6</v>
      </c>
      <c r="E11" s="11" t="n">
        <f aca="false">E10+D11</f>
        <v>-81793.2</v>
      </c>
      <c r="F11" s="9" t="n">
        <f aca="false">COUNTIFS(Trades!$A$2:$A$2161,"SILVER",Trades!$B$2:$B$2161,"V1",Trades!$F$2:$F$2161,$A11)</f>
        <v>2</v>
      </c>
      <c r="G11" s="10" t="n">
        <f aca="false">IF(F11=0,"",COUNTIFS(Trades!$A$2:$A$2161,"SILVER",Trades!$B$2:$B$2161,"V1",Trades!$F$2:$F$2161,$A11,Trades!$M$2:$M$2161,1)/F11)</f>
        <v>0.5</v>
      </c>
      <c r="H11" s="11" t="n">
        <f aca="false">SUMIFS(Trades!$K$2:$K$2161,Trades!$A$2:$A$2161,"SILVER",Trades!$B$2:$B$2161,"V1",Trades!$F$2:$F$2161,$A11)</f>
        <v>78843.9</v>
      </c>
      <c r="I11" s="11" t="n">
        <f aca="false">I10+H11</f>
        <v>-35233.5</v>
      </c>
      <c r="J11" s="9" t="n">
        <f aca="false">COUNTIFS(Trades!$A$2:$A$2161,"SILVER",Trades!$B$2:$B$2161,"W8",Trades!$F$2:$F$2161,$A11)</f>
        <v>2</v>
      </c>
      <c r="K11" s="10" t="n">
        <f aca="false">IF(J11=0,"",COUNTIFS(Trades!$A$2:$A$2161,"SILVER",Trades!$B$2:$B$2161,"W8",Trades!$F$2:$F$2161,$A11,Trades!$M$2:$M$2161,1)/J11)</f>
        <v>1</v>
      </c>
      <c r="L11" s="11" t="n">
        <f aca="false">SUMIFS(Trades!$K$2:$K$2161,Trades!$A$2:$A$2161,"SILVER",Trades!$B$2:$B$2161,"W8",Trades!$F$2:$F$2161,$A11)</f>
        <v>111582</v>
      </c>
      <c r="M11" s="11" t="n">
        <f aca="false">M10+L11</f>
        <v>75070.8000000001</v>
      </c>
      <c r="N11" s="9" t="n">
        <f aca="false">COUNTIFS(Trades!$A$2:$A$2161,"SILVER",Trades!$B$2:$B$2161,"W8C",Trades!$F$2:$F$2161,$A11)</f>
        <v>1</v>
      </c>
      <c r="O11" s="10" t="n">
        <f aca="false">IF(N11=0,"",COUNTIFS(Trades!$A$2:$A$2161,"SILVER",Trades!$B$2:$B$2161,"W8C",Trades!$F$2:$F$2161,$A11,Trades!$M$2:$M$2161,1)/N11)</f>
        <v>1</v>
      </c>
      <c r="P11" s="11" t="n">
        <f aca="false">SUMIFS(Trades!$K$2:$K$2161,Trades!$A$2:$A$2161,"SILVER",Trades!$B$2:$B$2161,"W8C",Trades!$F$2:$F$2161,$A11)</f>
        <v>5556</v>
      </c>
      <c r="Q11" s="11" t="n">
        <f aca="false">Q10+P11</f>
        <v>27854.4</v>
      </c>
      <c r="R11" s="9" t="n">
        <f aca="false">COUNTIFS(Trades!$A$2:$A$2161,"SILVER",Trades!$B$2:$B$2161,"T6",Trades!$F$2:$F$2161,$A11)</f>
        <v>2</v>
      </c>
      <c r="S11" s="10" t="n">
        <f aca="false">IF(R11=0,"",COUNTIFS(Trades!$A$2:$A$2161,"SILVER",Trades!$B$2:$B$2161,"T6",Trades!$F$2:$F$2161,$A11,Trades!$M$2:$M$2161,1)/R11)</f>
        <v>1</v>
      </c>
      <c r="T11" s="11" t="n">
        <f aca="false">SUMIFS(Trades!$K$2:$K$2161,Trades!$A$2:$A$2161,"SILVER",Trades!$B$2:$B$2161,"T6",Trades!$F$2:$F$2161,$A11)</f>
        <v>47561.7</v>
      </c>
      <c r="U11" s="11" t="n">
        <f aca="false">U10+T11</f>
        <v>-82809</v>
      </c>
      <c r="V11" s="9" t="n">
        <f aca="false">COUNTIFS(Trades!$A$2:$A$2161,"SILVER",Trades!$B$2:$B$2161,"T7",Trades!$F$2:$F$2161,$A11)</f>
        <v>4</v>
      </c>
      <c r="W11" s="10" t="n">
        <f aca="false">IF(V11=0,"",COUNTIFS(Trades!$A$2:$A$2161,"SILVER",Trades!$B$2:$B$2161,"T7",Trades!$F$2:$F$2161,$A11,Trades!$M$2:$M$2161,1)/V11)</f>
        <v>1</v>
      </c>
      <c r="X11" s="11" t="n">
        <f aca="false">SUMIFS(Trades!$K$2:$K$2161,Trades!$A$2:$A$2161,"SILVER",Trades!$B$2:$B$2161,"T7",Trades!$F$2:$F$2161,$A11)</f>
        <v>95882.7</v>
      </c>
      <c r="Y11" s="11" t="n">
        <f aca="false">Y10+X11</f>
        <v>122423.1</v>
      </c>
      <c r="Z11" s="9" t="n">
        <f aca="false">COUNTIFS(Trades!$A$2:$A$2161,"SILVER",Trades!$B$2:$B$2161,"U1",Trades!$F$2:$F$2161,$A11)</f>
        <v>6</v>
      </c>
      <c r="AA11" s="10" t="n">
        <f aca="false">IF(Z11=0,"",COUNTIFS(Trades!$A$2:$A$2161,"SILVER",Trades!$B$2:$B$2161,"U1",Trades!$F$2:$F$2161,$A11,Trades!$M$2:$M$2161,1)/Z11)</f>
        <v>0.666666666666667</v>
      </c>
      <c r="AB11" s="11" t="n">
        <f aca="false">SUMIFS(Trades!$K$2:$K$2161,Trades!$A$2:$A$2161,"SILVER",Trades!$B$2:$B$2161,"U1",Trades!$F$2:$F$2161,$A11)</f>
        <v>32713.8</v>
      </c>
      <c r="AC11" s="11" t="n">
        <f aca="false">AC10+AB11</f>
        <v>-66313.8</v>
      </c>
      <c r="AD11" s="9" t="n">
        <f aca="false">COUNTIFS(Trades!$A$2:$A$2161,"SILVER",Trades!$B$2:$B$2161,"U9",Trades!$F$2:$F$2161,$A11)</f>
        <v>18</v>
      </c>
      <c r="AE11" s="10" t="n">
        <f aca="false">IF(AD11=0,"",COUNTIFS(Trades!$A$2:$A$2161,"SILVER",Trades!$B$2:$B$2161,"U9",Trades!$F$2:$F$2161,$A11,Trades!$M$2:$M$2161,1)/AD11)</f>
        <v>0.611111111111111</v>
      </c>
      <c r="AF11" s="11" t="n">
        <f aca="false">SUMIFS(Trades!$K$2:$K$2161,Trades!$A$2:$A$2161,"SILVER",Trades!$B$2:$B$2161,"U9",Trades!$F$2:$F$2161,$A11)</f>
        <v>125293.5</v>
      </c>
      <c r="AG11" s="11" t="n">
        <f aca="false">AG10+AF11</f>
        <v>120530.7</v>
      </c>
      <c r="AH11" s="9" t="n">
        <f aca="false">COUNTIFS(Trades!$A$2:$A$2161,"SILVER",Trades!$B$2:$B$2161,"Q1",Trades!$F$2:$F$2161,$A11)</f>
        <v>15</v>
      </c>
      <c r="AI11" s="10" t="n">
        <f aca="false">IF(AH11=0,"",COUNTIFS(Trades!$A$2:$A$2161,"SILVER",Trades!$B$2:$B$2161,"Q1",Trades!$F$2:$F$2161,$A11,Trades!$M$2:$M$2161,1)/AH11)</f>
        <v>0.866666666666667</v>
      </c>
      <c r="AJ11" s="11" t="n">
        <f aca="false">SUMIFS(Trades!$K$2:$K$2161,Trades!$A$2:$A$2161,"SILVER",Trades!$B$2:$B$2161,"Q1",Trades!$F$2:$F$2161,$A11)</f>
        <v>96463.8</v>
      </c>
      <c r="AK11" s="11" t="n">
        <f aca="false">AK10+AJ11</f>
        <v>113770.5</v>
      </c>
    </row>
    <row r="12" customFormat="false" ht="15" hidden="false" customHeight="false" outlineLevel="0" collapsed="false">
      <c r="A12" s="29" t="n">
        <v>45870</v>
      </c>
      <c r="B12" s="9" t="n">
        <f aca="false">COUNTIFS(Trades!$A$2:$A$2161,"SILVER",Trades!$B$2:$B$2161,"V0",Trades!$F$2:$F$2161,$A12)</f>
        <v>3</v>
      </c>
      <c r="C12" s="10" t="n">
        <f aca="false">IF(B12=0,"",COUNTIFS(Trades!$A$2:$A$2161,"SILVER",Trades!$B$2:$B$2161,"V0",Trades!$F$2:$F$2161,$A12,Trades!$M$2:$M$2161,1)/B12)</f>
        <v>1</v>
      </c>
      <c r="D12" s="11" t="n">
        <f aca="false">SUMIFS(Trades!$K$2:$K$2161,Trades!$A$2:$A$2161,"SILVER",Trades!$B$2:$B$2161,"V0",Trades!$F$2:$F$2161,$A12)</f>
        <v>61602.3</v>
      </c>
      <c r="E12" s="11" t="n">
        <f aca="false">E11+D12</f>
        <v>-20190.9</v>
      </c>
      <c r="F12" s="9" t="n">
        <f aca="false">COUNTIFS(Trades!$A$2:$A$2161,"SILVER",Trades!$B$2:$B$2161,"V1",Trades!$F$2:$F$2161,$A12)</f>
        <v>1</v>
      </c>
      <c r="G12" s="10" t="n">
        <f aca="false">IF(F12=0,"",COUNTIFS(Trades!$A$2:$A$2161,"SILVER",Trades!$B$2:$B$2161,"V1",Trades!$F$2:$F$2161,$A12,Trades!$M$2:$M$2161,1)/F12)</f>
        <v>1</v>
      </c>
      <c r="H12" s="11" t="n">
        <f aca="false">SUMIFS(Trades!$K$2:$K$2161,Trades!$A$2:$A$2161,"SILVER",Trades!$B$2:$B$2161,"V1",Trades!$F$2:$F$2161,$A12)</f>
        <v>25665</v>
      </c>
      <c r="I12" s="11" t="n">
        <f aca="false">I11+H12</f>
        <v>-9568.49999999996</v>
      </c>
      <c r="J12" s="9" t="n">
        <f aca="false">COUNTIFS(Trades!$A$2:$A$2161,"SILVER",Trades!$B$2:$B$2161,"W8",Trades!$F$2:$F$2161,$A12)</f>
        <v>1</v>
      </c>
      <c r="K12" s="10" t="n">
        <f aca="false">IF(J12=0,"",COUNTIFS(Trades!$A$2:$A$2161,"SILVER",Trades!$B$2:$B$2161,"W8",Trades!$F$2:$F$2161,$A12,Trades!$M$2:$M$2161,1)/J12)</f>
        <v>1</v>
      </c>
      <c r="L12" s="11" t="n">
        <f aca="false">SUMIFS(Trades!$K$2:$K$2161,Trades!$A$2:$A$2161,"SILVER",Trades!$B$2:$B$2161,"W8",Trades!$F$2:$F$2161,$A12)</f>
        <v>25665</v>
      </c>
      <c r="M12" s="11" t="n">
        <f aca="false">M11+L12</f>
        <v>100735.8</v>
      </c>
      <c r="N12" s="9" t="n">
        <f aca="false">COUNTIFS(Trades!$A$2:$A$2161,"SILVER",Trades!$B$2:$B$2161,"W8C",Trades!$F$2:$F$2161,$A12)</f>
        <v>0</v>
      </c>
      <c r="O12" s="10" t="str">
        <f aca="false">IF(N12=0,"",COUNTIFS(Trades!$A$2:$A$2161,"SILVER",Trades!$B$2:$B$2161,"W8C",Trades!$F$2:$F$2161,$A12,Trades!$M$2:$M$2161,1)/N12)</f>
        <v/>
      </c>
      <c r="P12" s="11" t="n">
        <f aca="false">SUMIFS(Trades!$K$2:$K$2161,Trades!$A$2:$A$2161,"SILVER",Trades!$B$2:$B$2161,"W8C",Trades!$F$2:$F$2161,$A12)</f>
        <v>0</v>
      </c>
      <c r="Q12" s="11" t="n">
        <f aca="false">Q11+P12</f>
        <v>27854.4</v>
      </c>
      <c r="R12" s="9" t="n">
        <f aca="false">COUNTIFS(Trades!$A$2:$A$2161,"SILVER",Trades!$B$2:$B$2161,"T6",Trades!$F$2:$F$2161,$A12)</f>
        <v>2</v>
      </c>
      <c r="S12" s="10" t="n">
        <f aca="false">IF(R12=0,"",COUNTIFS(Trades!$A$2:$A$2161,"SILVER",Trades!$B$2:$B$2161,"T6",Trades!$F$2:$F$2161,$A12,Trades!$M$2:$M$2161,1)/R12)</f>
        <v>0.5</v>
      </c>
      <c r="T12" s="11" t="n">
        <f aca="false">SUMIFS(Trades!$K$2:$K$2161,Trades!$A$2:$A$2161,"SILVER",Trades!$B$2:$B$2161,"T6",Trades!$F$2:$F$2161,$A12)</f>
        <v>34249.5</v>
      </c>
      <c r="U12" s="11" t="n">
        <f aca="false">U11+T12</f>
        <v>-48559.5</v>
      </c>
      <c r="V12" s="9" t="n">
        <f aca="false">COUNTIFS(Trades!$A$2:$A$2161,"SILVER",Trades!$B$2:$B$2161,"T7",Trades!$F$2:$F$2161,$A12)</f>
        <v>2</v>
      </c>
      <c r="W12" s="10" t="n">
        <f aca="false">IF(V12=0,"",COUNTIFS(Trades!$A$2:$A$2161,"SILVER",Trades!$B$2:$B$2161,"T7",Trades!$F$2:$F$2161,$A12,Trades!$M$2:$M$2161,1)/V12)</f>
        <v>0.5</v>
      </c>
      <c r="X12" s="11" t="n">
        <f aca="false">SUMIFS(Trades!$K$2:$K$2161,Trades!$A$2:$A$2161,"SILVER",Trades!$B$2:$B$2161,"T7",Trades!$F$2:$F$2161,$A12)</f>
        <v>24951</v>
      </c>
      <c r="Y12" s="11" t="n">
        <f aca="false">Y11+X12</f>
        <v>147374.1</v>
      </c>
      <c r="Z12" s="9" t="n">
        <f aca="false">COUNTIFS(Trades!$A$2:$A$2161,"SILVER",Trades!$B$2:$B$2161,"U1",Trades!$F$2:$F$2161,$A12)</f>
        <v>3</v>
      </c>
      <c r="AA12" s="10" t="n">
        <f aca="false">IF(Z12=0,"",COUNTIFS(Trades!$A$2:$A$2161,"SILVER",Trades!$B$2:$B$2161,"U1",Trades!$F$2:$F$2161,$A12,Trades!$M$2:$M$2161,1)/Z12)</f>
        <v>1</v>
      </c>
      <c r="AB12" s="11" t="n">
        <f aca="false">SUMIFS(Trades!$K$2:$K$2161,Trades!$A$2:$A$2161,"SILVER",Trades!$B$2:$B$2161,"U1",Trades!$F$2:$F$2161,$A12)</f>
        <v>220557.9</v>
      </c>
      <c r="AC12" s="11" t="n">
        <f aca="false">AC11+AB12</f>
        <v>154244.1</v>
      </c>
      <c r="AD12" s="9" t="n">
        <f aca="false">COUNTIFS(Trades!$A$2:$A$2161,"SILVER",Trades!$B$2:$B$2161,"U9",Trades!$F$2:$F$2161,$A12)</f>
        <v>17</v>
      </c>
      <c r="AE12" s="10" t="n">
        <f aca="false">IF(AD12=0,"",COUNTIFS(Trades!$A$2:$A$2161,"SILVER",Trades!$B$2:$B$2161,"U9",Trades!$F$2:$F$2161,$A12,Trades!$M$2:$M$2161,1)/AD12)</f>
        <v>0.529411764705882</v>
      </c>
      <c r="AF12" s="11" t="n">
        <f aca="false">SUMIFS(Trades!$K$2:$K$2161,Trades!$A$2:$A$2161,"SILVER",Trades!$B$2:$B$2161,"U9",Trades!$F$2:$F$2161,$A12)</f>
        <v>59542.8</v>
      </c>
      <c r="AG12" s="11" t="n">
        <f aca="false">AG11+AF12</f>
        <v>180073.5</v>
      </c>
      <c r="AH12" s="9" t="n">
        <f aca="false">COUNTIFS(Trades!$A$2:$A$2161,"SILVER",Trades!$B$2:$B$2161,"Q1",Trades!$F$2:$F$2161,$A12)</f>
        <v>21</v>
      </c>
      <c r="AI12" s="10" t="n">
        <f aca="false">IF(AH12=0,"",COUNTIFS(Trades!$A$2:$A$2161,"SILVER",Trades!$B$2:$B$2161,"Q1",Trades!$F$2:$F$2161,$A12,Trades!$M$2:$M$2161,1)/AH12)</f>
        <v>0.761904761904762</v>
      </c>
      <c r="AJ12" s="11" t="n">
        <f aca="false">SUMIFS(Trades!$K$2:$K$2161,Trades!$A$2:$A$2161,"SILVER",Trades!$B$2:$B$2161,"Q1",Trades!$F$2:$F$2161,$A12)</f>
        <v>21654.9</v>
      </c>
      <c r="AK12" s="11" t="n">
        <f aca="false">AK11+AJ12</f>
        <v>135425.4</v>
      </c>
    </row>
    <row r="13" customFormat="false" ht="15" hidden="false" customHeight="false" outlineLevel="0" collapsed="false">
      <c r="A13" s="29" t="n">
        <v>45901</v>
      </c>
      <c r="B13" s="9" t="n">
        <f aca="false">COUNTIFS(Trades!$A$2:$A$2161,"SILVER",Trades!$B$2:$B$2161,"V0",Trades!$F$2:$F$2161,$A13)</f>
        <v>4</v>
      </c>
      <c r="C13" s="10" t="n">
        <f aca="false">IF(B13=0,"",COUNTIFS(Trades!$A$2:$A$2161,"SILVER",Trades!$B$2:$B$2161,"V0",Trades!$F$2:$F$2161,$A13,Trades!$M$2:$M$2161,1)/B13)</f>
        <v>0.25</v>
      </c>
      <c r="D13" s="11" t="n">
        <f aca="false">SUMIFS(Trades!$K$2:$K$2161,Trades!$A$2:$A$2161,"SILVER",Trades!$B$2:$B$2161,"V0",Trades!$F$2:$F$2161,$A13)</f>
        <v>4593.60000000001</v>
      </c>
      <c r="E13" s="11" t="n">
        <f aca="false">E12+D13</f>
        <v>-15597.2999999999</v>
      </c>
      <c r="F13" s="9" t="n">
        <f aca="false">COUNTIFS(Trades!$A$2:$A$2161,"SILVER",Trades!$B$2:$B$2161,"V1",Trades!$F$2:$F$2161,$A13)</f>
        <v>2</v>
      </c>
      <c r="G13" s="10" t="n">
        <f aca="false">IF(F13=0,"",COUNTIFS(Trades!$A$2:$A$2161,"SILVER",Trades!$B$2:$B$2161,"V1",Trades!$F$2:$F$2161,$A13,Trades!$M$2:$M$2161,1)/F13)</f>
        <v>0.5</v>
      </c>
      <c r="H13" s="11" t="n">
        <f aca="false">SUMIFS(Trades!$K$2:$K$2161,Trades!$A$2:$A$2161,"SILVER",Trades!$B$2:$B$2161,"V1",Trades!$F$2:$F$2161,$A13)</f>
        <v>207210.6</v>
      </c>
      <c r="I13" s="11" t="n">
        <f aca="false">I12+H13</f>
        <v>197642.1</v>
      </c>
      <c r="J13" s="9" t="n">
        <f aca="false">COUNTIFS(Trades!$A$2:$A$2161,"SILVER",Trades!$B$2:$B$2161,"W8",Trades!$F$2:$F$2161,$A13)</f>
        <v>2</v>
      </c>
      <c r="K13" s="10" t="n">
        <f aca="false">IF(J13=0,"",COUNTIFS(Trades!$A$2:$A$2161,"SILVER",Trades!$B$2:$B$2161,"W8",Trades!$F$2:$F$2161,$A13,Trades!$M$2:$M$2161,1)/J13)</f>
        <v>1</v>
      </c>
      <c r="L13" s="11" t="n">
        <f aca="false">SUMIFS(Trades!$K$2:$K$2161,Trades!$A$2:$A$2161,"SILVER",Trades!$B$2:$B$2161,"W8",Trades!$F$2:$F$2161,$A13)</f>
        <v>247830.6</v>
      </c>
      <c r="M13" s="11" t="n">
        <f aca="false">M12+L13</f>
        <v>348566.4</v>
      </c>
      <c r="N13" s="9" t="n">
        <f aca="false">COUNTIFS(Trades!$A$2:$A$2161,"SILVER",Trades!$B$2:$B$2161,"W8C",Trades!$F$2:$F$2161,$A13)</f>
        <v>2</v>
      </c>
      <c r="O13" s="10" t="n">
        <f aca="false">IF(N13=0,"",COUNTIFS(Trades!$A$2:$A$2161,"SILVER",Trades!$B$2:$B$2161,"W8C",Trades!$F$2:$F$2161,$A13,Trades!$M$2:$M$2161,1)/N13)</f>
        <v>1</v>
      </c>
      <c r="P13" s="11" t="n">
        <f aca="false">SUMIFS(Trades!$K$2:$K$2161,Trades!$A$2:$A$2161,"SILVER",Trades!$B$2:$B$2161,"W8C",Trades!$F$2:$F$2161,$A13)</f>
        <v>245173.8</v>
      </c>
      <c r="Q13" s="11" t="n">
        <f aca="false">Q12+P13</f>
        <v>273028.2</v>
      </c>
      <c r="R13" s="9" t="n">
        <f aca="false">COUNTIFS(Trades!$A$2:$A$2161,"SILVER",Trades!$B$2:$B$2161,"T6",Trades!$F$2:$F$2161,$A13)</f>
        <v>4</v>
      </c>
      <c r="S13" s="10" t="n">
        <f aca="false">IF(R13=0,"",COUNTIFS(Trades!$A$2:$A$2161,"SILVER",Trades!$B$2:$B$2161,"T6",Trades!$F$2:$F$2161,$A13,Trades!$M$2:$M$2161,1)/R13)</f>
        <v>0.75</v>
      </c>
      <c r="T13" s="11" t="n">
        <f aca="false">SUMIFS(Trades!$K$2:$K$2161,Trades!$A$2:$A$2161,"SILVER",Trades!$B$2:$B$2161,"T6",Trades!$F$2:$F$2161,$A13)</f>
        <v>593900.1</v>
      </c>
      <c r="U13" s="11" t="n">
        <f aca="false">U12+T13</f>
        <v>545340.6</v>
      </c>
      <c r="V13" s="9" t="n">
        <f aca="false">COUNTIFS(Trades!$A$2:$A$2161,"SILVER",Trades!$B$2:$B$2161,"T7",Trades!$F$2:$F$2161,$A13)</f>
        <v>4</v>
      </c>
      <c r="W13" s="10" t="n">
        <f aca="false">IF(V13=0,"",COUNTIFS(Trades!$A$2:$A$2161,"SILVER",Trades!$B$2:$B$2161,"T7",Trades!$F$2:$F$2161,$A13,Trades!$M$2:$M$2161,1)/V13)</f>
        <v>0.75</v>
      </c>
      <c r="X13" s="11" t="n">
        <f aca="false">SUMIFS(Trades!$K$2:$K$2161,Trades!$A$2:$A$2161,"SILVER",Trades!$B$2:$B$2161,"T7",Trades!$F$2:$F$2161,$A13)</f>
        <v>598068.9</v>
      </c>
      <c r="Y13" s="11" t="n">
        <f aca="false">Y12+X13</f>
        <v>745443</v>
      </c>
      <c r="Z13" s="9" t="n">
        <f aca="false">COUNTIFS(Trades!$A$2:$A$2161,"SILVER",Trades!$B$2:$B$2161,"U1",Trades!$F$2:$F$2161,$A13)</f>
        <v>8</v>
      </c>
      <c r="AA13" s="10" t="n">
        <f aca="false">IF(Z13=0,"",COUNTIFS(Trades!$A$2:$A$2161,"SILVER",Trades!$B$2:$B$2161,"U1",Trades!$F$2:$F$2161,$A13,Trades!$M$2:$M$2161,1)/Z13)</f>
        <v>0.5</v>
      </c>
      <c r="AB13" s="11" t="n">
        <f aca="false">SUMIFS(Trades!$K$2:$K$2161,Trades!$A$2:$A$2161,"SILVER",Trades!$B$2:$B$2161,"U1",Trades!$F$2:$F$2161,$A13)</f>
        <v>412556.1</v>
      </c>
      <c r="AC13" s="11" t="n">
        <f aca="false">AC12+AB13</f>
        <v>566800.2</v>
      </c>
      <c r="AD13" s="9" t="n">
        <f aca="false">COUNTIFS(Trades!$A$2:$A$2161,"SILVER",Trades!$B$2:$B$2161,"U9",Trades!$F$2:$F$2161,$A13)</f>
        <v>20</v>
      </c>
      <c r="AE13" s="10" t="n">
        <f aca="false">IF(AD13=0,"",COUNTIFS(Trades!$A$2:$A$2161,"SILVER",Trades!$B$2:$B$2161,"U9",Trades!$F$2:$F$2161,$A13,Trades!$M$2:$M$2161,1)/AD13)</f>
        <v>0.7</v>
      </c>
      <c r="AF13" s="11" t="n">
        <f aca="false">SUMIFS(Trades!$K$2:$K$2161,Trades!$A$2:$A$2161,"SILVER",Trades!$B$2:$B$2161,"U9",Trades!$F$2:$F$2161,$A13)</f>
        <v>436789.2</v>
      </c>
      <c r="AG13" s="11" t="n">
        <f aca="false">AG12+AF13</f>
        <v>616862.7</v>
      </c>
      <c r="AH13" s="9" t="n">
        <f aca="false">COUNTIFS(Trades!$A$2:$A$2161,"SILVER",Trades!$B$2:$B$2161,"Q1",Trades!$F$2:$F$2161,$A13)</f>
        <v>22</v>
      </c>
      <c r="AI13" s="10" t="n">
        <f aca="false">IF(AH13=0,"",COUNTIFS(Trades!$A$2:$A$2161,"SILVER",Trades!$B$2:$B$2161,"Q1",Trades!$F$2:$F$2161,$A13,Trades!$M$2:$M$2161,1)/AH13)</f>
        <v>0.727272727272727</v>
      </c>
      <c r="AJ13" s="11" t="n">
        <f aca="false">SUMIFS(Trades!$K$2:$K$2161,Trades!$A$2:$A$2161,"SILVER",Trades!$B$2:$B$2161,"Q1",Trades!$F$2:$F$2161,$A13)</f>
        <v>338426.7</v>
      </c>
      <c r="AK13" s="11" t="n">
        <f aca="false">AK12+AJ13</f>
        <v>473852.1</v>
      </c>
    </row>
    <row r="14" customFormat="false" ht="15" hidden="false" customHeight="false" outlineLevel="0" collapsed="false">
      <c r="A14" s="29" t="n">
        <v>45931</v>
      </c>
      <c r="B14" s="9" t="n">
        <f aca="false">COUNTIFS(Trades!$A$2:$A$2161,"SILVER",Trades!$B$2:$B$2161,"V0",Trades!$F$2:$F$2161,$A14)</f>
        <v>4</v>
      </c>
      <c r="C14" s="10" t="n">
        <f aca="false">IF(B14=0,"",COUNTIFS(Trades!$A$2:$A$2161,"SILVER",Trades!$B$2:$B$2161,"V0",Trades!$F$2:$F$2161,$A14,Trades!$M$2:$M$2161,1)/B14)</f>
        <v>0.75</v>
      </c>
      <c r="D14" s="11" t="n">
        <f aca="false">SUMIFS(Trades!$K$2:$K$2161,Trades!$A$2:$A$2161,"SILVER",Trades!$B$2:$B$2161,"V0",Trades!$F$2:$F$2161,$A14)</f>
        <v>823170.3</v>
      </c>
      <c r="E14" s="11" t="n">
        <f aca="false">E13+D14</f>
        <v>807573</v>
      </c>
      <c r="F14" s="9" t="n">
        <f aca="false">COUNTIFS(Trades!$A$2:$A$2161,"SILVER",Trades!$B$2:$B$2161,"V1",Trades!$F$2:$F$2161,$A14)</f>
        <v>2</v>
      </c>
      <c r="G14" s="10" t="n">
        <f aca="false">IF(F14=0,"",COUNTIFS(Trades!$A$2:$A$2161,"SILVER",Trades!$B$2:$B$2161,"V1",Trades!$F$2:$F$2161,$A14,Trades!$M$2:$M$2161,1)/F14)</f>
        <v>1</v>
      </c>
      <c r="H14" s="11" t="n">
        <f aca="false">SUMIFS(Trades!$K$2:$K$2161,Trades!$A$2:$A$2161,"SILVER",Trades!$B$2:$B$2161,"V1",Trades!$F$2:$F$2161,$A14)</f>
        <v>693718.2</v>
      </c>
      <c r="I14" s="11" t="n">
        <f aca="false">I13+H14</f>
        <v>891360.3</v>
      </c>
      <c r="J14" s="9" t="n">
        <f aca="false">COUNTIFS(Trades!$A$2:$A$2161,"SILVER",Trades!$B$2:$B$2161,"W8",Trades!$F$2:$F$2161,$A14)</f>
        <v>2</v>
      </c>
      <c r="K14" s="10" t="n">
        <f aca="false">IF(J14=0,"",COUNTIFS(Trades!$A$2:$A$2161,"SILVER",Trades!$B$2:$B$2161,"W8",Trades!$F$2:$F$2161,$A14,Trades!$M$2:$M$2161,1)/J14)</f>
        <v>1</v>
      </c>
      <c r="L14" s="11" t="n">
        <f aca="false">SUMIFS(Trades!$K$2:$K$2161,Trades!$A$2:$A$2161,"SILVER",Trades!$B$2:$B$2161,"W8",Trades!$F$2:$F$2161,$A14)</f>
        <v>502412.1</v>
      </c>
      <c r="M14" s="11" t="n">
        <f aca="false">M13+L14</f>
        <v>850978.5</v>
      </c>
      <c r="N14" s="9" t="n">
        <f aca="false">COUNTIFS(Trades!$A$2:$A$2161,"SILVER",Trades!$B$2:$B$2161,"W8C",Trades!$F$2:$F$2161,$A14)</f>
        <v>0</v>
      </c>
      <c r="O14" s="10" t="str">
        <f aca="false">IF(N14=0,"",COUNTIFS(Trades!$A$2:$A$2161,"SILVER",Trades!$B$2:$B$2161,"W8C",Trades!$F$2:$F$2161,$A14,Trades!$M$2:$M$2161,1)/N14)</f>
        <v/>
      </c>
      <c r="P14" s="11" t="n">
        <f aca="false">SUMIFS(Trades!$K$2:$K$2161,Trades!$A$2:$A$2161,"SILVER",Trades!$B$2:$B$2161,"W8C",Trades!$F$2:$F$2161,$A14)</f>
        <v>0</v>
      </c>
      <c r="Q14" s="11" t="n">
        <f aca="false">Q13+P14</f>
        <v>273028.2</v>
      </c>
      <c r="R14" s="9" t="n">
        <f aca="false">COUNTIFS(Trades!$A$2:$A$2161,"SILVER",Trades!$B$2:$B$2161,"T6",Trades!$F$2:$F$2161,$A14)</f>
        <v>2</v>
      </c>
      <c r="S14" s="10" t="n">
        <f aca="false">IF(R14=0,"",COUNTIFS(Trades!$A$2:$A$2161,"SILVER",Trades!$B$2:$B$2161,"T6",Trades!$F$2:$F$2161,$A14,Trades!$M$2:$M$2161,1)/R14)</f>
        <v>1</v>
      </c>
      <c r="T14" s="11" t="n">
        <f aca="false">SUMIFS(Trades!$K$2:$K$2161,Trades!$A$2:$A$2161,"SILVER",Trades!$B$2:$B$2161,"T6",Trades!$F$2:$F$2161,$A14)</f>
        <v>305488.5</v>
      </c>
      <c r="U14" s="11" t="n">
        <f aca="false">U13+T14</f>
        <v>850829.1</v>
      </c>
      <c r="V14" s="9" t="n">
        <f aca="false">COUNTIFS(Trades!$A$2:$A$2161,"SILVER",Trades!$B$2:$B$2161,"T7",Trades!$F$2:$F$2161,$A14)</f>
        <v>4</v>
      </c>
      <c r="W14" s="10" t="n">
        <f aca="false">IF(V14=0,"",COUNTIFS(Trades!$A$2:$A$2161,"SILVER",Trades!$B$2:$B$2161,"T7",Trades!$F$2:$F$2161,$A14,Trades!$M$2:$M$2161,1)/V14)</f>
        <v>1</v>
      </c>
      <c r="X14" s="11" t="n">
        <f aca="false">SUMIFS(Trades!$K$2:$K$2161,Trades!$A$2:$A$2161,"SILVER",Trades!$B$2:$B$2161,"T7",Trades!$F$2:$F$2161,$A14)</f>
        <v>362802.9</v>
      </c>
      <c r="Y14" s="11" t="n">
        <f aca="false">Y13+X14</f>
        <v>1108245.9</v>
      </c>
      <c r="Z14" s="9" t="n">
        <f aca="false">COUNTIFS(Trades!$A$2:$A$2161,"SILVER",Trades!$B$2:$B$2161,"U1",Trades!$F$2:$F$2161,$A14)</f>
        <v>7</v>
      </c>
      <c r="AA14" s="10" t="n">
        <f aca="false">IF(Z14=0,"",COUNTIFS(Trades!$A$2:$A$2161,"SILVER",Trades!$B$2:$B$2161,"U1",Trades!$F$2:$F$2161,$A14,Trades!$M$2:$M$2161,1)/Z14)</f>
        <v>0.714285714285714</v>
      </c>
      <c r="AB14" s="11" t="n">
        <f aca="false">SUMIFS(Trades!$K$2:$K$2161,Trades!$A$2:$A$2161,"SILVER",Trades!$B$2:$B$2161,"U1",Trades!$F$2:$F$2161,$A14)</f>
        <v>64409.4</v>
      </c>
      <c r="AC14" s="11" t="n">
        <f aca="false">AC13+AB14</f>
        <v>631209.6</v>
      </c>
      <c r="AD14" s="9" t="n">
        <f aca="false">COUNTIFS(Trades!$A$2:$A$2161,"SILVER",Trades!$B$2:$B$2161,"U9",Trades!$F$2:$F$2161,$A14)</f>
        <v>16</v>
      </c>
      <c r="AE14" s="10" t="n">
        <f aca="false">IF(AD14=0,"",COUNTIFS(Trades!$A$2:$A$2161,"SILVER",Trades!$B$2:$B$2161,"U9",Trades!$F$2:$F$2161,$A14,Trades!$M$2:$M$2161,1)/AD14)</f>
        <v>0.75</v>
      </c>
      <c r="AF14" s="11" t="n">
        <f aca="false">SUMIFS(Trades!$K$2:$K$2161,Trades!$A$2:$A$2161,"SILVER",Trades!$B$2:$B$2161,"U9",Trades!$F$2:$F$2161,$A14)</f>
        <v>252771.6</v>
      </c>
      <c r="AG14" s="11" t="n">
        <f aca="false">AG13+AF14</f>
        <v>869634.3</v>
      </c>
      <c r="AH14" s="9" t="n">
        <f aca="false">COUNTIFS(Trades!$A$2:$A$2161,"SILVER",Trades!$B$2:$B$2161,"Q1",Trades!$F$2:$F$2161,$A14)</f>
        <v>20</v>
      </c>
      <c r="AI14" s="10" t="n">
        <f aca="false">IF(AH14=0,"",COUNTIFS(Trades!$A$2:$A$2161,"SILVER",Trades!$B$2:$B$2161,"Q1",Trades!$F$2:$F$2161,$A14,Trades!$M$2:$M$2161,1)/AH14)</f>
        <v>0.85</v>
      </c>
      <c r="AJ14" s="11" t="n">
        <f aca="false">SUMIFS(Trades!$K$2:$K$2161,Trades!$A$2:$A$2161,"SILVER",Trades!$B$2:$B$2161,"Q1",Trades!$F$2:$F$2161,$A14)</f>
        <v>27714</v>
      </c>
      <c r="AK14" s="11" t="n">
        <f aca="false">AK13+AJ14</f>
        <v>501566.1</v>
      </c>
    </row>
    <row r="15" customFormat="false" ht="15" hidden="false" customHeight="false" outlineLevel="0" collapsed="false">
      <c r="A15" s="29" t="n">
        <v>45962</v>
      </c>
      <c r="B15" s="9" t="n">
        <f aca="false">COUNTIFS(Trades!$A$2:$A$2161,"SILVER",Trades!$B$2:$B$2161,"V0",Trades!$F$2:$F$2161,$A15)</f>
        <v>2</v>
      </c>
      <c r="C15" s="10" t="n">
        <f aca="false">IF(B15=0,"",COUNTIFS(Trades!$A$2:$A$2161,"SILVER",Trades!$B$2:$B$2161,"V0",Trades!$F$2:$F$2161,$A15,Trades!$M$2:$M$2161,1)/B15)</f>
        <v>0.5</v>
      </c>
      <c r="D15" s="11" t="n">
        <f aca="false">SUMIFS(Trades!$K$2:$K$2161,Trades!$A$2:$A$2161,"SILVER",Trades!$B$2:$B$2161,"V0",Trades!$F$2:$F$2161,$A15)</f>
        <v>218063.4</v>
      </c>
      <c r="E15" s="11" t="n">
        <f aca="false">E14+D15</f>
        <v>1025636.4</v>
      </c>
      <c r="F15" s="9" t="n">
        <f aca="false">COUNTIFS(Trades!$A$2:$A$2161,"SILVER",Trades!$B$2:$B$2161,"V1",Trades!$F$2:$F$2161,$A15)</f>
        <v>1</v>
      </c>
      <c r="G15" s="10" t="n">
        <f aca="false">IF(F15=0,"",COUNTIFS(Trades!$A$2:$A$2161,"SILVER",Trades!$B$2:$B$2161,"V1",Trades!$F$2:$F$2161,$A15,Trades!$M$2:$M$2161,1)/F15)</f>
        <v>1</v>
      </c>
      <c r="H15" s="11" t="n">
        <f aca="false">SUMIFS(Trades!$K$2:$K$2161,Trades!$A$2:$A$2161,"SILVER",Trades!$B$2:$B$2161,"V1",Trades!$F$2:$F$2161,$A15)</f>
        <v>271572.9</v>
      </c>
      <c r="I15" s="11" t="n">
        <f aca="false">I14+H15</f>
        <v>1162933.2</v>
      </c>
      <c r="J15" s="9" t="n">
        <f aca="false">COUNTIFS(Trades!$A$2:$A$2161,"SILVER",Trades!$B$2:$B$2161,"W8",Trades!$F$2:$F$2161,$A15)</f>
        <v>1</v>
      </c>
      <c r="K15" s="10" t="n">
        <f aca="false">IF(J15=0,"",COUNTIFS(Trades!$A$2:$A$2161,"SILVER",Trades!$B$2:$B$2161,"W8",Trades!$F$2:$F$2161,$A15,Trades!$M$2:$M$2161,1)/J15)</f>
        <v>1</v>
      </c>
      <c r="L15" s="11" t="n">
        <f aca="false">SUMIFS(Trades!$K$2:$K$2161,Trades!$A$2:$A$2161,"SILVER",Trades!$B$2:$B$2161,"W8",Trades!$F$2:$F$2161,$A15)</f>
        <v>271572.9</v>
      </c>
      <c r="M15" s="11" t="n">
        <f aca="false">M14+L15</f>
        <v>1122551.4</v>
      </c>
      <c r="N15" s="9" t="n">
        <f aca="false">COUNTIFS(Trades!$A$2:$A$2161,"SILVER",Trades!$B$2:$B$2161,"W8C",Trades!$F$2:$F$2161,$A15)</f>
        <v>1</v>
      </c>
      <c r="O15" s="10" t="n">
        <f aca="false">IF(N15=0,"",COUNTIFS(Trades!$A$2:$A$2161,"SILVER",Trades!$B$2:$B$2161,"W8C",Trades!$F$2:$F$2161,$A15,Trades!$M$2:$M$2161,1)/N15)</f>
        <v>1</v>
      </c>
      <c r="P15" s="11" t="n">
        <f aca="false">SUMIFS(Trades!$K$2:$K$2161,Trades!$A$2:$A$2161,"SILVER",Trades!$B$2:$B$2161,"W8C",Trades!$F$2:$F$2161,$A15)</f>
        <v>258881.7</v>
      </c>
      <c r="Q15" s="11" t="n">
        <f aca="false">Q14+P15</f>
        <v>531909.9</v>
      </c>
      <c r="R15" s="9" t="n">
        <f aca="false">COUNTIFS(Trades!$A$2:$A$2161,"SILVER",Trades!$B$2:$B$2161,"T6",Trades!$F$2:$F$2161,$A15)</f>
        <v>2</v>
      </c>
      <c r="S15" s="10" t="n">
        <f aca="false">IF(R15=0,"",COUNTIFS(Trades!$A$2:$A$2161,"SILVER",Trades!$B$2:$B$2161,"T6",Trades!$F$2:$F$2161,$A15,Trades!$M$2:$M$2161,1)/R15)</f>
        <v>0</v>
      </c>
      <c r="T15" s="11" t="n">
        <f aca="false">SUMIFS(Trades!$K$2:$K$2161,Trades!$A$2:$A$2161,"SILVER",Trades!$B$2:$B$2161,"T6",Trades!$F$2:$F$2161,$A15)</f>
        <v>-231587.4</v>
      </c>
      <c r="U15" s="11" t="n">
        <f aca="false">U14+T15</f>
        <v>619241.7</v>
      </c>
      <c r="V15" s="9" t="n">
        <f aca="false">COUNTIFS(Trades!$A$2:$A$2161,"SILVER",Trades!$B$2:$B$2161,"T7",Trades!$F$2:$F$2161,$A15)</f>
        <v>3</v>
      </c>
      <c r="W15" s="10" t="n">
        <f aca="false">IF(V15=0,"",COUNTIFS(Trades!$A$2:$A$2161,"SILVER",Trades!$B$2:$B$2161,"T7",Trades!$F$2:$F$2161,$A15,Trades!$M$2:$M$2161,1)/V15)</f>
        <v>1</v>
      </c>
      <c r="X15" s="11" t="n">
        <f aca="false">SUMIFS(Trades!$K$2:$K$2161,Trades!$A$2:$A$2161,"SILVER",Trades!$B$2:$B$2161,"T7",Trades!$F$2:$F$2161,$A15)</f>
        <v>364507.8</v>
      </c>
      <c r="Y15" s="11" t="n">
        <f aca="false">Y14+X15</f>
        <v>1472753.7</v>
      </c>
      <c r="Z15" s="9" t="n">
        <f aca="false">COUNTIFS(Trades!$A$2:$A$2161,"SILVER",Trades!$B$2:$B$2161,"U1",Trades!$F$2:$F$2161,$A15)</f>
        <v>6</v>
      </c>
      <c r="AA15" s="10" t="n">
        <f aca="false">IF(Z15=0,"",COUNTIFS(Trades!$A$2:$A$2161,"SILVER",Trades!$B$2:$B$2161,"U1",Trades!$F$2:$F$2161,$A15,Trades!$M$2:$M$2161,1)/Z15)</f>
        <v>0.666666666666667</v>
      </c>
      <c r="AB15" s="11" t="n">
        <f aca="false">SUMIFS(Trades!$K$2:$K$2161,Trades!$A$2:$A$2161,"SILVER",Trades!$B$2:$B$2161,"U1",Trades!$F$2:$F$2161,$A15)</f>
        <v>181269</v>
      </c>
      <c r="AC15" s="11" t="n">
        <f aca="false">AC14+AB15</f>
        <v>812478.6</v>
      </c>
      <c r="AD15" s="9" t="n">
        <f aca="false">COUNTIFS(Trades!$A$2:$A$2161,"SILVER",Trades!$B$2:$B$2161,"U9",Trades!$F$2:$F$2161,$A15)</f>
        <v>18</v>
      </c>
      <c r="AE15" s="10" t="n">
        <f aca="false">IF(AD15=0,"",COUNTIFS(Trades!$A$2:$A$2161,"SILVER",Trades!$B$2:$B$2161,"U9",Trades!$F$2:$F$2161,$A15,Trades!$M$2:$M$2161,1)/AD15)</f>
        <v>0.611111111111111</v>
      </c>
      <c r="AF15" s="11" t="n">
        <f aca="false">SUMIFS(Trades!$K$2:$K$2161,Trades!$A$2:$A$2161,"SILVER",Trades!$B$2:$B$2161,"U9",Trades!$F$2:$F$2161,$A15)</f>
        <v>154902</v>
      </c>
      <c r="AG15" s="11" t="n">
        <f aca="false">AG14+AF15</f>
        <v>1024536.3</v>
      </c>
      <c r="AH15" s="9" t="n">
        <f aca="false">COUNTIFS(Trades!$A$2:$A$2161,"SILVER",Trades!$B$2:$B$2161,"Q1",Trades!$F$2:$F$2161,$A15)</f>
        <v>17</v>
      </c>
      <c r="AI15" s="10" t="n">
        <f aca="false">IF(AH15=0,"",COUNTIFS(Trades!$A$2:$A$2161,"SILVER",Trades!$B$2:$B$2161,"Q1",Trades!$F$2:$F$2161,$A15,Trades!$M$2:$M$2161,1)/AH15)</f>
        <v>0.647058823529412</v>
      </c>
      <c r="AJ15" s="11" t="n">
        <f aca="false">SUMIFS(Trades!$K$2:$K$2161,Trades!$A$2:$A$2161,"SILVER",Trades!$B$2:$B$2161,"Q1",Trades!$F$2:$F$2161,$A15)</f>
        <v>199308.3</v>
      </c>
      <c r="AK15" s="11" t="n">
        <f aca="false">AK14+AJ15</f>
        <v>700874.4</v>
      </c>
    </row>
    <row r="16" customFormat="false" ht="15" hidden="false" customHeight="false" outlineLevel="0" collapsed="false">
      <c r="A16" s="29" t="n">
        <v>45992</v>
      </c>
      <c r="B16" s="9" t="n">
        <f aca="false">COUNTIFS(Trades!$A$2:$A$2161,"SILVER",Trades!$B$2:$B$2161,"V0",Trades!$F$2:$F$2161,$A16)</f>
        <v>4</v>
      </c>
      <c r="C16" s="10" t="n">
        <f aca="false">IF(B16=0,"",COUNTIFS(Trades!$A$2:$A$2161,"SILVER",Trades!$B$2:$B$2161,"V0",Trades!$F$2:$F$2161,$A16,Trades!$M$2:$M$2161,1)/B16)</f>
        <v>0.5</v>
      </c>
      <c r="D16" s="11" t="n">
        <f aca="false">SUMIFS(Trades!$K$2:$K$2161,Trades!$A$2:$A$2161,"SILVER",Trades!$B$2:$B$2161,"V0",Trades!$F$2:$F$2161,$A16)</f>
        <v>692823.3</v>
      </c>
      <c r="E16" s="11" t="n">
        <f aca="false">E15+D16</f>
        <v>1718459.7</v>
      </c>
      <c r="F16" s="9" t="n">
        <f aca="false">COUNTIFS(Trades!$A$2:$A$2161,"SILVER",Trades!$B$2:$B$2161,"V1",Trades!$F$2:$F$2161,$A16)</f>
        <v>2</v>
      </c>
      <c r="G16" s="10" t="n">
        <f aca="false">IF(F16=0,"",COUNTIFS(Trades!$A$2:$A$2161,"SILVER",Trades!$B$2:$B$2161,"V1",Trades!$F$2:$F$2161,$A16,Trades!$M$2:$M$2161,1)/F16)</f>
        <v>1</v>
      </c>
      <c r="H16" s="11" t="n">
        <f aca="false">SUMIFS(Trades!$K$2:$K$2161,Trades!$A$2:$A$2161,"SILVER",Trades!$B$2:$B$2161,"V1",Trades!$F$2:$F$2161,$A16)</f>
        <v>1534785.9</v>
      </c>
      <c r="I16" s="11" t="n">
        <f aca="false">I15+H16</f>
        <v>2697719.1</v>
      </c>
      <c r="J16" s="9" t="n">
        <f aca="false">COUNTIFS(Trades!$A$2:$A$2161,"SILVER",Trades!$B$2:$B$2161,"W8",Trades!$F$2:$F$2161,$A16)</f>
        <v>2</v>
      </c>
      <c r="K16" s="10" t="n">
        <f aca="false">IF(J16=0,"",COUNTIFS(Trades!$A$2:$A$2161,"SILVER",Trades!$B$2:$B$2161,"W8",Trades!$F$2:$F$2161,$A16,Trades!$M$2:$M$2161,1)/J16)</f>
        <v>1</v>
      </c>
      <c r="L16" s="11" t="n">
        <f aca="false">SUMIFS(Trades!$K$2:$K$2161,Trades!$A$2:$A$2161,"SILVER",Trades!$B$2:$B$2161,"W8",Trades!$F$2:$F$2161,$A16)</f>
        <v>1534785.9</v>
      </c>
      <c r="M16" s="11" t="n">
        <f aca="false">M15+L16</f>
        <v>2657337.3</v>
      </c>
      <c r="N16" s="9" t="n">
        <f aca="false">COUNTIFS(Trades!$A$2:$A$2161,"SILVER",Trades!$B$2:$B$2161,"W8C",Trades!$F$2:$F$2161,$A16)</f>
        <v>1</v>
      </c>
      <c r="O16" s="10" t="n">
        <f aca="false">IF(N16=0,"",COUNTIFS(Trades!$A$2:$A$2161,"SILVER",Trades!$B$2:$B$2161,"W8C",Trades!$F$2:$F$2161,$A16,Trades!$M$2:$M$2161,1)/N16)</f>
        <v>1</v>
      </c>
      <c r="P16" s="11" t="n">
        <f aca="false">SUMIFS(Trades!$K$2:$K$2161,Trades!$A$2:$A$2161,"SILVER",Trades!$B$2:$B$2161,"W8C",Trades!$F$2:$F$2161,$A16)</f>
        <v>646464.9</v>
      </c>
      <c r="Q16" s="11" t="n">
        <f aca="false">Q15+P16</f>
        <v>1178374.8</v>
      </c>
      <c r="R16" s="9" t="n">
        <f aca="false">COUNTIFS(Trades!$A$2:$A$2161,"SILVER",Trades!$B$2:$B$2161,"T6",Trades!$F$2:$F$2161,$A16)</f>
        <v>3</v>
      </c>
      <c r="S16" s="10" t="n">
        <f aca="false">IF(R16=0,"",COUNTIFS(Trades!$A$2:$A$2161,"SILVER",Trades!$B$2:$B$2161,"T6",Trades!$F$2:$F$2161,$A16,Trades!$M$2:$M$2161,1)/R16)</f>
        <v>0.666666666666667</v>
      </c>
      <c r="T16" s="11" t="n">
        <f aca="false">SUMIFS(Trades!$K$2:$K$2161,Trades!$A$2:$A$2161,"SILVER",Trades!$B$2:$B$2161,"T6",Trades!$F$2:$F$2161,$A16)</f>
        <v>2109762</v>
      </c>
      <c r="U16" s="11" t="n">
        <f aca="false">U15+T16</f>
        <v>2729003.7</v>
      </c>
      <c r="V16" s="9" t="n">
        <f aca="false">COUNTIFS(Trades!$A$2:$A$2161,"SILVER",Trades!$B$2:$B$2161,"T7",Trades!$F$2:$F$2161,$A16)</f>
        <v>3</v>
      </c>
      <c r="W16" s="10" t="n">
        <f aca="false">IF(V16=0,"",COUNTIFS(Trades!$A$2:$A$2161,"SILVER",Trades!$B$2:$B$2161,"T7",Trades!$F$2:$F$2161,$A16,Trades!$M$2:$M$2161,1)/V16)</f>
        <v>0.666666666666667</v>
      </c>
      <c r="X16" s="11" t="n">
        <f aca="false">SUMIFS(Trades!$K$2:$K$2161,Trades!$A$2:$A$2161,"SILVER",Trades!$B$2:$B$2161,"T7",Trades!$F$2:$F$2161,$A16)</f>
        <v>1527627.6</v>
      </c>
      <c r="Y16" s="11" t="n">
        <f aca="false">Y15+X16</f>
        <v>3000381.3</v>
      </c>
      <c r="Z16" s="9" t="n">
        <f aca="false">COUNTIFS(Trades!$A$2:$A$2161,"SILVER",Trades!$B$2:$B$2161,"U1",Trades!$F$2:$F$2161,$A16)</f>
        <v>10</v>
      </c>
      <c r="AA16" s="10" t="n">
        <f aca="false">IF(Z16=0,"",COUNTIFS(Trades!$A$2:$A$2161,"SILVER",Trades!$B$2:$B$2161,"U1",Trades!$F$2:$F$2161,$A16,Trades!$M$2:$M$2161,1)/Z16)</f>
        <v>0.6</v>
      </c>
      <c r="AB16" s="11" t="n">
        <f aca="false">SUMIFS(Trades!$K$2:$K$2161,Trades!$A$2:$A$2161,"SILVER",Trades!$B$2:$B$2161,"U1",Trades!$F$2:$F$2161,$A16)</f>
        <v>974662.2</v>
      </c>
      <c r="AC16" s="11" t="n">
        <f aca="false">AC15+AB16</f>
        <v>1787140.8</v>
      </c>
      <c r="AD16" s="9" t="n">
        <f aca="false">COUNTIFS(Trades!$A$2:$A$2161,"SILVER",Trades!$B$2:$B$2161,"U9",Trades!$F$2:$F$2161,$A16)</f>
        <v>20</v>
      </c>
      <c r="AE16" s="10" t="n">
        <f aca="false">IF(AD16=0,"",COUNTIFS(Trades!$A$2:$A$2161,"SILVER",Trades!$B$2:$B$2161,"U9",Trades!$F$2:$F$2161,$A16,Trades!$M$2:$M$2161,1)/AD16)</f>
        <v>0.75</v>
      </c>
      <c r="AF16" s="11" t="n">
        <f aca="false">SUMIFS(Trades!$K$2:$K$2161,Trades!$A$2:$A$2161,"SILVER",Trades!$B$2:$B$2161,"U9",Trades!$F$2:$F$2161,$A16)</f>
        <v>1288905.6</v>
      </c>
      <c r="AG16" s="11" t="n">
        <f aca="false">AG15+AF16</f>
        <v>2313441.9</v>
      </c>
      <c r="AH16" s="9" t="n">
        <f aca="false">COUNTIFS(Trades!$A$2:$A$2161,"SILVER",Trades!$B$2:$B$2161,"Q1",Trades!$F$2:$F$2161,$A16)</f>
        <v>23</v>
      </c>
      <c r="AI16" s="10" t="n">
        <f aca="false">IF(AH16=0,"",COUNTIFS(Trades!$A$2:$A$2161,"SILVER",Trades!$B$2:$B$2161,"Q1",Trades!$F$2:$F$2161,$A16,Trades!$M$2:$M$2161,1)/AH16)</f>
        <v>0.739130434782609</v>
      </c>
      <c r="AJ16" s="11" t="n">
        <f aca="false">SUMIFS(Trades!$K$2:$K$2161,Trades!$A$2:$A$2161,"SILVER",Trades!$B$2:$B$2161,"Q1",Trades!$F$2:$F$2161,$A16)</f>
        <v>1041273.3</v>
      </c>
      <c r="AK16" s="11" t="n">
        <f aca="false">AK15+AJ16</f>
        <v>1742147.7</v>
      </c>
    </row>
    <row r="17" customFormat="false" ht="15" hidden="false" customHeight="false" outlineLevel="0" collapsed="false">
      <c r="A17" s="29" t="n">
        <v>46023</v>
      </c>
      <c r="B17" s="9" t="n">
        <f aca="false">COUNTIFS(Trades!$A$2:$A$2161,"SILVER",Trades!$B$2:$B$2161,"V0",Trades!$F$2:$F$2161,$A17)</f>
        <v>5</v>
      </c>
      <c r="C17" s="10" t="n">
        <f aca="false">IF(B17=0,"",COUNTIFS(Trades!$A$2:$A$2161,"SILVER",Trades!$B$2:$B$2161,"V0",Trades!$F$2:$F$2161,$A17,Trades!$M$2:$M$2161,1)/B17)</f>
        <v>0.6</v>
      </c>
      <c r="D17" s="11" t="n">
        <f aca="false">SUMIFS(Trades!$K$2:$K$2161,Trades!$A$2:$A$2161,"SILVER",Trades!$B$2:$B$2161,"V0",Trades!$F$2:$F$2161,$A17)</f>
        <v>-86237.6999999998</v>
      </c>
      <c r="E17" s="11" t="n">
        <f aca="false">E16+D17</f>
        <v>1632222</v>
      </c>
      <c r="F17" s="9" t="n">
        <f aca="false">COUNTIFS(Trades!$A$2:$A$2161,"SILVER",Trades!$B$2:$B$2161,"V1",Trades!$F$2:$F$2161,$A17)</f>
        <v>3</v>
      </c>
      <c r="G17" s="10" t="n">
        <f aca="false">IF(F17=0,"",COUNTIFS(Trades!$A$2:$A$2161,"SILVER",Trades!$B$2:$B$2161,"V1",Trades!$F$2:$F$2161,$A17,Trades!$M$2:$M$2161,1)/F17)</f>
        <v>1</v>
      </c>
      <c r="H17" s="11" t="n">
        <f aca="false">SUMIFS(Trades!$K$2:$K$2161,Trades!$A$2:$A$2161,"SILVER",Trades!$B$2:$B$2161,"V1",Trades!$F$2:$F$2161,$A17)</f>
        <v>1803102.9</v>
      </c>
      <c r="I17" s="11" t="n">
        <f aca="false">I16+H17</f>
        <v>4500822</v>
      </c>
      <c r="J17" s="9" t="n">
        <f aca="false">COUNTIFS(Trades!$A$2:$A$2161,"SILVER",Trades!$B$2:$B$2161,"W8",Trades!$F$2:$F$2161,$A17)</f>
        <v>3</v>
      </c>
      <c r="K17" s="10" t="n">
        <f aca="false">IF(J17=0,"",COUNTIFS(Trades!$A$2:$A$2161,"SILVER",Trades!$B$2:$B$2161,"W8",Trades!$F$2:$F$2161,$A17,Trades!$M$2:$M$2161,1)/J17)</f>
        <v>1</v>
      </c>
      <c r="L17" s="11" t="n">
        <f aca="false">SUMIFS(Trades!$K$2:$K$2161,Trades!$A$2:$A$2161,"SILVER",Trades!$B$2:$B$2161,"W8",Trades!$F$2:$F$2161,$A17)</f>
        <v>1691348.4</v>
      </c>
      <c r="M17" s="11" t="n">
        <f aca="false">M16+L17</f>
        <v>4348685.7</v>
      </c>
      <c r="N17" s="9" t="n">
        <f aca="false">COUNTIFS(Trades!$A$2:$A$2161,"SILVER",Trades!$B$2:$B$2161,"W8C",Trades!$F$2:$F$2161,$A17)</f>
        <v>1</v>
      </c>
      <c r="O17" s="10" t="n">
        <f aca="false">IF(N17=0,"",COUNTIFS(Trades!$A$2:$A$2161,"SILVER",Trades!$B$2:$B$2161,"W8C",Trades!$F$2:$F$2161,$A17,Trades!$M$2:$M$2161,1)/N17)</f>
        <v>1</v>
      </c>
      <c r="P17" s="11" t="n">
        <f aca="false">SUMIFS(Trades!$K$2:$K$2161,Trades!$A$2:$A$2161,"SILVER",Trades!$B$2:$B$2161,"W8C",Trades!$F$2:$F$2161,$A17)</f>
        <v>1529008.2</v>
      </c>
      <c r="Q17" s="11" t="n">
        <f aca="false">Q16+P17</f>
        <v>2707383</v>
      </c>
      <c r="R17" s="9" t="n">
        <f aca="false">COUNTIFS(Trades!$A$2:$A$2161,"SILVER",Trades!$B$2:$B$2161,"T6",Trades!$F$2:$F$2161,$A17)</f>
        <v>3</v>
      </c>
      <c r="S17" s="10" t="n">
        <f aca="false">IF(R17=0,"",COUNTIFS(Trades!$A$2:$A$2161,"SILVER",Trades!$B$2:$B$2161,"T6",Trades!$F$2:$F$2161,$A17,Trades!$M$2:$M$2161,1)/R17)</f>
        <v>1</v>
      </c>
      <c r="T17" s="11" t="n">
        <f aca="false">SUMIFS(Trades!$K$2:$K$2161,Trades!$A$2:$A$2161,"SILVER",Trades!$B$2:$B$2161,"T6",Trades!$F$2:$F$2161,$A17)</f>
        <v>3074079</v>
      </c>
      <c r="U17" s="11" t="n">
        <f aca="false">U16+T17</f>
        <v>5803082.7</v>
      </c>
      <c r="V17" s="9" t="n">
        <f aca="false">COUNTIFS(Trades!$A$2:$A$2161,"SILVER",Trades!$B$2:$B$2161,"T7",Trades!$F$2:$F$2161,$A17)</f>
        <v>3</v>
      </c>
      <c r="W17" s="10" t="n">
        <f aca="false">IF(V17=0,"",COUNTIFS(Trades!$A$2:$A$2161,"SILVER",Trades!$B$2:$B$2161,"T7",Trades!$F$2:$F$2161,$A17,Trades!$M$2:$M$2161,1)/V17)</f>
        <v>1</v>
      </c>
      <c r="X17" s="11" t="n">
        <f aca="false">SUMIFS(Trades!$K$2:$K$2161,Trades!$A$2:$A$2161,"SILVER",Trades!$B$2:$B$2161,"T7",Trades!$F$2:$F$2161,$A17)</f>
        <v>3048620.7</v>
      </c>
      <c r="Y17" s="11" t="n">
        <f aca="false">Y16+X17</f>
        <v>6049002</v>
      </c>
      <c r="Z17" s="9" t="n">
        <f aca="false">COUNTIFS(Trades!$A$2:$A$2161,"SILVER",Trades!$B$2:$B$2161,"U1",Trades!$F$2:$F$2161,$A17)</f>
        <v>7</v>
      </c>
      <c r="AA17" s="10" t="n">
        <f aca="false">IF(Z17=0,"",COUNTIFS(Trades!$A$2:$A$2161,"SILVER",Trades!$B$2:$B$2161,"U1",Trades!$F$2:$F$2161,$A17,Trades!$M$2:$M$2161,1)/Z17)</f>
        <v>0.857142857142857</v>
      </c>
      <c r="AB17" s="11" t="n">
        <f aca="false">SUMIFS(Trades!$K$2:$K$2161,Trades!$A$2:$A$2161,"SILVER",Trades!$B$2:$B$2161,"U1",Trades!$F$2:$F$2161,$A17)</f>
        <v>2450633.4</v>
      </c>
      <c r="AC17" s="11" t="n">
        <f aca="false">AC16+AB17</f>
        <v>4237774.2</v>
      </c>
      <c r="AD17" s="9" t="n">
        <f aca="false">COUNTIFS(Trades!$A$2:$A$2161,"SILVER",Trades!$B$2:$B$2161,"U9",Trades!$F$2:$F$2161,$A17)</f>
        <v>17</v>
      </c>
      <c r="AE17" s="10" t="n">
        <f aca="false">IF(AD17=0,"",COUNTIFS(Trades!$A$2:$A$2161,"SILVER",Trades!$B$2:$B$2161,"U9",Trades!$F$2:$F$2161,$A17,Trades!$M$2:$M$2161,1)/AD17)</f>
        <v>0.764705882352941</v>
      </c>
      <c r="AF17" s="11" t="n">
        <f aca="false">SUMIFS(Trades!$K$2:$K$2161,Trades!$A$2:$A$2161,"SILVER",Trades!$B$2:$B$2161,"U9",Trades!$F$2:$F$2161,$A17)</f>
        <v>3535317.3</v>
      </c>
      <c r="AG17" s="11" t="n">
        <f aca="false">AG16+AF17</f>
        <v>5848759.2</v>
      </c>
      <c r="AH17" s="9" t="n">
        <f aca="false">COUNTIFS(Trades!$A$2:$A$2161,"SILVER",Trades!$B$2:$B$2161,"Q1",Trades!$F$2:$F$2161,$A17)</f>
        <v>20</v>
      </c>
      <c r="AI17" s="10" t="n">
        <f aca="false">IF(AH17=0,"",COUNTIFS(Trades!$A$2:$A$2161,"SILVER",Trades!$B$2:$B$2161,"Q1",Trades!$F$2:$F$2161,$A17,Trades!$M$2:$M$2161,1)/AH17)</f>
        <v>0.9</v>
      </c>
      <c r="AJ17" s="11" t="n">
        <f aca="false">SUMIFS(Trades!$K$2:$K$2161,Trades!$A$2:$A$2161,"SILVER",Trades!$B$2:$B$2161,"Q1",Trades!$F$2:$F$2161,$A17)</f>
        <v>2114211.9</v>
      </c>
      <c r="AK17" s="11" t="n">
        <f aca="false">AK16+AJ17</f>
        <v>3856359.6</v>
      </c>
    </row>
    <row r="18" customFormat="false" ht="15" hidden="false" customHeight="false" outlineLevel="0" collapsed="false">
      <c r="A18" s="29" t="n">
        <v>46054</v>
      </c>
      <c r="B18" s="9" t="n">
        <f aca="false">COUNTIFS(Trades!$A$2:$A$2161,"SILVER",Trades!$B$2:$B$2161,"V0",Trades!$F$2:$F$2161,$A18)</f>
        <v>1</v>
      </c>
      <c r="C18" s="10" t="n">
        <f aca="false">IF(B18=0,"",COUNTIFS(Trades!$A$2:$A$2161,"SILVER",Trades!$B$2:$B$2161,"V0",Trades!$F$2:$F$2161,$A18,Trades!$M$2:$M$2161,1)/B18)</f>
        <v>1</v>
      </c>
      <c r="D18" s="11" t="n">
        <f aca="false">SUMIFS(Trades!$K$2:$K$2161,Trades!$A$2:$A$2161,"SILVER",Trades!$B$2:$B$2161,"V0",Trades!$F$2:$F$2161,$A18)</f>
        <v>3432137.1</v>
      </c>
      <c r="E18" s="11" t="n">
        <f aca="false">E17+D18</f>
        <v>5064359.1</v>
      </c>
      <c r="F18" s="9" t="n">
        <f aca="false">COUNTIFS(Trades!$A$2:$A$2161,"SILVER",Trades!$B$2:$B$2161,"V1",Trades!$F$2:$F$2161,$A18)</f>
        <v>0</v>
      </c>
      <c r="G18" s="10" t="str">
        <f aca="false">IF(F18=0,"",COUNTIFS(Trades!$A$2:$A$2161,"SILVER",Trades!$B$2:$B$2161,"V1",Trades!$F$2:$F$2161,$A18,Trades!$M$2:$M$2161,1)/F18)</f>
        <v/>
      </c>
      <c r="H18" s="11" t="n">
        <f aca="false">SUMIFS(Trades!$K$2:$K$2161,Trades!$A$2:$A$2161,"SILVER",Trades!$B$2:$B$2161,"V1",Trades!$F$2:$F$2161,$A18)</f>
        <v>0</v>
      </c>
      <c r="I18" s="11" t="n">
        <f aca="false">I17+H18</f>
        <v>4500822</v>
      </c>
      <c r="J18" s="9" t="n">
        <f aca="false">COUNTIFS(Trades!$A$2:$A$2161,"SILVER",Trades!$B$2:$B$2161,"W8",Trades!$F$2:$F$2161,$A18)</f>
        <v>0</v>
      </c>
      <c r="K18" s="10" t="str">
        <f aca="false">IF(J18=0,"",COUNTIFS(Trades!$A$2:$A$2161,"SILVER",Trades!$B$2:$B$2161,"W8",Trades!$F$2:$F$2161,$A18,Trades!$M$2:$M$2161,1)/J18)</f>
        <v/>
      </c>
      <c r="L18" s="11" t="n">
        <f aca="false">SUMIFS(Trades!$K$2:$K$2161,Trades!$A$2:$A$2161,"SILVER",Trades!$B$2:$B$2161,"W8",Trades!$F$2:$F$2161,$A18)</f>
        <v>0</v>
      </c>
      <c r="M18" s="11" t="n">
        <f aca="false">M17+L18</f>
        <v>4348685.7</v>
      </c>
      <c r="N18" s="9" t="n">
        <f aca="false">COUNTIFS(Trades!$A$2:$A$2161,"SILVER",Trades!$B$2:$B$2161,"W8C",Trades!$F$2:$F$2161,$A18)</f>
        <v>0</v>
      </c>
      <c r="O18" s="10" t="str">
        <f aca="false">IF(N18=0,"",COUNTIFS(Trades!$A$2:$A$2161,"SILVER",Trades!$B$2:$B$2161,"W8C",Trades!$F$2:$F$2161,$A18,Trades!$M$2:$M$2161,1)/N18)</f>
        <v/>
      </c>
      <c r="P18" s="11" t="n">
        <f aca="false">SUMIFS(Trades!$K$2:$K$2161,Trades!$A$2:$A$2161,"SILVER",Trades!$B$2:$B$2161,"W8C",Trades!$F$2:$F$2161,$A18)</f>
        <v>0</v>
      </c>
      <c r="Q18" s="11" t="n">
        <f aca="false">Q17+P18</f>
        <v>2707383</v>
      </c>
      <c r="R18" s="9" t="n">
        <f aca="false">COUNTIFS(Trades!$A$2:$A$2161,"SILVER",Trades!$B$2:$B$2161,"T6",Trades!$F$2:$F$2161,$A18)</f>
        <v>2</v>
      </c>
      <c r="S18" s="10" t="n">
        <f aca="false">IF(R18=0,"",COUNTIFS(Trades!$A$2:$A$2161,"SILVER",Trades!$B$2:$B$2161,"T6",Trades!$F$2:$F$2161,$A18,Trades!$M$2:$M$2161,1)/R18)</f>
        <v>0.5</v>
      </c>
      <c r="T18" s="11" t="n">
        <f aca="false">SUMIFS(Trades!$K$2:$K$2161,Trades!$A$2:$A$2161,"SILVER",Trades!$B$2:$B$2161,"T6",Trades!$F$2:$F$2161,$A18)</f>
        <v>-263768.7</v>
      </c>
      <c r="U18" s="11" t="n">
        <f aca="false">U17+T18</f>
        <v>5539314</v>
      </c>
      <c r="V18" s="9" t="n">
        <f aca="false">COUNTIFS(Trades!$A$2:$A$2161,"SILVER",Trades!$B$2:$B$2161,"T7",Trades!$F$2:$F$2161,$A18)</f>
        <v>5</v>
      </c>
      <c r="W18" s="10" t="n">
        <f aca="false">IF(V18=0,"",COUNTIFS(Trades!$A$2:$A$2161,"SILVER",Trades!$B$2:$B$2161,"T7",Trades!$F$2:$F$2161,$A18,Trades!$M$2:$M$2161,1)/V18)</f>
        <v>0.6</v>
      </c>
      <c r="X18" s="11" t="n">
        <f aca="false">SUMIFS(Trades!$K$2:$K$2161,Trades!$A$2:$A$2161,"SILVER",Trades!$B$2:$B$2161,"T7",Trades!$F$2:$F$2161,$A18)</f>
        <v>-776022</v>
      </c>
      <c r="Y18" s="11" t="n">
        <f aca="false">Y17+X18</f>
        <v>5272980</v>
      </c>
      <c r="Z18" s="9" t="n">
        <f aca="false">COUNTIFS(Trades!$A$2:$A$2161,"SILVER",Trades!$B$2:$B$2161,"U1",Trades!$F$2:$F$2161,$A18)</f>
        <v>6</v>
      </c>
      <c r="AA18" s="10" t="n">
        <f aca="false">IF(Z18=0,"",COUNTIFS(Trades!$A$2:$A$2161,"SILVER",Trades!$B$2:$B$2161,"U1",Trades!$F$2:$F$2161,$A18,Trades!$M$2:$M$2161,1)/Z18)</f>
        <v>0.5</v>
      </c>
      <c r="AB18" s="11" t="n">
        <f aca="false">SUMIFS(Trades!$K$2:$K$2161,Trades!$A$2:$A$2161,"SILVER",Trades!$B$2:$B$2161,"U1",Trades!$F$2:$F$2161,$A18)</f>
        <v>65351.4</v>
      </c>
      <c r="AC18" s="11" t="n">
        <f aca="false">AC17+AB18</f>
        <v>4303125.6</v>
      </c>
      <c r="AD18" s="9" t="n">
        <f aca="false">COUNTIFS(Trades!$A$2:$A$2161,"SILVER",Trades!$B$2:$B$2161,"U9",Trades!$F$2:$F$2161,$A18)</f>
        <v>16</v>
      </c>
      <c r="AE18" s="10" t="n">
        <f aca="false">IF(AD18=0,"",COUNTIFS(Trades!$A$2:$A$2161,"SILVER",Trades!$B$2:$B$2161,"U9",Trades!$F$2:$F$2161,$A18,Trades!$M$2:$M$2161,1)/AD18)</f>
        <v>0.5</v>
      </c>
      <c r="AF18" s="11" t="n">
        <f aca="false">SUMIFS(Trades!$K$2:$K$2161,Trades!$A$2:$A$2161,"SILVER",Trades!$B$2:$B$2161,"U9",Trades!$F$2:$F$2161,$A18)</f>
        <v>-58741.7999999999</v>
      </c>
      <c r="AG18" s="11" t="n">
        <f aca="false">AG17+AF18</f>
        <v>5790017.4</v>
      </c>
      <c r="AH18" s="9" t="n">
        <f aca="false">COUNTIFS(Trades!$A$2:$A$2161,"SILVER",Trades!$B$2:$B$2161,"Q1",Trades!$F$2:$F$2161,$A18)</f>
        <v>16</v>
      </c>
      <c r="AI18" s="10" t="n">
        <f aca="false">IF(AH18=0,"",COUNTIFS(Trades!$A$2:$A$2161,"SILVER",Trades!$B$2:$B$2161,"Q1",Trades!$F$2:$F$2161,$A18,Trades!$M$2:$M$2161,1)/AH18)</f>
        <v>0.8125</v>
      </c>
      <c r="AJ18" s="11" t="n">
        <f aca="false">SUMIFS(Trades!$K$2:$K$2161,Trades!$A$2:$A$2161,"SILVER",Trades!$B$2:$B$2161,"Q1",Trades!$F$2:$F$2161,$A18)</f>
        <v>1543784.1</v>
      </c>
      <c r="AK18" s="11" t="n">
        <f aca="false">AK17+AJ18</f>
        <v>5400143.7</v>
      </c>
    </row>
    <row r="19" customFormat="false" ht="15" hidden="false" customHeight="false" outlineLevel="0" collapsed="false">
      <c r="A19" s="29" t="n">
        <v>46082</v>
      </c>
      <c r="B19" s="9" t="n">
        <f aca="false">COUNTIFS(Trades!$A$2:$A$2161,"SILVER",Trades!$B$2:$B$2161,"V0",Trades!$F$2:$F$2161,$A19)</f>
        <v>4</v>
      </c>
      <c r="C19" s="10" t="n">
        <f aca="false">IF(B19=0,"",COUNTIFS(Trades!$A$2:$A$2161,"SILVER",Trades!$B$2:$B$2161,"V0",Trades!$F$2:$F$2161,$A19,Trades!$M$2:$M$2161,1)/B19)</f>
        <v>0.75</v>
      </c>
      <c r="D19" s="11" t="n">
        <f aca="false">SUMIFS(Trades!$K$2:$K$2161,Trades!$A$2:$A$2161,"SILVER",Trades!$B$2:$B$2161,"V0",Trades!$F$2:$F$2161,$A19)</f>
        <v>983074.2</v>
      </c>
      <c r="E19" s="11" t="n">
        <f aca="false">E18+D19</f>
        <v>6047433.3</v>
      </c>
      <c r="F19" s="9" t="n">
        <f aca="false">COUNTIFS(Trades!$A$2:$A$2161,"SILVER",Trades!$B$2:$B$2161,"V1",Trades!$F$2:$F$2161,$A19)</f>
        <v>2</v>
      </c>
      <c r="G19" s="10" t="n">
        <f aca="false">IF(F19=0,"",COUNTIFS(Trades!$A$2:$A$2161,"SILVER",Trades!$B$2:$B$2161,"V1",Trades!$F$2:$F$2161,$A19,Trades!$M$2:$M$2161,1)/F19)</f>
        <v>1</v>
      </c>
      <c r="H19" s="11" t="n">
        <f aca="false">SUMIFS(Trades!$K$2:$K$2161,Trades!$A$2:$A$2161,"SILVER",Trades!$B$2:$B$2161,"V1",Trades!$F$2:$F$2161,$A19)</f>
        <v>857501.4</v>
      </c>
      <c r="I19" s="11" t="n">
        <f aca="false">I18+H19</f>
        <v>5358323.4</v>
      </c>
      <c r="J19" s="9" t="n">
        <f aca="false">COUNTIFS(Trades!$A$2:$A$2161,"SILVER",Trades!$B$2:$B$2161,"W8",Trades!$F$2:$F$2161,$A19)</f>
        <v>2</v>
      </c>
      <c r="K19" s="10" t="n">
        <f aca="false">IF(J19=0,"",COUNTIFS(Trades!$A$2:$A$2161,"SILVER",Trades!$B$2:$B$2161,"W8",Trades!$F$2:$F$2161,$A19,Trades!$M$2:$M$2161,1)/J19)</f>
        <v>1</v>
      </c>
      <c r="L19" s="11" t="n">
        <f aca="false">SUMIFS(Trades!$K$2:$K$2161,Trades!$A$2:$A$2161,"SILVER",Trades!$B$2:$B$2161,"W8",Trades!$F$2:$F$2161,$A19)</f>
        <v>106562.7</v>
      </c>
      <c r="M19" s="11" t="n">
        <f aca="false">M18+L19</f>
        <v>4455248.4</v>
      </c>
      <c r="N19" s="9" t="n">
        <f aca="false">COUNTIFS(Trades!$A$2:$A$2161,"SILVER",Trades!$B$2:$B$2161,"W8C",Trades!$F$2:$F$2161,$A19)</f>
        <v>1</v>
      </c>
      <c r="O19" s="10" t="n">
        <f aca="false">IF(N19=0,"",COUNTIFS(Trades!$A$2:$A$2161,"SILVER",Trades!$B$2:$B$2161,"W8C",Trades!$F$2:$F$2161,$A19,Trades!$M$2:$M$2161,1)/N19)</f>
        <v>1</v>
      </c>
      <c r="P19" s="11" t="n">
        <f aca="false">SUMIFS(Trades!$K$2:$K$2161,Trades!$A$2:$A$2161,"SILVER",Trades!$B$2:$B$2161,"W8C",Trades!$F$2:$F$2161,$A19)</f>
        <v>14418.3</v>
      </c>
      <c r="Q19" s="11" t="n">
        <f aca="false">Q18+P19</f>
        <v>2721801.3</v>
      </c>
      <c r="R19" s="9" t="n">
        <f aca="false">COUNTIFS(Trades!$A$2:$A$2161,"SILVER",Trades!$B$2:$B$2161,"T6",Trades!$F$2:$F$2161,$A19)</f>
        <v>5</v>
      </c>
      <c r="S19" s="10" t="n">
        <f aca="false">IF(R19=0,"",COUNTIFS(Trades!$A$2:$A$2161,"SILVER",Trades!$B$2:$B$2161,"T6",Trades!$F$2:$F$2161,$A19,Trades!$M$2:$M$2161,1)/R19)</f>
        <v>0.8</v>
      </c>
      <c r="T19" s="11" t="n">
        <f aca="false">SUMIFS(Trades!$K$2:$K$2161,Trades!$A$2:$A$2161,"SILVER",Trades!$B$2:$B$2161,"T6",Trades!$F$2:$F$2161,$A19)</f>
        <v>-35208</v>
      </c>
      <c r="U19" s="11" t="n">
        <f aca="false">U18+T19</f>
        <v>5504106</v>
      </c>
      <c r="V19" s="9" t="n">
        <f aca="false">COUNTIFS(Trades!$A$2:$A$2161,"SILVER",Trades!$B$2:$B$2161,"T7",Trades!$F$2:$F$2161,$A19)</f>
        <v>6</v>
      </c>
      <c r="W19" s="10" t="n">
        <f aca="false">IF(V19=0,"",COUNTIFS(Trades!$A$2:$A$2161,"SILVER",Trades!$B$2:$B$2161,"T7",Trades!$F$2:$F$2161,$A19,Trades!$M$2:$M$2161,1)/V19)</f>
        <v>0.833333333333333</v>
      </c>
      <c r="X19" s="11" t="n">
        <f aca="false">SUMIFS(Trades!$K$2:$K$2161,Trades!$A$2:$A$2161,"SILVER",Trades!$B$2:$B$2161,"T7",Trades!$F$2:$F$2161,$A19)</f>
        <v>288692.4</v>
      </c>
      <c r="Y19" s="11" t="n">
        <f aca="false">Y18+X19</f>
        <v>5561672.4</v>
      </c>
      <c r="Z19" s="9" t="n">
        <f aca="false">COUNTIFS(Trades!$A$2:$A$2161,"SILVER",Trades!$B$2:$B$2161,"U1",Trades!$F$2:$F$2161,$A19)</f>
        <v>7</v>
      </c>
      <c r="AA19" s="10" t="n">
        <f aca="false">IF(Z19=0,"",COUNTIFS(Trades!$A$2:$A$2161,"SILVER",Trades!$B$2:$B$2161,"U1",Trades!$F$2:$F$2161,$A19,Trades!$M$2:$M$2161,1)/Z19)</f>
        <v>0.857142857142857</v>
      </c>
      <c r="AB19" s="11" t="n">
        <f aca="false">SUMIFS(Trades!$K$2:$K$2161,Trades!$A$2:$A$2161,"SILVER",Trades!$B$2:$B$2161,"U1",Trades!$F$2:$F$2161,$A19)</f>
        <v>891603.6</v>
      </c>
      <c r="AC19" s="11" t="n">
        <f aca="false">AC18+AB19</f>
        <v>5194729.2</v>
      </c>
      <c r="AD19" s="9" t="n">
        <f aca="false">COUNTIFS(Trades!$A$2:$A$2161,"SILVER",Trades!$B$2:$B$2161,"U9",Trades!$F$2:$F$2161,$A19)</f>
        <v>18</v>
      </c>
      <c r="AE19" s="10" t="n">
        <f aca="false">IF(AD19=0,"",COUNTIFS(Trades!$A$2:$A$2161,"SILVER",Trades!$B$2:$B$2161,"U9",Trades!$F$2:$F$2161,$A19,Trades!$M$2:$M$2161,1)/AD19)</f>
        <v>0.555555555555556</v>
      </c>
      <c r="AF19" s="11" t="n">
        <f aca="false">SUMIFS(Trades!$K$2:$K$2161,Trades!$A$2:$A$2161,"SILVER",Trades!$B$2:$B$2161,"U9",Trades!$F$2:$F$2161,$A19)</f>
        <v>873459</v>
      </c>
      <c r="AG19" s="11" t="n">
        <f aca="false">AG18+AF19</f>
        <v>6663476.4</v>
      </c>
      <c r="AH19" s="9" t="n">
        <f aca="false">COUNTIFS(Trades!$A$2:$A$2161,"SILVER",Trades!$B$2:$B$2161,"Q1",Trades!$F$2:$F$2161,$A19)</f>
        <v>17</v>
      </c>
      <c r="AI19" s="10" t="n">
        <f aca="false">IF(AH19=0,"",COUNTIFS(Trades!$A$2:$A$2161,"SILVER",Trades!$B$2:$B$2161,"Q1",Trades!$F$2:$F$2161,$A19,Trades!$M$2:$M$2161,1)/AH19)</f>
        <v>0.705882352941177</v>
      </c>
      <c r="AJ19" s="11" t="n">
        <f aca="false">SUMIFS(Trades!$K$2:$K$2161,Trades!$A$2:$A$2161,"SILVER",Trades!$B$2:$B$2161,"Q1",Trades!$F$2:$F$2161,$A19)</f>
        <v>611038.2</v>
      </c>
      <c r="AK19" s="11" t="n">
        <f aca="false">AK18+AJ19</f>
        <v>6011181.9</v>
      </c>
    </row>
    <row r="20" customFormat="false" ht="15" hidden="false" customHeight="false" outlineLevel="0" collapsed="false">
      <c r="A20" s="29" t="n">
        <v>46113</v>
      </c>
      <c r="B20" s="9" t="n">
        <f aca="false">COUNTIFS(Trades!$A$2:$A$2161,"SILVER",Trades!$B$2:$B$2161,"V0",Trades!$F$2:$F$2161,$A20)</f>
        <v>3</v>
      </c>
      <c r="C20" s="10" t="n">
        <f aca="false">IF(B20=0,"",COUNTIFS(Trades!$A$2:$A$2161,"SILVER",Trades!$B$2:$B$2161,"V0",Trades!$F$2:$F$2161,$A20,Trades!$M$2:$M$2161,1)/B20)</f>
        <v>0.333333333333333</v>
      </c>
      <c r="D20" s="11" t="n">
        <f aca="false">SUMIFS(Trades!$K$2:$K$2161,Trades!$A$2:$A$2161,"SILVER",Trades!$B$2:$B$2161,"V0",Trades!$F$2:$F$2161,$A20)</f>
        <v>-795427.2</v>
      </c>
      <c r="E20" s="11" t="n">
        <f aca="false">E19+D20</f>
        <v>5252006.1</v>
      </c>
      <c r="F20" s="9" t="n">
        <f aca="false">COUNTIFS(Trades!$A$2:$A$2161,"SILVER",Trades!$B$2:$B$2161,"V1",Trades!$F$2:$F$2161,$A20)</f>
        <v>1</v>
      </c>
      <c r="G20" s="10" t="n">
        <f aca="false">IF(F20=0,"",COUNTIFS(Trades!$A$2:$A$2161,"SILVER",Trades!$B$2:$B$2161,"V1",Trades!$F$2:$F$2161,$A20,Trades!$M$2:$M$2161,1)/F20)</f>
        <v>0</v>
      </c>
      <c r="H20" s="11" t="n">
        <f aca="false">SUMIFS(Trades!$K$2:$K$2161,Trades!$A$2:$A$2161,"SILVER",Trades!$B$2:$B$2161,"V1",Trades!$F$2:$F$2161,$A20)</f>
        <v>-528600.9</v>
      </c>
      <c r="I20" s="11" t="n">
        <f aca="false">I19+H20</f>
        <v>4829722.5</v>
      </c>
      <c r="J20" s="9" t="n">
        <f aca="false">COUNTIFS(Trades!$A$2:$A$2161,"SILVER",Trades!$B$2:$B$2161,"W8",Trades!$F$2:$F$2161,$A20)</f>
        <v>2</v>
      </c>
      <c r="K20" s="10" t="n">
        <f aca="false">IF(J20=0,"",COUNTIFS(Trades!$A$2:$A$2161,"SILVER",Trades!$B$2:$B$2161,"W8",Trades!$F$2:$F$2161,$A20,Trades!$M$2:$M$2161,1)/J20)</f>
        <v>0.5</v>
      </c>
      <c r="L20" s="11" t="n">
        <f aca="false">SUMIFS(Trades!$K$2:$K$2161,Trades!$A$2:$A$2161,"SILVER",Trades!$B$2:$B$2161,"W8",Trades!$F$2:$F$2161,$A20)</f>
        <v>-493147.5</v>
      </c>
      <c r="M20" s="11" t="n">
        <f aca="false">M19+L20</f>
        <v>3962100.9</v>
      </c>
      <c r="N20" s="9" t="n">
        <f aca="false">COUNTIFS(Trades!$A$2:$A$2161,"SILVER",Trades!$B$2:$B$2161,"W8C",Trades!$F$2:$F$2161,$A20)</f>
        <v>1</v>
      </c>
      <c r="O20" s="10" t="n">
        <f aca="false">IF(N20=0,"",COUNTIFS(Trades!$A$2:$A$2161,"SILVER",Trades!$B$2:$B$2161,"W8C",Trades!$F$2:$F$2161,$A20,Trades!$M$2:$M$2161,1)/N20)</f>
        <v>1</v>
      </c>
      <c r="P20" s="11" t="n">
        <f aca="false">SUMIFS(Trades!$K$2:$K$2161,Trades!$A$2:$A$2161,"SILVER",Trades!$B$2:$B$2161,"W8C",Trades!$F$2:$F$2161,$A20)</f>
        <v>32382</v>
      </c>
      <c r="Q20" s="11" t="n">
        <f aca="false">Q19+P20</f>
        <v>2754183.3</v>
      </c>
      <c r="R20" s="9" t="n">
        <f aca="false">COUNTIFS(Trades!$A$2:$A$2161,"SILVER",Trades!$B$2:$B$2161,"T6",Trades!$F$2:$F$2161,$A20)</f>
        <v>3</v>
      </c>
      <c r="S20" s="10" t="n">
        <f aca="false">IF(R20=0,"",COUNTIFS(Trades!$A$2:$A$2161,"SILVER",Trades!$B$2:$B$2161,"T6",Trades!$F$2:$F$2161,$A20,Trades!$M$2:$M$2161,1)/R20)</f>
        <v>0.333333333333333</v>
      </c>
      <c r="T20" s="11" t="n">
        <f aca="false">SUMIFS(Trades!$K$2:$K$2161,Trades!$A$2:$A$2161,"SILVER",Trades!$B$2:$B$2161,"T6",Trades!$F$2:$F$2161,$A20)</f>
        <v>-376678.5</v>
      </c>
      <c r="U20" s="11" t="n">
        <f aca="false">U19+T20</f>
        <v>5127427.5</v>
      </c>
      <c r="V20" s="9" t="n">
        <f aca="false">COUNTIFS(Trades!$A$2:$A$2161,"SILVER",Trades!$B$2:$B$2161,"T7",Trades!$F$2:$F$2161,$A20)</f>
        <v>3</v>
      </c>
      <c r="W20" s="10" t="n">
        <f aca="false">IF(V20=0,"",COUNTIFS(Trades!$A$2:$A$2161,"SILVER",Trades!$B$2:$B$2161,"T7",Trades!$F$2:$F$2161,$A20,Trades!$M$2:$M$2161,1)/V20)</f>
        <v>0.333333333333333</v>
      </c>
      <c r="X20" s="11" t="n">
        <f aca="false">SUMIFS(Trades!$K$2:$K$2161,Trades!$A$2:$A$2161,"SILVER",Trades!$B$2:$B$2161,"T7",Trades!$F$2:$F$2161,$A20)</f>
        <v>-214258.5</v>
      </c>
      <c r="Y20" s="11" t="n">
        <f aca="false">Y19+X20</f>
        <v>5347413.9</v>
      </c>
      <c r="Z20" s="9" t="n">
        <f aca="false">COUNTIFS(Trades!$A$2:$A$2161,"SILVER",Trades!$B$2:$B$2161,"U1",Trades!$F$2:$F$2161,$A20)</f>
        <v>9</v>
      </c>
      <c r="AA20" s="10" t="n">
        <f aca="false">IF(Z20=0,"",COUNTIFS(Trades!$A$2:$A$2161,"SILVER",Trades!$B$2:$B$2161,"U1",Trades!$F$2:$F$2161,$A20,Trades!$M$2:$M$2161,1)/Z20)</f>
        <v>0.666666666666667</v>
      </c>
      <c r="AB20" s="11" t="n">
        <f aca="false">SUMIFS(Trades!$K$2:$K$2161,Trades!$A$2:$A$2161,"SILVER",Trades!$B$2:$B$2161,"U1",Trades!$F$2:$F$2161,$A20)</f>
        <v>-76565.4</v>
      </c>
      <c r="AC20" s="11" t="n">
        <f aca="false">AC19+AB20</f>
        <v>5118163.8</v>
      </c>
      <c r="AD20" s="9" t="n">
        <f aca="false">COUNTIFS(Trades!$A$2:$A$2161,"SILVER",Trades!$B$2:$B$2161,"U9",Trades!$F$2:$F$2161,$A20)</f>
        <v>16</v>
      </c>
      <c r="AE20" s="10" t="n">
        <f aca="false">IF(AD20=0,"",COUNTIFS(Trades!$A$2:$A$2161,"SILVER",Trades!$B$2:$B$2161,"U9",Trades!$F$2:$F$2161,$A20,Trades!$M$2:$M$2161,1)/AD20)</f>
        <v>0.8125</v>
      </c>
      <c r="AF20" s="11" t="n">
        <f aca="false">SUMIFS(Trades!$K$2:$K$2161,Trades!$A$2:$A$2161,"SILVER",Trades!$B$2:$B$2161,"U9",Trades!$F$2:$F$2161,$A20)</f>
        <v>163671.3</v>
      </c>
      <c r="AG20" s="11" t="n">
        <f aca="false">AG19+AF20</f>
        <v>6827147.7</v>
      </c>
      <c r="AH20" s="9" t="n">
        <f aca="false">COUNTIFS(Trades!$A$2:$A$2161,"SILVER",Trades!$B$2:$B$2161,"Q1",Trades!$F$2:$F$2161,$A20)</f>
        <v>16</v>
      </c>
      <c r="AI20" s="10" t="n">
        <f aca="false">IF(AH20=0,"",COUNTIFS(Trades!$A$2:$A$2161,"SILVER",Trades!$B$2:$B$2161,"Q1",Trades!$F$2:$F$2161,$A20,Trades!$M$2:$M$2161,1)/AH20)</f>
        <v>0.875</v>
      </c>
      <c r="AJ20" s="11" t="n">
        <f aca="false">SUMIFS(Trades!$K$2:$K$2161,Trades!$A$2:$A$2161,"SILVER",Trades!$B$2:$B$2161,"Q1",Trades!$F$2:$F$2161,$A20)</f>
        <v>83444.4</v>
      </c>
      <c r="AK20" s="11" t="n">
        <f aca="false">AK19+AJ20</f>
        <v>6094626.3</v>
      </c>
    </row>
    <row r="21" customFormat="false" ht="15" hidden="false" customHeight="false" outlineLevel="0" collapsed="false">
      <c r="A21" s="29" t="n">
        <v>46143</v>
      </c>
      <c r="B21" s="9" t="n">
        <f aca="false">COUNTIFS(Trades!$A$2:$A$2161,"SILVER",Trades!$B$2:$B$2161,"V0",Trades!$F$2:$F$2161,$A21)</f>
        <v>4</v>
      </c>
      <c r="C21" s="10" t="n">
        <f aca="false">IF(B21=0,"",COUNTIFS(Trades!$A$2:$A$2161,"SILVER",Trades!$B$2:$B$2161,"V0",Trades!$F$2:$F$2161,$A21,Trades!$M$2:$M$2161,1)/B21)</f>
        <v>0.25</v>
      </c>
      <c r="D21" s="11" t="n">
        <f aca="false">SUMIFS(Trades!$K$2:$K$2161,Trades!$A$2:$A$2161,"SILVER",Trades!$B$2:$B$2161,"V0",Trades!$F$2:$F$2161,$A21)</f>
        <v>54006</v>
      </c>
      <c r="E21" s="11" t="n">
        <f aca="false">E20+D21</f>
        <v>5306012.1</v>
      </c>
      <c r="F21" s="9" t="n">
        <f aca="false">COUNTIFS(Trades!$A$2:$A$2161,"SILVER",Trades!$B$2:$B$2161,"V1",Trades!$F$2:$F$2161,$A21)</f>
        <v>2</v>
      </c>
      <c r="G21" s="10" t="n">
        <f aca="false">IF(F21=0,"",COUNTIFS(Trades!$A$2:$A$2161,"SILVER",Trades!$B$2:$B$2161,"V1",Trades!$F$2:$F$2161,$A21,Trades!$M$2:$M$2161,1)/F21)</f>
        <v>0</v>
      </c>
      <c r="H21" s="11" t="n">
        <f aca="false">SUMIFS(Trades!$K$2:$K$2161,Trades!$A$2:$A$2161,"SILVER",Trades!$B$2:$B$2161,"V1",Trades!$F$2:$F$2161,$A21)</f>
        <v>-376413</v>
      </c>
      <c r="I21" s="11" t="n">
        <f aca="false">I20+H21</f>
        <v>4453309.5</v>
      </c>
      <c r="J21" s="9" t="n">
        <f aca="false">COUNTIFS(Trades!$A$2:$A$2161,"SILVER",Trades!$B$2:$B$2161,"W8",Trades!$F$2:$F$2161,$A21)</f>
        <v>1</v>
      </c>
      <c r="K21" s="10" t="n">
        <f aca="false">IF(J21=0,"",COUNTIFS(Trades!$A$2:$A$2161,"SILVER",Trades!$B$2:$B$2161,"W8",Trades!$F$2:$F$2161,$A21,Trades!$M$2:$M$2161,1)/J21)</f>
        <v>0</v>
      </c>
      <c r="L21" s="11" t="n">
        <f aca="false">SUMIFS(Trades!$K$2:$K$2161,Trades!$A$2:$A$2161,"SILVER",Trades!$B$2:$B$2161,"W8",Trades!$F$2:$F$2161,$A21)</f>
        <v>-310073.7</v>
      </c>
      <c r="M21" s="11" t="n">
        <f aca="false">M20+L21</f>
        <v>3652027.2</v>
      </c>
      <c r="N21" s="9" t="n">
        <f aca="false">COUNTIFS(Trades!$A$2:$A$2161,"SILVER",Trades!$B$2:$B$2161,"W8C",Trades!$F$2:$F$2161,$A21)</f>
        <v>1</v>
      </c>
      <c r="O21" s="10" t="n">
        <f aca="false">IF(N21=0,"",COUNTIFS(Trades!$A$2:$A$2161,"SILVER",Trades!$B$2:$B$2161,"W8C",Trades!$F$2:$F$2161,$A21,Trades!$M$2:$M$2161,1)/N21)</f>
        <v>1</v>
      </c>
      <c r="P21" s="11" t="n">
        <f aca="false">SUMIFS(Trades!$K$2:$K$2161,Trades!$A$2:$A$2161,"SILVER",Trades!$B$2:$B$2161,"W8C",Trades!$F$2:$F$2161,$A21)</f>
        <v>60112.8</v>
      </c>
      <c r="Q21" s="11" t="n">
        <f aca="false">Q20+P21</f>
        <v>2814296.1</v>
      </c>
      <c r="R21" s="9" t="n">
        <f aca="false">COUNTIFS(Trades!$A$2:$A$2161,"SILVER",Trades!$B$2:$B$2161,"T6",Trades!$F$2:$F$2161,$A21)</f>
        <v>1</v>
      </c>
      <c r="S21" s="10" t="n">
        <f aca="false">IF(R21=0,"",COUNTIFS(Trades!$A$2:$A$2161,"SILVER",Trades!$B$2:$B$2161,"T6",Trades!$F$2:$F$2161,$A21,Trades!$M$2:$M$2161,1)/R21)</f>
        <v>0</v>
      </c>
      <c r="T21" s="11" t="n">
        <f aca="false">SUMIFS(Trades!$K$2:$K$2161,Trades!$A$2:$A$2161,"SILVER",Trades!$B$2:$B$2161,"T6",Trades!$F$2:$F$2161,$A21)</f>
        <v>-1732.5</v>
      </c>
      <c r="U21" s="11" t="n">
        <f aca="false">U20+T21</f>
        <v>5125695</v>
      </c>
      <c r="V21" s="9" t="n">
        <f aca="false">COUNTIFS(Trades!$A$2:$A$2161,"SILVER",Trades!$B$2:$B$2161,"T7",Trades!$F$2:$F$2161,$A21)</f>
        <v>1</v>
      </c>
      <c r="W21" s="10" t="n">
        <f aca="false">IF(V21=0,"",COUNTIFS(Trades!$A$2:$A$2161,"SILVER",Trades!$B$2:$B$2161,"T7",Trades!$F$2:$F$2161,$A21,Trades!$M$2:$M$2161,1)/V21)</f>
        <v>0</v>
      </c>
      <c r="X21" s="11" t="n">
        <f aca="false">SUMIFS(Trades!$K$2:$K$2161,Trades!$A$2:$A$2161,"SILVER",Trades!$B$2:$B$2161,"T7",Trades!$F$2:$F$2161,$A21)</f>
        <v>-1732.5</v>
      </c>
      <c r="Y21" s="11" t="n">
        <f aca="false">Y20+X21</f>
        <v>5345681.4</v>
      </c>
      <c r="Z21" s="9" t="n">
        <f aca="false">COUNTIFS(Trades!$A$2:$A$2161,"SILVER",Trades!$B$2:$B$2161,"U1",Trades!$F$2:$F$2161,$A21)</f>
        <v>5</v>
      </c>
      <c r="AA21" s="10" t="n">
        <f aca="false">IF(Z21=0,"",COUNTIFS(Trades!$A$2:$A$2161,"SILVER",Trades!$B$2:$B$2161,"U1",Trades!$F$2:$F$2161,$A21,Trades!$M$2:$M$2161,1)/Z21)</f>
        <v>0.4</v>
      </c>
      <c r="AB21" s="11" t="n">
        <f aca="false">SUMIFS(Trades!$K$2:$K$2161,Trades!$A$2:$A$2161,"SILVER",Trades!$B$2:$B$2161,"U1",Trades!$F$2:$F$2161,$A21)</f>
        <v>-165.299999999916</v>
      </c>
      <c r="AC21" s="11" t="n">
        <f aca="false">AC20+AB21</f>
        <v>5117998.5</v>
      </c>
      <c r="AD21" s="9" t="n">
        <f aca="false">COUNTIFS(Trades!$A$2:$A$2161,"SILVER",Trades!$B$2:$B$2161,"U9",Trades!$F$2:$F$2161,$A21)</f>
        <v>14</v>
      </c>
      <c r="AE21" s="10" t="n">
        <f aca="false">IF(AD21=0,"",COUNTIFS(Trades!$A$2:$A$2161,"SILVER",Trades!$B$2:$B$2161,"U9",Trades!$F$2:$F$2161,$A21,Trades!$M$2:$M$2161,1)/AD21)</f>
        <v>0.714285714285714</v>
      </c>
      <c r="AF21" s="11" t="n">
        <f aca="false">SUMIFS(Trades!$K$2:$K$2161,Trades!$A$2:$A$2161,"SILVER",Trades!$B$2:$B$2161,"U9",Trades!$F$2:$F$2161,$A21)</f>
        <v>805891.8</v>
      </c>
      <c r="AG21" s="11" t="n">
        <f aca="false">AG20+AF21</f>
        <v>7633039.5</v>
      </c>
      <c r="AH21" s="9" t="n">
        <f aca="false">COUNTIFS(Trades!$A$2:$A$2161,"SILVER",Trades!$B$2:$B$2161,"Q1",Trades!$F$2:$F$2161,$A21)</f>
        <v>13</v>
      </c>
      <c r="AI21" s="10" t="n">
        <f aca="false">IF(AH21=0,"",COUNTIFS(Trades!$A$2:$A$2161,"SILVER",Trades!$B$2:$B$2161,"Q1",Trades!$F$2:$F$2161,$A21,Trades!$M$2:$M$2161,1)/AH21)</f>
        <v>0.923076923076923</v>
      </c>
      <c r="AJ21" s="11" t="n">
        <f aca="false">SUMIFS(Trades!$K$2:$K$2161,Trades!$A$2:$A$2161,"SILVER",Trades!$B$2:$B$2161,"Q1",Trades!$F$2:$F$2161,$A21)</f>
        <v>392911.5</v>
      </c>
      <c r="AK21" s="11" t="n">
        <f aca="false">AK20+AJ21</f>
        <v>6487537.8</v>
      </c>
    </row>
    <row r="22" customFormat="false" ht="15" hidden="false" customHeight="false" outlineLevel="0" collapsed="false">
      <c r="A22" s="29" t="n">
        <v>46174</v>
      </c>
      <c r="B22" s="9" t="n">
        <f aca="false">COUNTIFS(Trades!$A$2:$A$2161,"SILVER",Trades!$B$2:$B$2161,"V0",Trades!$F$2:$F$2161,$A22)</f>
        <v>3</v>
      </c>
      <c r="C22" s="10" t="n">
        <f aca="false">IF(B22=0,"",COUNTIFS(Trades!$A$2:$A$2161,"SILVER",Trades!$B$2:$B$2161,"V0",Trades!$F$2:$F$2161,$A22,Trades!$M$2:$M$2161,1)/B22)</f>
        <v>0.666666666666667</v>
      </c>
      <c r="D22" s="11" t="n">
        <f aca="false">SUMIFS(Trades!$K$2:$K$2161,Trades!$A$2:$A$2161,"SILVER",Trades!$B$2:$B$2161,"V0",Trades!$F$2:$F$2161,$A22)</f>
        <v>1114066.8</v>
      </c>
      <c r="E22" s="11" t="n">
        <f aca="false">E21+D22</f>
        <v>6420078.9</v>
      </c>
      <c r="F22" s="9" t="n">
        <f aca="false">COUNTIFS(Trades!$A$2:$A$2161,"SILVER",Trades!$B$2:$B$2161,"V1",Trades!$F$2:$F$2161,$A22)</f>
        <v>2</v>
      </c>
      <c r="G22" s="10" t="n">
        <f aca="false">IF(F22=0,"",COUNTIFS(Trades!$A$2:$A$2161,"SILVER",Trades!$B$2:$B$2161,"V1",Trades!$F$2:$F$2161,$A22,Trades!$M$2:$M$2161,1)/F22)</f>
        <v>1</v>
      </c>
      <c r="H22" s="11" t="n">
        <f aca="false">SUMIFS(Trades!$K$2:$K$2161,Trades!$A$2:$A$2161,"SILVER",Trades!$B$2:$B$2161,"V1",Trades!$F$2:$F$2161,$A22)</f>
        <v>1423870.2</v>
      </c>
      <c r="I22" s="11" t="n">
        <f aca="false">I21+H22</f>
        <v>5877179.7</v>
      </c>
      <c r="J22" s="9" t="n">
        <f aca="false">COUNTIFS(Trades!$A$2:$A$2161,"SILVER",Trades!$B$2:$B$2161,"W8",Trades!$F$2:$F$2161,$A22)</f>
        <v>2</v>
      </c>
      <c r="K22" s="10" t="n">
        <f aca="false">IF(J22=0,"",COUNTIFS(Trades!$A$2:$A$2161,"SILVER",Trades!$B$2:$B$2161,"W8",Trades!$F$2:$F$2161,$A22,Trades!$M$2:$M$2161,1)/J22)</f>
        <v>1</v>
      </c>
      <c r="L22" s="11" t="n">
        <f aca="false">SUMIFS(Trades!$K$2:$K$2161,Trades!$A$2:$A$2161,"SILVER",Trades!$B$2:$B$2161,"W8",Trades!$F$2:$F$2161,$A22)</f>
        <v>1423870.2</v>
      </c>
      <c r="M22" s="11" t="n">
        <f aca="false">M21+L22</f>
        <v>5075897.4</v>
      </c>
      <c r="N22" s="9" t="n">
        <f aca="false">COUNTIFS(Trades!$A$2:$A$2161,"SILVER",Trades!$B$2:$B$2161,"W8C",Trades!$F$2:$F$2161,$A22)</f>
        <v>1</v>
      </c>
      <c r="O22" s="10" t="n">
        <f aca="false">IF(N22=0,"",COUNTIFS(Trades!$A$2:$A$2161,"SILVER",Trades!$B$2:$B$2161,"W8C",Trades!$F$2:$F$2161,$A22,Trades!$M$2:$M$2161,1)/N22)</f>
        <v>1</v>
      </c>
      <c r="P22" s="11" t="n">
        <f aca="false">SUMIFS(Trades!$K$2:$K$2161,Trades!$A$2:$A$2161,"SILVER",Trades!$B$2:$B$2161,"W8C",Trades!$F$2:$F$2161,$A22)</f>
        <v>452472.3</v>
      </c>
      <c r="Q22" s="11" t="n">
        <f aca="false">Q21+P22</f>
        <v>3266768.4</v>
      </c>
      <c r="R22" s="9" t="n">
        <f aca="false">COUNTIFS(Trades!$A$2:$A$2161,"SILVER",Trades!$B$2:$B$2161,"T6",Trades!$F$2:$F$2161,$A22)</f>
        <v>3</v>
      </c>
      <c r="S22" s="10" t="n">
        <f aca="false">IF(R22=0,"",COUNTIFS(Trades!$A$2:$A$2161,"SILVER",Trades!$B$2:$B$2161,"T6",Trades!$F$2:$F$2161,$A22,Trades!$M$2:$M$2161,1)/R22)</f>
        <v>0.666666666666667</v>
      </c>
      <c r="T22" s="11" t="n">
        <f aca="false">SUMIFS(Trades!$K$2:$K$2161,Trades!$A$2:$A$2161,"SILVER",Trades!$B$2:$B$2161,"T6",Trades!$F$2:$F$2161,$A22)</f>
        <v>251982</v>
      </c>
      <c r="U22" s="11" t="n">
        <f aca="false">U21+T22</f>
        <v>5377677</v>
      </c>
      <c r="V22" s="9" t="n">
        <f aca="false">COUNTIFS(Trades!$A$2:$A$2161,"SILVER",Trades!$B$2:$B$2161,"T7",Trades!$F$2:$F$2161,$A22)</f>
        <v>4</v>
      </c>
      <c r="W22" s="10" t="n">
        <f aca="false">IF(V22=0,"",COUNTIFS(Trades!$A$2:$A$2161,"SILVER",Trades!$B$2:$B$2161,"T7",Trades!$F$2:$F$2161,$A22,Trades!$M$2:$M$2161,1)/V22)</f>
        <v>1</v>
      </c>
      <c r="X22" s="11" t="n">
        <f aca="false">SUMIFS(Trades!$K$2:$K$2161,Trades!$A$2:$A$2161,"SILVER",Trades!$B$2:$B$2161,"T7",Trades!$F$2:$F$2161,$A22)</f>
        <v>1574881.2</v>
      </c>
      <c r="Y22" s="11" t="n">
        <f aca="false">Y21+X22</f>
        <v>6920562.6</v>
      </c>
      <c r="Z22" s="9" t="n">
        <f aca="false">COUNTIFS(Trades!$A$2:$A$2161,"SILVER",Trades!$B$2:$B$2161,"U1",Trades!$F$2:$F$2161,$A22)</f>
        <v>7</v>
      </c>
      <c r="AA22" s="10" t="n">
        <f aca="false">IF(Z22=0,"",COUNTIFS(Trades!$A$2:$A$2161,"SILVER",Trades!$B$2:$B$2161,"U1",Trades!$F$2:$F$2161,$A22,Trades!$M$2:$M$2161,1)/Z22)</f>
        <v>0.714285714285714</v>
      </c>
      <c r="AB22" s="11" t="n">
        <f aca="false">SUMIFS(Trades!$K$2:$K$2161,Trades!$A$2:$A$2161,"SILVER",Trades!$B$2:$B$2161,"U1",Trades!$F$2:$F$2161,$A22)</f>
        <v>261505.2</v>
      </c>
      <c r="AC22" s="11" t="n">
        <f aca="false">AC21+AB22</f>
        <v>5379503.7</v>
      </c>
      <c r="AD22" s="9" t="n">
        <f aca="false">COUNTIFS(Trades!$A$2:$A$2161,"SILVER",Trades!$B$2:$B$2161,"U9",Trades!$F$2:$F$2161,$A22)</f>
        <v>17</v>
      </c>
      <c r="AE22" s="10" t="n">
        <f aca="false">IF(AD22=0,"",COUNTIFS(Trades!$A$2:$A$2161,"SILVER",Trades!$B$2:$B$2161,"U9",Trades!$F$2:$F$2161,$A22,Trades!$M$2:$M$2161,1)/AD22)</f>
        <v>0.647058823529412</v>
      </c>
      <c r="AF22" s="11" t="n">
        <f aca="false">SUMIFS(Trades!$K$2:$K$2161,Trades!$A$2:$A$2161,"SILVER",Trades!$B$2:$B$2161,"U9",Trades!$F$2:$F$2161,$A22)</f>
        <v>1298915.7</v>
      </c>
      <c r="AG22" s="11" t="n">
        <f aca="false">AG21+AF22</f>
        <v>8931955.2</v>
      </c>
      <c r="AH22" s="9" t="n">
        <f aca="false">COUNTIFS(Trades!$A$2:$A$2161,"SILVER",Trades!$B$2:$B$2161,"Q1",Trades!$F$2:$F$2161,$A22)</f>
        <v>25</v>
      </c>
      <c r="AI22" s="10" t="n">
        <f aca="false">IF(AH22=0,"",COUNTIFS(Trades!$A$2:$A$2161,"SILVER",Trades!$B$2:$B$2161,"Q1",Trades!$F$2:$F$2161,$A22,Trades!$M$2:$M$2161,1)/AH22)</f>
        <v>0.72</v>
      </c>
      <c r="AJ22" s="11" t="n">
        <f aca="false">SUMIFS(Trades!$K$2:$K$2161,Trades!$A$2:$A$2161,"SILVER",Trades!$B$2:$B$2161,"Q1",Trades!$F$2:$F$2161,$A22)</f>
        <v>817422.6</v>
      </c>
      <c r="AK22" s="11" t="n">
        <f aca="false">AK21+AJ22</f>
        <v>7304960.4</v>
      </c>
    </row>
    <row r="23" customFormat="false" ht="15" hidden="false" customHeight="false" outlineLevel="0" collapsed="false">
      <c r="A23" s="29" t="n">
        <v>46204</v>
      </c>
      <c r="B23" s="9" t="n">
        <f aca="false">COUNTIFS(Trades!$A$2:$A$2161,"SILVER",Trades!$B$2:$B$2161,"V0",Trades!$F$2:$F$2161,$A23)</f>
        <v>3</v>
      </c>
      <c r="C23" s="10" t="n">
        <f aca="false">IF(B23=0,"",COUNTIFS(Trades!$A$2:$A$2161,"SILVER",Trades!$B$2:$B$2161,"V0",Trades!$F$2:$F$2161,$A23,Trades!$M$2:$M$2161,1)/B23)</f>
        <v>0.666666666666667</v>
      </c>
      <c r="D23" s="11" t="n">
        <f aca="false">SUMIFS(Trades!$K$2:$K$2161,Trades!$A$2:$A$2161,"SILVER",Trades!$B$2:$B$2161,"V0",Trades!$F$2:$F$2161,$A23)</f>
        <v>205354.5</v>
      </c>
      <c r="E23" s="11" t="n">
        <f aca="false">E22+D23</f>
        <v>6625433.4</v>
      </c>
      <c r="F23" s="9" t="n">
        <f aca="false">COUNTIFS(Trades!$A$2:$A$2161,"SILVER",Trades!$B$2:$B$2161,"V1",Trades!$F$2:$F$2161,$A23)</f>
        <v>1</v>
      </c>
      <c r="G23" s="10" t="n">
        <f aca="false">IF(F23=0,"",COUNTIFS(Trades!$A$2:$A$2161,"SILVER",Trades!$B$2:$B$2161,"V1",Trades!$F$2:$F$2161,$A23,Trades!$M$2:$M$2161,1)/F23)</f>
        <v>1</v>
      </c>
      <c r="H23" s="11" t="n">
        <f aca="false">SUMIFS(Trades!$K$2:$K$2161,Trades!$A$2:$A$2161,"SILVER",Trades!$B$2:$B$2161,"V1",Trades!$F$2:$F$2161,$A23)</f>
        <v>208014.6</v>
      </c>
      <c r="I23" s="11" t="n">
        <f aca="false">I22+H23</f>
        <v>6085194.3</v>
      </c>
      <c r="J23" s="9" t="n">
        <f aca="false">COUNTIFS(Trades!$A$2:$A$2161,"SILVER",Trades!$B$2:$B$2161,"W8",Trades!$F$2:$F$2161,$A23)</f>
        <v>2</v>
      </c>
      <c r="K23" s="10" t="n">
        <f aca="false">IF(J23=0,"",COUNTIFS(Trades!$A$2:$A$2161,"SILVER",Trades!$B$2:$B$2161,"W8",Trades!$F$2:$F$2161,$A23,Trades!$M$2:$M$2161,1)/J23)</f>
        <v>1</v>
      </c>
      <c r="L23" s="11" t="n">
        <f aca="false">SUMIFS(Trades!$K$2:$K$2161,Trades!$A$2:$A$2161,"SILVER",Trades!$B$2:$B$2161,"W8",Trades!$F$2:$F$2161,$A23)</f>
        <v>228819.6</v>
      </c>
      <c r="M23" s="11" t="n">
        <f aca="false">M22+L23</f>
        <v>5304717</v>
      </c>
      <c r="N23" s="9" t="n">
        <f aca="false">COUNTIFS(Trades!$A$2:$A$2161,"SILVER",Trades!$B$2:$B$2161,"W8C",Trades!$F$2:$F$2161,$A23)</f>
        <v>1</v>
      </c>
      <c r="O23" s="10" t="n">
        <f aca="false">IF(N23=0,"",COUNTIFS(Trades!$A$2:$A$2161,"SILVER",Trades!$B$2:$B$2161,"W8C",Trades!$F$2:$F$2161,$A23,Trades!$M$2:$M$2161,1)/N23)</f>
        <v>1</v>
      </c>
      <c r="P23" s="11" t="n">
        <f aca="false">SUMIFS(Trades!$K$2:$K$2161,Trades!$A$2:$A$2161,"SILVER",Trades!$B$2:$B$2161,"W8C",Trades!$F$2:$F$2161,$A23)</f>
        <v>198175.5</v>
      </c>
      <c r="Q23" s="11" t="n">
        <f aca="false">Q22+P23</f>
        <v>3464943.9</v>
      </c>
      <c r="R23" s="9" t="n">
        <f aca="false">COUNTIFS(Trades!$A$2:$A$2161,"SILVER",Trades!$B$2:$B$2161,"T6",Trades!$F$2:$F$2161,$A23)</f>
        <v>4</v>
      </c>
      <c r="S23" s="10" t="n">
        <f aca="false">IF(R23=0,"",COUNTIFS(Trades!$A$2:$A$2161,"SILVER",Trades!$B$2:$B$2161,"T6",Trades!$F$2:$F$2161,$A23,Trades!$M$2:$M$2161,1)/R23)</f>
        <v>0.5</v>
      </c>
      <c r="T23" s="11" t="n">
        <f aca="false">SUMIFS(Trades!$K$2:$K$2161,Trades!$A$2:$A$2161,"SILVER",Trades!$B$2:$B$2161,"T6",Trades!$F$2:$F$2161,$A23)</f>
        <v>134931.9</v>
      </c>
      <c r="U23" s="11" t="n">
        <f aca="false">U22+T23</f>
        <v>5512608.9</v>
      </c>
      <c r="V23" s="9" t="n">
        <f aca="false">COUNTIFS(Trades!$A$2:$A$2161,"SILVER",Trades!$B$2:$B$2161,"T7",Trades!$F$2:$F$2161,$A23)</f>
        <v>4</v>
      </c>
      <c r="W23" s="10" t="n">
        <f aca="false">IF(V23=0,"",COUNTIFS(Trades!$A$2:$A$2161,"SILVER",Trades!$B$2:$B$2161,"T7",Trades!$F$2:$F$2161,$A23,Trades!$M$2:$M$2161,1)/V23)</f>
        <v>0.5</v>
      </c>
      <c r="X23" s="11" t="n">
        <f aca="false">SUMIFS(Trades!$K$2:$K$2161,Trades!$A$2:$A$2161,"SILVER",Trades!$B$2:$B$2161,"T7",Trades!$F$2:$F$2161,$A23)</f>
        <v>163688.1</v>
      </c>
      <c r="Y23" s="11" t="n">
        <f aca="false">Y22+X23</f>
        <v>7084250.7</v>
      </c>
      <c r="Z23" s="9" t="n">
        <f aca="false">COUNTIFS(Trades!$A$2:$A$2161,"SILVER",Trades!$B$2:$B$2161,"U1",Trades!$F$2:$F$2161,$A23)</f>
        <v>7</v>
      </c>
      <c r="AA23" s="10" t="n">
        <f aca="false">IF(Z23=0,"",COUNTIFS(Trades!$A$2:$A$2161,"SILVER",Trades!$B$2:$B$2161,"U1",Trades!$F$2:$F$2161,$A23,Trades!$M$2:$M$2161,1)/Z23)</f>
        <v>0.714285714285714</v>
      </c>
      <c r="AB23" s="11" t="n">
        <f aca="false">SUMIFS(Trades!$K$2:$K$2161,Trades!$A$2:$A$2161,"SILVER",Trades!$B$2:$B$2161,"U1",Trades!$F$2:$F$2161,$A23)</f>
        <v>-166071</v>
      </c>
      <c r="AC23" s="11" t="n">
        <f aca="false">AC22+AB23</f>
        <v>5213432.7</v>
      </c>
      <c r="AD23" s="9" t="n">
        <f aca="false">COUNTIFS(Trades!$A$2:$A$2161,"SILVER",Trades!$B$2:$B$2161,"U9",Trades!$F$2:$F$2161,$A23)</f>
        <v>15</v>
      </c>
      <c r="AE23" s="10" t="n">
        <f aca="false">IF(AD23=0,"",COUNTIFS(Trades!$A$2:$A$2161,"SILVER",Trades!$B$2:$B$2161,"U9",Trades!$F$2:$F$2161,$A23,Trades!$M$2:$M$2161,1)/AD23)</f>
        <v>0.666666666666667</v>
      </c>
      <c r="AF23" s="11" t="n">
        <f aca="false">SUMIFS(Trades!$K$2:$K$2161,Trades!$A$2:$A$2161,"SILVER",Trades!$B$2:$B$2161,"U9",Trades!$F$2:$F$2161,$A23)</f>
        <v>318555.9</v>
      </c>
      <c r="AG23" s="11" t="n">
        <f aca="false">AG22+AF23</f>
        <v>9250511.1</v>
      </c>
      <c r="AH23" s="9" t="n">
        <f aca="false">COUNTIFS(Trades!$A$2:$A$2161,"SILVER",Trades!$B$2:$B$2161,"Q1",Trades!$F$2:$F$2161,$A23)</f>
        <v>24</v>
      </c>
      <c r="AI23" s="10" t="n">
        <f aca="false">IF(AH23=0,"",COUNTIFS(Trades!$A$2:$A$2161,"SILVER",Trades!$B$2:$B$2161,"Q1",Trades!$F$2:$F$2161,$A23,Trades!$M$2:$M$2161,1)/AH23)</f>
        <v>0.833333333333333</v>
      </c>
      <c r="AJ23" s="11" t="n">
        <f aca="false">SUMIFS(Trades!$K$2:$K$2161,Trades!$A$2:$A$2161,"SILVER",Trades!$B$2:$B$2161,"Q1",Trades!$F$2:$F$2161,$A23)</f>
        <v>87926.7</v>
      </c>
      <c r="AK23" s="11" t="n">
        <f aca="false">AK22+AJ23</f>
        <v>7392887.1</v>
      </c>
    </row>
    <row r="24" customFormat="false" ht="15" hidden="false" customHeight="false" outlineLevel="0" collapsed="false">
      <c r="A24" s="29" t="n">
        <v>46235</v>
      </c>
      <c r="B24" s="9" t="n">
        <f aca="false">COUNTIFS(Trades!$A$2:$A$2161,"SILVER",Trades!$B$2:$B$2161,"V0",Trades!$F$2:$F$2161,$A24)</f>
        <v>4</v>
      </c>
      <c r="C24" s="10" t="n">
        <f aca="false">IF(B24=0,"",COUNTIFS(Trades!$A$2:$A$2161,"SILVER",Trades!$B$2:$B$2161,"V0",Trades!$F$2:$F$2161,$A24,Trades!$M$2:$M$2161,1)/B24)</f>
        <v>0.5</v>
      </c>
      <c r="D24" s="11" t="n">
        <f aca="false">SUMIFS(Trades!$K$2:$K$2161,Trades!$A$2:$A$2161,"SILVER",Trades!$B$2:$B$2161,"V0",Trades!$F$2:$F$2161,$A24)</f>
        <v>-6679.79999999999</v>
      </c>
      <c r="E24" s="11" t="n">
        <f aca="false">E23+D24</f>
        <v>6618753.6</v>
      </c>
      <c r="F24" s="9" t="n">
        <f aca="false">COUNTIFS(Trades!$A$2:$A$2161,"SILVER",Trades!$B$2:$B$2161,"V1",Trades!$F$2:$F$2161,$A24)</f>
        <v>2</v>
      </c>
      <c r="G24" s="10" t="n">
        <f aca="false">IF(F24=0,"",COUNTIFS(Trades!$A$2:$A$2161,"SILVER",Trades!$B$2:$B$2161,"V1",Trades!$F$2:$F$2161,$A24,Trades!$M$2:$M$2161,1)/F24)</f>
        <v>0</v>
      </c>
      <c r="H24" s="11" t="n">
        <f aca="false">SUMIFS(Trades!$K$2:$K$2161,Trades!$A$2:$A$2161,"SILVER",Trades!$B$2:$B$2161,"V1",Trades!$F$2:$F$2161,$A24)</f>
        <v>-346046.4</v>
      </c>
      <c r="I24" s="11" t="n">
        <f aca="false">I23+H24</f>
        <v>5739147.9</v>
      </c>
      <c r="J24" s="9" t="n">
        <f aca="false">COUNTIFS(Trades!$A$2:$A$2161,"SILVER",Trades!$B$2:$B$2161,"W8",Trades!$F$2:$F$2161,$A24)</f>
        <v>2</v>
      </c>
      <c r="K24" s="10" t="n">
        <f aca="false">IF(J24=0,"",COUNTIFS(Trades!$A$2:$A$2161,"SILVER",Trades!$B$2:$B$2161,"W8",Trades!$F$2:$F$2161,$A24,Trades!$M$2:$M$2161,1)/J24)</f>
        <v>0.5</v>
      </c>
      <c r="L24" s="11" t="n">
        <f aca="false">SUMIFS(Trades!$K$2:$K$2161,Trades!$A$2:$A$2161,"SILVER",Trades!$B$2:$B$2161,"W8",Trades!$F$2:$F$2161,$A24)</f>
        <v>-210161.4</v>
      </c>
      <c r="M24" s="11" t="n">
        <f aca="false">M23+L24</f>
        <v>5094555.6</v>
      </c>
      <c r="N24" s="9" t="n">
        <f aca="false">COUNTIFS(Trades!$A$2:$A$2161,"SILVER",Trades!$B$2:$B$2161,"W8C",Trades!$F$2:$F$2161,$A24)</f>
        <v>0</v>
      </c>
      <c r="O24" s="10" t="str">
        <f aca="false">IF(N24=0,"",COUNTIFS(Trades!$A$2:$A$2161,"SILVER",Trades!$B$2:$B$2161,"W8C",Trades!$F$2:$F$2161,$A24,Trades!$M$2:$M$2161,1)/N24)</f>
        <v/>
      </c>
      <c r="P24" s="11" t="n">
        <f aca="false">SUMIFS(Trades!$K$2:$K$2161,Trades!$A$2:$A$2161,"SILVER",Trades!$B$2:$B$2161,"W8C",Trades!$F$2:$F$2161,$A24)</f>
        <v>0</v>
      </c>
      <c r="Q24" s="11" t="n">
        <f aca="false">Q23+P24</f>
        <v>3464943.9</v>
      </c>
      <c r="R24" s="9" t="n">
        <f aca="false">COUNTIFS(Trades!$A$2:$A$2161,"SILVER",Trades!$B$2:$B$2161,"T6",Trades!$F$2:$F$2161,$A24)</f>
        <v>3</v>
      </c>
      <c r="S24" s="10" t="n">
        <f aca="false">IF(R24=0,"",COUNTIFS(Trades!$A$2:$A$2161,"SILVER",Trades!$B$2:$B$2161,"T6",Trades!$F$2:$F$2161,$A24,Trades!$M$2:$M$2161,1)/R24)</f>
        <v>0.333333333333333</v>
      </c>
      <c r="T24" s="11" t="n">
        <f aca="false">SUMIFS(Trades!$K$2:$K$2161,Trades!$A$2:$A$2161,"SILVER",Trades!$B$2:$B$2161,"T6",Trades!$F$2:$F$2161,$A24)</f>
        <v>-318262.8</v>
      </c>
      <c r="U24" s="11" t="n">
        <f aca="false">U23+T24</f>
        <v>5194346.1</v>
      </c>
      <c r="V24" s="9" t="n">
        <f aca="false">COUNTIFS(Trades!$A$2:$A$2161,"SILVER",Trades!$B$2:$B$2161,"T7",Trades!$F$2:$F$2161,$A24)</f>
        <v>5</v>
      </c>
      <c r="W24" s="10" t="n">
        <f aca="false">IF(V24=0,"",COUNTIFS(Trades!$A$2:$A$2161,"SILVER",Trades!$B$2:$B$2161,"T7",Trades!$F$2:$F$2161,$A24,Trades!$M$2:$M$2161,1)/V24)</f>
        <v>0.4</v>
      </c>
      <c r="X24" s="11" t="n">
        <f aca="false">SUMIFS(Trades!$K$2:$K$2161,Trades!$A$2:$A$2161,"SILVER",Trades!$B$2:$B$2161,"T7",Trades!$F$2:$F$2161,$A24)</f>
        <v>-343100.4</v>
      </c>
      <c r="Y24" s="11" t="n">
        <f aca="false">Y23+X24</f>
        <v>6741150.3</v>
      </c>
      <c r="Z24" s="9" t="n">
        <f aca="false">COUNTIFS(Trades!$A$2:$A$2161,"SILVER",Trades!$B$2:$B$2161,"U1",Trades!$F$2:$F$2161,$A24)</f>
        <v>5</v>
      </c>
      <c r="AA24" s="10" t="n">
        <f aca="false">IF(Z24=0,"",COUNTIFS(Trades!$A$2:$A$2161,"SILVER",Trades!$B$2:$B$2161,"U1",Trades!$F$2:$F$2161,$A24,Trades!$M$2:$M$2161,1)/Z24)</f>
        <v>0.6</v>
      </c>
      <c r="AB24" s="11" t="n">
        <f aca="false">SUMIFS(Trades!$K$2:$K$2161,Trades!$A$2:$A$2161,"SILVER",Trades!$B$2:$B$2161,"U1",Trades!$F$2:$F$2161,$A24)</f>
        <v>-106995</v>
      </c>
      <c r="AC24" s="11" t="n">
        <f aca="false">AC23+AB24</f>
        <v>5106437.7</v>
      </c>
      <c r="AD24" s="9" t="n">
        <f aca="false">COUNTIFS(Trades!$A$2:$A$2161,"SILVER",Trades!$B$2:$B$2161,"U9",Trades!$F$2:$F$2161,$A24)</f>
        <v>16</v>
      </c>
      <c r="AE24" s="10" t="n">
        <f aca="false">IF(AD24=0,"",COUNTIFS(Trades!$A$2:$A$2161,"SILVER",Trades!$B$2:$B$2161,"U9",Trades!$F$2:$F$2161,$A24,Trades!$M$2:$M$2161,1)/AD24)</f>
        <v>0.5625</v>
      </c>
      <c r="AF24" s="11" t="n">
        <f aca="false">SUMIFS(Trades!$K$2:$K$2161,Trades!$A$2:$A$2161,"SILVER",Trades!$B$2:$B$2161,"U9",Trades!$F$2:$F$2161,$A24)</f>
        <v>-225352.5</v>
      </c>
      <c r="AG24" s="11" t="n">
        <f aca="false">AG23+AF24</f>
        <v>9025158.6</v>
      </c>
      <c r="AH24" s="9" t="n">
        <f aca="false">COUNTIFS(Trades!$A$2:$A$2161,"SILVER",Trades!$B$2:$B$2161,"Q1",Trades!$F$2:$F$2161,$A24)</f>
        <v>5</v>
      </c>
      <c r="AI24" s="10" t="n">
        <f aca="false">IF(AH24=0,"",COUNTIFS(Trades!$A$2:$A$2161,"SILVER",Trades!$B$2:$B$2161,"Q1",Trades!$F$2:$F$2161,$A24,Trades!$M$2:$M$2161,1)/AH24)</f>
        <v>0.6</v>
      </c>
      <c r="AJ24" s="11" t="n">
        <f aca="false">SUMIFS(Trades!$K$2:$K$2161,Trades!$A$2:$A$2161,"SILVER",Trades!$B$2:$B$2161,"Q1",Trades!$F$2:$F$2161,$A24)</f>
        <v>-66884.4</v>
      </c>
      <c r="AK24" s="11" t="n">
        <f aca="false">AK23+AJ24</f>
        <v>7326002.7</v>
      </c>
    </row>
    <row r="25" customFormat="false" ht="15" hidden="false" customHeight="false" outlineLevel="0" collapsed="false">
      <c r="A25" s="29" t="n">
        <v>46266</v>
      </c>
      <c r="B25" s="9" t="n">
        <f aca="false">COUNTIFS(Trades!$A$2:$A$2161,"SILVER",Trades!$B$2:$B$2161,"V0",Trades!$F$2:$F$2161,$A25)</f>
        <v>4</v>
      </c>
      <c r="C25" s="10" t="n">
        <f aca="false">IF(B25=0,"",COUNTIFS(Trades!$A$2:$A$2161,"SILVER",Trades!$B$2:$B$2161,"V0",Trades!$F$2:$F$2161,$A25,Trades!$M$2:$M$2161,1)/B25)</f>
        <v>0.25</v>
      </c>
      <c r="D25" s="11" t="n">
        <f aca="false">SUMIFS(Trades!$K$2:$K$2161,Trades!$A$2:$A$2161,"SILVER",Trades!$B$2:$B$2161,"V0",Trades!$F$2:$F$2161,$A25)</f>
        <v>-240175.5</v>
      </c>
      <c r="E25" s="11" t="n">
        <f aca="false">E24+D25</f>
        <v>6378578.1</v>
      </c>
      <c r="F25" s="9" t="n">
        <f aca="false">COUNTIFS(Trades!$A$2:$A$2161,"SILVER",Trades!$B$2:$B$2161,"V1",Trades!$F$2:$F$2161,$A25)</f>
        <v>2</v>
      </c>
      <c r="G25" s="10" t="n">
        <f aca="false">IF(F25=0,"",COUNTIFS(Trades!$A$2:$A$2161,"SILVER",Trades!$B$2:$B$2161,"V1",Trades!$F$2:$F$2161,$A25,Trades!$M$2:$M$2161,1)/F25)</f>
        <v>0.5</v>
      </c>
      <c r="H25" s="11" t="n">
        <f aca="false">SUMIFS(Trades!$K$2:$K$2161,Trades!$A$2:$A$2161,"SILVER",Trades!$B$2:$B$2161,"V1",Trades!$F$2:$F$2161,$A25)</f>
        <v>54327.9</v>
      </c>
      <c r="I25" s="11" t="n">
        <f aca="false">I24+H25</f>
        <v>5793475.8</v>
      </c>
      <c r="J25" s="9" t="n">
        <f aca="false">COUNTIFS(Trades!$A$2:$A$2161,"SILVER",Trades!$B$2:$B$2161,"W8",Trades!$F$2:$F$2161,$A25)</f>
        <v>1</v>
      </c>
      <c r="K25" s="10" t="n">
        <f aca="false">IF(J25=0,"",COUNTIFS(Trades!$A$2:$A$2161,"SILVER",Trades!$B$2:$B$2161,"W8",Trades!$F$2:$F$2161,$A25,Trades!$M$2:$M$2161,1)/J25)</f>
        <v>0</v>
      </c>
      <c r="L25" s="11" t="n">
        <f aca="false">SUMIFS(Trades!$K$2:$K$2161,Trades!$A$2:$A$2161,"SILVER",Trades!$B$2:$B$2161,"W8",Trades!$F$2:$F$2161,$A25)</f>
        <v>-21840.3</v>
      </c>
      <c r="M25" s="11" t="n">
        <f aca="false">M24+L25</f>
        <v>5072715.3</v>
      </c>
      <c r="N25" s="9" t="n">
        <f aca="false">COUNTIFS(Trades!$A$2:$A$2161,"SILVER",Trades!$B$2:$B$2161,"W8C",Trades!$F$2:$F$2161,$A25)</f>
        <v>2</v>
      </c>
      <c r="O25" s="10" t="n">
        <f aca="false">IF(N25=0,"",COUNTIFS(Trades!$A$2:$A$2161,"SILVER",Trades!$B$2:$B$2161,"W8C",Trades!$F$2:$F$2161,$A25,Trades!$M$2:$M$2161,1)/N25)</f>
        <v>0.5</v>
      </c>
      <c r="P25" s="11" t="n">
        <f aca="false">SUMIFS(Trades!$K$2:$K$2161,Trades!$A$2:$A$2161,"SILVER",Trades!$B$2:$B$2161,"W8C",Trades!$F$2:$F$2161,$A25)</f>
        <v>-148735.5</v>
      </c>
      <c r="Q25" s="11" t="n">
        <f aca="false">Q24+P25</f>
        <v>3316208.4</v>
      </c>
      <c r="R25" s="9" t="n">
        <f aca="false">COUNTIFS(Trades!$A$2:$A$2161,"SILVER",Trades!$B$2:$B$2161,"T6",Trades!$F$2:$F$2161,$A25)</f>
        <v>3</v>
      </c>
      <c r="S25" s="10" t="n">
        <f aca="false">IF(R25=0,"",COUNTIFS(Trades!$A$2:$A$2161,"SILVER",Trades!$B$2:$B$2161,"T6",Trades!$F$2:$F$2161,$A25,Trades!$M$2:$M$2161,1)/R25)</f>
        <v>1</v>
      </c>
      <c r="T25" s="11" t="n">
        <f aca="false">SUMIFS(Trades!$K$2:$K$2161,Trades!$A$2:$A$2161,"SILVER",Trades!$B$2:$B$2161,"T6",Trades!$F$2:$F$2161,$A25)</f>
        <v>50516.1</v>
      </c>
      <c r="U25" s="11" t="n">
        <f aca="false">U24+T25</f>
        <v>5244862.2</v>
      </c>
      <c r="V25" s="9" t="n">
        <f aca="false">COUNTIFS(Trades!$A$2:$A$2161,"SILVER",Trades!$B$2:$B$2161,"T7",Trades!$F$2:$F$2161,$A25)</f>
        <v>4</v>
      </c>
      <c r="W25" s="10" t="n">
        <f aca="false">IF(V25=0,"",COUNTIFS(Trades!$A$2:$A$2161,"SILVER",Trades!$B$2:$B$2161,"T7",Trades!$F$2:$F$2161,$A25,Trades!$M$2:$M$2161,1)/V25)</f>
        <v>0.75</v>
      </c>
      <c r="X25" s="11" t="n">
        <f aca="false">SUMIFS(Trades!$K$2:$K$2161,Trades!$A$2:$A$2161,"SILVER",Trades!$B$2:$B$2161,"T7",Trades!$F$2:$F$2161,$A25)</f>
        <v>-61281.6</v>
      </c>
      <c r="Y25" s="11" t="n">
        <f aca="false">Y24+X25</f>
        <v>6679868.7</v>
      </c>
      <c r="Z25" s="9" t="n">
        <f aca="false">COUNTIFS(Trades!$A$2:$A$2161,"SILVER",Trades!$B$2:$B$2161,"U1",Trades!$F$2:$F$2161,$A25)</f>
        <v>8</v>
      </c>
      <c r="AA25" s="10" t="n">
        <f aca="false">IF(Z25=0,"",COUNTIFS(Trades!$A$2:$A$2161,"SILVER",Trades!$B$2:$B$2161,"U1",Trades!$F$2:$F$2161,$A25,Trades!$M$2:$M$2161,1)/Z25)</f>
        <v>0.5</v>
      </c>
      <c r="AB25" s="11" t="n">
        <f aca="false">SUMIFS(Trades!$K$2:$K$2161,Trades!$A$2:$A$2161,"SILVER",Trades!$B$2:$B$2161,"U1",Trades!$F$2:$F$2161,$A25)</f>
        <v>-187527.3</v>
      </c>
      <c r="AC25" s="11" t="n">
        <f aca="false">AC24+AB25</f>
        <v>4918910.4</v>
      </c>
      <c r="AD25" s="9" t="n">
        <f aca="false">COUNTIFS(Trades!$A$2:$A$2161,"SILVER",Trades!$B$2:$B$2161,"U9",Trades!$F$2:$F$2161,$A25)</f>
        <v>12</v>
      </c>
      <c r="AE25" s="10" t="n">
        <f aca="false">IF(AD25=0,"",COUNTIFS(Trades!$A$2:$A$2161,"SILVER",Trades!$B$2:$B$2161,"U9",Trades!$F$2:$F$2161,$A25,Trades!$M$2:$M$2161,1)/AD25)</f>
        <v>0.75</v>
      </c>
      <c r="AF25" s="11" t="n">
        <f aca="false">SUMIFS(Trades!$K$2:$K$2161,Trades!$A$2:$A$2161,"SILVER",Trades!$B$2:$B$2161,"U9",Trades!$F$2:$F$2161,$A25)</f>
        <v>591735.6</v>
      </c>
      <c r="AG25" s="11" t="n">
        <f aca="false">AG24+AF25</f>
        <v>9616894.2</v>
      </c>
      <c r="AH25" s="9" t="n">
        <f aca="false">COUNTIFS(Trades!$A$2:$A$2161,"SILVER",Trades!$B$2:$B$2161,"Q1",Trades!$F$2:$F$2161,$A25)</f>
        <v>9</v>
      </c>
      <c r="AI25" s="10" t="n">
        <f aca="false">IF(AH25=0,"",COUNTIFS(Trades!$A$2:$A$2161,"SILVER",Trades!$B$2:$B$2161,"Q1",Trades!$F$2:$F$2161,$A25,Trades!$M$2:$M$2161,1)/AH25)</f>
        <v>0.888888888888889</v>
      </c>
      <c r="AJ25" s="11" t="n">
        <f aca="false">SUMIFS(Trades!$K$2:$K$2161,Trades!$A$2:$A$2161,"SILVER",Trades!$B$2:$B$2161,"Q1",Trades!$F$2:$F$2161,$A25)</f>
        <v>103499.4</v>
      </c>
      <c r="AK25" s="11" t="n">
        <f aca="false">AK24+AJ25</f>
        <v>7429502.1</v>
      </c>
    </row>
    <row r="27" customFormat="false" ht="15" hidden="false" customHeight="false" outlineLevel="0" collapsed="false">
      <c r="A27" s="30" t="s">
        <v>78</v>
      </c>
      <c r="B27" s="31" t="n">
        <f aca="false">SUMIFS(B$5:B$25,$A$5:$A$25,"&gt;="&amp;DATE(2025,1,1),$A$5:$A$25,"&lt;"&amp;DATE(2026,1,1))</f>
        <v>38</v>
      </c>
      <c r="C27" s="32" t="n">
        <f aca="false">IF(B27=0,"",COUNTIFS(Trades!$A$2:$A$2161,"SILVER",Trades!$B$2:$B$2161,"V0",Trades!$E$2:$E$2161,"&gt;="&amp;DATE(2025,1,1),Trades!$E$2:$E$2161,"&lt;"&amp;DATE(2026,1,1),Trades!$M$2:$M$2161,1)/B27)</f>
        <v>0.447368421052632</v>
      </c>
      <c r="D27" s="33" t="n">
        <f aca="false">SUMIFS(D$5:D$25,$A$5:$A$25,"&gt;="&amp;DATE(2025,1,1),$A$5:$A$25,"&lt;"&amp;DATE(2026,1,1))</f>
        <v>1718459.7</v>
      </c>
      <c r="E27" s="33"/>
      <c r="F27" s="31" t="n">
        <f aca="false">SUMIFS(F$5:F$25,$A$5:$A$25,"&gt;="&amp;DATE(2025,1,1),$A$5:$A$25,"&lt;"&amp;DATE(2026,1,1))</f>
        <v>17</v>
      </c>
      <c r="G27" s="32" t="n">
        <f aca="false">IF(F27=0,"",COUNTIFS(Trades!$A$2:$A$2161,"SILVER",Trades!$B$2:$B$2161,"V1",Trades!$E$2:$E$2161,"&gt;="&amp;DATE(2025,1,1),Trades!$E$2:$E$2161,"&lt;"&amp;DATE(2026,1,1),Trades!$M$2:$M$2161,1)/F27)</f>
        <v>0.588235294117647</v>
      </c>
      <c r="H27" s="33" t="n">
        <f aca="false">SUMIFS(H$5:H$25,$A$5:$A$25,"&gt;="&amp;DATE(2025,1,1),$A$5:$A$25,"&lt;"&amp;DATE(2026,1,1))</f>
        <v>2697719.1</v>
      </c>
      <c r="I27" s="33"/>
      <c r="J27" s="31" t="n">
        <f aca="false">SUMIFS(J$5:J$25,$A$5:$A$25,"&gt;="&amp;DATE(2025,1,1),$A$5:$A$25,"&lt;"&amp;DATE(2026,1,1))</f>
        <v>17</v>
      </c>
      <c r="K27" s="32" t="n">
        <f aca="false">IF(J27=0,"",COUNTIFS(Trades!$A$2:$A$2161,"SILVER",Trades!$B$2:$B$2161,"W8",Trades!$E$2:$E$2161,"&gt;="&amp;DATE(2025,1,1),Trades!$E$2:$E$2161,"&lt;"&amp;DATE(2026,1,1),Trades!$M$2:$M$2161,1)/J27)</f>
        <v>0.823529411764706</v>
      </c>
      <c r="L27" s="33" t="n">
        <f aca="false">SUMIFS(L$5:L$25,$A$5:$A$25,"&gt;="&amp;DATE(2025,1,1),$A$5:$A$25,"&lt;"&amp;DATE(2026,1,1))</f>
        <v>2657337.3</v>
      </c>
      <c r="M27" s="33"/>
      <c r="N27" s="31" t="n">
        <f aca="false">SUMIFS(N$5:N$25,$A$5:$A$25,"&gt;="&amp;DATE(2025,1,1),$A$5:$A$25,"&lt;"&amp;DATE(2026,1,1))</f>
        <v>8</v>
      </c>
      <c r="O27" s="32" t="n">
        <f aca="false">IF(N27=0,"",COUNTIFS(Trades!$A$2:$A$2161,"SILVER",Trades!$B$2:$B$2161,"W8C",Trades!$E$2:$E$2161,"&gt;="&amp;DATE(2025,1,1),Trades!$E$2:$E$2161,"&lt;"&amp;DATE(2026,1,1),Trades!$M$2:$M$2161,1)/N27)</f>
        <v>1</v>
      </c>
      <c r="P27" s="33" t="n">
        <f aca="false">SUMIFS(P$5:P$25,$A$5:$A$25,"&gt;="&amp;DATE(2025,1,1),$A$5:$A$25,"&lt;"&amp;DATE(2026,1,1))</f>
        <v>1178374.8</v>
      </c>
      <c r="Q27" s="33"/>
      <c r="R27" s="31" t="n">
        <f aca="false">SUMIFS(R$5:R$25,$A$5:$A$25,"&gt;="&amp;DATE(2025,1,1),$A$5:$A$25,"&lt;"&amp;DATE(2026,1,1))</f>
        <v>28</v>
      </c>
      <c r="S27" s="32" t="n">
        <f aca="false">IF(R27=0,"",COUNTIFS(Trades!$A$2:$A$2161,"SILVER",Trades!$B$2:$B$2161,"T6",Trades!$E$2:$E$2161,"&gt;="&amp;DATE(2025,1,1),Trades!$E$2:$E$2161,"&lt;"&amp;DATE(2026,1,1),Trades!$M$2:$M$2161,1)/R27)</f>
        <v>0.678571428571429</v>
      </c>
      <c r="T27" s="33" t="n">
        <f aca="false">SUMIFS(T$5:T$25,$A$5:$A$25,"&gt;="&amp;DATE(2025,1,1),$A$5:$A$25,"&lt;"&amp;DATE(2026,1,1))</f>
        <v>2729003.7</v>
      </c>
      <c r="U27" s="33"/>
      <c r="V27" s="31" t="n">
        <f aca="false">SUMIFS(V$5:V$25,$A$5:$A$25,"&gt;="&amp;DATE(2025,1,1),$A$5:$A$25,"&lt;"&amp;DATE(2026,1,1))</f>
        <v>38</v>
      </c>
      <c r="W27" s="32" t="n">
        <f aca="false">IF(V27=0,"",COUNTIFS(Trades!$A$2:$A$2161,"SILVER",Trades!$B$2:$B$2161,"T7",Trades!$E$2:$E$2161,"&gt;="&amp;DATE(2025,1,1),Trades!$E$2:$E$2161,"&lt;"&amp;DATE(2026,1,1),Trades!$M$2:$M$2161,1)/V27)</f>
        <v>0.763157894736842</v>
      </c>
      <c r="X27" s="33" t="n">
        <f aca="false">SUMIFS(X$5:X$25,$A$5:$A$25,"&gt;="&amp;DATE(2025,1,1),$A$5:$A$25,"&lt;"&amp;DATE(2026,1,1))</f>
        <v>3000381.3</v>
      </c>
      <c r="Y27" s="33"/>
      <c r="Z27" s="31" t="n">
        <f aca="false">SUMIFS(Z$5:Z$25,$A$5:$A$25,"&gt;="&amp;DATE(2025,1,1),$A$5:$A$25,"&lt;"&amp;DATE(2026,1,1))</f>
        <v>68</v>
      </c>
      <c r="AA27" s="32" t="n">
        <f aca="false">IF(Z27=0,"",COUNTIFS(Trades!$A$2:$A$2161,"SILVER",Trades!$B$2:$B$2161,"U1",Trades!$E$2:$E$2161,"&gt;="&amp;DATE(2025,1,1),Trades!$E$2:$E$2161,"&lt;"&amp;DATE(2026,1,1),Trades!$M$2:$M$2161,1)/Z27)</f>
        <v>0.602941176470588</v>
      </c>
      <c r="AB27" s="33" t="n">
        <f aca="false">SUMIFS(AB$5:AB$25,$A$5:$A$25,"&gt;="&amp;DATE(2025,1,1),$A$5:$A$25,"&lt;"&amp;DATE(2026,1,1))</f>
        <v>1787140.8</v>
      </c>
      <c r="AC27" s="33"/>
      <c r="AD27" s="31" t="n">
        <f aca="false">SUMIFS(AD$5:AD$25,$A$5:$A$25,"&gt;="&amp;DATE(2025,1,1),$A$5:$A$25,"&lt;"&amp;DATE(2026,1,1))</f>
        <v>199</v>
      </c>
      <c r="AE27" s="32" t="n">
        <f aca="false">IF(AD27=0,"",COUNTIFS(Trades!$A$2:$A$2161,"SILVER",Trades!$B$2:$B$2161,"U9",Trades!$E$2:$E$2161,"&gt;="&amp;DATE(2025,1,1),Trades!$E$2:$E$2161,"&lt;"&amp;DATE(2026,1,1),Trades!$M$2:$M$2161,1)/AD27)</f>
        <v>0.628140703517588</v>
      </c>
      <c r="AF27" s="33" t="n">
        <f aca="false">SUMIFS(AF$5:AF$25,$A$5:$A$25,"&gt;="&amp;DATE(2025,1,1),$A$5:$A$25,"&lt;"&amp;DATE(2026,1,1))</f>
        <v>2313441.9</v>
      </c>
      <c r="AG27" s="33"/>
      <c r="AH27" s="31" t="n">
        <f aca="false">SUMIFS(AH$5:AH$25,$A$5:$A$25,"&gt;="&amp;DATE(2025,1,1),$A$5:$A$25,"&lt;"&amp;DATE(2026,1,1))</f>
        <v>195</v>
      </c>
      <c r="AI27" s="32" t="n">
        <f aca="false">IF(AH27=0,"",COUNTIFS(Trades!$A$2:$A$2161,"SILVER",Trades!$B$2:$B$2161,"Q1",Trades!$E$2:$E$2161,"&gt;="&amp;DATE(2025,1,1),Trades!$E$2:$E$2161,"&lt;"&amp;DATE(2026,1,1),Trades!$M$2:$M$2161,1)/AH27)</f>
        <v>0.728205128205128</v>
      </c>
      <c r="AJ27" s="33" t="n">
        <f aca="false">SUMIFS(AJ$5:AJ$25,$A$5:$A$25,"&gt;="&amp;DATE(2025,1,1),$A$5:$A$25,"&lt;"&amp;DATE(2026,1,1))</f>
        <v>1742147.7</v>
      </c>
      <c r="AK27" s="33"/>
    </row>
    <row r="28" customFormat="false" ht="15" hidden="false" customHeight="false" outlineLevel="0" collapsed="false">
      <c r="A28" s="30" t="s">
        <v>79</v>
      </c>
      <c r="B28" s="31" t="n">
        <f aca="false">SUMIFS(B$5:B$25,$A$5:$A$25,"&gt;="&amp;DATE(2026,1,1),$A$5:$A$25,"&lt;"&amp;DATE(2027,1,1))</f>
        <v>31</v>
      </c>
      <c r="C28" s="32" t="n">
        <f aca="false">IF(B28=0,"",COUNTIFS(Trades!$A$2:$A$2161,"SILVER",Trades!$B$2:$B$2161,"V0",Trades!$E$2:$E$2161,"&gt;="&amp;DATE(2026,1,1),Trades!$E$2:$E$2161,"&lt;"&amp;DATE(2027,1,1),Trades!$M$2:$M$2161,1)/B28)</f>
        <v>0.516129032258065</v>
      </c>
      <c r="D28" s="33" t="n">
        <f aca="false">SUMIFS(D$5:D$25,$A$5:$A$25,"&gt;="&amp;DATE(2026,1,1),$A$5:$A$25,"&lt;"&amp;DATE(2027,1,1))</f>
        <v>4660118.4</v>
      </c>
      <c r="E28" s="33"/>
      <c r="F28" s="31" t="n">
        <f aca="false">SUMIFS(F$5:F$25,$A$5:$A$25,"&gt;="&amp;DATE(2026,1,1),$A$5:$A$25,"&lt;"&amp;DATE(2027,1,1))</f>
        <v>15</v>
      </c>
      <c r="G28" s="32" t="n">
        <f aca="false">IF(F28=0,"",COUNTIFS(Trades!$A$2:$A$2161,"SILVER",Trades!$B$2:$B$2161,"V1",Trades!$E$2:$E$2161,"&gt;="&amp;DATE(2026,1,1),Trades!$E$2:$E$2161,"&lt;"&amp;DATE(2027,1,1),Trades!$M$2:$M$2161,1)/F28)</f>
        <v>0.6</v>
      </c>
      <c r="H28" s="33" t="n">
        <f aca="false">SUMIFS(H$5:H$25,$A$5:$A$25,"&gt;="&amp;DATE(2026,1,1),$A$5:$A$25,"&lt;"&amp;DATE(2027,1,1))</f>
        <v>3095756.7</v>
      </c>
      <c r="I28" s="33"/>
      <c r="J28" s="31" t="n">
        <f aca="false">SUMIFS(J$5:J$25,$A$5:$A$25,"&gt;="&amp;DATE(2026,1,1),$A$5:$A$25,"&lt;"&amp;DATE(2027,1,1))</f>
        <v>15</v>
      </c>
      <c r="K28" s="32" t="n">
        <f aca="false">IF(J28=0,"",COUNTIFS(Trades!$A$2:$A$2161,"SILVER",Trades!$B$2:$B$2161,"W8",Trades!$E$2:$E$2161,"&gt;="&amp;DATE(2026,1,1),Trades!$E$2:$E$2161,"&lt;"&amp;DATE(2027,1,1),Trades!$M$2:$M$2161,1)/J28)</f>
        <v>0.733333333333333</v>
      </c>
      <c r="L28" s="33" t="n">
        <f aca="false">SUMIFS(L$5:L$25,$A$5:$A$25,"&gt;="&amp;DATE(2026,1,1),$A$5:$A$25,"&lt;"&amp;DATE(2027,1,1))</f>
        <v>2415378</v>
      </c>
      <c r="M28" s="33"/>
      <c r="N28" s="31" t="n">
        <f aca="false">SUMIFS(N$5:N$25,$A$5:$A$25,"&gt;="&amp;DATE(2026,1,1),$A$5:$A$25,"&lt;"&amp;DATE(2027,1,1))</f>
        <v>8</v>
      </c>
      <c r="O28" s="32" t="n">
        <f aca="false">IF(N28=0,"",COUNTIFS(Trades!$A$2:$A$2161,"SILVER",Trades!$B$2:$B$2161,"W8C",Trades!$E$2:$E$2161,"&gt;="&amp;DATE(2026,1,1),Trades!$E$2:$E$2161,"&lt;"&amp;DATE(2027,1,1),Trades!$M$2:$M$2161,1)/N28)</f>
        <v>0.875</v>
      </c>
      <c r="P28" s="33" t="n">
        <f aca="false">SUMIFS(P$5:P$25,$A$5:$A$25,"&gt;="&amp;DATE(2026,1,1),$A$5:$A$25,"&lt;"&amp;DATE(2027,1,1))</f>
        <v>2137833.6</v>
      </c>
      <c r="Q28" s="33"/>
      <c r="R28" s="31" t="n">
        <f aca="false">SUMIFS(R$5:R$25,$A$5:$A$25,"&gt;="&amp;DATE(2026,1,1),$A$5:$A$25,"&lt;"&amp;DATE(2027,1,1))</f>
        <v>27</v>
      </c>
      <c r="S28" s="32" t="n">
        <f aca="false">IF(R28=0,"",COUNTIFS(Trades!$A$2:$A$2161,"SILVER",Trades!$B$2:$B$2161,"T6",Trades!$E$2:$E$2161,"&gt;="&amp;DATE(2026,1,1),Trades!$E$2:$E$2161,"&lt;"&amp;DATE(2027,1,1),Trades!$M$2:$M$2161,1)/R28)</f>
        <v>0.62962962962963</v>
      </c>
      <c r="T28" s="33" t="n">
        <f aca="false">SUMIFS(T$5:T$25,$A$5:$A$25,"&gt;="&amp;DATE(2026,1,1),$A$5:$A$25,"&lt;"&amp;DATE(2027,1,1))</f>
        <v>2515858.5</v>
      </c>
      <c r="U28" s="33"/>
      <c r="V28" s="31" t="n">
        <f aca="false">SUMIFS(V$5:V$25,$A$5:$A$25,"&gt;="&amp;DATE(2026,1,1),$A$5:$A$25,"&lt;"&amp;DATE(2027,1,1))</f>
        <v>35</v>
      </c>
      <c r="W28" s="32" t="n">
        <f aca="false">IF(V28=0,"",COUNTIFS(Trades!$A$2:$A$2161,"SILVER",Trades!$B$2:$B$2161,"T7",Trades!$E$2:$E$2161,"&gt;="&amp;DATE(2026,1,1),Trades!$E$2:$E$2161,"&lt;"&amp;DATE(2027,1,1),Trades!$M$2:$M$2161,1)/V28)</f>
        <v>0.657142857142857</v>
      </c>
      <c r="X28" s="33" t="n">
        <f aca="false">SUMIFS(X$5:X$25,$A$5:$A$25,"&gt;="&amp;DATE(2026,1,1),$A$5:$A$25,"&lt;"&amp;DATE(2027,1,1))</f>
        <v>3679487.4</v>
      </c>
      <c r="Y28" s="33"/>
      <c r="Z28" s="31" t="n">
        <f aca="false">SUMIFS(Z$5:Z$25,$A$5:$A$25,"&gt;="&amp;DATE(2026,1,1),$A$5:$A$25,"&lt;"&amp;DATE(2027,1,1))</f>
        <v>61</v>
      </c>
      <c r="AA28" s="32" t="n">
        <f aca="false">IF(Z28=0,"",COUNTIFS(Trades!$A$2:$A$2161,"SILVER",Trades!$B$2:$B$2161,"U1",Trades!$E$2:$E$2161,"&gt;="&amp;DATE(2026,1,1),Trades!$E$2:$E$2161,"&lt;"&amp;DATE(2027,1,1),Trades!$M$2:$M$2161,1)/Z28)</f>
        <v>0.655737704918033</v>
      </c>
      <c r="AB28" s="33" t="n">
        <f aca="false">SUMIFS(AB$5:AB$25,$A$5:$A$25,"&gt;="&amp;DATE(2026,1,1),$A$5:$A$25,"&lt;"&amp;DATE(2027,1,1))</f>
        <v>3131769.6</v>
      </c>
      <c r="AC28" s="33"/>
      <c r="AD28" s="31" t="n">
        <f aca="false">SUMIFS(AD$5:AD$25,$A$5:$A$25,"&gt;="&amp;DATE(2026,1,1),$A$5:$A$25,"&lt;"&amp;DATE(2027,1,1))</f>
        <v>141</v>
      </c>
      <c r="AE28" s="32" t="n">
        <f aca="false">IF(AD28=0,"",COUNTIFS(Trades!$A$2:$A$2161,"SILVER",Trades!$B$2:$B$2161,"U9",Trades!$E$2:$E$2161,"&gt;="&amp;DATE(2026,1,1),Trades!$E$2:$E$2161,"&lt;"&amp;DATE(2027,1,1),Trades!$M$2:$M$2161,1)/AD28)</f>
        <v>0.659574468085106</v>
      </c>
      <c r="AF28" s="33" t="n">
        <f aca="false">SUMIFS(AF$5:AF$25,$A$5:$A$25,"&gt;="&amp;DATE(2026,1,1),$A$5:$A$25,"&lt;"&amp;DATE(2027,1,1))</f>
        <v>7303452.3</v>
      </c>
      <c r="AG28" s="33"/>
      <c r="AH28" s="31" t="n">
        <f aca="false">SUMIFS(AH$5:AH$25,$A$5:$A$25,"&gt;="&amp;DATE(2026,1,1),$A$5:$A$25,"&lt;"&amp;DATE(2027,1,1))</f>
        <v>145</v>
      </c>
      <c r="AI28" s="32" t="n">
        <f aca="false">IF(AH28=0,"",COUNTIFS(Trades!$A$2:$A$2161,"SILVER",Trades!$B$2:$B$2161,"Q1",Trades!$E$2:$E$2161,"&gt;="&amp;DATE(2026,1,1),Trades!$E$2:$E$2161,"&lt;"&amp;DATE(2027,1,1),Trades!$M$2:$M$2161,1)/AH28)</f>
        <v>0.813793103448276</v>
      </c>
      <c r="AJ28" s="33" t="n">
        <f aca="false">SUMIFS(AJ$5:AJ$25,$A$5:$A$25,"&gt;="&amp;DATE(2026,1,1),$A$5:$A$25,"&lt;"&amp;DATE(2027,1,1))</f>
        <v>5687354.4</v>
      </c>
      <c r="AK28" s="33"/>
    </row>
    <row r="29" customFormat="false" ht="15" hidden="false" customHeight="false" outlineLevel="0" collapsed="false">
      <c r="A29" s="30" t="s">
        <v>80</v>
      </c>
      <c r="B29" s="31" t="n">
        <f aca="false">SUMIFS(B$5:B$25,$A$5:$A$25,"&gt;="&amp;DATE(2025,1,1),$A$5:$A$25,"&lt;"&amp;DATE(2027,1,1))</f>
        <v>69</v>
      </c>
      <c r="C29" s="32" t="n">
        <f aca="false">IF(B29=0,"",COUNTIFS(Trades!$A$2:$A$2161,"SILVER",Trades!$B$2:$B$2161,"V0",Trades!$E$2:$E$2161,"&gt;="&amp;DATE(2025,1,1),Trades!$E$2:$E$2161,"&lt;"&amp;DATE(2027,1,1),Trades!$M$2:$M$2161,1)/B29)</f>
        <v>0.478260869565217</v>
      </c>
      <c r="D29" s="33" t="n">
        <f aca="false">SUMIFS(D$5:D$25,$A$5:$A$25,"&gt;="&amp;DATE(2025,1,1),$A$5:$A$25,"&lt;"&amp;DATE(2027,1,1))</f>
        <v>6378578.1</v>
      </c>
      <c r="E29" s="33"/>
      <c r="F29" s="31" t="n">
        <f aca="false">SUMIFS(F$5:F$25,$A$5:$A$25,"&gt;="&amp;DATE(2025,1,1),$A$5:$A$25,"&lt;"&amp;DATE(2027,1,1))</f>
        <v>32</v>
      </c>
      <c r="G29" s="32" t="n">
        <f aca="false">IF(F29=0,"",COUNTIFS(Trades!$A$2:$A$2161,"SILVER",Trades!$B$2:$B$2161,"V1",Trades!$E$2:$E$2161,"&gt;="&amp;DATE(2025,1,1),Trades!$E$2:$E$2161,"&lt;"&amp;DATE(2027,1,1),Trades!$M$2:$M$2161,1)/F29)</f>
        <v>0.59375</v>
      </c>
      <c r="H29" s="33" t="n">
        <f aca="false">SUMIFS(H$5:H$25,$A$5:$A$25,"&gt;="&amp;DATE(2025,1,1),$A$5:$A$25,"&lt;"&amp;DATE(2027,1,1))</f>
        <v>5793475.8</v>
      </c>
      <c r="I29" s="33"/>
      <c r="J29" s="31" t="n">
        <f aca="false">SUMIFS(J$5:J$25,$A$5:$A$25,"&gt;="&amp;DATE(2025,1,1),$A$5:$A$25,"&lt;"&amp;DATE(2027,1,1))</f>
        <v>32</v>
      </c>
      <c r="K29" s="32" t="n">
        <f aca="false">IF(J29=0,"",COUNTIFS(Trades!$A$2:$A$2161,"SILVER",Trades!$B$2:$B$2161,"W8",Trades!$E$2:$E$2161,"&gt;="&amp;DATE(2025,1,1),Trades!$E$2:$E$2161,"&lt;"&amp;DATE(2027,1,1),Trades!$M$2:$M$2161,1)/J29)</f>
        <v>0.78125</v>
      </c>
      <c r="L29" s="33" t="n">
        <f aca="false">SUMIFS(L$5:L$25,$A$5:$A$25,"&gt;="&amp;DATE(2025,1,1),$A$5:$A$25,"&lt;"&amp;DATE(2027,1,1))</f>
        <v>5072715.3</v>
      </c>
      <c r="M29" s="33"/>
      <c r="N29" s="31" t="n">
        <f aca="false">SUMIFS(N$5:N$25,$A$5:$A$25,"&gt;="&amp;DATE(2025,1,1),$A$5:$A$25,"&lt;"&amp;DATE(2027,1,1))</f>
        <v>16</v>
      </c>
      <c r="O29" s="32" t="n">
        <f aca="false">IF(N29=0,"",COUNTIFS(Trades!$A$2:$A$2161,"SILVER",Trades!$B$2:$B$2161,"W8C",Trades!$E$2:$E$2161,"&gt;="&amp;DATE(2025,1,1),Trades!$E$2:$E$2161,"&lt;"&amp;DATE(2027,1,1),Trades!$M$2:$M$2161,1)/N29)</f>
        <v>0.9375</v>
      </c>
      <c r="P29" s="33" t="n">
        <f aca="false">SUMIFS(P$5:P$25,$A$5:$A$25,"&gt;="&amp;DATE(2025,1,1),$A$5:$A$25,"&lt;"&amp;DATE(2027,1,1))</f>
        <v>3316208.4</v>
      </c>
      <c r="Q29" s="33"/>
      <c r="R29" s="31" t="n">
        <f aca="false">SUMIFS(R$5:R$25,$A$5:$A$25,"&gt;="&amp;DATE(2025,1,1),$A$5:$A$25,"&lt;"&amp;DATE(2027,1,1))</f>
        <v>55</v>
      </c>
      <c r="S29" s="32" t="n">
        <f aca="false">IF(R29=0,"",COUNTIFS(Trades!$A$2:$A$2161,"SILVER",Trades!$B$2:$B$2161,"T6",Trades!$E$2:$E$2161,"&gt;="&amp;DATE(2025,1,1),Trades!$E$2:$E$2161,"&lt;"&amp;DATE(2027,1,1),Trades!$M$2:$M$2161,1)/R29)</f>
        <v>0.654545454545455</v>
      </c>
      <c r="T29" s="33" t="n">
        <f aca="false">SUMIFS(T$5:T$25,$A$5:$A$25,"&gt;="&amp;DATE(2025,1,1),$A$5:$A$25,"&lt;"&amp;DATE(2027,1,1))</f>
        <v>5244862.2</v>
      </c>
      <c r="U29" s="33"/>
      <c r="V29" s="31" t="n">
        <f aca="false">SUMIFS(V$5:V$25,$A$5:$A$25,"&gt;="&amp;DATE(2025,1,1),$A$5:$A$25,"&lt;"&amp;DATE(2027,1,1))</f>
        <v>73</v>
      </c>
      <c r="W29" s="32" t="n">
        <f aca="false">IF(V29=0,"",COUNTIFS(Trades!$A$2:$A$2161,"SILVER",Trades!$B$2:$B$2161,"T7",Trades!$E$2:$E$2161,"&gt;="&amp;DATE(2025,1,1),Trades!$E$2:$E$2161,"&lt;"&amp;DATE(2027,1,1),Trades!$M$2:$M$2161,1)/V29)</f>
        <v>0.712328767123288</v>
      </c>
      <c r="X29" s="33" t="n">
        <f aca="false">SUMIFS(X$5:X$25,$A$5:$A$25,"&gt;="&amp;DATE(2025,1,1),$A$5:$A$25,"&lt;"&amp;DATE(2027,1,1))</f>
        <v>6679868.7</v>
      </c>
      <c r="Y29" s="33"/>
      <c r="Z29" s="31" t="n">
        <f aca="false">SUMIFS(Z$5:Z$25,$A$5:$A$25,"&gt;="&amp;DATE(2025,1,1),$A$5:$A$25,"&lt;"&amp;DATE(2027,1,1))</f>
        <v>129</v>
      </c>
      <c r="AA29" s="32" t="n">
        <f aca="false">IF(Z29=0,"",COUNTIFS(Trades!$A$2:$A$2161,"SILVER",Trades!$B$2:$B$2161,"U1",Trades!$E$2:$E$2161,"&gt;="&amp;DATE(2025,1,1),Trades!$E$2:$E$2161,"&lt;"&amp;DATE(2027,1,1),Trades!$M$2:$M$2161,1)/Z29)</f>
        <v>0.627906976744186</v>
      </c>
      <c r="AB29" s="33" t="n">
        <f aca="false">SUMIFS(AB$5:AB$25,$A$5:$A$25,"&gt;="&amp;DATE(2025,1,1),$A$5:$A$25,"&lt;"&amp;DATE(2027,1,1))</f>
        <v>4918910.4</v>
      </c>
      <c r="AC29" s="33"/>
      <c r="AD29" s="31" t="n">
        <f aca="false">SUMIFS(AD$5:AD$25,$A$5:$A$25,"&gt;="&amp;DATE(2025,1,1),$A$5:$A$25,"&lt;"&amp;DATE(2027,1,1))</f>
        <v>340</v>
      </c>
      <c r="AE29" s="32" t="n">
        <f aca="false">IF(AD29=0,"",COUNTIFS(Trades!$A$2:$A$2161,"SILVER",Trades!$B$2:$B$2161,"U9",Trades!$E$2:$E$2161,"&gt;="&amp;DATE(2025,1,1),Trades!$E$2:$E$2161,"&lt;"&amp;DATE(2027,1,1),Trades!$M$2:$M$2161,1)/AD29)</f>
        <v>0.641176470588235</v>
      </c>
      <c r="AF29" s="33" t="n">
        <f aca="false">SUMIFS(AF$5:AF$25,$A$5:$A$25,"&gt;="&amp;DATE(2025,1,1),$A$5:$A$25,"&lt;"&amp;DATE(2027,1,1))</f>
        <v>9616894.2</v>
      </c>
      <c r="AG29" s="33"/>
      <c r="AH29" s="31" t="n">
        <f aca="false">SUMIFS(AH$5:AH$25,$A$5:$A$25,"&gt;="&amp;DATE(2025,1,1),$A$5:$A$25,"&lt;"&amp;DATE(2027,1,1))</f>
        <v>340</v>
      </c>
      <c r="AI29" s="32" t="n">
        <f aca="false">IF(AH29=0,"",COUNTIFS(Trades!$A$2:$A$2161,"SILVER",Trades!$B$2:$B$2161,"Q1",Trades!$E$2:$E$2161,"&gt;="&amp;DATE(2025,1,1),Trades!$E$2:$E$2161,"&lt;"&amp;DATE(2027,1,1),Trades!$M$2:$M$2161,1)/AH29)</f>
        <v>0.764705882352941</v>
      </c>
      <c r="AJ29" s="33" t="n">
        <f aca="false">SUMIFS(AJ$5:AJ$25,$A$5:$A$25,"&gt;="&amp;DATE(2025,1,1),$A$5:$A$25,"&lt;"&amp;DATE(2027,1,1))</f>
        <v>7429502.1</v>
      </c>
      <c r="AK29" s="33"/>
    </row>
  </sheetData>
  <mergeCells count="10">
    <mergeCell ref="A3:A4"/>
    <mergeCell ref="B3:E3"/>
    <mergeCell ref="F3:I3"/>
    <mergeCell ref="J3:M3"/>
    <mergeCell ref="N3:Q3"/>
    <mergeCell ref="R3:U3"/>
    <mergeCell ref="V3:Y3"/>
    <mergeCell ref="Z3:AC3"/>
    <mergeCell ref="AD3:AG3"/>
    <mergeCell ref="AH3:A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7" min="2" style="0" width="13"/>
  </cols>
  <sheetData>
    <row r="1" customFormat="false" ht="17.35" hidden="false" customHeight="false" outlineLevel="0" collapsed="false">
      <c r="A1" s="1" t="s">
        <v>81</v>
      </c>
    </row>
    <row r="2" customFormat="false" ht="15" hidden="false" customHeight="false" outlineLevel="0" collapsed="false">
      <c r="A2" s="5" t="s">
        <v>66</v>
      </c>
    </row>
    <row r="3" customFormat="false" ht="30" hidden="false" customHeight="true" outlineLevel="0" collapsed="false">
      <c r="A3" s="6" t="s">
        <v>67</v>
      </c>
      <c r="B3" s="6" t="s">
        <v>68</v>
      </c>
      <c r="C3" s="6"/>
      <c r="D3" s="6"/>
      <c r="E3" s="6"/>
      <c r="F3" s="6" t="s">
        <v>69</v>
      </c>
      <c r="G3" s="6"/>
      <c r="H3" s="6"/>
      <c r="I3" s="6"/>
      <c r="J3" s="6" t="s">
        <v>70</v>
      </c>
      <c r="K3" s="6"/>
      <c r="L3" s="6"/>
      <c r="M3" s="6"/>
      <c r="N3" s="6" t="s">
        <v>71</v>
      </c>
      <c r="O3" s="6"/>
      <c r="P3" s="6"/>
      <c r="Q3" s="6"/>
      <c r="R3" s="6" t="s">
        <v>72</v>
      </c>
      <c r="S3" s="6"/>
      <c r="T3" s="6"/>
      <c r="U3" s="6"/>
      <c r="V3" s="6" t="s">
        <v>73</v>
      </c>
      <c r="W3" s="6"/>
      <c r="X3" s="6"/>
      <c r="Y3" s="6"/>
      <c r="Z3" s="6" t="s">
        <v>74</v>
      </c>
      <c r="AA3" s="6"/>
      <c r="AB3" s="6"/>
      <c r="AC3" s="6"/>
      <c r="AD3" s="6" t="s">
        <v>75</v>
      </c>
      <c r="AE3" s="6"/>
      <c r="AF3" s="6"/>
      <c r="AG3" s="6"/>
      <c r="AH3" s="6" t="s">
        <v>76</v>
      </c>
      <c r="AI3" s="6"/>
      <c r="AJ3" s="6"/>
      <c r="AK3" s="6"/>
    </row>
    <row r="4" customFormat="false" ht="15" hidden="false" customHeight="false" outlineLevel="0" collapsed="false">
      <c r="A4" s="6"/>
      <c r="B4" s="28" t="s">
        <v>12</v>
      </c>
      <c r="C4" s="28" t="s">
        <v>14</v>
      </c>
      <c r="D4" s="28" t="s">
        <v>15</v>
      </c>
      <c r="E4" s="28" t="s">
        <v>77</v>
      </c>
      <c r="F4" s="28" t="s">
        <v>12</v>
      </c>
      <c r="G4" s="28" t="s">
        <v>14</v>
      </c>
      <c r="H4" s="28" t="s">
        <v>15</v>
      </c>
      <c r="I4" s="28" t="s">
        <v>77</v>
      </c>
      <c r="J4" s="28" t="s">
        <v>12</v>
      </c>
      <c r="K4" s="28" t="s">
        <v>14</v>
      </c>
      <c r="L4" s="28" t="s">
        <v>15</v>
      </c>
      <c r="M4" s="28" t="s">
        <v>77</v>
      </c>
      <c r="N4" s="28" t="s">
        <v>12</v>
      </c>
      <c r="O4" s="28" t="s">
        <v>14</v>
      </c>
      <c r="P4" s="28" t="s">
        <v>15</v>
      </c>
      <c r="Q4" s="28" t="s">
        <v>77</v>
      </c>
      <c r="R4" s="28" t="s">
        <v>12</v>
      </c>
      <c r="S4" s="28" t="s">
        <v>14</v>
      </c>
      <c r="T4" s="28" t="s">
        <v>15</v>
      </c>
      <c r="U4" s="28" t="s">
        <v>77</v>
      </c>
      <c r="V4" s="28" t="s">
        <v>12</v>
      </c>
      <c r="W4" s="28" t="s">
        <v>14</v>
      </c>
      <c r="X4" s="28" t="s">
        <v>15</v>
      </c>
      <c r="Y4" s="28" t="s">
        <v>77</v>
      </c>
      <c r="Z4" s="28" t="s">
        <v>12</v>
      </c>
      <c r="AA4" s="28" t="s">
        <v>14</v>
      </c>
      <c r="AB4" s="28" t="s">
        <v>15</v>
      </c>
      <c r="AC4" s="28" t="s">
        <v>77</v>
      </c>
      <c r="AD4" s="28" t="s">
        <v>12</v>
      </c>
      <c r="AE4" s="28" t="s">
        <v>14</v>
      </c>
      <c r="AF4" s="28" t="s">
        <v>15</v>
      </c>
      <c r="AG4" s="28" t="s">
        <v>77</v>
      </c>
      <c r="AH4" s="28" t="s">
        <v>12</v>
      </c>
      <c r="AI4" s="28" t="s">
        <v>14</v>
      </c>
      <c r="AJ4" s="28" t="s">
        <v>15</v>
      </c>
      <c r="AK4" s="28" t="s">
        <v>77</v>
      </c>
    </row>
    <row r="5" customFormat="false" ht="15" hidden="false" customHeight="false" outlineLevel="0" collapsed="false">
      <c r="A5" s="29" t="n">
        <v>45658</v>
      </c>
      <c r="B5" s="9" t="n">
        <f aca="false">COUNTIFS(Trades!$A$2:$A$2161,"GOLD",Trades!$B$2:$B$2161,"V0",Trades!$F$2:$F$2161,$A5)</f>
        <v>0</v>
      </c>
      <c r="C5" s="10" t="str">
        <f aca="false">IF(B5=0,"",COUNTIFS(Trades!$A$2:$A$2161,"GOLD",Trades!$B$2:$B$2161,"V0",Trades!$F$2:$F$2161,$A5,Trades!$M$2:$M$2161,1)/B5)</f>
        <v/>
      </c>
      <c r="D5" s="11" t="n">
        <f aca="false">SUMIFS(Trades!$K$2:$K$2161,Trades!$A$2:$A$2161,"GOLD",Trades!$B$2:$B$2161,"V0",Trades!$F$2:$F$2161,$A5)</f>
        <v>0</v>
      </c>
      <c r="E5" s="11" t="n">
        <f aca="false">D5</f>
        <v>0</v>
      </c>
      <c r="F5" s="9" t="n">
        <f aca="false">COUNTIFS(Trades!$A$2:$A$2161,"GOLD",Trades!$B$2:$B$2161,"V1",Trades!$F$2:$F$2161,$A5)</f>
        <v>0</v>
      </c>
      <c r="G5" s="10" t="str">
        <f aca="false">IF(F5=0,"",COUNTIFS(Trades!$A$2:$A$2161,"GOLD",Trades!$B$2:$B$2161,"V1",Trades!$F$2:$F$2161,$A5,Trades!$M$2:$M$2161,1)/F5)</f>
        <v/>
      </c>
      <c r="H5" s="11" t="n">
        <f aca="false">SUMIFS(Trades!$K$2:$K$2161,Trades!$A$2:$A$2161,"GOLD",Trades!$B$2:$B$2161,"V1",Trades!$F$2:$F$2161,$A5)</f>
        <v>0</v>
      </c>
      <c r="I5" s="11" t="n">
        <f aca="false">H5</f>
        <v>0</v>
      </c>
      <c r="J5" s="9" t="n">
        <f aca="false">COUNTIFS(Trades!$A$2:$A$2161,"GOLD",Trades!$B$2:$B$2161,"W8",Trades!$F$2:$F$2161,$A5)</f>
        <v>0</v>
      </c>
      <c r="K5" s="10" t="str">
        <f aca="false">IF(J5=0,"",COUNTIFS(Trades!$A$2:$A$2161,"GOLD",Trades!$B$2:$B$2161,"W8",Trades!$F$2:$F$2161,$A5,Trades!$M$2:$M$2161,1)/J5)</f>
        <v/>
      </c>
      <c r="L5" s="11" t="n">
        <f aca="false">SUMIFS(Trades!$K$2:$K$2161,Trades!$A$2:$A$2161,"GOLD",Trades!$B$2:$B$2161,"W8",Trades!$F$2:$F$2161,$A5)</f>
        <v>0</v>
      </c>
      <c r="M5" s="11" t="n">
        <f aca="false">L5</f>
        <v>0</v>
      </c>
      <c r="N5" s="9" t="n">
        <f aca="false">COUNTIFS(Trades!$A$2:$A$2161,"GOLD",Trades!$B$2:$B$2161,"W8C",Trades!$F$2:$F$2161,$A5)</f>
        <v>0</v>
      </c>
      <c r="O5" s="10" t="str">
        <f aca="false">IF(N5=0,"",COUNTIFS(Trades!$A$2:$A$2161,"GOLD",Trades!$B$2:$B$2161,"W8C",Trades!$F$2:$F$2161,$A5,Trades!$M$2:$M$2161,1)/N5)</f>
        <v/>
      </c>
      <c r="P5" s="11" t="n">
        <f aca="false">SUMIFS(Trades!$K$2:$K$2161,Trades!$A$2:$A$2161,"GOLD",Trades!$B$2:$B$2161,"W8C",Trades!$F$2:$F$2161,$A5)</f>
        <v>0</v>
      </c>
      <c r="Q5" s="11" t="n">
        <f aca="false">P5</f>
        <v>0</v>
      </c>
      <c r="R5" s="9" t="n">
        <f aca="false">COUNTIFS(Trades!$A$2:$A$2161,"GOLD",Trades!$B$2:$B$2161,"T6",Trades!$F$2:$F$2161,$A5)</f>
        <v>0</v>
      </c>
      <c r="S5" s="10" t="str">
        <f aca="false">IF(R5=0,"",COUNTIFS(Trades!$A$2:$A$2161,"GOLD",Trades!$B$2:$B$2161,"T6",Trades!$F$2:$F$2161,$A5,Trades!$M$2:$M$2161,1)/R5)</f>
        <v/>
      </c>
      <c r="T5" s="11" t="n">
        <f aca="false">SUMIFS(Trades!$K$2:$K$2161,Trades!$A$2:$A$2161,"GOLD",Trades!$B$2:$B$2161,"T6",Trades!$F$2:$F$2161,$A5)</f>
        <v>0</v>
      </c>
      <c r="U5" s="11" t="n">
        <f aca="false">T5</f>
        <v>0</v>
      </c>
      <c r="V5" s="9" t="n">
        <f aca="false">COUNTIFS(Trades!$A$2:$A$2161,"GOLD",Trades!$B$2:$B$2161,"T7",Trades!$F$2:$F$2161,$A5)</f>
        <v>0</v>
      </c>
      <c r="W5" s="10" t="str">
        <f aca="false">IF(V5=0,"",COUNTIFS(Trades!$A$2:$A$2161,"GOLD",Trades!$B$2:$B$2161,"T7",Trades!$F$2:$F$2161,$A5,Trades!$M$2:$M$2161,1)/V5)</f>
        <v/>
      </c>
      <c r="X5" s="11" t="n">
        <f aca="false">SUMIFS(Trades!$K$2:$K$2161,Trades!$A$2:$A$2161,"GOLD",Trades!$B$2:$B$2161,"T7",Trades!$F$2:$F$2161,$A5)</f>
        <v>0</v>
      </c>
      <c r="Y5" s="11" t="n">
        <f aca="false">X5</f>
        <v>0</v>
      </c>
      <c r="Z5" s="9" t="n">
        <f aca="false">COUNTIFS(Trades!$A$2:$A$2161,"GOLD",Trades!$B$2:$B$2161,"U1",Trades!$F$2:$F$2161,$A5)</f>
        <v>0</v>
      </c>
      <c r="AA5" s="10" t="str">
        <f aca="false">IF(Z5=0,"",COUNTIFS(Trades!$A$2:$A$2161,"GOLD",Trades!$B$2:$B$2161,"U1",Trades!$F$2:$F$2161,$A5,Trades!$M$2:$M$2161,1)/Z5)</f>
        <v/>
      </c>
      <c r="AB5" s="11" t="n">
        <f aca="false">SUMIFS(Trades!$K$2:$K$2161,Trades!$A$2:$A$2161,"GOLD",Trades!$B$2:$B$2161,"U1",Trades!$F$2:$F$2161,$A5)</f>
        <v>0</v>
      </c>
      <c r="AC5" s="11" t="n">
        <f aca="false">AB5</f>
        <v>0</v>
      </c>
      <c r="AD5" s="9" t="n">
        <f aca="false">COUNTIFS(Trades!$A$2:$A$2161,"GOLD",Trades!$B$2:$B$2161,"U9",Trades!$F$2:$F$2161,$A5)</f>
        <v>2</v>
      </c>
      <c r="AE5" s="10" t="n">
        <f aca="false">IF(AD5=0,"",COUNTIFS(Trades!$A$2:$A$2161,"GOLD",Trades!$B$2:$B$2161,"U9",Trades!$F$2:$F$2161,$A5,Trades!$M$2:$M$2161,1)/AD5)</f>
        <v>0</v>
      </c>
      <c r="AF5" s="11" t="n">
        <f aca="false">SUMIFS(Trades!$K$2:$K$2161,Trades!$A$2:$A$2161,"GOLD",Trades!$B$2:$B$2161,"U9",Trades!$F$2:$F$2161,$A5)</f>
        <v>-67448</v>
      </c>
      <c r="AG5" s="11" t="n">
        <f aca="false">AF5</f>
        <v>-67448</v>
      </c>
      <c r="AH5" s="9" t="n">
        <f aca="false">COUNTIFS(Trades!$A$2:$A$2161,"GOLD",Trades!$B$2:$B$2161,"Q1",Trades!$F$2:$F$2161,$A5)</f>
        <v>0</v>
      </c>
      <c r="AI5" s="10" t="str">
        <f aca="false">IF(AH5=0,"",COUNTIFS(Trades!$A$2:$A$2161,"GOLD",Trades!$B$2:$B$2161,"Q1",Trades!$F$2:$F$2161,$A5,Trades!$M$2:$M$2161,1)/AH5)</f>
        <v/>
      </c>
      <c r="AJ5" s="11" t="n">
        <f aca="false">SUMIFS(Trades!$K$2:$K$2161,Trades!$A$2:$A$2161,"GOLD",Trades!$B$2:$B$2161,"Q1",Trades!$F$2:$F$2161,$A5)</f>
        <v>0</v>
      </c>
      <c r="AK5" s="11" t="n">
        <f aca="false">AJ5</f>
        <v>0</v>
      </c>
    </row>
    <row r="6" customFormat="false" ht="15" hidden="false" customHeight="false" outlineLevel="0" collapsed="false">
      <c r="A6" s="29" t="n">
        <v>45689</v>
      </c>
      <c r="B6" s="9" t="n">
        <f aca="false">COUNTIFS(Trades!$A$2:$A$2161,"GOLD",Trades!$B$2:$B$2161,"V0",Trades!$F$2:$F$2161,$A6)</f>
        <v>3</v>
      </c>
      <c r="C6" s="10" t="n">
        <f aca="false">IF(B6=0,"",COUNTIFS(Trades!$A$2:$A$2161,"GOLD",Trades!$B$2:$B$2161,"V0",Trades!$F$2:$F$2161,$A6,Trades!$M$2:$M$2161,1)/B6)</f>
        <v>0.333333333333333</v>
      </c>
      <c r="D6" s="11" t="n">
        <f aca="false">SUMIFS(Trades!$K$2:$K$2161,Trades!$A$2:$A$2161,"GOLD",Trades!$B$2:$B$2161,"V0",Trades!$F$2:$F$2161,$A6)</f>
        <v>482841</v>
      </c>
      <c r="E6" s="11" t="n">
        <f aca="false">E5+D6</f>
        <v>482841</v>
      </c>
      <c r="F6" s="9" t="n">
        <f aca="false">COUNTIFS(Trades!$A$2:$A$2161,"GOLD",Trades!$B$2:$B$2161,"V1",Trades!$F$2:$F$2161,$A6)</f>
        <v>1</v>
      </c>
      <c r="G6" s="10" t="n">
        <f aca="false">IF(F6=0,"",COUNTIFS(Trades!$A$2:$A$2161,"GOLD",Trades!$B$2:$B$2161,"V1",Trades!$F$2:$F$2161,$A6,Trades!$M$2:$M$2161,1)/F6)</f>
        <v>0</v>
      </c>
      <c r="H6" s="11" t="n">
        <f aca="false">SUMIFS(Trades!$K$2:$K$2161,Trades!$A$2:$A$2161,"GOLD",Trades!$B$2:$B$2161,"V1",Trades!$F$2:$F$2161,$A6)</f>
        <v>-104517</v>
      </c>
      <c r="I6" s="11" t="n">
        <f aca="false">I5+H6</f>
        <v>-104517</v>
      </c>
      <c r="J6" s="9" t="n">
        <f aca="false">COUNTIFS(Trades!$A$2:$A$2161,"GOLD",Trades!$B$2:$B$2161,"W8",Trades!$F$2:$F$2161,$A6)</f>
        <v>1</v>
      </c>
      <c r="K6" s="10" t="n">
        <f aca="false">IF(J6=0,"",COUNTIFS(Trades!$A$2:$A$2161,"GOLD",Trades!$B$2:$B$2161,"W8",Trades!$F$2:$F$2161,$A6,Trades!$M$2:$M$2161,1)/J6)</f>
        <v>0</v>
      </c>
      <c r="L6" s="11" t="n">
        <f aca="false">SUMIFS(Trades!$K$2:$K$2161,Trades!$A$2:$A$2161,"GOLD",Trades!$B$2:$B$2161,"W8",Trades!$F$2:$F$2161,$A6)</f>
        <v>-104517</v>
      </c>
      <c r="M6" s="11" t="n">
        <f aca="false">M5+L6</f>
        <v>-104517</v>
      </c>
      <c r="N6" s="9" t="n">
        <f aca="false">COUNTIFS(Trades!$A$2:$A$2161,"GOLD",Trades!$B$2:$B$2161,"W8C",Trades!$F$2:$F$2161,$A6)</f>
        <v>1</v>
      </c>
      <c r="O6" s="10" t="n">
        <f aca="false">IF(N6=0,"",COUNTIFS(Trades!$A$2:$A$2161,"GOLD",Trades!$B$2:$B$2161,"W8C",Trades!$F$2:$F$2161,$A6,Trades!$M$2:$M$2161,1)/N6)</f>
        <v>0</v>
      </c>
      <c r="P6" s="11" t="n">
        <f aca="false">SUMIFS(Trades!$K$2:$K$2161,Trades!$A$2:$A$2161,"GOLD",Trades!$B$2:$B$2161,"W8C",Trades!$F$2:$F$2161,$A6)</f>
        <v>-117018</v>
      </c>
      <c r="Q6" s="11" t="n">
        <f aca="false">Q5+P6</f>
        <v>-117018</v>
      </c>
      <c r="R6" s="9" t="n">
        <f aca="false">COUNTIFS(Trades!$A$2:$A$2161,"GOLD",Trades!$B$2:$B$2161,"T6",Trades!$F$2:$F$2161,$A6)</f>
        <v>2</v>
      </c>
      <c r="S6" s="10" t="n">
        <f aca="false">IF(R6=0,"",COUNTIFS(Trades!$A$2:$A$2161,"GOLD",Trades!$B$2:$B$2161,"T6",Trades!$F$2:$F$2161,$A6,Trades!$M$2:$M$2161,1)/R6)</f>
        <v>0.5</v>
      </c>
      <c r="T6" s="11" t="n">
        <f aca="false">SUMIFS(Trades!$K$2:$K$2161,Trades!$A$2:$A$2161,"GOLD",Trades!$B$2:$B$2161,"T6",Trades!$F$2:$F$2161,$A6)</f>
        <v>-84009</v>
      </c>
      <c r="U6" s="11" t="n">
        <f aca="false">U5+T6</f>
        <v>-84009</v>
      </c>
      <c r="V6" s="9" t="n">
        <f aca="false">COUNTIFS(Trades!$A$2:$A$2161,"GOLD",Trades!$B$2:$B$2161,"T7",Trades!$F$2:$F$2161,$A6)</f>
        <v>3</v>
      </c>
      <c r="W6" s="10" t="n">
        <f aca="false">IF(V6=0,"",COUNTIFS(Trades!$A$2:$A$2161,"GOLD",Trades!$B$2:$B$2161,"T7",Trades!$F$2:$F$2161,$A6,Trades!$M$2:$M$2161,1)/V6)</f>
        <v>0.666666666666667</v>
      </c>
      <c r="X6" s="11" t="n">
        <f aca="false">SUMIFS(Trades!$K$2:$K$2161,Trades!$A$2:$A$2161,"GOLD",Trades!$B$2:$B$2161,"T7",Trades!$F$2:$F$2161,$A6)</f>
        <v>1084</v>
      </c>
      <c r="Y6" s="11" t="n">
        <f aca="false">Y5+X6</f>
        <v>1084</v>
      </c>
      <c r="Z6" s="9" t="n">
        <f aca="false">COUNTIFS(Trades!$A$2:$A$2161,"GOLD",Trades!$B$2:$B$2161,"U1",Trades!$F$2:$F$2161,$A6)</f>
        <v>6</v>
      </c>
      <c r="AA6" s="10" t="n">
        <f aca="false">IF(Z6=0,"",COUNTIFS(Trades!$A$2:$A$2161,"GOLD",Trades!$B$2:$B$2161,"U1",Trades!$F$2:$F$2161,$A6,Trades!$M$2:$M$2161,1)/Z6)</f>
        <v>0.666666666666667</v>
      </c>
      <c r="AB6" s="11" t="n">
        <f aca="false">SUMIFS(Trades!$K$2:$K$2161,Trades!$A$2:$A$2161,"GOLD",Trades!$B$2:$B$2161,"U1",Trades!$F$2:$F$2161,$A6)</f>
        <v>-130533</v>
      </c>
      <c r="AC6" s="11" t="n">
        <f aca="false">AC5+AB6</f>
        <v>-130533</v>
      </c>
      <c r="AD6" s="9" t="n">
        <f aca="false">COUNTIFS(Trades!$A$2:$A$2161,"GOLD",Trades!$B$2:$B$2161,"U9",Trades!$F$2:$F$2161,$A6)</f>
        <v>19</v>
      </c>
      <c r="AE6" s="10" t="n">
        <f aca="false">IF(AD6=0,"",COUNTIFS(Trades!$A$2:$A$2161,"GOLD",Trades!$B$2:$B$2161,"U9",Trades!$F$2:$F$2161,$A6,Trades!$M$2:$M$2161,1)/AD6)</f>
        <v>0.368421052631579</v>
      </c>
      <c r="AF6" s="11" t="n">
        <f aca="false">SUMIFS(Trades!$K$2:$K$2161,Trades!$A$2:$A$2161,"GOLD",Trades!$B$2:$B$2161,"U9",Trades!$F$2:$F$2161,$A6)</f>
        <v>-188247</v>
      </c>
      <c r="AG6" s="11" t="n">
        <f aca="false">AG5+AF6</f>
        <v>-255695</v>
      </c>
      <c r="AH6" s="9" t="n">
        <f aca="false">COUNTIFS(Trades!$A$2:$A$2161,"GOLD",Trades!$B$2:$B$2161,"Q1",Trades!$F$2:$F$2161,$A6)</f>
        <v>20</v>
      </c>
      <c r="AI6" s="10" t="n">
        <f aca="false">IF(AH6=0,"",COUNTIFS(Trades!$A$2:$A$2161,"GOLD",Trades!$B$2:$B$2161,"Q1",Trades!$F$2:$F$2161,$A6,Trades!$M$2:$M$2161,1)/AH6)</f>
        <v>0.65</v>
      </c>
      <c r="AJ6" s="11" t="n">
        <f aca="false">SUMIFS(Trades!$K$2:$K$2161,Trades!$A$2:$A$2161,"GOLD",Trades!$B$2:$B$2161,"Q1",Trades!$F$2:$F$2161,$A6)</f>
        <v>-152402</v>
      </c>
      <c r="AK6" s="11" t="n">
        <f aca="false">AK5+AJ6</f>
        <v>-152402</v>
      </c>
    </row>
    <row r="7" customFormat="false" ht="15" hidden="false" customHeight="false" outlineLevel="0" collapsed="false">
      <c r="A7" s="29" t="n">
        <v>45717</v>
      </c>
      <c r="B7" s="9" t="n">
        <f aca="false">COUNTIFS(Trades!$A$2:$A$2161,"GOLD",Trades!$B$2:$B$2161,"V0",Trades!$F$2:$F$2161,$A7)</f>
        <v>3</v>
      </c>
      <c r="C7" s="10" t="n">
        <f aca="false">IF(B7=0,"",COUNTIFS(Trades!$A$2:$A$2161,"GOLD",Trades!$B$2:$B$2161,"V0",Trades!$F$2:$F$2161,$A7,Trades!$M$2:$M$2161,1)/B7)</f>
        <v>0.333333333333333</v>
      </c>
      <c r="D7" s="11" t="n">
        <f aca="false">SUMIFS(Trades!$K$2:$K$2161,Trades!$A$2:$A$2161,"GOLD",Trades!$B$2:$B$2161,"V0",Trades!$F$2:$F$2161,$A7)</f>
        <v>45998</v>
      </c>
      <c r="E7" s="11" t="n">
        <f aca="false">E6+D7</f>
        <v>528839</v>
      </c>
      <c r="F7" s="9" t="n">
        <f aca="false">COUNTIFS(Trades!$A$2:$A$2161,"GOLD",Trades!$B$2:$B$2161,"V1",Trades!$F$2:$F$2161,$A7)</f>
        <v>1</v>
      </c>
      <c r="G7" s="10" t="n">
        <f aca="false">IF(F7=0,"",COUNTIFS(Trades!$A$2:$A$2161,"GOLD",Trades!$B$2:$B$2161,"V1",Trades!$F$2:$F$2161,$A7,Trades!$M$2:$M$2161,1)/F7)</f>
        <v>1</v>
      </c>
      <c r="H7" s="11" t="n">
        <f aca="false">SUMIFS(Trades!$K$2:$K$2161,Trades!$A$2:$A$2161,"GOLD",Trades!$B$2:$B$2161,"V1",Trades!$F$2:$F$2161,$A7)</f>
        <v>181668</v>
      </c>
      <c r="I7" s="11" t="n">
        <f aca="false">I6+H7</f>
        <v>77151</v>
      </c>
      <c r="J7" s="9" t="n">
        <f aca="false">COUNTIFS(Trades!$A$2:$A$2161,"GOLD",Trades!$B$2:$B$2161,"W8",Trades!$F$2:$F$2161,$A7)</f>
        <v>1</v>
      </c>
      <c r="K7" s="10" t="n">
        <f aca="false">IF(J7=0,"",COUNTIFS(Trades!$A$2:$A$2161,"GOLD",Trades!$B$2:$B$2161,"W8",Trades!$F$2:$F$2161,$A7,Trades!$M$2:$M$2161,1)/J7)</f>
        <v>1</v>
      </c>
      <c r="L7" s="11" t="n">
        <f aca="false">SUMIFS(Trades!$K$2:$K$2161,Trades!$A$2:$A$2161,"GOLD",Trades!$B$2:$B$2161,"W8",Trades!$F$2:$F$2161,$A7)</f>
        <v>181668</v>
      </c>
      <c r="M7" s="11" t="n">
        <f aca="false">M6+L7</f>
        <v>77151</v>
      </c>
      <c r="N7" s="9" t="n">
        <f aca="false">COUNTIFS(Trades!$A$2:$A$2161,"GOLD",Trades!$B$2:$B$2161,"W8C",Trades!$F$2:$F$2161,$A7)</f>
        <v>1</v>
      </c>
      <c r="O7" s="10" t="n">
        <f aca="false">IF(N7=0,"",COUNTIFS(Trades!$A$2:$A$2161,"GOLD",Trades!$B$2:$B$2161,"W8C",Trades!$F$2:$F$2161,$A7,Trades!$M$2:$M$2161,1)/N7)</f>
        <v>1</v>
      </c>
      <c r="P7" s="11" t="n">
        <f aca="false">SUMIFS(Trades!$K$2:$K$2161,Trades!$A$2:$A$2161,"GOLD",Trades!$B$2:$B$2161,"W8C",Trades!$F$2:$F$2161,$A7)</f>
        <v>138964</v>
      </c>
      <c r="Q7" s="11" t="n">
        <f aca="false">Q6+P7</f>
        <v>21946</v>
      </c>
      <c r="R7" s="9" t="n">
        <f aca="false">COUNTIFS(Trades!$A$2:$A$2161,"GOLD",Trades!$B$2:$B$2161,"T6",Trades!$F$2:$F$2161,$A7)</f>
        <v>1</v>
      </c>
      <c r="S7" s="10" t="n">
        <f aca="false">IF(R7=0,"",COUNTIFS(Trades!$A$2:$A$2161,"GOLD",Trades!$B$2:$B$2161,"T6",Trades!$F$2:$F$2161,$A7,Trades!$M$2:$M$2161,1)/R7)</f>
        <v>1</v>
      </c>
      <c r="T7" s="11" t="n">
        <f aca="false">SUMIFS(Trades!$K$2:$K$2161,Trades!$A$2:$A$2161,"GOLD",Trades!$B$2:$B$2161,"T6",Trades!$F$2:$F$2161,$A7)</f>
        <v>8356</v>
      </c>
      <c r="U7" s="11" t="n">
        <f aca="false">U6+T7</f>
        <v>-75653</v>
      </c>
      <c r="V7" s="9" t="n">
        <f aca="false">COUNTIFS(Trades!$A$2:$A$2161,"GOLD",Trades!$B$2:$B$2161,"T7",Trades!$F$2:$F$2161,$A7)</f>
        <v>3</v>
      </c>
      <c r="W7" s="10" t="n">
        <f aca="false">IF(V7=0,"",COUNTIFS(Trades!$A$2:$A$2161,"GOLD",Trades!$B$2:$B$2161,"T7",Trades!$F$2:$F$2161,$A7,Trades!$M$2:$M$2161,1)/V7)</f>
        <v>0.666666666666667</v>
      </c>
      <c r="X7" s="11" t="n">
        <f aca="false">SUMIFS(Trades!$K$2:$K$2161,Trades!$A$2:$A$2161,"GOLD",Trades!$B$2:$B$2161,"T7",Trades!$F$2:$F$2161,$A7)</f>
        <v>97157</v>
      </c>
      <c r="Y7" s="11" t="n">
        <f aca="false">Y6+X7</f>
        <v>98241</v>
      </c>
      <c r="Z7" s="9" t="n">
        <f aca="false">COUNTIFS(Trades!$A$2:$A$2161,"GOLD",Trades!$B$2:$B$2161,"U1",Trades!$F$2:$F$2161,$A7)</f>
        <v>5</v>
      </c>
      <c r="AA7" s="10" t="n">
        <f aca="false">IF(Z7=0,"",COUNTIFS(Trades!$A$2:$A$2161,"GOLD",Trades!$B$2:$B$2161,"U1",Trades!$F$2:$F$2161,$A7,Trades!$M$2:$M$2161,1)/Z7)</f>
        <v>0.6</v>
      </c>
      <c r="AB7" s="11" t="n">
        <f aca="false">SUMIFS(Trades!$K$2:$K$2161,Trades!$A$2:$A$2161,"GOLD",Trades!$B$2:$B$2161,"U1",Trades!$F$2:$F$2161,$A7)</f>
        <v>147809</v>
      </c>
      <c r="AC7" s="11" t="n">
        <f aca="false">AC6+AB7</f>
        <v>17276</v>
      </c>
      <c r="AD7" s="9" t="n">
        <f aca="false">COUNTIFS(Trades!$A$2:$A$2161,"GOLD",Trades!$B$2:$B$2161,"U9",Trades!$F$2:$F$2161,$A7)</f>
        <v>19</v>
      </c>
      <c r="AE7" s="10" t="n">
        <f aca="false">IF(AD7=0,"",COUNTIFS(Trades!$A$2:$A$2161,"GOLD",Trades!$B$2:$B$2161,"U9",Trades!$F$2:$F$2161,$A7,Trades!$M$2:$M$2161,1)/AD7)</f>
        <v>0.473684210526316</v>
      </c>
      <c r="AF7" s="11" t="n">
        <f aca="false">SUMIFS(Trades!$K$2:$K$2161,Trades!$A$2:$A$2161,"GOLD",Trades!$B$2:$B$2161,"U9",Trades!$F$2:$F$2161,$A7)</f>
        <v>187891</v>
      </c>
      <c r="AG7" s="11" t="n">
        <f aca="false">AG6+AF7</f>
        <v>-67804</v>
      </c>
      <c r="AH7" s="9" t="n">
        <f aca="false">COUNTIFS(Trades!$A$2:$A$2161,"GOLD",Trades!$B$2:$B$2161,"Q1",Trades!$F$2:$F$2161,$A7)</f>
        <v>18</v>
      </c>
      <c r="AI7" s="10" t="n">
        <f aca="false">IF(AH7=0,"",COUNTIFS(Trades!$A$2:$A$2161,"GOLD",Trades!$B$2:$B$2161,"Q1",Trades!$F$2:$F$2161,$A7,Trades!$M$2:$M$2161,1)/AH7)</f>
        <v>0.611111111111111</v>
      </c>
      <c r="AJ7" s="11" t="n">
        <f aca="false">SUMIFS(Trades!$K$2:$K$2161,Trades!$A$2:$A$2161,"GOLD",Trades!$B$2:$B$2161,"Q1",Trades!$F$2:$F$2161,$A7)</f>
        <v>48043</v>
      </c>
      <c r="AK7" s="11" t="n">
        <f aca="false">AK6+AJ7</f>
        <v>-104359</v>
      </c>
    </row>
    <row r="8" customFormat="false" ht="15" hidden="false" customHeight="false" outlineLevel="0" collapsed="false">
      <c r="A8" s="29" t="n">
        <v>45748</v>
      </c>
      <c r="B8" s="9" t="n">
        <f aca="false">COUNTIFS(Trades!$A$2:$A$2161,"GOLD",Trades!$B$2:$B$2161,"V0",Trades!$F$2:$F$2161,$A8)</f>
        <v>3</v>
      </c>
      <c r="C8" s="10" t="n">
        <f aca="false">IF(B8=0,"",COUNTIFS(Trades!$A$2:$A$2161,"GOLD",Trades!$B$2:$B$2161,"V0",Trades!$F$2:$F$2161,$A8,Trades!$M$2:$M$2161,1)/B8)</f>
        <v>0.666666666666667</v>
      </c>
      <c r="D8" s="11" t="n">
        <f aca="false">SUMIFS(Trades!$K$2:$K$2161,Trades!$A$2:$A$2161,"GOLD",Trades!$B$2:$B$2161,"V0",Trades!$F$2:$F$2161,$A8)</f>
        <v>588465</v>
      </c>
      <c r="E8" s="11" t="n">
        <f aca="false">E7+D8</f>
        <v>1117304</v>
      </c>
      <c r="F8" s="9" t="n">
        <f aca="false">COUNTIFS(Trades!$A$2:$A$2161,"GOLD",Trades!$B$2:$B$2161,"V1",Trades!$F$2:$F$2161,$A8)</f>
        <v>2</v>
      </c>
      <c r="G8" s="10" t="n">
        <f aca="false">IF(F8=0,"",COUNTIFS(Trades!$A$2:$A$2161,"GOLD",Trades!$B$2:$B$2161,"V1",Trades!$F$2:$F$2161,$A8,Trades!$M$2:$M$2161,1)/F8)</f>
        <v>1</v>
      </c>
      <c r="H8" s="11" t="n">
        <f aca="false">SUMIFS(Trades!$K$2:$K$2161,Trades!$A$2:$A$2161,"GOLD",Trades!$B$2:$B$2161,"V1",Trades!$F$2:$F$2161,$A8)</f>
        <v>691060</v>
      </c>
      <c r="I8" s="11" t="n">
        <f aca="false">I7+H8</f>
        <v>768211</v>
      </c>
      <c r="J8" s="9" t="n">
        <f aca="false">COUNTIFS(Trades!$A$2:$A$2161,"GOLD",Trades!$B$2:$B$2161,"W8",Trades!$F$2:$F$2161,$A8)</f>
        <v>2</v>
      </c>
      <c r="K8" s="10" t="n">
        <f aca="false">IF(J8=0,"",COUNTIFS(Trades!$A$2:$A$2161,"GOLD",Trades!$B$2:$B$2161,"W8",Trades!$F$2:$F$2161,$A8,Trades!$M$2:$M$2161,1)/J8)</f>
        <v>1</v>
      </c>
      <c r="L8" s="11" t="n">
        <f aca="false">SUMIFS(Trades!$K$2:$K$2161,Trades!$A$2:$A$2161,"GOLD",Trades!$B$2:$B$2161,"W8",Trades!$F$2:$F$2161,$A8)</f>
        <v>691060</v>
      </c>
      <c r="M8" s="11" t="n">
        <f aca="false">M7+L8</f>
        <v>768211</v>
      </c>
      <c r="N8" s="9" t="n">
        <f aca="false">COUNTIFS(Trades!$A$2:$A$2161,"GOLD",Trades!$B$2:$B$2161,"W8C",Trades!$F$2:$F$2161,$A8)</f>
        <v>0</v>
      </c>
      <c r="O8" s="10" t="str">
        <f aca="false">IF(N8=0,"",COUNTIFS(Trades!$A$2:$A$2161,"GOLD",Trades!$B$2:$B$2161,"W8C",Trades!$F$2:$F$2161,$A8,Trades!$M$2:$M$2161,1)/N8)</f>
        <v/>
      </c>
      <c r="P8" s="11" t="n">
        <f aca="false">SUMIFS(Trades!$K$2:$K$2161,Trades!$A$2:$A$2161,"GOLD",Trades!$B$2:$B$2161,"W8C",Trades!$F$2:$F$2161,$A8)</f>
        <v>0</v>
      </c>
      <c r="Q8" s="11" t="n">
        <f aca="false">Q7+P8</f>
        <v>21946</v>
      </c>
      <c r="R8" s="9" t="n">
        <f aca="false">COUNTIFS(Trades!$A$2:$A$2161,"GOLD",Trades!$B$2:$B$2161,"T6",Trades!$F$2:$F$2161,$A8)</f>
        <v>4</v>
      </c>
      <c r="S8" s="10" t="n">
        <f aca="false">IF(R8=0,"",COUNTIFS(Trades!$A$2:$A$2161,"GOLD",Trades!$B$2:$B$2161,"T6",Trades!$F$2:$F$2161,$A8,Trades!$M$2:$M$2161,1)/R8)</f>
        <v>0.75</v>
      </c>
      <c r="T8" s="11" t="n">
        <f aca="false">SUMIFS(Trades!$K$2:$K$2161,Trades!$A$2:$A$2161,"GOLD",Trades!$B$2:$B$2161,"T6",Trades!$F$2:$F$2161,$A8)</f>
        <v>597446</v>
      </c>
      <c r="U8" s="11" t="n">
        <f aca="false">U7+T8</f>
        <v>521793</v>
      </c>
      <c r="V8" s="9" t="n">
        <f aca="false">COUNTIFS(Trades!$A$2:$A$2161,"GOLD",Trades!$B$2:$B$2161,"T7",Trades!$F$2:$F$2161,$A8)</f>
        <v>5</v>
      </c>
      <c r="W8" s="10" t="n">
        <f aca="false">IF(V8=0,"",COUNTIFS(Trades!$A$2:$A$2161,"GOLD",Trades!$B$2:$B$2161,"T7",Trades!$F$2:$F$2161,$A8,Trades!$M$2:$M$2161,1)/V8)</f>
        <v>0.6</v>
      </c>
      <c r="X8" s="11" t="n">
        <f aca="false">SUMIFS(Trades!$K$2:$K$2161,Trades!$A$2:$A$2161,"GOLD",Trades!$B$2:$B$2161,"T7",Trades!$F$2:$F$2161,$A8)</f>
        <v>380747</v>
      </c>
      <c r="Y8" s="11" t="n">
        <f aca="false">Y7+X8</f>
        <v>478988</v>
      </c>
      <c r="Z8" s="9" t="n">
        <f aca="false">COUNTIFS(Trades!$A$2:$A$2161,"GOLD",Trades!$B$2:$B$2161,"U1",Trades!$F$2:$F$2161,$A8)</f>
        <v>5</v>
      </c>
      <c r="AA8" s="10" t="n">
        <f aca="false">IF(Z8=0,"",COUNTIFS(Trades!$A$2:$A$2161,"GOLD",Trades!$B$2:$B$2161,"U1",Trades!$F$2:$F$2161,$A8,Trades!$M$2:$M$2161,1)/Z8)</f>
        <v>0.8</v>
      </c>
      <c r="AB8" s="11" t="n">
        <f aca="false">SUMIFS(Trades!$K$2:$K$2161,Trades!$A$2:$A$2161,"GOLD",Trades!$B$2:$B$2161,"U1",Trades!$F$2:$F$2161,$A8)</f>
        <v>591060</v>
      </c>
      <c r="AC8" s="11" t="n">
        <f aca="false">AC7+AB8</f>
        <v>608336</v>
      </c>
      <c r="AD8" s="9" t="n">
        <f aca="false">COUNTIFS(Trades!$A$2:$A$2161,"GOLD",Trades!$B$2:$B$2161,"U9",Trades!$F$2:$F$2161,$A8)</f>
        <v>15</v>
      </c>
      <c r="AE8" s="10" t="n">
        <f aca="false">IF(AD8=0,"",COUNTIFS(Trades!$A$2:$A$2161,"GOLD",Trades!$B$2:$B$2161,"U9",Trades!$F$2:$F$2161,$A8,Trades!$M$2:$M$2161,1)/AD8)</f>
        <v>0.6</v>
      </c>
      <c r="AF8" s="11" t="n">
        <f aca="false">SUMIFS(Trades!$K$2:$K$2161,Trades!$A$2:$A$2161,"GOLD",Trades!$B$2:$B$2161,"U9",Trades!$F$2:$F$2161,$A8)</f>
        <v>982973</v>
      </c>
      <c r="AG8" s="11" t="n">
        <f aca="false">AG7+AF8</f>
        <v>915169</v>
      </c>
      <c r="AH8" s="9" t="n">
        <f aca="false">COUNTIFS(Trades!$A$2:$A$2161,"GOLD",Trades!$B$2:$B$2161,"Q1",Trades!$F$2:$F$2161,$A8)</f>
        <v>11</v>
      </c>
      <c r="AI8" s="10" t="n">
        <f aca="false">IF(AH8=0,"",COUNTIFS(Trades!$A$2:$A$2161,"GOLD",Trades!$B$2:$B$2161,"Q1",Trades!$F$2:$F$2161,$A8,Trades!$M$2:$M$2161,1)/AH8)</f>
        <v>0.727272727272727</v>
      </c>
      <c r="AJ8" s="11" t="n">
        <f aca="false">SUMIFS(Trades!$K$2:$K$2161,Trades!$A$2:$A$2161,"GOLD",Trades!$B$2:$B$2161,"Q1",Trades!$F$2:$F$2161,$A8)</f>
        <v>656280</v>
      </c>
      <c r="AK8" s="11" t="n">
        <f aca="false">AK7+AJ8</f>
        <v>551921</v>
      </c>
    </row>
    <row r="9" customFormat="false" ht="15" hidden="false" customHeight="false" outlineLevel="0" collapsed="false">
      <c r="A9" s="29" t="n">
        <v>45778</v>
      </c>
      <c r="B9" s="9" t="n">
        <f aca="false">COUNTIFS(Trades!$A$2:$A$2161,"GOLD",Trades!$B$2:$B$2161,"V0",Trades!$F$2:$F$2161,$A9)</f>
        <v>4</v>
      </c>
      <c r="C9" s="10" t="n">
        <f aca="false">IF(B9=0,"",COUNTIFS(Trades!$A$2:$A$2161,"GOLD",Trades!$B$2:$B$2161,"V0",Trades!$F$2:$F$2161,$A9,Trades!$M$2:$M$2161,1)/B9)</f>
        <v>0.5</v>
      </c>
      <c r="D9" s="11" t="n">
        <f aca="false">SUMIFS(Trades!$K$2:$K$2161,Trades!$A$2:$A$2161,"GOLD",Trades!$B$2:$B$2161,"V0",Trades!$F$2:$F$2161,$A9)</f>
        <v>-54474</v>
      </c>
      <c r="E9" s="11" t="n">
        <f aca="false">E8+D9</f>
        <v>1062830</v>
      </c>
      <c r="F9" s="9" t="n">
        <f aca="false">COUNTIFS(Trades!$A$2:$A$2161,"GOLD",Trades!$B$2:$B$2161,"V1",Trades!$F$2:$F$2161,$A9)</f>
        <v>2</v>
      </c>
      <c r="G9" s="10" t="n">
        <f aca="false">IF(F9=0,"",COUNTIFS(Trades!$A$2:$A$2161,"GOLD",Trades!$B$2:$B$2161,"V1",Trades!$F$2:$F$2161,$A9,Trades!$M$2:$M$2161,1)/F9)</f>
        <v>0.5</v>
      </c>
      <c r="H9" s="11" t="n">
        <f aca="false">SUMIFS(Trades!$K$2:$K$2161,Trades!$A$2:$A$2161,"GOLD",Trades!$B$2:$B$2161,"V1",Trades!$F$2:$F$2161,$A9)</f>
        <v>-85481</v>
      </c>
      <c r="I9" s="11" t="n">
        <f aca="false">I8+H9</f>
        <v>682730</v>
      </c>
      <c r="J9" s="9" t="n">
        <f aca="false">COUNTIFS(Trades!$A$2:$A$2161,"GOLD",Trades!$B$2:$B$2161,"W8",Trades!$F$2:$F$2161,$A9)</f>
        <v>2</v>
      </c>
      <c r="K9" s="10" t="n">
        <f aca="false">IF(J9=0,"",COUNTIFS(Trades!$A$2:$A$2161,"GOLD",Trades!$B$2:$B$2161,"W8",Trades!$F$2:$F$2161,$A9,Trades!$M$2:$M$2161,1)/J9)</f>
        <v>1</v>
      </c>
      <c r="L9" s="11" t="n">
        <f aca="false">SUMIFS(Trades!$K$2:$K$2161,Trades!$A$2:$A$2161,"GOLD",Trades!$B$2:$B$2161,"W8",Trades!$F$2:$F$2161,$A9)</f>
        <v>126200</v>
      </c>
      <c r="M9" s="11" t="n">
        <f aca="false">M8+L9</f>
        <v>894411</v>
      </c>
      <c r="N9" s="9" t="n">
        <f aca="false">COUNTIFS(Trades!$A$2:$A$2161,"GOLD",Trades!$B$2:$B$2161,"W8C",Trades!$F$2:$F$2161,$A9)</f>
        <v>2</v>
      </c>
      <c r="O9" s="10" t="n">
        <f aca="false">IF(N9=0,"",COUNTIFS(Trades!$A$2:$A$2161,"GOLD",Trades!$B$2:$B$2161,"W8C",Trades!$F$2:$F$2161,$A9,Trades!$M$2:$M$2161,1)/N9)</f>
        <v>1</v>
      </c>
      <c r="P9" s="11" t="n">
        <f aca="false">SUMIFS(Trades!$K$2:$K$2161,Trades!$A$2:$A$2161,"GOLD",Trades!$B$2:$B$2161,"W8C",Trades!$F$2:$F$2161,$A9)</f>
        <v>122059</v>
      </c>
      <c r="Q9" s="11" t="n">
        <f aca="false">Q8+P9</f>
        <v>144005</v>
      </c>
      <c r="R9" s="9" t="n">
        <f aca="false">COUNTIFS(Trades!$A$2:$A$2161,"GOLD",Trades!$B$2:$B$2161,"T6",Trades!$F$2:$F$2161,$A9)</f>
        <v>2</v>
      </c>
      <c r="S9" s="10" t="n">
        <f aca="false">IF(R9=0,"",COUNTIFS(Trades!$A$2:$A$2161,"GOLD",Trades!$B$2:$B$2161,"T6",Trades!$F$2:$F$2161,$A9,Trades!$M$2:$M$2161,1)/R9)</f>
        <v>1</v>
      </c>
      <c r="T9" s="11" t="n">
        <f aca="false">SUMIFS(Trades!$K$2:$K$2161,Trades!$A$2:$A$2161,"GOLD",Trades!$B$2:$B$2161,"T6",Trades!$F$2:$F$2161,$A9)</f>
        <v>162228</v>
      </c>
      <c r="U9" s="11" t="n">
        <f aca="false">U8+T9</f>
        <v>684021</v>
      </c>
      <c r="V9" s="9" t="n">
        <f aca="false">COUNTIFS(Trades!$A$2:$A$2161,"GOLD",Trades!$B$2:$B$2161,"T7",Trades!$F$2:$F$2161,$A9)</f>
        <v>4</v>
      </c>
      <c r="W9" s="10" t="n">
        <f aca="false">IF(V9=0,"",COUNTIFS(Trades!$A$2:$A$2161,"GOLD",Trades!$B$2:$B$2161,"T7",Trades!$F$2:$F$2161,$A9,Trades!$M$2:$M$2161,1)/V9)</f>
        <v>0.5</v>
      </c>
      <c r="X9" s="11" t="n">
        <f aca="false">SUMIFS(Trades!$K$2:$K$2161,Trades!$A$2:$A$2161,"GOLD",Trades!$B$2:$B$2161,"T7",Trades!$F$2:$F$2161,$A9)</f>
        <v>54559</v>
      </c>
      <c r="Y9" s="11" t="n">
        <f aca="false">Y8+X9</f>
        <v>533547</v>
      </c>
      <c r="Z9" s="9" t="n">
        <f aca="false">COUNTIFS(Trades!$A$2:$A$2161,"GOLD",Trades!$B$2:$B$2161,"U1",Trades!$F$2:$F$2161,$A9)</f>
        <v>10</v>
      </c>
      <c r="AA9" s="10" t="n">
        <f aca="false">IF(Z9=0,"",COUNTIFS(Trades!$A$2:$A$2161,"GOLD",Trades!$B$2:$B$2161,"U1",Trades!$F$2:$F$2161,$A9,Trades!$M$2:$M$2161,1)/Z9)</f>
        <v>0.4</v>
      </c>
      <c r="AB9" s="11" t="n">
        <f aca="false">SUMIFS(Trades!$K$2:$K$2161,Trades!$A$2:$A$2161,"GOLD",Trades!$B$2:$B$2161,"U1",Trades!$F$2:$F$2161,$A9)</f>
        <v>-141529</v>
      </c>
      <c r="AC9" s="11" t="n">
        <f aca="false">AC8+AB9</f>
        <v>466807</v>
      </c>
      <c r="AD9" s="9" t="n">
        <f aca="false">COUNTIFS(Trades!$A$2:$A$2161,"GOLD",Trades!$B$2:$B$2161,"U9",Trades!$F$2:$F$2161,$A9)</f>
        <v>20</v>
      </c>
      <c r="AE9" s="10" t="n">
        <f aca="false">IF(AD9=0,"",COUNTIFS(Trades!$A$2:$A$2161,"GOLD",Trades!$B$2:$B$2161,"U9",Trades!$F$2:$F$2161,$A9,Trades!$M$2:$M$2161,1)/AD9)</f>
        <v>0.6</v>
      </c>
      <c r="AF9" s="11" t="n">
        <f aca="false">SUMIFS(Trades!$K$2:$K$2161,Trades!$A$2:$A$2161,"GOLD",Trades!$B$2:$B$2161,"U9",Trades!$F$2:$F$2161,$A9)</f>
        <v>197988</v>
      </c>
      <c r="AG9" s="11" t="n">
        <f aca="false">AG8+AF9</f>
        <v>1113157</v>
      </c>
      <c r="AH9" s="9" t="n">
        <f aca="false">COUNTIFS(Trades!$A$2:$A$2161,"GOLD",Trades!$B$2:$B$2161,"Q1",Trades!$F$2:$F$2161,$A9)</f>
        <v>17</v>
      </c>
      <c r="AI9" s="10" t="n">
        <f aca="false">IF(AH9=0,"",COUNTIFS(Trades!$A$2:$A$2161,"GOLD",Trades!$B$2:$B$2161,"Q1",Trades!$F$2:$F$2161,$A9,Trades!$M$2:$M$2161,1)/AH9)</f>
        <v>0.588235294117647</v>
      </c>
      <c r="AJ9" s="11" t="n">
        <f aca="false">SUMIFS(Trades!$K$2:$K$2161,Trades!$A$2:$A$2161,"GOLD",Trades!$B$2:$B$2161,"Q1",Trades!$F$2:$F$2161,$A9)</f>
        <v>-11894</v>
      </c>
      <c r="AK9" s="11" t="n">
        <f aca="false">AK8+AJ9</f>
        <v>540027</v>
      </c>
    </row>
    <row r="10" customFormat="false" ht="15" hidden="false" customHeight="false" outlineLevel="0" collapsed="false">
      <c r="A10" s="29" t="n">
        <v>45809</v>
      </c>
      <c r="B10" s="9" t="n">
        <f aca="false">COUNTIFS(Trades!$A$2:$A$2161,"GOLD",Trades!$B$2:$B$2161,"V0",Trades!$F$2:$F$2161,$A10)</f>
        <v>4</v>
      </c>
      <c r="C10" s="10" t="n">
        <f aca="false">IF(B10=0,"",COUNTIFS(Trades!$A$2:$A$2161,"GOLD",Trades!$B$2:$B$2161,"V0",Trades!$F$2:$F$2161,$A10,Trades!$M$2:$M$2161,1)/B10)</f>
        <v>0.25</v>
      </c>
      <c r="D10" s="11" t="n">
        <f aca="false">SUMIFS(Trades!$K$2:$K$2161,Trades!$A$2:$A$2161,"GOLD",Trades!$B$2:$B$2161,"V0",Trades!$F$2:$F$2161,$A10)</f>
        <v>-206230</v>
      </c>
      <c r="E10" s="11" t="n">
        <f aca="false">E9+D10</f>
        <v>856600</v>
      </c>
      <c r="F10" s="9" t="n">
        <f aca="false">COUNTIFS(Trades!$A$2:$A$2161,"GOLD",Trades!$B$2:$B$2161,"V1",Trades!$F$2:$F$2161,$A10)</f>
        <v>2</v>
      </c>
      <c r="G10" s="10" t="n">
        <f aca="false">IF(F10=0,"",COUNTIFS(Trades!$A$2:$A$2161,"GOLD",Trades!$B$2:$B$2161,"V1",Trades!$F$2:$F$2161,$A10,Trades!$M$2:$M$2161,1)/F10)</f>
        <v>0.5</v>
      </c>
      <c r="H10" s="11" t="n">
        <f aca="false">SUMIFS(Trades!$K$2:$K$2161,Trades!$A$2:$A$2161,"GOLD",Trades!$B$2:$B$2161,"V1",Trades!$F$2:$F$2161,$A10)</f>
        <v>8640</v>
      </c>
      <c r="I10" s="11" t="n">
        <f aca="false">I9+H10</f>
        <v>691370</v>
      </c>
      <c r="J10" s="9" t="n">
        <f aca="false">COUNTIFS(Trades!$A$2:$A$2161,"GOLD",Trades!$B$2:$B$2161,"W8",Trades!$F$2:$F$2161,$A10)</f>
        <v>2</v>
      </c>
      <c r="K10" s="10" t="n">
        <f aca="false">IF(J10=0,"",COUNTIFS(Trades!$A$2:$A$2161,"GOLD",Trades!$B$2:$B$2161,"W8",Trades!$F$2:$F$2161,$A10,Trades!$M$2:$M$2161,1)/J10)</f>
        <v>1</v>
      </c>
      <c r="L10" s="11" t="n">
        <f aca="false">SUMIFS(Trades!$K$2:$K$2161,Trades!$A$2:$A$2161,"GOLD",Trades!$B$2:$B$2161,"W8",Trades!$F$2:$F$2161,$A10)</f>
        <v>30026</v>
      </c>
      <c r="M10" s="11" t="n">
        <f aca="false">M9+L10</f>
        <v>924437</v>
      </c>
      <c r="N10" s="9" t="n">
        <f aca="false">COUNTIFS(Trades!$A$2:$A$2161,"GOLD",Trades!$B$2:$B$2161,"W8C",Trades!$F$2:$F$2161,$A10)</f>
        <v>1</v>
      </c>
      <c r="O10" s="10" t="n">
        <f aca="false">IF(N10=0,"",COUNTIFS(Trades!$A$2:$A$2161,"GOLD",Trades!$B$2:$B$2161,"W8C",Trades!$F$2:$F$2161,$A10,Trades!$M$2:$M$2161,1)/N10)</f>
        <v>1</v>
      </c>
      <c r="P10" s="11" t="n">
        <f aca="false">SUMIFS(Trades!$K$2:$K$2161,Trades!$A$2:$A$2161,"GOLD",Trades!$B$2:$B$2161,"W8C",Trades!$F$2:$F$2161,$A10)</f>
        <v>15754</v>
      </c>
      <c r="Q10" s="11" t="n">
        <f aca="false">Q9+P10</f>
        <v>159759</v>
      </c>
      <c r="R10" s="9" t="n">
        <f aca="false">COUNTIFS(Trades!$A$2:$A$2161,"GOLD",Trades!$B$2:$B$2161,"T6",Trades!$F$2:$F$2161,$A10)</f>
        <v>3</v>
      </c>
      <c r="S10" s="10" t="n">
        <f aca="false">IF(R10=0,"",COUNTIFS(Trades!$A$2:$A$2161,"GOLD",Trades!$B$2:$B$2161,"T6",Trades!$F$2:$F$2161,$A10,Trades!$M$2:$M$2161,1)/R10)</f>
        <v>0.666666666666667</v>
      </c>
      <c r="T10" s="11" t="n">
        <f aca="false">SUMIFS(Trades!$K$2:$K$2161,Trades!$A$2:$A$2161,"GOLD",Trades!$B$2:$B$2161,"T6",Trades!$F$2:$F$2161,$A10)</f>
        <v>65631</v>
      </c>
      <c r="U10" s="11" t="n">
        <f aca="false">U9+T10</f>
        <v>749652</v>
      </c>
      <c r="V10" s="9" t="n">
        <f aca="false">COUNTIFS(Trades!$A$2:$A$2161,"GOLD",Trades!$B$2:$B$2161,"T7",Trades!$F$2:$F$2161,$A10)</f>
        <v>3</v>
      </c>
      <c r="W10" s="10" t="n">
        <f aca="false">IF(V10=0,"",COUNTIFS(Trades!$A$2:$A$2161,"GOLD",Trades!$B$2:$B$2161,"T7",Trades!$F$2:$F$2161,$A10,Trades!$M$2:$M$2161,1)/V10)</f>
        <v>0.666666666666667</v>
      </c>
      <c r="X10" s="11" t="n">
        <f aca="false">SUMIFS(Trades!$K$2:$K$2161,Trades!$A$2:$A$2161,"GOLD",Trades!$B$2:$B$2161,"T7",Trades!$F$2:$F$2161,$A10)</f>
        <v>20226</v>
      </c>
      <c r="Y10" s="11" t="n">
        <f aca="false">Y9+X10</f>
        <v>553773</v>
      </c>
      <c r="Z10" s="9" t="n">
        <f aca="false">COUNTIFS(Trades!$A$2:$A$2161,"GOLD",Trades!$B$2:$B$2161,"U1",Trades!$F$2:$F$2161,$A10)</f>
        <v>7</v>
      </c>
      <c r="AA10" s="10" t="n">
        <f aca="false">IF(Z10=0,"",COUNTIFS(Trades!$A$2:$A$2161,"GOLD",Trades!$B$2:$B$2161,"U1",Trades!$F$2:$F$2161,$A10,Trades!$M$2:$M$2161,1)/Z10)</f>
        <v>0.571428571428571</v>
      </c>
      <c r="AB10" s="11" t="n">
        <f aca="false">SUMIFS(Trades!$K$2:$K$2161,Trades!$A$2:$A$2161,"GOLD",Trades!$B$2:$B$2161,"U1",Trades!$F$2:$F$2161,$A10)</f>
        <v>64646</v>
      </c>
      <c r="AC10" s="11" t="n">
        <f aca="false">AC9+AB10</f>
        <v>531453</v>
      </c>
      <c r="AD10" s="9" t="n">
        <f aca="false">COUNTIFS(Trades!$A$2:$A$2161,"GOLD",Trades!$B$2:$B$2161,"U9",Trades!$F$2:$F$2161,$A10)</f>
        <v>19</v>
      </c>
      <c r="AE10" s="10" t="n">
        <f aca="false">IF(AD10=0,"",COUNTIFS(Trades!$A$2:$A$2161,"GOLD",Trades!$B$2:$B$2161,"U9",Trades!$F$2:$F$2161,$A10,Trades!$M$2:$M$2161,1)/AD10)</f>
        <v>0.526315789473684</v>
      </c>
      <c r="AF10" s="11" t="n">
        <f aca="false">SUMIFS(Trades!$K$2:$K$2161,Trades!$A$2:$A$2161,"GOLD",Trades!$B$2:$B$2161,"U9",Trades!$F$2:$F$2161,$A10)</f>
        <v>-120246</v>
      </c>
      <c r="AG10" s="11" t="n">
        <f aca="false">AG9+AF10</f>
        <v>992911</v>
      </c>
      <c r="AH10" s="9" t="n">
        <f aca="false">COUNTIFS(Trades!$A$2:$A$2161,"GOLD",Trades!$B$2:$B$2161,"Q1",Trades!$F$2:$F$2161,$A10)</f>
        <v>14</v>
      </c>
      <c r="AI10" s="10" t="n">
        <f aca="false">IF(AH10=0,"",COUNTIFS(Trades!$A$2:$A$2161,"GOLD",Trades!$B$2:$B$2161,"Q1",Trades!$F$2:$F$2161,$A10,Trades!$M$2:$M$2161,1)/AH10)</f>
        <v>0.714285714285714</v>
      </c>
      <c r="AJ10" s="11" t="n">
        <f aca="false">SUMIFS(Trades!$K$2:$K$2161,Trades!$A$2:$A$2161,"GOLD",Trades!$B$2:$B$2161,"Q1",Trades!$F$2:$F$2161,$A10)</f>
        <v>-45225</v>
      </c>
      <c r="AK10" s="11" t="n">
        <f aca="false">AK9+AJ10</f>
        <v>494802</v>
      </c>
    </row>
    <row r="11" customFormat="false" ht="15" hidden="false" customHeight="false" outlineLevel="0" collapsed="false">
      <c r="A11" s="29" t="n">
        <v>45839</v>
      </c>
      <c r="B11" s="9" t="n">
        <f aca="false">COUNTIFS(Trades!$A$2:$A$2161,"GOLD",Trades!$B$2:$B$2161,"V0",Trades!$F$2:$F$2161,$A11)</f>
        <v>7</v>
      </c>
      <c r="C11" s="10" t="n">
        <f aca="false">IF(B11=0,"",COUNTIFS(Trades!$A$2:$A$2161,"GOLD",Trades!$B$2:$B$2161,"V0",Trades!$F$2:$F$2161,$A11,Trades!$M$2:$M$2161,1)/B11)</f>
        <v>0.428571428571429</v>
      </c>
      <c r="D11" s="11" t="n">
        <f aca="false">SUMIFS(Trades!$K$2:$K$2161,Trades!$A$2:$A$2161,"GOLD",Trades!$B$2:$B$2161,"V0",Trades!$F$2:$F$2161,$A11)</f>
        <v>-155577</v>
      </c>
      <c r="E11" s="11" t="n">
        <f aca="false">E10+D11</f>
        <v>701023</v>
      </c>
      <c r="F11" s="9" t="n">
        <f aca="false">COUNTIFS(Trades!$A$2:$A$2161,"GOLD",Trades!$B$2:$B$2161,"V1",Trades!$F$2:$F$2161,$A11)</f>
        <v>3</v>
      </c>
      <c r="G11" s="10" t="n">
        <f aca="false">IF(F11=0,"",COUNTIFS(Trades!$A$2:$A$2161,"GOLD",Trades!$B$2:$B$2161,"V1",Trades!$F$2:$F$2161,$A11,Trades!$M$2:$M$2161,1)/F11)</f>
        <v>0.333333333333333</v>
      </c>
      <c r="H11" s="11" t="n">
        <f aca="false">SUMIFS(Trades!$K$2:$K$2161,Trades!$A$2:$A$2161,"GOLD",Trades!$B$2:$B$2161,"V1",Trades!$F$2:$F$2161,$A11)</f>
        <v>-51754</v>
      </c>
      <c r="I11" s="11" t="n">
        <f aca="false">I10+H11</f>
        <v>639616</v>
      </c>
      <c r="J11" s="9" t="n">
        <f aca="false">COUNTIFS(Trades!$A$2:$A$2161,"GOLD",Trades!$B$2:$B$2161,"W8",Trades!$F$2:$F$2161,$A11)</f>
        <v>3</v>
      </c>
      <c r="K11" s="10" t="n">
        <f aca="false">IF(J11=0,"",COUNTIFS(Trades!$A$2:$A$2161,"GOLD",Trades!$B$2:$B$2161,"W8",Trades!$F$2:$F$2161,$A11,Trades!$M$2:$M$2161,1)/J11)</f>
        <v>0.666666666666667</v>
      </c>
      <c r="L11" s="11" t="n">
        <f aca="false">SUMIFS(Trades!$K$2:$K$2161,Trades!$A$2:$A$2161,"GOLD",Trades!$B$2:$B$2161,"W8",Trades!$F$2:$F$2161,$A11)</f>
        <v>-13661</v>
      </c>
      <c r="M11" s="11" t="n">
        <f aca="false">M10+L11</f>
        <v>910776</v>
      </c>
      <c r="N11" s="9" t="n">
        <f aca="false">COUNTIFS(Trades!$A$2:$A$2161,"GOLD",Trades!$B$2:$B$2161,"W8C",Trades!$F$2:$F$2161,$A11)</f>
        <v>2</v>
      </c>
      <c r="O11" s="10" t="n">
        <f aca="false">IF(N11=0,"",COUNTIFS(Trades!$A$2:$A$2161,"GOLD",Trades!$B$2:$B$2161,"W8C",Trades!$F$2:$F$2161,$A11,Trades!$M$2:$M$2161,1)/N11)</f>
        <v>1</v>
      </c>
      <c r="P11" s="11" t="n">
        <f aca="false">SUMIFS(Trades!$K$2:$K$2161,Trades!$A$2:$A$2161,"GOLD",Trades!$B$2:$B$2161,"W8C",Trades!$F$2:$F$2161,$A11)</f>
        <v>58431</v>
      </c>
      <c r="Q11" s="11" t="n">
        <f aca="false">Q10+P11</f>
        <v>218190</v>
      </c>
      <c r="R11" s="9" t="n">
        <f aca="false">COUNTIFS(Trades!$A$2:$A$2161,"GOLD",Trades!$B$2:$B$2161,"T6",Trades!$F$2:$F$2161,$A11)</f>
        <v>4</v>
      </c>
      <c r="S11" s="10" t="n">
        <f aca="false">IF(R11=0,"",COUNTIFS(Trades!$A$2:$A$2161,"GOLD",Trades!$B$2:$B$2161,"T6",Trades!$F$2:$F$2161,$A11,Trades!$M$2:$M$2161,1)/R11)</f>
        <v>0.75</v>
      </c>
      <c r="T11" s="11" t="n">
        <f aca="false">SUMIFS(Trades!$K$2:$K$2161,Trades!$A$2:$A$2161,"GOLD",Trades!$B$2:$B$2161,"T6",Trades!$F$2:$F$2161,$A11)</f>
        <v>94926</v>
      </c>
      <c r="U11" s="11" t="n">
        <f aca="false">U10+T11</f>
        <v>844578</v>
      </c>
      <c r="V11" s="9" t="n">
        <f aca="false">COUNTIFS(Trades!$A$2:$A$2161,"GOLD",Trades!$B$2:$B$2161,"T7",Trades!$F$2:$F$2161,$A11)</f>
        <v>5</v>
      </c>
      <c r="W11" s="10" t="n">
        <f aca="false">IF(V11=0,"",COUNTIFS(Trades!$A$2:$A$2161,"GOLD",Trades!$B$2:$B$2161,"T7",Trades!$F$2:$F$2161,$A11,Trades!$M$2:$M$2161,1)/V11)</f>
        <v>0.8</v>
      </c>
      <c r="X11" s="11" t="n">
        <f aca="false">SUMIFS(Trades!$K$2:$K$2161,Trades!$A$2:$A$2161,"GOLD",Trades!$B$2:$B$2161,"T7",Trades!$F$2:$F$2161,$A11)</f>
        <v>74350</v>
      </c>
      <c r="Y11" s="11" t="n">
        <f aca="false">Y10+X11</f>
        <v>628123</v>
      </c>
      <c r="Z11" s="9" t="n">
        <f aca="false">COUNTIFS(Trades!$A$2:$A$2161,"GOLD",Trades!$B$2:$B$2161,"U1",Trades!$F$2:$F$2161,$A11)</f>
        <v>6</v>
      </c>
      <c r="AA11" s="10" t="n">
        <f aca="false">IF(Z11=0,"",COUNTIFS(Trades!$A$2:$A$2161,"GOLD",Trades!$B$2:$B$2161,"U1",Trades!$F$2:$F$2161,$A11,Trades!$M$2:$M$2161,1)/Z11)</f>
        <v>0.833333333333333</v>
      </c>
      <c r="AB11" s="11" t="n">
        <f aca="false">SUMIFS(Trades!$K$2:$K$2161,Trades!$A$2:$A$2161,"GOLD",Trades!$B$2:$B$2161,"U1",Trades!$F$2:$F$2161,$A11)</f>
        <v>276251</v>
      </c>
      <c r="AC11" s="11" t="n">
        <f aca="false">AC10+AB11</f>
        <v>807704</v>
      </c>
      <c r="AD11" s="9" t="n">
        <f aca="false">COUNTIFS(Trades!$A$2:$A$2161,"GOLD",Trades!$B$2:$B$2161,"U9",Trades!$F$2:$F$2161,$A11)</f>
        <v>18</v>
      </c>
      <c r="AE11" s="10" t="n">
        <f aca="false">IF(AD11=0,"",COUNTIFS(Trades!$A$2:$A$2161,"GOLD",Trades!$B$2:$B$2161,"U9",Trades!$F$2:$F$2161,$A11,Trades!$M$2:$M$2161,1)/AD11)</f>
        <v>0.5</v>
      </c>
      <c r="AF11" s="11" t="n">
        <f aca="false">SUMIFS(Trades!$K$2:$K$2161,Trades!$A$2:$A$2161,"GOLD",Trades!$B$2:$B$2161,"U9",Trades!$F$2:$F$2161,$A11)</f>
        <v>220140</v>
      </c>
      <c r="AG11" s="11" t="n">
        <f aca="false">AG10+AF11</f>
        <v>1213051</v>
      </c>
      <c r="AH11" s="9" t="n">
        <f aca="false">COUNTIFS(Trades!$A$2:$A$2161,"GOLD",Trades!$B$2:$B$2161,"Q1",Trades!$F$2:$F$2161,$A11)</f>
        <v>22</v>
      </c>
      <c r="AI11" s="10" t="n">
        <f aca="false">IF(AH11=0,"",COUNTIFS(Trades!$A$2:$A$2161,"GOLD",Trades!$B$2:$B$2161,"Q1",Trades!$F$2:$F$2161,$A11,Trades!$M$2:$M$2161,1)/AH11)</f>
        <v>0.590909090909091</v>
      </c>
      <c r="AJ11" s="11" t="n">
        <f aca="false">SUMIFS(Trades!$K$2:$K$2161,Trades!$A$2:$A$2161,"GOLD",Trades!$B$2:$B$2161,"Q1",Trades!$F$2:$F$2161,$A11)</f>
        <v>-108265</v>
      </c>
      <c r="AK11" s="11" t="n">
        <f aca="false">AK10+AJ11</f>
        <v>386537</v>
      </c>
    </row>
    <row r="12" customFormat="false" ht="15" hidden="false" customHeight="false" outlineLevel="0" collapsed="false">
      <c r="A12" s="29" t="n">
        <v>45870</v>
      </c>
      <c r="B12" s="9" t="n">
        <f aca="false">COUNTIFS(Trades!$A$2:$A$2161,"GOLD",Trades!$B$2:$B$2161,"V0",Trades!$F$2:$F$2161,$A12)</f>
        <v>2</v>
      </c>
      <c r="C12" s="10" t="n">
        <f aca="false">IF(B12=0,"",COUNTIFS(Trades!$A$2:$A$2161,"GOLD",Trades!$B$2:$B$2161,"V0",Trades!$F$2:$F$2161,$A12,Trades!$M$2:$M$2161,1)/B12)</f>
        <v>1</v>
      </c>
      <c r="D12" s="11" t="n">
        <f aca="false">SUMIFS(Trades!$K$2:$K$2161,Trades!$A$2:$A$2161,"GOLD",Trades!$B$2:$B$2161,"V0",Trades!$F$2:$F$2161,$A12)</f>
        <v>184005</v>
      </c>
      <c r="E12" s="11" t="n">
        <f aca="false">E11+D12</f>
        <v>885028</v>
      </c>
      <c r="F12" s="9" t="n">
        <f aca="false">COUNTIFS(Trades!$A$2:$A$2161,"GOLD",Trades!$B$2:$B$2161,"V1",Trades!$F$2:$F$2161,$A12)</f>
        <v>1</v>
      </c>
      <c r="G12" s="10" t="n">
        <f aca="false">IF(F12=0,"",COUNTIFS(Trades!$A$2:$A$2161,"GOLD",Trades!$B$2:$B$2161,"V1",Trades!$F$2:$F$2161,$A12,Trades!$M$2:$M$2161,1)/F12)</f>
        <v>1</v>
      </c>
      <c r="H12" s="11" t="n">
        <f aca="false">SUMIFS(Trades!$K$2:$K$2161,Trades!$A$2:$A$2161,"GOLD",Trades!$B$2:$B$2161,"V1",Trades!$F$2:$F$2161,$A12)</f>
        <v>157410</v>
      </c>
      <c r="I12" s="11" t="n">
        <f aca="false">I11+H12</f>
        <v>797026</v>
      </c>
      <c r="J12" s="9" t="n">
        <f aca="false">COUNTIFS(Trades!$A$2:$A$2161,"GOLD",Trades!$B$2:$B$2161,"W8",Trades!$F$2:$F$2161,$A12)</f>
        <v>1</v>
      </c>
      <c r="K12" s="10" t="n">
        <f aca="false">IF(J12=0,"",COUNTIFS(Trades!$A$2:$A$2161,"GOLD",Trades!$B$2:$B$2161,"W8",Trades!$F$2:$F$2161,$A12,Trades!$M$2:$M$2161,1)/J12)</f>
        <v>1</v>
      </c>
      <c r="L12" s="11" t="n">
        <f aca="false">SUMIFS(Trades!$K$2:$K$2161,Trades!$A$2:$A$2161,"GOLD",Trades!$B$2:$B$2161,"W8",Trades!$F$2:$F$2161,$A12)</f>
        <v>157410</v>
      </c>
      <c r="M12" s="11" t="n">
        <f aca="false">M11+L12</f>
        <v>1068186</v>
      </c>
      <c r="N12" s="9" t="n">
        <f aca="false">COUNTIFS(Trades!$A$2:$A$2161,"GOLD",Trades!$B$2:$B$2161,"W8C",Trades!$F$2:$F$2161,$A12)</f>
        <v>1</v>
      </c>
      <c r="O12" s="10" t="n">
        <f aca="false">IF(N12=0,"",COUNTIFS(Trades!$A$2:$A$2161,"GOLD",Trades!$B$2:$B$2161,"W8C",Trades!$F$2:$F$2161,$A12,Trades!$M$2:$M$2161,1)/N12)</f>
        <v>1</v>
      </c>
      <c r="P12" s="11" t="n">
        <f aca="false">SUMIFS(Trades!$K$2:$K$2161,Trades!$A$2:$A$2161,"GOLD",Trades!$B$2:$B$2161,"W8C",Trades!$F$2:$F$2161,$A12)</f>
        <v>147909</v>
      </c>
      <c r="Q12" s="11" t="n">
        <f aca="false">Q11+P12</f>
        <v>366099</v>
      </c>
      <c r="R12" s="9" t="n">
        <f aca="false">COUNTIFS(Trades!$A$2:$A$2161,"GOLD",Trades!$B$2:$B$2161,"T6",Trades!$F$2:$F$2161,$A12)</f>
        <v>3</v>
      </c>
      <c r="S12" s="10" t="n">
        <f aca="false">IF(R12=0,"",COUNTIFS(Trades!$A$2:$A$2161,"GOLD",Trades!$B$2:$B$2161,"T6",Trades!$F$2:$F$2161,$A12,Trades!$M$2:$M$2161,1)/R12)</f>
        <v>0.666666666666667</v>
      </c>
      <c r="T12" s="11" t="n">
        <f aca="false">SUMIFS(Trades!$K$2:$K$2161,Trades!$A$2:$A$2161,"GOLD",Trades!$B$2:$B$2161,"T6",Trades!$F$2:$F$2161,$A12)</f>
        <v>15155</v>
      </c>
      <c r="U12" s="11" t="n">
        <f aca="false">U11+T12</f>
        <v>859733</v>
      </c>
      <c r="V12" s="9" t="n">
        <f aca="false">COUNTIFS(Trades!$A$2:$A$2161,"GOLD",Trades!$B$2:$B$2161,"T7",Trades!$F$2:$F$2161,$A12)</f>
        <v>3</v>
      </c>
      <c r="W12" s="10" t="n">
        <f aca="false">IF(V12=0,"",COUNTIFS(Trades!$A$2:$A$2161,"GOLD",Trades!$B$2:$B$2161,"T7",Trades!$F$2:$F$2161,$A12,Trades!$M$2:$M$2161,1)/V12)</f>
        <v>1</v>
      </c>
      <c r="X12" s="11" t="n">
        <f aca="false">SUMIFS(Trades!$K$2:$K$2161,Trades!$A$2:$A$2161,"GOLD",Trades!$B$2:$B$2161,"T7",Trades!$F$2:$F$2161,$A12)</f>
        <v>104195</v>
      </c>
      <c r="Y12" s="11" t="n">
        <f aca="false">Y11+X12</f>
        <v>732318</v>
      </c>
      <c r="Z12" s="9" t="n">
        <f aca="false">COUNTIFS(Trades!$A$2:$A$2161,"GOLD",Trades!$B$2:$B$2161,"U1",Trades!$F$2:$F$2161,$A12)</f>
        <v>4</v>
      </c>
      <c r="AA12" s="10" t="n">
        <f aca="false">IF(Z12=0,"",COUNTIFS(Trades!$A$2:$A$2161,"GOLD",Trades!$B$2:$B$2161,"U1",Trades!$F$2:$F$2161,$A12,Trades!$M$2:$M$2161,1)/Z12)</f>
        <v>0.75</v>
      </c>
      <c r="AB12" s="11" t="n">
        <f aca="false">SUMIFS(Trades!$K$2:$K$2161,Trades!$A$2:$A$2161,"GOLD",Trades!$B$2:$B$2161,"U1",Trades!$F$2:$F$2161,$A12)</f>
        <v>-8078</v>
      </c>
      <c r="AC12" s="11" t="n">
        <f aca="false">AC11+AB12</f>
        <v>799626</v>
      </c>
      <c r="AD12" s="9" t="n">
        <f aca="false">COUNTIFS(Trades!$A$2:$A$2161,"GOLD",Trades!$B$2:$B$2161,"U9",Trades!$F$2:$F$2161,$A12)</f>
        <v>15</v>
      </c>
      <c r="AE12" s="10" t="n">
        <f aca="false">IF(AD12=0,"",COUNTIFS(Trades!$A$2:$A$2161,"GOLD",Trades!$B$2:$B$2161,"U9",Trades!$F$2:$F$2161,$A12,Trades!$M$2:$M$2161,1)/AD12)</f>
        <v>0.533333333333333</v>
      </c>
      <c r="AF12" s="11" t="n">
        <f aca="false">SUMIFS(Trades!$K$2:$K$2161,Trades!$A$2:$A$2161,"GOLD",Trades!$B$2:$B$2161,"U9",Trades!$F$2:$F$2161,$A12)</f>
        <v>27199</v>
      </c>
      <c r="AG12" s="11" t="n">
        <f aca="false">AG11+AF12</f>
        <v>1240250</v>
      </c>
      <c r="AH12" s="9" t="n">
        <f aca="false">COUNTIFS(Trades!$A$2:$A$2161,"GOLD",Trades!$B$2:$B$2161,"Q1",Trades!$F$2:$F$2161,$A12)</f>
        <v>12</v>
      </c>
      <c r="AI12" s="10" t="n">
        <f aca="false">IF(AH12=0,"",COUNTIFS(Trades!$A$2:$A$2161,"GOLD",Trades!$B$2:$B$2161,"Q1",Trades!$F$2:$F$2161,$A12,Trades!$M$2:$M$2161,1)/AH12)</f>
        <v>0.833333333333333</v>
      </c>
      <c r="AJ12" s="11" t="n">
        <f aca="false">SUMIFS(Trades!$K$2:$K$2161,Trades!$A$2:$A$2161,"GOLD",Trades!$B$2:$B$2161,"Q1",Trades!$F$2:$F$2161,$A12)</f>
        <v>48135</v>
      </c>
      <c r="AK12" s="11" t="n">
        <f aca="false">AK11+AJ12</f>
        <v>434672</v>
      </c>
    </row>
    <row r="13" customFormat="false" ht="15" hidden="false" customHeight="false" outlineLevel="0" collapsed="false">
      <c r="A13" s="29" t="n">
        <v>45901</v>
      </c>
      <c r="B13" s="9" t="n">
        <f aca="false">COUNTIFS(Trades!$A$2:$A$2161,"GOLD",Trades!$B$2:$B$2161,"V0",Trades!$F$2:$F$2161,$A13)</f>
        <v>2</v>
      </c>
      <c r="C13" s="10" t="n">
        <f aca="false">IF(B13=0,"",COUNTIFS(Trades!$A$2:$A$2161,"GOLD",Trades!$B$2:$B$2161,"V0",Trades!$F$2:$F$2161,$A13,Trades!$M$2:$M$2161,1)/B13)</f>
        <v>0.5</v>
      </c>
      <c r="D13" s="11" t="n">
        <f aca="false">SUMIFS(Trades!$K$2:$K$2161,Trades!$A$2:$A$2161,"GOLD",Trades!$B$2:$B$2161,"V0",Trades!$F$2:$F$2161,$A13)</f>
        <v>692817</v>
      </c>
      <c r="E13" s="11" t="n">
        <f aca="false">E12+D13</f>
        <v>1577845</v>
      </c>
      <c r="F13" s="9" t="n">
        <f aca="false">COUNTIFS(Trades!$A$2:$A$2161,"GOLD",Trades!$B$2:$B$2161,"V1",Trades!$F$2:$F$2161,$A13)</f>
        <v>1</v>
      </c>
      <c r="G13" s="10" t="n">
        <f aca="false">IF(F13=0,"",COUNTIFS(Trades!$A$2:$A$2161,"GOLD",Trades!$B$2:$B$2161,"V1",Trades!$F$2:$F$2161,$A13,Trades!$M$2:$M$2161,1)/F13)</f>
        <v>1</v>
      </c>
      <c r="H13" s="11" t="n">
        <f aca="false">SUMIFS(Trades!$K$2:$K$2161,Trades!$A$2:$A$2161,"GOLD",Trades!$B$2:$B$2161,"V1",Trades!$F$2:$F$2161,$A13)</f>
        <v>870211</v>
      </c>
      <c r="I13" s="11" t="n">
        <f aca="false">I12+H13</f>
        <v>1667237</v>
      </c>
      <c r="J13" s="9" t="n">
        <f aca="false">COUNTIFS(Trades!$A$2:$A$2161,"GOLD",Trades!$B$2:$B$2161,"W8",Trades!$F$2:$F$2161,$A13)</f>
        <v>1</v>
      </c>
      <c r="K13" s="10" t="n">
        <f aca="false">IF(J13=0,"",COUNTIFS(Trades!$A$2:$A$2161,"GOLD",Trades!$B$2:$B$2161,"W8",Trades!$F$2:$F$2161,$A13,Trades!$M$2:$M$2161,1)/J13)</f>
        <v>1</v>
      </c>
      <c r="L13" s="11" t="n">
        <f aca="false">SUMIFS(Trades!$K$2:$K$2161,Trades!$A$2:$A$2161,"GOLD",Trades!$B$2:$B$2161,"W8",Trades!$F$2:$F$2161,$A13)</f>
        <v>870211</v>
      </c>
      <c r="M13" s="11" t="n">
        <f aca="false">M12+L13</f>
        <v>1938397</v>
      </c>
      <c r="N13" s="9" t="n">
        <f aca="false">COUNTIFS(Trades!$A$2:$A$2161,"GOLD",Trades!$B$2:$B$2161,"W8C",Trades!$F$2:$F$2161,$A13)</f>
        <v>1</v>
      </c>
      <c r="O13" s="10" t="n">
        <f aca="false">IF(N13=0,"",COUNTIFS(Trades!$A$2:$A$2161,"GOLD",Trades!$B$2:$B$2161,"W8C",Trades!$F$2:$F$2161,$A13,Trades!$M$2:$M$2161,1)/N13)</f>
        <v>1</v>
      </c>
      <c r="P13" s="11" t="n">
        <f aca="false">SUMIFS(Trades!$K$2:$K$2161,Trades!$A$2:$A$2161,"GOLD",Trades!$B$2:$B$2161,"W8C",Trades!$F$2:$F$2161,$A13)</f>
        <v>838408</v>
      </c>
      <c r="Q13" s="11" t="n">
        <f aca="false">Q12+P13</f>
        <v>1204507</v>
      </c>
      <c r="R13" s="9" t="n">
        <f aca="false">COUNTIFS(Trades!$A$2:$A$2161,"GOLD",Trades!$B$2:$B$2161,"T6",Trades!$F$2:$F$2161,$A13)</f>
        <v>4</v>
      </c>
      <c r="S13" s="10" t="n">
        <f aca="false">IF(R13=0,"",COUNTIFS(Trades!$A$2:$A$2161,"GOLD",Trades!$B$2:$B$2161,"T6",Trades!$F$2:$F$2161,$A13,Trades!$M$2:$M$2161,1)/R13)</f>
        <v>1</v>
      </c>
      <c r="T13" s="11" t="n">
        <f aca="false">SUMIFS(Trades!$K$2:$K$2161,Trades!$A$2:$A$2161,"GOLD",Trades!$B$2:$B$2161,"T6",Trades!$F$2:$F$2161,$A13)</f>
        <v>1210458</v>
      </c>
      <c r="U13" s="11" t="n">
        <f aca="false">U12+T13</f>
        <v>2070191</v>
      </c>
      <c r="V13" s="9" t="n">
        <f aca="false">COUNTIFS(Trades!$A$2:$A$2161,"GOLD",Trades!$B$2:$B$2161,"T7",Trades!$F$2:$F$2161,$A13)</f>
        <v>4</v>
      </c>
      <c r="W13" s="10" t="n">
        <f aca="false">IF(V13=0,"",COUNTIFS(Trades!$A$2:$A$2161,"GOLD",Trades!$B$2:$B$2161,"T7",Trades!$F$2:$F$2161,$A13,Trades!$M$2:$M$2161,1)/V13)</f>
        <v>1</v>
      </c>
      <c r="X13" s="11" t="n">
        <f aca="false">SUMIFS(Trades!$K$2:$K$2161,Trades!$A$2:$A$2161,"GOLD",Trades!$B$2:$B$2161,"T7",Trades!$F$2:$F$2161,$A13)</f>
        <v>1186558</v>
      </c>
      <c r="Y13" s="11" t="n">
        <f aca="false">Y12+X13</f>
        <v>1918876</v>
      </c>
      <c r="Z13" s="9" t="n">
        <f aca="false">COUNTIFS(Trades!$A$2:$A$2161,"GOLD",Trades!$B$2:$B$2161,"U1",Trades!$F$2:$F$2161,$A13)</f>
        <v>5</v>
      </c>
      <c r="AA13" s="10" t="n">
        <f aca="false">IF(Z13=0,"",COUNTIFS(Trades!$A$2:$A$2161,"GOLD",Trades!$B$2:$B$2161,"U1",Trades!$F$2:$F$2161,$A13,Trades!$M$2:$M$2161,1)/Z13)</f>
        <v>0.8</v>
      </c>
      <c r="AB13" s="11" t="n">
        <f aca="false">SUMIFS(Trades!$K$2:$K$2161,Trades!$A$2:$A$2161,"GOLD",Trades!$B$2:$B$2161,"U1",Trades!$F$2:$F$2161,$A13)</f>
        <v>521905</v>
      </c>
      <c r="AC13" s="11" t="n">
        <f aca="false">AC12+AB13</f>
        <v>1321531</v>
      </c>
      <c r="AD13" s="9" t="n">
        <f aca="false">COUNTIFS(Trades!$A$2:$A$2161,"GOLD",Trades!$B$2:$B$2161,"U9",Trades!$F$2:$F$2161,$A13)</f>
        <v>17</v>
      </c>
      <c r="AE13" s="10" t="n">
        <f aca="false">IF(AD13=0,"",COUNTIFS(Trades!$A$2:$A$2161,"GOLD",Trades!$B$2:$B$2161,"U9",Trades!$F$2:$F$2161,$A13,Trades!$M$2:$M$2161,1)/AD13)</f>
        <v>0.882352941176471</v>
      </c>
      <c r="AF13" s="11" t="n">
        <f aca="false">SUMIFS(Trades!$K$2:$K$2161,Trades!$A$2:$A$2161,"GOLD",Trades!$B$2:$B$2161,"U9",Trades!$F$2:$F$2161,$A13)</f>
        <v>889194</v>
      </c>
      <c r="AG13" s="11" t="n">
        <f aca="false">AG12+AF13</f>
        <v>2129444</v>
      </c>
      <c r="AH13" s="9" t="n">
        <f aca="false">COUNTIFS(Trades!$A$2:$A$2161,"GOLD",Trades!$B$2:$B$2161,"Q1",Trades!$F$2:$F$2161,$A13)</f>
        <v>26</v>
      </c>
      <c r="AI13" s="10" t="n">
        <f aca="false">IF(AH13=0,"",COUNTIFS(Trades!$A$2:$A$2161,"GOLD",Trades!$B$2:$B$2161,"Q1",Trades!$F$2:$F$2161,$A13,Trades!$M$2:$M$2161,1)/AH13)</f>
        <v>0.769230769230769</v>
      </c>
      <c r="AJ13" s="11" t="n">
        <f aca="false">SUMIFS(Trades!$K$2:$K$2161,Trades!$A$2:$A$2161,"GOLD",Trades!$B$2:$B$2161,"Q1",Trades!$F$2:$F$2161,$A13)</f>
        <v>782916</v>
      </c>
      <c r="AK13" s="11" t="n">
        <f aca="false">AK12+AJ13</f>
        <v>1217588</v>
      </c>
    </row>
    <row r="14" customFormat="false" ht="15" hidden="false" customHeight="false" outlineLevel="0" collapsed="false">
      <c r="A14" s="29" t="n">
        <v>45931</v>
      </c>
      <c r="B14" s="9" t="n">
        <f aca="false">COUNTIFS(Trades!$A$2:$A$2161,"GOLD",Trades!$B$2:$B$2161,"V0",Trades!$F$2:$F$2161,$A14)</f>
        <v>3</v>
      </c>
      <c r="C14" s="10" t="n">
        <f aca="false">IF(B14=0,"",COUNTIFS(Trades!$A$2:$A$2161,"GOLD",Trades!$B$2:$B$2161,"V0",Trades!$F$2:$F$2161,$A14,Trades!$M$2:$M$2161,1)/B14)</f>
        <v>0.666666666666667</v>
      </c>
      <c r="D14" s="11" t="n">
        <f aca="false">SUMIFS(Trades!$K$2:$K$2161,Trades!$A$2:$A$2161,"GOLD",Trades!$B$2:$B$2161,"V0",Trades!$F$2:$F$2161,$A14)</f>
        <v>982511</v>
      </c>
      <c r="E14" s="11" t="n">
        <f aca="false">E13+D14</f>
        <v>2560356</v>
      </c>
      <c r="F14" s="9" t="n">
        <f aca="false">COUNTIFS(Trades!$A$2:$A$2161,"GOLD",Trades!$B$2:$B$2161,"V1",Trades!$F$2:$F$2161,$A14)</f>
        <v>2</v>
      </c>
      <c r="G14" s="10" t="n">
        <f aca="false">IF(F14=0,"",COUNTIFS(Trades!$A$2:$A$2161,"GOLD",Trades!$B$2:$B$2161,"V1",Trades!$F$2:$F$2161,$A14,Trades!$M$2:$M$2161,1)/F14)</f>
        <v>1</v>
      </c>
      <c r="H14" s="11" t="n">
        <f aca="false">SUMIFS(Trades!$K$2:$K$2161,Trades!$A$2:$A$2161,"GOLD",Trades!$B$2:$B$2161,"V1",Trades!$F$2:$F$2161,$A14)</f>
        <v>1298355</v>
      </c>
      <c r="I14" s="11" t="n">
        <f aca="false">I13+H14</f>
        <v>2965592</v>
      </c>
      <c r="J14" s="9" t="n">
        <f aca="false">COUNTIFS(Trades!$A$2:$A$2161,"GOLD",Trades!$B$2:$B$2161,"W8",Trades!$F$2:$F$2161,$A14)</f>
        <v>2</v>
      </c>
      <c r="K14" s="10" t="n">
        <f aca="false">IF(J14=0,"",COUNTIFS(Trades!$A$2:$A$2161,"GOLD",Trades!$B$2:$B$2161,"W8",Trades!$F$2:$F$2161,$A14,Trades!$M$2:$M$2161,1)/J14)</f>
        <v>1</v>
      </c>
      <c r="L14" s="11" t="n">
        <f aca="false">SUMIFS(Trades!$K$2:$K$2161,Trades!$A$2:$A$2161,"GOLD",Trades!$B$2:$B$2161,"W8",Trades!$F$2:$F$2161,$A14)</f>
        <v>1298355</v>
      </c>
      <c r="M14" s="11" t="n">
        <f aca="false">M13+L14</f>
        <v>3236752</v>
      </c>
      <c r="N14" s="9" t="n">
        <f aca="false">COUNTIFS(Trades!$A$2:$A$2161,"GOLD",Trades!$B$2:$B$2161,"W8C",Trades!$F$2:$F$2161,$A14)</f>
        <v>1</v>
      </c>
      <c r="O14" s="10" t="n">
        <f aca="false">IF(N14=0,"",COUNTIFS(Trades!$A$2:$A$2161,"GOLD",Trades!$B$2:$B$2161,"W8C",Trades!$F$2:$F$2161,$A14,Trades!$M$2:$M$2161,1)/N14)</f>
        <v>1</v>
      </c>
      <c r="P14" s="11" t="n">
        <f aca="false">SUMIFS(Trades!$K$2:$K$2161,Trades!$A$2:$A$2161,"GOLD",Trades!$B$2:$B$2161,"W8C",Trades!$F$2:$F$2161,$A14)</f>
        <v>827772</v>
      </c>
      <c r="Q14" s="11" t="n">
        <f aca="false">Q13+P14</f>
        <v>2032279</v>
      </c>
      <c r="R14" s="9" t="n">
        <f aca="false">COUNTIFS(Trades!$A$2:$A$2161,"GOLD",Trades!$B$2:$B$2161,"T6",Trades!$F$2:$F$2161,$A14)</f>
        <v>3</v>
      </c>
      <c r="S14" s="10" t="n">
        <f aca="false">IF(R14=0,"",COUNTIFS(Trades!$A$2:$A$2161,"GOLD",Trades!$B$2:$B$2161,"T6",Trades!$F$2:$F$2161,$A14,Trades!$M$2:$M$2161,1)/R14)</f>
        <v>0.666666666666667</v>
      </c>
      <c r="T14" s="11" t="n">
        <f aca="false">SUMIFS(Trades!$K$2:$K$2161,Trades!$A$2:$A$2161,"GOLD",Trades!$B$2:$B$2161,"T6",Trades!$F$2:$F$2161,$A14)</f>
        <v>-176619</v>
      </c>
      <c r="U14" s="11" t="n">
        <f aca="false">U13+T14</f>
        <v>1893572</v>
      </c>
      <c r="V14" s="9" t="n">
        <f aca="false">COUNTIFS(Trades!$A$2:$A$2161,"GOLD",Trades!$B$2:$B$2161,"T7",Trades!$F$2:$F$2161,$A14)</f>
        <v>3</v>
      </c>
      <c r="W14" s="10" t="n">
        <f aca="false">IF(V14=0,"",COUNTIFS(Trades!$A$2:$A$2161,"GOLD",Trades!$B$2:$B$2161,"T7",Trades!$F$2:$F$2161,$A14,Trades!$M$2:$M$2161,1)/V14)</f>
        <v>0.666666666666667</v>
      </c>
      <c r="X14" s="11" t="n">
        <f aca="false">SUMIFS(Trades!$K$2:$K$2161,Trades!$A$2:$A$2161,"GOLD",Trades!$B$2:$B$2161,"T7",Trades!$F$2:$F$2161,$A14)</f>
        <v>720299</v>
      </c>
      <c r="Y14" s="11" t="n">
        <f aca="false">Y13+X14</f>
        <v>2639175</v>
      </c>
      <c r="Z14" s="9" t="n">
        <f aca="false">COUNTIFS(Trades!$A$2:$A$2161,"GOLD",Trades!$B$2:$B$2161,"U1",Trades!$F$2:$F$2161,$A14)</f>
        <v>6</v>
      </c>
      <c r="AA14" s="10" t="n">
        <f aca="false">IF(Z14=0,"",COUNTIFS(Trades!$A$2:$A$2161,"GOLD",Trades!$B$2:$B$2161,"U1",Trades!$F$2:$F$2161,$A14,Trades!$M$2:$M$2161,1)/Z14)</f>
        <v>0.666666666666667</v>
      </c>
      <c r="AB14" s="11" t="n">
        <f aca="false">SUMIFS(Trades!$K$2:$K$2161,Trades!$A$2:$A$2161,"GOLD",Trades!$B$2:$B$2161,"U1",Trades!$F$2:$F$2161,$A14)</f>
        <v>275167</v>
      </c>
      <c r="AC14" s="11" t="n">
        <f aca="false">AC13+AB14</f>
        <v>1596698</v>
      </c>
      <c r="AD14" s="9" t="n">
        <f aca="false">COUNTIFS(Trades!$A$2:$A$2161,"GOLD",Trades!$B$2:$B$2161,"U9",Trades!$F$2:$F$2161,$A14)</f>
        <v>15</v>
      </c>
      <c r="AE14" s="10" t="n">
        <f aca="false">IF(AD14=0,"",COUNTIFS(Trades!$A$2:$A$2161,"GOLD",Trades!$B$2:$B$2161,"U9",Trades!$F$2:$F$2161,$A14,Trades!$M$2:$M$2161,1)/AD14)</f>
        <v>0.8</v>
      </c>
      <c r="AF14" s="11" t="n">
        <f aca="false">SUMIFS(Trades!$K$2:$K$2161,Trades!$A$2:$A$2161,"GOLD",Trades!$B$2:$B$2161,"U9",Trades!$F$2:$F$2161,$A14)</f>
        <v>358700</v>
      </c>
      <c r="AG14" s="11" t="n">
        <f aca="false">AG13+AF14</f>
        <v>2488144</v>
      </c>
      <c r="AH14" s="9" t="n">
        <f aca="false">COUNTIFS(Trades!$A$2:$A$2161,"GOLD",Trades!$B$2:$B$2161,"Q1",Trades!$F$2:$F$2161,$A14)</f>
        <v>13</v>
      </c>
      <c r="AI14" s="10" t="n">
        <f aca="false">IF(AH14=0,"",COUNTIFS(Trades!$A$2:$A$2161,"GOLD",Trades!$B$2:$B$2161,"Q1",Trades!$F$2:$F$2161,$A14,Trades!$M$2:$M$2161,1)/AH14)</f>
        <v>1</v>
      </c>
      <c r="AJ14" s="11" t="n">
        <f aca="false">SUMIFS(Trades!$K$2:$K$2161,Trades!$A$2:$A$2161,"GOLD",Trades!$B$2:$B$2161,"Q1",Trades!$F$2:$F$2161,$A14)</f>
        <v>621344</v>
      </c>
      <c r="AK14" s="11" t="n">
        <f aca="false">AK13+AJ14</f>
        <v>1838932</v>
      </c>
    </row>
    <row r="15" customFormat="false" ht="15" hidden="false" customHeight="false" outlineLevel="0" collapsed="false">
      <c r="A15" s="29" t="n">
        <v>45962</v>
      </c>
      <c r="B15" s="9" t="n">
        <f aca="false">COUNTIFS(Trades!$A$2:$A$2161,"GOLD",Trades!$B$2:$B$2161,"V0",Trades!$F$2:$F$2161,$A15)</f>
        <v>3</v>
      </c>
      <c r="C15" s="10" t="n">
        <f aca="false">IF(B15=0,"",COUNTIFS(Trades!$A$2:$A$2161,"GOLD",Trades!$B$2:$B$2161,"V0",Trades!$F$2:$F$2161,$A15,Trades!$M$2:$M$2161,1)/B15)</f>
        <v>0.666666666666667</v>
      </c>
      <c r="D15" s="11" t="n">
        <f aca="false">SUMIFS(Trades!$K$2:$K$2161,Trades!$A$2:$A$2161,"GOLD",Trades!$B$2:$B$2161,"V0",Trades!$F$2:$F$2161,$A15)</f>
        <v>510423</v>
      </c>
      <c r="E15" s="11" t="n">
        <f aca="false">E14+D15</f>
        <v>3070779</v>
      </c>
      <c r="F15" s="9" t="n">
        <f aca="false">COUNTIFS(Trades!$A$2:$A$2161,"GOLD",Trades!$B$2:$B$2161,"V1",Trades!$F$2:$F$2161,$A15)</f>
        <v>1</v>
      </c>
      <c r="G15" s="10" t="n">
        <f aca="false">IF(F15=0,"",COUNTIFS(Trades!$A$2:$A$2161,"GOLD",Trades!$B$2:$B$2161,"V1",Trades!$F$2:$F$2161,$A15,Trades!$M$2:$M$2161,1)/F15)</f>
        <v>1</v>
      </c>
      <c r="H15" s="11" t="n">
        <f aca="false">SUMIFS(Trades!$K$2:$K$2161,Trades!$A$2:$A$2161,"GOLD",Trades!$B$2:$B$2161,"V1",Trades!$F$2:$F$2161,$A15)</f>
        <v>108829</v>
      </c>
      <c r="I15" s="11" t="n">
        <f aca="false">I14+H15</f>
        <v>3074421</v>
      </c>
      <c r="J15" s="9" t="n">
        <f aca="false">COUNTIFS(Trades!$A$2:$A$2161,"GOLD",Trades!$B$2:$B$2161,"W8",Trades!$F$2:$F$2161,$A15)</f>
        <v>1</v>
      </c>
      <c r="K15" s="10" t="n">
        <f aca="false">IF(J15=0,"",COUNTIFS(Trades!$A$2:$A$2161,"GOLD",Trades!$B$2:$B$2161,"W8",Trades!$F$2:$F$2161,$A15,Trades!$M$2:$M$2161,1)/J15)</f>
        <v>1</v>
      </c>
      <c r="L15" s="11" t="n">
        <f aca="false">SUMIFS(Trades!$K$2:$K$2161,Trades!$A$2:$A$2161,"GOLD",Trades!$B$2:$B$2161,"W8",Trades!$F$2:$F$2161,$A15)</f>
        <v>108829</v>
      </c>
      <c r="M15" s="11" t="n">
        <f aca="false">M14+L15</f>
        <v>3345581</v>
      </c>
      <c r="N15" s="9" t="n">
        <f aca="false">COUNTIFS(Trades!$A$2:$A$2161,"GOLD",Trades!$B$2:$B$2161,"W8C",Trades!$F$2:$F$2161,$A15)</f>
        <v>1</v>
      </c>
      <c r="O15" s="10" t="n">
        <f aca="false">IF(N15=0,"",COUNTIFS(Trades!$A$2:$A$2161,"GOLD",Trades!$B$2:$B$2161,"W8C",Trades!$F$2:$F$2161,$A15,Trades!$M$2:$M$2161,1)/N15)</f>
        <v>1</v>
      </c>
      <c r="P15" s="11" t="n">
        <f aca="false">SUMIFS(Trades!$K$2:$K$2161,Trades!$A$2:$A$2161,"GOLD",Trades!$B$2:$B$2161,"W8C",Trades!$F$2:$F$2161,$A15)</f>
        <v>103328</v>
      </c>
      <c r="Q15" s="11" t="n">
        <f aca="false">Q14+P15</f>
        <v>2135607</v>
      </c>
      <c r="R15" s="9" t="n">
        <f aca="false">COUNTIFS(Trades!$A$2:$A$2161,"GOLD",Trades!$B$2:$B$2161,"T6",Trades!$F$2:$F$2161,$A15)</f>
        <v>3</v>
      </c>
      <c r="S15" s="10" t="n">
        <f aca="false">IF(R15=0,"",COUNTIFS(Trades!$A$2:$A$2161,"GOLD",Trades!$B$2:$B$2161,"T6",Trades!$F$2:$F$2161,$A15,Trades!$M$2:$M$2161,1)/R15)</f>
        <v>0.333333333333333</v>
      </c>
      <c r="T15" s="11" t="n">
        <f aca="false">SUMIFS(Trades!$K$2:$K$2161,Trades!$A$2:$A$2161,"GOLD",Trades!$B$2:$B$2161,"T6",Trades!$F$2:$F$2161,$A15)</f>
        <v>-350577</v>
      </c>
      <c r="U15" s="11" t="n">
        <f aca="false">U14+T15</f>
        <v>1542995</v>
      </c>
      <c r="V15" s="9" t="n">
        <f aca="false">COUNTIFS(Trades!$A$2:$A$2161,"GOLD",Trades!$B$2:$B$2161,"T7",Trades!$F$2:$F$2161,$A15)</f>
        <v>3</v>
      </c>
      <c r="W15" s="10" t="n">
        <f aca="false">IF(V15=0,"",COUNTIFS(Trades!$A$2:$A$2161,"GOLD",Trades!$B$2:$B$2161,"T7",Trades!$F$2:$F$2161,$A15,Trades!$M$2:$M$2161,1)/V15)</f>
        <v>0.333333333333333</v>
      </c>
      <c r="X15" s="11" t="n">
        <f aca="false">SUMIFS(Trades!$K$2:$K$2161,Trades!$A$2:$A$2161,"GOLD",Trades!$B$2:$B$2161,"T7",Trades!$F$2:$F$2161,$A15)</f>
        <v>-55649</v>
      </c>
      <c r="Y15" s="11" t="n">
        <f aca="false">Y14+X15</f>
        <v>2583526</v>
      </c>
      <c r="Z15" s="9" t="n">
        <f aca="false">COUNTIFS(Trades!$A$2:$A$2161,"GOLD",Trades!$B$2:$B$2161,"U1",Trades!$F$2:$F$2161,$A15)</f>
        <v>5</v>
      </c>
      <c r="AA15" s="10" t="n">
        <f aca="false">IF(Z15=0,"",COUNTIFS(Trades!$A$2:$A$2161,"GOLD",Trades!$B$2:$B$2161,"U1",Trades!$F$2:$F$2161,$A15,Trades!$M$2:$M$2161,1)/Z15)</f>
        <v>0.6</v>
      </c>
      <c r="AB15" s="11" t="n">
        <f aca="false">SUMIFS(Trades!$K$2:$K$2161,Trades!$A$2:$A$2161,"GOLD",Trades!$B$2:$B$2161,"U1",Trades!$F$2:$F$2161,$A15)</f>
        <v>75553</v>
      </c>
      <c r="AC15" s="11" t="n">
        <f aca="false">AC14+AB15</f>
        <v>1672251</v>
      </c>
      <c r="AD15" s="9" t="n">
        <f aca="false">COUNTIFS(Trades!$A$2:$A$2161,"GOLD",Trades!$B$2:$B$2161,"U9",Trades!$F$2:$F$2161,$A15)</f>
        <v>18</v>
      </c>
      <c r="AE15" s="10" t="n">
        <f aca="false">IF(AD15=0,"",COUNTIFS(Trades!$A$2:$A$2161,"GOLD",Trades!$B$2:$B$2161,"U9",Trades!$F$2:$F$2161,$A15,Trades!$M$2:$M$2161,1)/AD15)</f>
        <v>0.555555555555556</v>
      </c>
      <c r="AF15" s="11" t="n">
        <f aca="false">SUMIFS(Trades!$K$2:$K$2161,Trades!$A$2:$A$2161,"GOLD",Trades!$B$2:$B$2161,"U9",Trades!$F$2:$F$2161,$A15)</f>
        <v>236625</v>
      </c>
      <c r="AG15" s="11" t="n">
        <f aca="false">AG14+AF15</f>
        <v>2724769</v>
      </c>
      <c r="AH15" s="9" t="n">
        <f aca="false">COUNTIFS(Trades!$A$2:$A$2161,"GOLD",Trades!$B$2:$B$2161,"Q1",Trades!$F$2:$F$2161,$A15)</f>
        <v>11</v>
      </c>
      <c r="AI15" s="10" t="n">
        <f aca="false">IF(AH15=0,"",COUNTIFS(Trades!$A$2:$A$2161,"GOLD",Trades!$B$2:$B$2161,"Q1",Trades!$F$2:$F$2161,$A15,Trades!$M$2:$M$2161,1)/AH15)</f>
        <v>0.818181818181818</v>
      </c>
      <c r="AJ15" s="11" t="n">
        <f aca="false">SUMIFS(Trades!$K$2:$K$2161,Trades!$A$2:$A$2161,"GOLD",Trades!$B$2:$B$2161,"Q1",Trades!$F$2:$F$2161,$A15)</f>
        <v>233797</v>
      </c>
      <c r="AK15" s="11" t="n">
        <f aca="false">AK14+AJ15</f>
        <v>2072729</v>
      </c>
    </row>
    <row r="16" customFormat="false" ht="15" hidden="false" customHeight="false" outlineLevel="0" collapsed="false">
      <c r="A16" s="29" t="n">
        <v>45992</v>
      </c>
      <c r="B16" s="9" t="n">
        <f aca="false">COUNTIFS(Trades!$A$2:$A$2161,"GOLD",Trades!$B$2:$B$2161,"V0",Trades!$F$2:$F$2161,$A16)</f>
        <v>1</v>
      </c>
      <c r="C16" s="10" t="n">
        <f aca="false">IF(B16=0,"",COUNTIFS(Trades!$A$2:$A$2161,"GOLD",Trades!$B$2:$B$2161,"V0",Trades!$F$2:$F$2161,$A16,Trades!$M$2:$M$2161,1)/B16)</f>
        <v>1</v>
      </c>
      <c r="D16" s="11" t="n">
        <f aca="false">SUMIFS(Trades!$K$2:$K$2161,Trades!$A$2:$A$2161,"GOLD",Trades!$B$2:$B$2161,"V0",Trades!$F$2:$F$2161,$A16)</f>
        <v>968052</v>
      </c>
      <c r="E16" s="11" t="n">
        <f aca="false">E15+D16</f>
        <v>4038831</v>
      </c>
      <c r="F16" s="9" t="n">
        <f aca="false">COUNTIFS(Trades!$A$2:$A$2161,"GOLD",Trades!$B$2:$B$2161,"V1",Trades!$F$2:$F$2161,$A16)</f>
        <v>1</v>
      </c>
      <c r="G16" s="10" t="n">
        <f aca="false">IF(F16=0,"",COUNTIFS(Trades!$A$2:$A$2161,"GOLD",Trades!$B$2:$B$2161,"V1",Trades!$F$2:$F$2161,$A16,Trades!$M$2:$M$2161,1)/F16)</f>
        <v>1</v>
      </c>
      <c r="H16" s="11" t="n">
        <f aca="false">SUMIFS(Trades!$K$2:$K$2161,Trades!$A$2:$A$2161,"GOLD",Trades!$B$2:$B$2161,"V1",Trades!$F$2:$F$2161,$A16)</f>
        <v>968052</v>
      </c>
      <c r="I16" s="11" t="n">
        <f aca="false">I15+H16</f>
        <v>4042473</v>
      </c>
      <c r="J16" s="9" t="n">
        <f aca="false">COUNTIFS(Trades!$A$2:$A$2161,"GOLD",Trades!$B$2:$B$2161,"W8",Trades!$F$2:$F$2161,$A16)</f>
        <v>1</v>
      </c>
      <c r="K16" s="10" t="n">
        <f aca="false">IF(J16=0,"",COUNTIFS(Trades!$A$2:$A$2161,"GOLD",Trades!$B$2:$B$2161,"W8",Trades!$F$2:$F$2161,$A16,Trades!$M$2:$M$2161,1)/J16)</f>
        <v>1</v>
      </c>
      <c r="L16" s="11" t="n">
        <f aca="false">SUMIFS(Trades!$K$2:$K$2161,Trades!$A$2:$A$2161,"GOLD",Trades!$B$2:$B$2161,"W8",Trades!$F$2:$F$2161,$A16)</f>
        <v>968052</v>
      </c>
      <c r="M16" s="11" t="n">
        <f aca="false">M15+L16</f>
        <v>4313633</v>
      </c>
      <c r="N16" s="9" t="n">
        <f aca="false">COUNTIFS(Trades!$A$2:$A$2161,"GOLD",Trades!$B$2:$B$2161,"W8C",Trades!$F$2:$F$2161,$A16)</f>
        <v>0</v>
      </c>
      <c r="O16" s="10" t="str">
        <f aca="false">IF(N16=0,"",COUNTIFS(Trades!$A$2:$A$2161,"GOLD",Trades!$B$2:$B$2161,"W8C",Trades!$F$2:$F$2161,$A16,Trades!$M$2:$M$2161,1)/N16)</f>
        <v/>
      </c>
      <c r="P16" s="11" t="n">
        <f aca="false">SUMIFS(Trades!$K$2:$K$2161,Trades!$A$2:$A$2161,"GOLD",Trades!$B$2:$B$2161,"W8C",Trades!$F$2:$F$2161,$A16)</f>
        <v>0</v>
      </c>
      <c r="Q16" s="11" t="n">
        <f aca="false">Q15+P16</f>
        <v>2135607</v>
      </c>
      <c r="R16" s="9" t="n">
        <f aca="false">COUNTIFS(Trades!$A$2:$A$2161,"GOLD",Trades!$B$2:$B$2161,"T6",Trades!$F$2:$F$2161,$A16)</f>
        <v>3</v>
      </c>
      <c r="S16" s="10" t="n">
        <f aca="false">IF(R16=0,"",COUNTIFS(Trades!$A$2:$A$2161,"GOLD",Trades!$B$2:$B$2161,"T6",Trades!$F$2:$F$2161,$A16,Trades!$M$2:$M$2161,1)/R16)</f>
        <v>0.666666666666667</v>
      </c>
      <c r="T16" s="11" t="n">
        <f aca="false">SUMIFS(Trades!$K$2:$K$2161,Trades!$A$2:$A$2161,"GOLD",Trades!$B$2:$B$2161,"T6",Trades!$F$2:$F$2161,$A16)</f>
        <v>543075</v>
      </c>
      <c r="U16" s="11" t="n">
        <f aca="false">U15+T16</f>
        <v>2086070</v>
      </c>
      <c r="V16" s="9" t="n">
        <f aca="false">COUNTIFS(Trades!$A$2:$A$2161,"GOLD",Trades!$B$2:$B$2161,"T7",Trades!$F$2:$F$2161,$A16)</f>
        <v>4</v>
      </c>
      <c r="W16" s="10" t="n">
        <f aca="false">IF(V16=0,"",COUNTIFS(Trades!$A$2:$A$2161,"GOLD",Trades!$B$2:$B$2161,"T7",Trades!$F$2:$F$2161,$A16,Trades!$M$2:$M$2161,1)/V16)</f>
        <v>1</v>
      </c>
      <c r="X16" s="11" t="n">
        <f aca="false">SUMIFS(Trades!$K$2:$K$2161,Trades!$A$2:$A$2161,"GOLD",Trades!$B$2:$B$2161,"T7",Trades!$F$2:$F$2161,$A16)</f>
        <v>706784</v>
      </c>
      <c r="Y16" s="11" t="n">
        <f aca="false">Y15+X16</f>
        <v>3290310</v>
      </c>
      <c r="Z16" s="9" t="n">
        <f aca="false">COUNTIFS(Trades!$A$2:$A$2161,"GOLD",Trades!$B$2:$B$2161,"U1",Trades!$F$2:$F$2161,$A16)</f>
        <v>10</v>
      </c>
      <c r="AA16" s="10" t="n">
        <f aca="false">IF(Z16=0,"",COUNTIFS(Trades!$A$2:$A$2161,"GOLD",Trades!$B$2:$B$2161,"U1",Trades!$F$2:$F$2161,$A16,Trades!$M$2:$M$2161,1)/Z16)</f>
        <v>0.5</v>
      </c>
      <c r="AB16" s="11" t="n">
        <f aca="false">SUMIFS(Trades!$K$2:$K$2161,Trades!$A$2:$A$2161,"GOLD",Trades!$B$2:$B$2161,"U1",Trades!$F$2:$F$2161,$A16)</f>
        <v>274529</v>
      </c>
      <c r="AC16" s="11" t="n">
        <f aca="false">AC15+AB16</f>
        <v>1946780</v>
      </c>
      <c r="AD16" s="9" t="n">
        <f aca="false">COUNTIFS(Trades!$A$2:$A$2161,"GOLD",Trades!$B$2:$B$2161,"U9",Trades!$F$2:$F$2161,$A16)</f>
        <v>17</v>
      </c>
      <c r="AE16" s="10" t="n">
        <f aca="false">IF(AD16=0,"",COUNTIFS(Trades!$A$2:$A$2161,"GOLD",Trades!$B$2:$B$2161,"U9",Trades!$F$2:$F$2161,$A16,Trades!$M$2:$M$2161,1)/AD16)</f>
        <v>0.647058823529412</v>
      </c>
      <c r="AF16" s="11" t="n">
        <f aca="false">SUMIFS(Trades!$K$2:$K$2161,Trades!$A$2:$A$2161,"GOLD",Trades!$B$2:$B$2161,"U9",Trades!$F$2:$F$2161,$A16)</f>
        <v>409619</v>
      </c>
      <c r="AG16" s="11" t="n">
        <f aca="false">AG15+AF16</f>
        <v>3134388</v>
      </c>
      <c r="AH16" s="9" t="n">
        <f aca="false">COUNTIFS(Trades!$A$2:$A$2161,"GOLD",Trades!$B$2:$B$2161,"Q1",Trades!$F$2:$F$2161,$A16)</f>
        <v>22</v>
      </c>
      <c r="AI16" s="10" t="n">
        <f aca="false">IF(AH16=0,"",COUNTIFS(Trades!$A$2:$A$2161,"GOLD",Trades!$B$2:$B$2161,"Q1",Trades!$F$2:$F$2161,$A16,Trades!$M$2:$M$2161,1)/AH16)</f>
        <v>0.681818181818182</v>
      </c>
      <c r="AJ16" s="11" t="n">
        <f aca="false">SUMIFS(Trades!$K$2:$K$2161,Trades!$A$2:$A$2161,"GOLD",Trades!$B$2:$B$2161,"Q1",Trades!$F$2:$F$2161,$A16)</f>
        <v>422100</v>
      </c>
      <c r="AK16" s="11" t="n">
        <f aca="false">AK15+AJ16</f>
        <v>2494829</v>
      </c>
    </row>
    <row r="17" customFormat="false" ht="15" hidden="false" customHeight="false" outlineLevel="0" collapsed="false">
      <c r="A17" s="29" t="n">
        <v>46023</v>
      </c>
      <c r="B17" s="9" t="n">
        <f aca="false">COUNTIFS(Trades!$A$2:$A$2161,"GOLD",Trades!$B$2:$B$2161,"V0",Trades!$F$2:$F$2161,$A17)</f>
        <v>4</v>
      </c>
      <c r="C17" s="10" t="n">
        <f aca="false">IF(B17=0,"",COUNTIFS(Trades!$A$2:$A$2161,"GOLD",Trades!$B$2:$B$2161,"V0",Trades!$F$2:$F$2161,$A17,Trades!$M$2:$M$2161,1)/B17)</f>
        <v>0.5</v>
      </c>
      <c r="D17" s="11" t="n">
        <f aca="false">SUMIFS(Trades!$K$2:$K$2161,Trades!$A$2:$A$2161,"GOLD",Trades!$B$2:$B$2161,"V0",Trades!$F$2:$F$2161,$A17)</f>
        <v>97296</v>
      </c>
      <c r="E17" s="11" t="n">
        <f aca="false">E16+D17</f>
        <v>4136127</v>
      </c>
      <c r="F17" s="9" t="n">
        <f aca="false">COUNTIFS(Trades!$A$2:$A$2161,"GOLD",Trades!$B$2:$B$2161,"V1",Trades!$F$2:$F$2161,$A17)</f>
        <v>2</v>
      </c>
      <c r="G17" s="10" t="n">
        <f aca="false">IF(F17=0,"",COUNTIFS(Trades!$A$2:$A$2161,"GOLD",Trades!$B$2:$B$2161,"V1",Trades!$F$2:$F$2161,$A17,Trades!$M$2:$M$2161,1)/F17)</f>
        <v>1</v>
      </c>
      <c r="H17" s="11" t="n">
        <f aca="false">SUMIFS(Trades!$K$2:$K$2161,Trades!$A$2:$A$2161,"GOLD",Trades!$B$2:$B$2161,"V1",Trades!$F$2:$F$2161,$A17)</f>
        <v>1193627</v>
      </c>
      <c r="I17" s="11" t="n">
        <f aca="false">I16+H17</f>
        <v>5236100</v>
      </c>
      <c r="J17" s="9" t="n">
        <f aca="false">COUNTIFS(Trades!$A$2:$A$2161,"GOLD",Trades!$B$2:$B$2161,"W8",Trades!$F$2:$F$2161,$A17)</f>
        <v>2</v>
      </c>
      <c r="K17" s="10" t="n">
        <f aca="false">IF(J17=0,"",COUNTIFS(Trades!$A$2:$A$2161,"GOLD",Trades!$B$2:$B$2161,"W8",Trades!$F$2:$F$2161,$A17,Trades!$M$2:$M$2161,1)/J17)</f>
        <v>1</v>
      </c>
      <c r="L17" s="11" t="n">
        <f aca="false">SUMIFS(Trades!$K$2:$K$2161,Trades!$A$2:$A$2161,"GOLD",Trades!$B$2:$B$2161,"W8",Trades!$F$2:$F$2161,$A17)</f>
        <v>1187737</v>
      </c>
      <c r="M17" s="11" t="n">
        <f aca="false">M16+L17</f>
        <v>5501370</v>
      </c>
      <c r="N17" s="9" t="n">
        <f aca="false">COUNTIFS(Trades!$A$2:$A$2161,"GOLD",Trades!$B$2:$B$2161,"W8C",Trades!$F$2:$F$2161,$A17)</f>
        <v>1</v>
      </c>
      <c r="O17" s="10" t="n">
        <f aca="false">IF(N17=0,"",COUNTIFS(Trades!$A$2:$A$2161,"GOLD",Trades!$B$2:$B$2161,"W8C",Trades!$F$2:$F$2161,$A17,Trades!$M$2:$M$2161,1)/N17)</f>
        <v>1</v>
      </c>
      <c r="P17" s="11" t="n">
        <f aca="false">SUMIFS(Trades!$K$2:$K$2161,Trades!$A$2:$A$2161,"GOLD",Trades!$B$2:$B$2161,"W8C",Trades!$F$2:$F$2161,$A17)</f>
        <v>1097317</v>
      </c>
      <c r="Q17" s="11" t="n">
        <f aca="false">Q16+P17</f>
        <v>3232924</v>
      </c>
      <c r="R17" s="9" t="n">
        <f aca="false">COUNTIFS(Trades!$A$2:$A$2161,"GOLD",Trades!$B$2:$B$2161,"T6",Trades!$F$2:$F$2161,$A17)</f>
        <v>3</v>
      </c>
      <c r="S17" s="10" t="n">
        <f aca="false">IF(R17=0,"",COUNTIFS(Trades!$A$2:$A$2161,"GOLD",Trades!$B$2:$B$2161,"T6",Trades!$F$2:$F$2161,$A17,Trades!$M$2:$M$2161,1)/R17)</f>
        <v>1</v>
      </c>
      <c r="T17" s="11" t="n">
        <f aca="false">SUMIFS(Trades!$K$2:$K$2161,Trades!$A$2:$A$2161,"GOLD",Trades!$B$2:$B$2161,"T6",Trades!$F$2:$F$2161,$A17)</f>
        <v>1624917</v>
      </c>
      <c r="U17" s="11" t="n">
        <f aca="false">U16+T17</f>
        <v>3710987</v>
      </c>
      <c r="V17" s="9" t="n">
        <f aca="false">COUNTIFS(Trades!$A$2:$A$2161,"GOLD",Trades!$B$2:$B$2161,"T7",Trades!$F$2:$F$2161,$A17)</f>
        <v>3</v>
      </c>
      <c r="W17" s="10" t="n">
        <f aca="false">IF(V17=0,"",COUNTIFS(Trades!$A$2:$A$2161,"GOLD",Trades!$B$2:$B$2161,"T7",Trades!$F$2:$F$2161,$A17,Trades!$M$2:$M$2161,1)/V17)</f>
        <v>1</v>
      </c>
      <c r="X17" s="11" t="n">
        <f aca="false">SUMIFS(Trades!$K$2:$K$2161,Trades!$A$2:$A$2161,"GOLD",Trades!$B$2:$B$2161,"T7",Trades!$F$2:$F$2161,$A17)</f>
        <v>1588734</v>
      </c>
      <c r="Y17" s="11" t="n">
        <f aca="false">Y16+X17</f>
        <v>4879044</v>
      </c>
      <c r="Z17" s="9" t="n">
        <f aca="false">COUNTIFS(Trades!$A$2:$A$2161,"GOLD",Trades!$B$2:$B$2161,"U1",Trades!$F$2:$F$2161,$A17)</f>
        <v>5</v>
      </c>
      <c r="AA17" s="10" t="n">
        <f aca="false">IF(Z17=0,"",COUNTIFS(Trades!$A$2:$A$2161,"GOLD",Trades!$B$2:$B$2161,"U1",Trades!$F$2:$F$2161,$A17,Trades!$M$2:$M$2161,1)/Z17)</f>
        <v>0.8</v>
      </c>
      <c r="AB17" s="11" t="n">
        <f aca="false">SUMIFS(Trades!$K$2:$K$2161,Trades!$A$2:$A$2161,"GOLD",Trades!$B$2:$B$2161,"U1",Trades!$F$2:$F$2161,$A17)</f>
        <v>2870294</v>
      </c>
      <c r="AC17" s="11" t="n">
        <f aca="false">AC16+AB17</f>
        <v>4817074</v>
      </c>
      <c r="AD17" s="9" t="n">
        <f aca="false">COUNTIFS(Trades!$A$2:$A$2161,"GOLD",Trades!$B$2:$B$2161,"U9",Trades!$F$2:$F$2161,$A17)</f>
        <v>18</v>
      </c>
      <c r="AE17" s="10" t="n">
        <f aca="false">IF(AD17=0,"",COUNTIFS(Trades!$A$2:$A$2161,"GOLD",Trades!$B$2:$B$2161,"U9",Trades!$F$2:$F$2161,$A17,Trades!$M$2:$M$2161,1)/AD17)</f>
        <v>0.444444444444444</v>
      </c>
      <c r="AF17" s="11" t="n">
        <f aca="false">SUMIFS(Trades!$K$2:$K$2161,Trades!$A$2:$A$2161,"GOLD",Trades!$B$2:$B$2161,"U9",Trades!$F$2:$F$2161,$A17)</f>
        <v>391832</v>
      </c>
      <c r="AG17" s="11" t="n">
        <f aca="false">AG16+AF17</f>
        <v>3526220</v>
      </c>
      <c r="AH17" s="9" t="n">
        <f aca="false">COUNTIFS(Trades!$A$2:$A$2161,"GOLD",Trades!$B$2:$B$2161,"Q1",Trades!$F$2:$F$2161,$A17)</f>
        <v>20</v>
      </c>
      <c r="AI17" s="10" t="n">
        <f aca="false">IF(AH17=0,"",COUNTIFS(Trades!$A$2:$A$2161,"GOLD",Trades!$B$2:$B$2161,"Q1",Trades!$F$2:$F$2161,$A17,Trades!$M$2:$M$2161,1)/AH17)</f>
        <v>0.75</v>
      </c>
      <c r="AJ17" s="11" t="n">
        <f aca="false">SUMIFS(Trades!$K$2:$K$2161,Trades!$A$2:$A$2161,"GOLD",Trades!$B$2:$B$2161,"Q1",Trades!$F$2:$F$2161,$A17)</f>
        <v>1851756</v>
      </c>
      <c r="AK17" s="11" t="n">
        <f aca="false">AK16+AJ17</f>
        <v>4346585</v>
      </c>
    </row>
    <row r="18" customFormat="false" ht="15" hidden="false" customHeight="false" outlineLevel="0" collapsed="false">
      <c r="A18" s="29" t="n">
        <v>46054</v>
      </c>
      <c r="B18" s="9" t="n">
        <f aca="false">COUNTIFS(Trades!$A$2:$A$2161,"GOLD",Trades!$B$2:$B$2161,"V0",Trades!$F$2:$F$2161,$A18)</f>
        <v>1</v>
      </c>
      <c r="C18" s="10" t="n">
        <f aca="false">IF(B18=0,"",COUNTIFS(Trades!$A$2:$A$2161,"GOLD",Trades!$B$2:$B$2161,"V0",Trades!$F$2:$F$2161,$A18,Trades!$M$2:$M$2161,1)/B18)</f>
        <v>1</v>
      </c>
      <c r="D18" s="11" t="n">
        <f aca="false">SUMIFS(Trades!$K$2:$K$2161,Trades!$A$2:$A$2161,"GOLD",Trades!$B$2:$B$2161,"V0",Trades!$F$2:$F$2161,$A18)</f>
        <v>1168483</v>
      </c>
      <c r="E18" s="11" t="n">
        <f aca="false">E17+D18</f>
        <v>5304610</v>
      </c>
      <c r="F18" s="9" t="n">
        <f aca="false">COUNTIFS(Trades!$A$2:$A$2161,"GOLD",Trades!$B$2:$B$2161,"V1",Trades!$F$2:$F$2161,$A18)</f>
        <v>0</v>
      </c>
      <c r="G18" s="10" t="str">
        <f aca="false">IF(F18=0,"",COUNTIFS(Trades!$A$2:$A$2161,"GOLD",Trades!$B$2:$B$2161,"V1",Trades!$F$2:$F$2161,$A18,Trades!$M$2:$M$2161,1)/F18)</f>
        <v/>
      </c>
      <c r="H18" s="11" t="n">
        <f aca="false">SUMIFS(Trades!$K$2:$K$2161,Trades!$A$2:$A$2161,"GOLD",Trades!$B$2:$B$2161,"V1",Trades!$F$2:$F$2161,$A18)</f>
        <v>0</v>
      </c>
      <c r="I18" s="11" t="n">
        <f aca="false">I17+H18</f>
        <v>5236100</v>
      </c>
      <c r="J18" s="9" t="n">
        <f aca="false">COUNTIFS(Trades!$A$2:$A$2161,"GOLD",Trades!$B$2:$B$2161,"W8",Trades!$F$2:$F$2161,$A18)</f>
        <v>0</v>
      </c>
      <c r="K18" s="10" t="str">
        <f aca="false">IF(J18=0,"",COUNTIFS(Trades!$A$2:$A$2161,"GOLD",Trades!$B$2:$B$2161,"W8",Trades!$F$2:$F$2161,$A18,Trades!$M$2:$M$2161,1)/J18)</f>
        <v/>
      </c>
      <c r="L18" s="11" t="n">
        <f aca="false">SUMIFS(Trades!$K$2:$K$2161,Trades!$A$2:$A$2161,"GOLD",Trades!$B$2:$B$2161,"W8",Trades!$F$2:$F$2161,$A18)</f>
        <v>0</v>
      </c>
      <c r="M18" s="11" t="n">
        <f aca="false">M17+L18</f>
        <v>5501370</v>
      </c>
      <c r="N18" s="9" t="n">
        <f aca="false">COUNTIFS(Trades!$A$2:$A$2161,"GOLD",Trades!$B$2:$B$2161,"W8C",Trades!$F$2:$F$2161,$A18)</f>
        <v>0</v>
      </c>
      <c r="O18" s="10" t="str">
        <f aca="false">IF(N18=0,"",COUNTIFS(Trades!$A$2:$A$2161,"GOLD",Trades!$B$2:$B$2161,"W8C",Trades!$F$2:$F$2161,$A18,Trades!$M$2:$M$2161,1)/N18)</f>
        <v/>
      </c>
      <c r="P18" s="11" t="n">
        <f aca="false">SUMIFS(Trades!$K$2:$K$2161,Trades!$A$2:$A$2161,"GOLD",Trades!$B$2:$B$2161,"W8C",Trades!$F$2:$F$2161,$A18)</f>
        <v>0</v>
      </c>
      <c r="Q18" s="11" t="n">
        <f aca="false">Q17+P18</f>
        <v>3232924</v>
      </c>
      <c r="R18" s="9" t="n">
        <f aca="false">COUNTIFS(Trades!$A$2:$A$2161,"GOLD",Trades!$B$2:$B$2161,"T6",Trades!$F$2:$F$2161,$A18)</f>
        <v>1</v>
      </c>
      <c r="S18" s="10" t="n">
        <f aca="false">IF(R18=0,"",COUNTIFS(Trades!$A$2:$A$2161,"GOLD",Trades!$B$2:$B$2161,"T6",Trades!$F$2:$F$2161,$A18,Trades!$M$2:$M$2161,1)/R18)</f>
        <v>0</v>
      </c>
      <c r="T18" s="11" t="n">
        <f aca="false">SUMIFS(Trades!$K$2:$K$2161,Trades!$A$2:$A$2161,"GOLD",Trades!$B$2:$B$2161,"T6",Trades!$F$2:$F$2161,$A18)</f>
        <v>-346498</v>
      </c>
      <c r="U18" s="11" t="n">
        <f aca="false">U17+T18</f>
        <v>3364489</v>
      </c>
      <c r="V18" s="9" t="n">
        <f aca="false">COUNTIFS(Trades!$A$2:$A$2161,"GOLD",Trades!$B$2:$B$2161,"T7",Trades!$F$2:$F$2161,$A18)</f>
        <v>3</v>
      </c>
      <c r="W18" s="10" t="n">
        <f aca="false">IF(V18=0,"",COUNTIFS(Trades!$A$2:$A$2161,"GOLD",Trades!$B$2:$B$2161,"T7",Trades!$F$2:$F$2161,$A18,Trades!$M$2:$M$2161,1)/V18)</f>
        <v>0</v>
      </c>
      <c r="X18" s="11" t="n">
        <f aca="false">SUMIFS(Trades!$K$2:$K$2161,Trades!$A$2:$A$2161,"GOLD",Trades!$B$2:$B$2161,"T7",Trades!$F$2:$F$2161,$A18)</f>
        <v>-2147882</v>
      </c>
      <c r="Y18" s="11" t="n">
        <f aca="false">Y17+X18</f>
        <v>2731162</v>
      </c>
      <c r="Z18" s="9" t="n">
        <f aca="false">COUNTIFS(Trades!$A$2:$A$2161,"GOLD",Trades!$B$2:$B$2161,"U1",Trades!$F$2:$F$2161,$A18)</f>
        <v>7</v>
      </c>
      <c r="AA18" s="10" t="n">
        <f aca="false">IF(Z18=0,"",COUNTIFS(Trades!$A$2:$A$2161,"GOLD",Trades!$B$2:$B$2161,"U1",Trades!$F$2:$F$2161,$A18,Trades!$M$2:$M$2161,1)/Z18)</f>
        <v>0.571428571428571</v>
      </c>
      <c r="AB18" s="11" t="n">
        <f aca="false">SUMIFS(Trades!$K$2:$K$2161,Trades!$A$2:$A$2161,"GOLD",Trades!$B$2:$B$2161,"U1",Trades!$F$2:$F$2161,$A18)</f>
        <v>-383754</v>
      </c>
      <c r="AC18" s="11" t="n">
        <f aca="false">AC17+AB18</f>
        <v>4433320</v>
      </c>
      <c r="AD18" s="9" t="n">
        <f aca="false">COUNTIFS(Trades!$A$2:$A$2161,"GOLD",Trades!$B$2:$B$2161,"U9",Trades!$F$2:$F$2161,$A18)</f>
        <v>17</v>
      </c>
      <c r="AE18" s="10" t="n">
        <f aca="false">IF(AD18=0,"",COUNTIFS(Trades!$A$2:$A$2161,"GOLD",Trades!$B$2:$B$2161,"U9",Trades!$F$2:$F$2161,$A18,Trades!$M$2:$M$2161,1)/AD18)</f>
        <v>0.411764705882353</v>
      </c>
      <c r="AF18" s="11" t="n">
        <f aca="false">SUMIFS(Trades!$K$2:$K$2161,Trades!$A$2:$A$2161,"GOLD",Trades!$B$2:$B$2161,"U9",Trades!$F$2:$F$2161,$A18)</f>
        <v>-1841983</v>
      </c>
      <c r="AG18" s="11" t="n">
        <f aca="false">AG17+AF18</f>
        <v>1684237</v>
      </c>
      <c r="AH18" s="9" t="n">
        <f aca="false">COUNTIFS(Trades!$A$2:$A$2161,"GOLD",Trades!$B$2:$B$2161,"Q1",Trades!$F$2:$F$2161,$A18)</f>
        <v>15</v>
      </c>
      <c r="AI18" s="10" t="n">
        <f aca="false">IF(AH18=0,"",COUNTIFS(Trades!$A$2:$A$2161,"GOLD",Trades!$B$2:$B$2161,"Q1",Trades!$F$2:$F$2161,$A18,Trades!$M$2:$M$2161,1)/AH18)</f>
        <v>0.733333333333333</v>
      </c>
      <c r="AJ18" s="11" t="n">
        <f aca="false">SUMIFS(Trades!$K$2:$K$2161,Trades!$A$2:$A$2161,"GOLD",Trades!$B$2:$B$2161,"Q1",Trades!$F$2:$F$2161,$A18)</f>
        <v>-251865</v>
      </c>
      <c r="AK18" s="11" t="n">
        <f aca="false">AK17+AJ18</f>
        <v>4094720</v>
      </c>
    </row>
    <row r="19" customFormat="false" ht="15" hidden="false" customHeight="false" outlineLevel="0" collapsed="false">
      <c r="A19" s="29" t="n">
        <v>46082</v>
      </c>
      <c r="B19" s="9" t="n">
        <f aca="false">COUNTIFS(Trades!$A$2:$A$2161,"GOLD",Trades!$B$2:$B$2161,"V0",Trades!$F$2:$F$2161,$A19)</f>
        <v>2</v>
      </c>
      <c r="C19" s="10" t="n">
        <f aca="false">IF(B19=0,"",COUNTIFS(Trades!$A$2:$A$2161,"GOLD",Trades!$B$2:$B$2161,"V0",Trades!$F$2:$F$2161,$A19,Trades!$M$2:$M$2161,1)/B19)</f>
        <v>1</v>
      </c>
      <c r="D19" s="11" t="n">
        <f aca="false">SUMIFS(Trades!$K$2:$K$2161,Trades!$A$2:$A$2161,"GOLD",Trades!$B$2:$B$2161,"V0",Trades!$F$2:$F$2161,$A19)</f>
        <v>2723501</v>
      </c>
      <c r="E19" s="11" t="n">
        <f aca="false">E18+D19</f>
        <v>8028111</v>
      </c>
      <c r="F19" s="9" t="n">
        <f aca="false">COUNTIFS(Trades!$A$2:$A$2161,"GOLD",Trades!$B$2:$B$2161,"V1",Trades!$F$2:$F$2161,$A19)</f>
        <v>1</v>
      </c>
      <c r="G19" s="10" t="n">
        <f aca="false">IF(F19=0,"",COUNTIFS(Trades!$A$2:$A$2161,"GOLD",Trades!$B$2:$B$2161,"V1",Trades!$F$2:$F$2161,$A19,Trades!$M$2:$M$2161,1)/F19)</f>
        <v>1</v>
      </c>
      <c r="H19" s="11" t="n">
        <f aca="false">SUMIFS(Trades!$K$2:$K$2161,Trades!$A$2:$A$2161,"GOLD",Trades!$B$2:$B$2161,"V1",Trades!$F$2:$F$2161,$A19)</f>
        <v>1995214</v>
      </c>
      <c r="I19" s="11" t="n">
        <f aca="false">I18+H19</f>
        <v>7231314</v>
      </c>
      <c r="J19" s="9" t="n">
        <f aca="false">COUNTIFS(Trades!$A$2:$A$2161,"GOLD",Trades!$B$2:$B$2161,"W8",Trades!$F$2:$F$2161,$A19)</f>
        <v>1</v>
      </c>
      <c r="K19" s="10" t="n">
        <f aca="false">IF(J19=0,"",COUNTIFS(Trades!$A$2:$A$2161,"GOLD",Trades!$B$2:$B$2161,"W8",Trades!$F$2:$F$2161,$A19,Trades!$M$2:$M$2161,1)/J19)</f>
        <v>1</v>
      </c>
      <c r="L19" s="11" t="n">
        <f aca="false">SUMIFS(Trades!$K$2:$K$2161,Trades!$A$2:$A$2161,"GOLD",Trades!$B$2:$B$2161,"W8",Trades!$F$2:$F$2161,$A19)</f>
        <v>53857</v>
      </c>
      <c r="M19" s="11" t="n">
        <f aca="false">M18+L19</f>
        <v>5555227</v>
      </c>
      <c r="N19" s="9" t="n">
        <f aca="false">COUNTIFS(Trades!$A$2:$A$2161,"GOLD",Trades!$B$2:$B$2161,"W8C",Trades!$F$2:$F$2161,$A19)</f>
        <v>1</v>
      </c>
      <c r="O19" s="10" t="n">
        <f aca="false">IF(N19=0,"",COUNTIFS(Trades!$A$2:$A$2161,"GOLD",Trades!$B$2:$B$2161,"W8C",Trades!$F$2:$F$2161,$A19,Trades!$M$2:$M$2161,1)/N19)</f>
        <v>1</v>
      </c>
      <c r="P19" s="11" t="n">
        <f aca="false">SUMIFS(Trades!$K$2:$K$2161,Trades!$A$2:$A$2161,"GOLD",Trades!$B$2:$B$2161,"W8C",Trades!$F$2:$F$2161,$A19)</f>
        <v>25430</v>
      </c>
      <c r="Q19" s="11" t="n">
        <f aca="false">Q18+P19</f>
        <v>3258354</v>
      </c>
      <c r="R19" s="9" t="n">
        <f aca="false">COUNTIFS(Trades!$A$2:$A$2161,"GOLD",Trades!$B$2:$B$2161,"T6",Trades!$F$2:$F$2161,$A19)</f>
        <v>3</v>
      </c>
      <c r="S19" s="10" t="n">
        <f aca="false">IF(R19=0,"",COUNTIFS(Trades!$A$2:$A$2161,"GOLD",Trades!$B$2:$B$2161,"T6",Trades!$F$2:$F$2161,$A19,Trades!$M$2:$M$2161,1)/R19)</f>
        <v>1</v>
      </c>
      <c r="T19" s="11" t="n">
        <f aca="false">SUMIFS(Trades!$K$2:$K$2161,Trades!$A$2:$A$2161,"GOLD",Trades!$B$2:$B$2161,"T6",Trades!$F$2:$F$2161,$A19)</f>
        <v>116893</v>
      </c>
      <c r="U19" s="11" t="n">
        <f aca="false">U18+T19</f>
        <v>3481382</v>
      </c>
      <c r="V19" s="9" t="n">
        <f aca="false">COUNTIFS(Trades!$A$2:$A$2161,"GOLD",Trades!$B$2:$B$2161,"T7",Trades!$F$2:$F$2161,$A19)</f>
        <v>4</v>
      </c>
      <c r="W19" s="10" t="n">
        <f aca="false">IF(V19=0,"",COUNTIFS(Trades!$A$2:$A$2161,"GOLD",Trades!$B$2:$B$2161,"T7",Trades!$F$2:$F$2161,$A19,Trades!$M$2:$M$2161,1)/V19)</f>
        <v>0.75</v>
      </c>
      <c r="X19" s="11" t="n">
        <f aca="false">SUMIFS(Trades!$K$2:$K$2161,Trades!$A$2:$A$2161,"GOLD",Trades!$B$2:$B$2161,"T7",Trades!$F$2:$F$2161,$A19)</f>
        <v>1398656</v>
      </c>
      <c r="Y19" s="11" t="n">
        <f aca="false">Y18+X19</f>
        <v>4129818</v>
      </c>
      <c r="Z19" s="9" t="n">
        <f aca="false">COUNTIFS(Trades!$A$2:$A$2161,"GOLD",Trades!$B$2:$B$2161,"U1",Trades!$F$2:$F$2161,$A19)</f>
        <v>5</v>
      </c>
      <c r="AA19" s="10" t="n">
        <f aca="false">IF(Z19=0,"",COUNTIFS(Trades!$A$2:$A$2161,"GOLD",Trades!$B$2:$B$2161,"U1",Trades!$F$2:$F$2161,$A19,Trades!$M$2:$M$2161,1)/Z19)</f>
        <v>1</v>
      </c>
      <c r="AB19" s="11" t="n">
        <f aca="false">SUMIFS(Trades!$K$2:$K$2161,Trades!$A$2:$A$2161,"GOLD",Trades!$B$2:$B$2161,"U1",Trades!$F$2:$F$2161,$A19)</f>
        <v>1455363</v>
      </c>
      <c r="AC19" s="11" t="n">
        <f aca="false">AC18+AB19</f>
        <v>5888683</v>
      </c>
      <c r="AD19" s="9" t="n">
        <f aca="false">COUNTIFS(Trades!$A$2:$A$2161,"GOLD",Trades!$B$2:$B$2161,"U9",Trades!$F$2:$F$2161,$A19)</f>
        <v>19</v>
      </c>
      <c r="AE19" s="10" t="n">
        <f aca="false">IF(AD19=0,"",COUNTIFS(Trades!$A$2:$A$2161,"GOLD",Trades!$B$2:$B$2161,"U9",Trades!$F$2:$F$2161,$A19,Trades!$M$2:$M$2161,1)/AD19)</f>
        <v>0.526315789473684</v>
      </c>
      <c r="AF19" s="11" t="n">
        <f aca="false">SUMIFS(Trades!$K$2:$K$2161,Trades!$A$2:$A$2161,"GOLD",Trades!$B$2:$B$2161,"U9",Trades!$F$2:$F$2161,$A19)</f>
        <v>1578462</v>
      </c>
      <c r="AG19" s="11" t="n">
        <f aca="false">AG18+AF19</f>
        <v>3262699</v>
      </c>
      <c r="AH19" s="9" t="n">
        <f aca="false">COUNTIFS(Trades!$A$2:$A$2161,"GOLD",Trades!$B$2:$B$2161,"Q1",Trades!$F$2:$F$2161,$A19)</f>
        <v>25</v>
      </c>
      <c r="AI19" s="10" t="n">
        <f aca="false">IF(AH19=0,"",COUNTIFS(Trades!$A$2:$A$2161,"GOLD",Trades!$B$2:$B$2161,"Q1",Trades!$F$2:$F$2161,$A19,Trades!$M$2:$M$2161,1)/AH19)</f>
        <v>0.6</v>
      </c>
      <c r="AJ19" s="11" t="n">
        <f aca="false">SUMIFS(Trades!$K$2:$K$2161,Trades!$A$2:$A$2161,"GOLD",Trades!$B$2:$B$2161,"Q1",Trades!$F$2:$F$2161,$A19)</f>
        <v>451099</v>
      </c>
      <c r="AK19" s="11" t="n">
        <f aca="false">AK18+AJ19</f>
        <v>4545819</v>
      </c>
    </row>
    <row r="20" customFormat="false" ht="15" hidden="false" customHeight="false" outlineLevel="0" collapsed="false">
      <c r="A20" s="29" t="n">
        <v>46113</v>
      </c>
      <c r="B20" s="9" t="n">
        <f aca="false">COUNTIFS(Trades!$A$2:$A$2161,"GOLD",Trades!$B$2:$B$2161,"V0",Trades!$F$2:$F$2161,$A20)</f>
        <v>4</v>
      </c>
      <c r="C20" s="10" t="n">
        <f aca="false">IF(B20=0,"",COUNTIFS(Trades!$A$2:$A$2161,"GOLD",Trades!$B$2:$B$2161,"V0",Trades!$F$2:$F$2161,$A20,Trades!$M$2:$M$2161,1)/B20)</f>
        <v>0.25</v>
      </c>
      <c r="D20" s="11" t="n">
        <f aca="false">SUMIFS(Trades!$K$2:$K$2161,Trades!$A$2:$A$2161,"GOLD",Trades!$B$2:$B$2161,"V0",Trades!$F$2:$F$2161,$A20)</f>
        <v>-792407</v>
      </c>
      <c r="E20" s="11" t="n">
        <f aca="false">E19+D20</f>
        <v>7235704</v>
      </c>
      <c r="F20" s="9" t="n">
        <f aca="false">COUNTIFS(Trades!$A$2:$A$2161,"GOLD",Trades!$B$2:$B$2161,"V1",Trades!$F$2:$F$2161,$A20)</f>
        <v>2</v>
      </c>
      <c r="G20" s="10" t="n">
        <f aca="false">IF(F20=0,"",COUNTIFS(Trades!$A$2:$A$2161,"GOLD",Trades!$B$2:$B$2161,"V1",Trades!$F$2:$F$2161,$A20,Trades!$M$2:$M$2161,1)/F20)</f>
        <v>0</v>
      </c>
      <c r="H20" s="11" t="n">
        <f aca="false">SUMIFS(Trades!$K$2:$K$2161,Trades!$A$2:$A$2161,"GOLD",Trades!$B$2:$B$2161,"V1",Trades!$F$2:$F$2161,$A20)</f>
        <v>-605434</v>
      </c>
      <c r="I20" s="11" t="n">
        <f aca="false">I19+H20</f>
        <v>6625880</v>
      </c>
      <c r="J20" s="9" t="n">
        <f aca="false">COUNTIFS(Trades!$A$2:$A$2161,"GOLD",Trades!$B$2:$B$2161,"W8",Trades!$F$2:$F$2161,$A20)</f>
        <v>2</v>
      </c>
      <c r="K20" s="10" t="n">
        <f aca="false">IF(J20=0,"",COUNTIFS(Trades!$A$2:$A$2161,"GOLD",Trades!$B$2:$B$2161,"W8",Trades!$F$2:$F$2161,$A20,Trades!$M$2:$M$2161,1)/J20)</f>
        <v>0.5</v>
      </c>
      <c r="L20" s="11" t="n">
        <f aca="false">SUMIFS(Trades!$K$2:$K$2161,Trades!$A$2:$A$2161,"GOLD",Trades!$B$2:$B$2161,"W8",Trades!$F$2:$F$2161,$A20)</f>
        <v>-544020</v>
      </c>
      <c r="M20" s="11" t="n">
        <f aca="false">M19+L20</f>
        <v>5011207</v>
      </c>
      <c r="N20" s="9" t="n">
        <f aca="false">COUNTIFS(Trades!$A$2:$A$2161,"GOLD",Trades!$B$2:$B$2161,"W8C",Trades!$F$2:$F$2161,$A20)</f>
        <v>0</v>
      </c>
      <c r="O20" s="10" t="str">
        <f aca="false">IF(N20=0,"",COUNTIFS(Trades!$A$2:$A$2161,"GOLD",Trades!$B$2:$B$2161,"W8C",Trades!$F$2:$F$2161,$A20,Trades!$M$2:$M$2161,1)/N20)</f>
        <v/>
      </c>
      <c r="P20" s="11" t="n">
        <f aca="false">SUMIFS(Trades!$K$2:$K$2161,Trades!$A$2:$A$2161,"GOLD",Trades!$B$2:$B$2161,"W8C",Trades!$F$2:$F$2161,$A20)</f>
        <v>0</v>
      </c>
      <c r="Q20" s="11" t="n">
        <f aca="false">Q19+P20</f>
        <v>3258354</v>
      </c>
      <c r="R20" s="9" t="n">
        <f aca="false">COUNTIFS(Trades!$A$2:$A$2161,"GOLD",Trades!$B$2:$B$2161,"T6",Trades!$F$2:$F$2161,$A20)</f>
        <v>3</v>
      </c>
      <c r="S20" s="10" t="n">
        <f aca="false">IF(R20=0,"",COUNTIFS(Trades!$A$2:$A$2161,"GOLD",Trades!$B$2:$B$2161,"T6",Trades!$F$2:$F$2161,$A20,Trades!$M$2:$M$2161,1)/R20)</f>
        <v>0.333333333333333</v>
      </c>
      <c r="T20" s="11" t="n">
        <f aca="false">SUMIFS(Trades!$K$2:$K$2161,Trades!$A$2:$A$2161,"GOLD",Trades!$B$2:$B$2161,"T6",Trades!$F$2:$F$2161,$A20)</f>
        <v>-276335</v>
      </c>
      <c r="U20" s="11" t="n">
        <f aca="false">U19+T20</f>
        <v>3205047</v>
      </c>
      <c r="V20" s="9" t="n">
        <f aca="false">COUNTIFS(Trades!$A$2:$A$2161,"GOLD",Trades!$B$2:$B$2161,"T7",Trades!$F$2:$F$2161,$A20)</f>
        <v>5</v>
      </c>
      <c r="W20" s="10" t="n">
        <f aca="false">IF(V20=0,"",COUNTIFS(Trades!$A$2:$A$2161,"GOLD",Trades!$B$2:$B$2161,"T7",Trades!$F$2:$F$2161,$A20,Trades!$M$2:$M$2161,1)/V20)</f>
        <v>0.6</v>
      </c>
      <c r="X20" s="11" t="n">
        <f aca="false">SUMIFS(Trades!$K$2:$K$2161,Trades!$A$2:$A$2161,"GOLD",Trades!$B$2:$B$2161,"T7",Trades!$F$2:$F$2161,$A20)</f>
        <v>-498994</v>
      </c>
      <c r="Y20" s="11" t="n">
        <f aca="false">Y19+X20</f>
        <v>3630824</v>
      </c>
      <c r="Z20" s="9" t="n">
        <f aca="false">COUNTIFS(Trades!$A$2:$A$2161,"GOLD",Trades!$B$2:$B$2161,"U1",Trades!$F$2:$F$2161,$A20)</f>
        <v>8</v>
      </c>
      <c r="AA20" s="10" t="n">
        <f aca="false">IF(Z20=0,"",COUNTIFS(Trades!$A$2:$A$2161,"GOLD",Trades!$B$2:$B$2161,"U1",Trades!$F$2:$F$2161,$A20,Trades!$M$2:$M$2161,1)/Z20)</f>
        <v>0.25</v>
      </c>
      <c r="AB20" s="11" t="n">
        <f aca="false">SUMIFS(Trades!$K$2:$K$2161,Trades!$A$2:$A$2161,"GOLD",Trades!$B$2:$B$2161,"U1",Trades!$F$2:$F$2161,$A20)</f>
        <v>-956219</v>
      </c>
      <c r="AC20" s="11" t="n">
        <f aca="false">AC19+AB20</f>
        <v>4932464</v>
      </c>
      <c r="AD20" s="9" t="n">
        <f aca="false">COUNTIFS(Trades!$A$2:$A$2161,"GOLD",Trades!$B$2:$B$2161,"U9",Trades!$F$2:$F$2161,$A20)</f>
        <v>15</v>
      </c>
      <c r="AE20" s="10" t="n">
        <f aca="false">IF(AD20=0,"",COUNTIFS(Trades!$A$2:$A$2161,"GOLD",Trades!$B$2:$B$2161,"U9",Trades!$F$2:$F$2161,$A20,Trades!$M$2:$M$2161,1)/AD20)</f>
        <v>0.733333333333333</v>
      </c>
      <c r="AF20" s="11" t="n">
        <f aca="false">SUMIFS(Trades!$K$2:$K$2161,Trades!$A$2:$A$2161,"GOLD",Trades!$B$2:$B$2161,"U9",Trades!$F$2:$F$2161,$A20)</f>
        <v>-141080</v>
      </c>
      <c r="AG20" s="11" t="n">
        <f aca="false">AG19+AF20</f>
        <v>3121619</v>
      </c>
      <c r="AH20" s="9" t="n">
        <f aca="false">COUNTIFS(Trades!$A$2:$A$2161,"GOLD",Trades!$B$2:$B$2161,"Q1",Trades!$F$2:$F$2161,$A20)</f>
        <v>26</v>
      </c>
      <c r="AI20" s="10" t="n">
        <f aca="false">IF(AH20=0,"",COUNTIFS(Trades!$A$2:$A$2161,"GOLD",Trades!$B$2:$B$2161,"Q1",Trades!$F$2:$F$2161,$A20,Trades!$M$2:$M$2161,1)/AH20)</f>
        <v>0.846153846153846</v>
      </c>
      <c r="AJ20" s="11" t="n">
        <f aca="false">SUMIFS(Trades!$K$2:$K$2161,Trades!$A$2:$A$2161,"GOLD",Trades!$B$2:$B$2161,"Q1",Trades!$F$2:$F$2161,$A20)</f>
        <v>-163113</v>
      </c>
      <c r="AK20" s="11" t="n">
        <f aca="false">AK19+AJ20</f>
        <v>4382706</v>
      </c>
    </row>
    <row r="21" customFormat="false" ht="15" hidden="false" customHeight="false" outlineLevel="0" collapsed="false">
      <c r="A21" s="29" t="n">
        <v>46143</v>
      </c>
      <c r="B21" s="9" t="n">
        <f aca="false">COUNTIFS(Trades!$A$2:$A$2161,"GOLD",Trades!$B$2:$B$2161,"V0",Trades!$F$2:$F$2161,$A21)</f>
        <v>1</v>
      </c>
      <c r="C21" s="10" t="n">
        <f aca="false">IF(B21=0,"",COUNTIFS(Trades!$A$2:$A$2161,"GOLD",Trades!$B$2:$B$2161,"V0",Trades!$F$2:$F$2161,$A21,Trades!$M$2:$M$2161,1)/B21)</f>
        <v>1</v>
      </c>
      <c r="D21" s="11" t="n">
        <f aca="false">SUMIFS(Trades!$K$2:$K$2161,Trades!$A$2:$A$2161,"GOLD",Trades!$B$2:$B$2161,"V0",Trades!$F$2:$F$2161,$A21)</f>
        <v>658300</v>
      </c>
      <c r="E21" s="11" t="n">
        <f aca="false">E20+D21</f>
        <v>7894004</v>
      </c>
      <c r="F21" s="9" t="n">
        <f aca="false">COUNTIFS(Trades!$A$2:$A$2161,"GOLD",Trades!$B$2:$B$2161,"V1",Trades!$F$2:$F$2161,$A21)</f>
        <v>0</v>
      </c>
      <c r="G21" s="10" t="str">
        <f aca="false">IF(F21=0,"",COUNTIFS(Trades!$A$2:$A$2161,"GOLD",Trades!$B$2:$B$2161,"V1",Trades!$F$2:$F$2161,$A21,Trades!$M$2:$M$2161,1)/F21)</f>
        <v/>
      </c>
      <c r="H21" s="11" t="n">
        <f aca="false">SUMIFS(Trades!$K$2:$K$2161,Trades!$A$2:$A$2161,"GOLD",Trades!$B$2:$B$2161,"V1",Trades!$F$2:$F$2161,$A21)</f>
        <v>0</v>
      </c>
      <c r="I21" s="11" t="n">
        <f aca="false">I20+H21</f>
        <v>6625880</v>
      </c>
      <c r="J21" s="9" t="n">
        <f aca="false">COUNTIFS(Trades!$A$2:$A$2161,"GOLD",Trades!$B$2:$B$2161,"W8",Trades!$F$2:$F$2161,$A21)</f>
        <v>0</v>
      </c>
      <c r="K21" s="10" t="str">
        <f aca="false">IF(J21=0,"",COUNTIFS(Trades!$A$2:$A$2161,"GOLD",Trades!$B$2:$B$2161,"W8",Trades!$F$2:$F$2161,$A21,Trades!$M$2:$M$2161,1)/J21)</f>
        <v/>
      </c>
      <c r="L21" s="11" t="n">
        <f aca="false">SUMIFS(Trades!$K$2:$K$2161,Trades!$A$2:$A$2161,"GOLD",Trades!$B$2:$B$2161,"W8",Trades!$F$2:$F$2161,$A21)</f>
        <v>0</v>
      </c>
      <c r="M21" s="11" t="n">
        <f aca="false">M20+L21</f>
        <v>5011207</v>
      </c>
      <c r="N21" s="9" t="n">
        <f aca="false">COUNTIFS(Trades!$A$2:$A$2161,"GOLD",Trades!$B$2:$B$2161,"W8C",Trades!$F$2:$F$2161,$A21)</f>
        <v>0</v>
      </c>
      <c r="O21" s="10" t="str">
        <f aca="false">IF(N21=0,"",COUNTIFS(Trades!$A$2:$A$2161,"GOLD",Trades!$B$2:$B$2161,"W8C",Trades!$F$2:$F$2161,$A21,Trades!$M$2:$M$2161,1)/N21)</f>
        <v/>
      </c>
      <c r="P21" s="11" t="n">
        <f aca="false">SUMIFS(Trades!$K$2:$K$2161,Trades!$A$2:$A$2161,"GOLD",Trades!$B$2:$B$2161,"W8C",Trades!$F$2:$F$2161,$A21)</f>
        <v>0</v>
      </c>
      <c r="Q21" s="11" t="n">
        <f aca="false">Q20+P21</f>
        <v>3258354</v>
      </c>
      <c r="R21" s="9" t="n">
        <f aca="false">COUNTIFS(Trades!$A$2:$A$2161,"GOLD",Trades!$B$2:$B$2161,"T6",Trades!$F$2:$F$2161,$A21)</f>
        <v>1</v>
      </c>
      <c r="S21" s="10" t="n">
        <f aca="false">IF(R21=0,"",COUNTIFS(Trades!$A$2:$A$2161,"GOLD",Trades!$B$2:$B$2161,"T6",Trades!$F$2:$F$2161,$A21,Trades!$M$2:$M$2161,1)/R21)</f>
        <v>0</v>
      </c>
      <c r="T21" s="11" t="n">
        <f aca="false">SUMIFS(Trades!$K$2:$K$2161,Trades!$A$2:$A$2161,"GOLD",Trades!$B$2:$B$2161,"T6",Trades!$F$2:$F$2161,$A21)</f>
        <v>-262513</v>
      </c>
      <c r="U21" s="11" t="n">
        <f aca="false">U20+T21</f>
        <v>2942534</v>
      </c>
      <c r="V21" s="9" t="n">
        <f aca="false">COUNTIFS(Trades!$A$2:$A$2161,"GOLD",Trades!$B$2:$B$2161,"T7",Trades!$F$2:$F$2161,$A21)</f>
        <v>4</v>
      </c>
      <c r="W21" s="10" t="n">
        <f aca="false">IF(V21=0,"",COUNTIFS(Trades!$A$2:$A$2161,"GOLD",Trades!$B$2:$B$2161,"T7",Trades!$F$2:$F$2161,$A21,Trades!$M$2:$M$2161,1)/V21)</f>
        <v>0.75</v>
      </c>
      <c r="X21" s="11" t="n">
        <f aca="false">SUMIFS(Trades!$K$2:$K$2161,Trades!$A$2:$A$2161,"GOLD",Trades!$B$2:$B$2161,"T7",Trades!$F$2:$F$2161,$A21)</f>
        <v>45442</v>
      </c>
      <c r="Y21" s="11" t="n">
        <f aca="false">Y20+X21</f>
        <v>3676266</v>
      </c>
      <c r="Z21" s="9" t="n">
        <f aca="false">COUNTIFS(Trades!$A$2:$A$2161,"GOLD",Trades!$B$2:$B$2161,"U1",Trades!$F$2:$F$2161,$A21)</f>
        <v>5</v>
      </c>
      <c r="AA21" s="10" t="n">
        <f aca="false">IF(Z21=0,"",COUNTIFS(Trades!$A$2:$A$2161,"GOLD",Trades!$B$2:$B$2161,"U1",Trades!$F$2:$F$2161,$A21,Trades!$M$2:$M$2161,1)/Z21)</f>
        <v>0.4</v>
      </c>
      <c r="AB21" s="11" t="n">
        <f aca="false">SUMIFS(Trades!$K$2:$K$2161,Trades!$A$2:$A$2161,"GOLD",Trades!$B$2:$B$2161,"U1",Trades!$F$2:$F$2161,$A21)</f>
        <v>-318448</v>
      </c>
      <c r="AC21" s="11" t="n">
        <f aca="false">AC20+AB21</f>
        <v>4614016</v>
      </c>
      <c r="AD21" s="9" t="n">
        <f aca="false">COUNTIFS(Trades!$A$2:$A$2161,"GOLD",Trades!$B$2:$B$2161,"U9",Trades!$F$2:$F$2161,$A21)</f>
        <v>17</v>
      </c>
      <c r="AE21" s="10" t="n">
        <f aca="false">IF(AD21=0,"",COUNTIFS(Trades!$A$2:$A$2161,"GOLD",Trades!$B$2:$B$2161,"U9",Trades!$F$2:$F$2161,$A21,Trades!$M$2:$M$2161,1)/AD21)</f>
        <v>0.705882352941177</v>
      </c>
      <c r="AF21" s="11" t="n">
        <f aca="false">SUMIFS(Trades!$K$2:$K$2161,Trades!$A$2:$A$2161,"GOLD",Trades!$B$2:$B$2161,"U9",Trades!$F$2:$F$2161,$A21)</f>
        <v>-28813</v>
      </c>
      <c r="AG21" s="11" t="n">
        <f aca="false">AG20+AF21</f>
        <v>3092806</v>
      </c>
      <c r="AH21" s="9" t="n">
        <f aca="false">COUNTIFS(Trades!$A$2:$A$2161,"GOLD",Trades!$B$2:$B$2161,"Q1",Trades!$F$2:$F$2161,$A21)</f>
        <v>7</v>
      </c>
      <c r="AI21" s="10" t="n">
        <f aca="false">IF(AH21=0,"",COUNTIFS(Trades!$A$2:$A$2161,"GOLD",Trades!$B$2:$B$2161,"Q1",Trades!$F$2:$F$2161,$A21,Trades!$M$2:$M$2161,1)/AH21)</f>
        <v>1</v>
      </c>
      <c r="AJ21" s="11" t="n">
        <f aca="false">SUMIFS(Trades!$K$2:$K$2161,Trades!$A$2:$A$2161,"GOLD",Trades!$B$2:$B$2161,"Q1",Trades!$F$2:$F$2161,$A21)</f>
        <v>365957</v>
      </c>
      <c r="AK21" s="11" t="n">
        <f aca="false">AK20+AJ21</f>
        <v>4748663</v>
      </c>
    </row>
    <row r="22" customFormat="false" ht="15" hidden="false" customHeight="false" outlineLevel="0" collapsed="false">
      <c r="A22" s="29" t="n">
        <v>46174</v>
      </c>
      <c r="B22" s="9" t="n">
        <f aca="false">COUNTIFS(Trades!$A$2:$A$2161,"GOLD",Trades!$B$2:$B$2161,"V0",Trades!$F$2:$F$2161,$A22)</f>
        <v>2</v>
      </c>
      <c r="C22" s="10" t="n">
        <f aca="false">IF(B22=0,"",COUNTIFS(Trades!$A$2:$A$2161,"GOLD",Trades!$B$2:$B$2161,"V0",Trades!$F$2:$F$2161,$A22,Trades!$M$2:$M$2161,1)/B22)</f>
        <v>0.5</v>
      </c>
      <c r="D22" s="11" t="n">
        <f aca="false">SUMIFS(Trades!$K$2:$K$2161,Trades!$A$2:$A$2161,"GOLD",Trades!$B$2:$B$2161,"V0",Trades!$F$2:$F$2161,$A22)</f>
        <v>442683</v>
      </c>
      <c r="E22" s="11" t="n">
        <f aca="false">E21+D22</f>
        <v>8336687</v>
      </c>
      <c r="F22" s="9" t="n">
        <f aca="false">COUNTIFS(Trades!$A$2:$A$2161,"GOLD",Trades!$B$2:$B$2161,"V1",Trades!$F$2:$F$2161,$A22)</f>
        <v>1</v>
      </c>
      <c r="G22" s="10" t="n">
        <f aca="false">IF(F22=0,"",COUNTIFS(Trades!$A$2:$A$2161,"GOLD",Trades!$B$2:$B$2161,"V1",Trades!$F$2:$F$2161,$A22,Trades!$M$2:$M$2161,1)/F22)</f>
        <v>1</v>
      </c>
      <c r="H22" s="11" t="n">
        <f aca="false">SUMIFS(Trades!$K$2:$K$2161,Trades!$A$2:$A$2161,"GOLD",Trades!$B$2:$B$2161,"V1",Trades!$F$2:$F$2161,$A22)</f>
        <v>674823</v>
      </c>
      <c r="I22" s="11" t="n">
        <f aca="false">I21+H22</f>
        <v>7300703</v>
      </c>
      <c r="J22" s="9" t="n">
        <f aca="false">COUNTIFS(Trades!$A$2:$A$2161,"GOLD",Trades!$B$2:$B$2161,"W8",Trades!$F$2:$F$2161,$A22)</f>
        <v>1</v>
      </c>
      <c r="K22" s="10" t="n">
        <f aca="false">IF(J22=0,"",COUNTIFS(Trades!$A$2:$A$2161,"GOLD",Trades!$B$2:$B$2161,"W8",Trades!$F$2:$F$2161,$A22,Trades!$M$2:$M$2161,1)/J22)</f>
        <v>1</v>
      </c>
      <c r="L22" s="11" t="n">
        <f aca="false">SUMIFS(Trades!$K$2:$K$2161,Trades!$A$2:$A$2161,"GOLD",Trades!$B$2:$B$2161,"W8",Trades!$F$2:$F$2161,$A22)</f>
        <v>674823</v>
      </c>
      <c r="M22" s="11" t="n">
        <f aca="false">M21+L22</f>
        <v>5686030</v>
      </c>
      <c r="N22" s="9" t="n">
        <f aca="false">COUNTIFS(Trades!$A$2:$A$2161,"GOLD",Trades!$B$2:$B$2161,"W8C",Trades!$F$2:$F$2161,$A22)</f>
        <v>1</v>
      </c>
      <c r="O22" s="10" t="n">
        <f aca="false">IF(N22=0,"",COUNTIFS(Trades!$A$2:$A$2161,"GOLD",Trades!$B$2:$B$2161,"W8C",Trades!$F$2:$F$2161,$A22,Trades!$M$2:$M$2161,1)/N22)</f>
        <v>1</v>
      </c>
      <c r="P22" s="11" t="n">
        <f aca="false">SUMIFS(Trades!$K$2:$K$2161,Trades!$A$2:$A$2161,"GOLD",Trades!$B$2:$B$2161,"W8C",Trades!$F$2:$F$2161,$A22)</f>
        <v>673323</v>
      </c>
      <c r="Q22" s="11" t="n">
        <f aca="false">Q21+P22</f>
        <v>3931677</v>
      </c>
      <c r="R22" s="9" t="n">
        <f aca="false">COUNTIFS(Trades!$A$2:$A$2161,"GOLD",Trades!$B$2:$B$2161,"T6",Trades!$F$2:$F$2161,$A22)</f>
        <v>3</v>
      </c>
      <c r="S22" s="10" t="n">
        <f aca="false">IF(R22=0,"",COUNTIFS(Trades!$A$2:$A$2161,"GOLD",Trades!$B$2:$B$2161,"T6",Trades!$F$2:$F$2161,$A22,Trades!$M$2:$M$2161,1)/R22)</f>
        <v>0.333333333333333</v>
      </c>
      <c r="T22" s="11" t="n">
        <f aca="false">SUMIFS(Trades!$K$2:$K$2161,Trades!$A$2:$A$2161,"GOLD",Trades!$B$2:$B$2161,"T6",Trades!$F$2:$F$2161,$A22)</f>
        <v>-189121</v>
      </c>
      <c r="U22" s="11" t="n">
        <f aca="false">U21+T22</f>
        <v>2753413</v>
      </c>
      <c r="V22" s="9" t="n">
        <f aca="false">COUNTIFS(Trades!$A$2:$A$2161,"GOLD",Trades!$B$2:$B$2161,"T7",Trades!$F$2:$F$2161,$A22)</f>
        <v>4</v>
      </c>
      <c r="W22" s="10" t="n">
        <f aca="false">IF(V22=0,"",COUNTIFS(Trades!$A$2:$A$2161,"GOLD",Trades!$B$2:$B$2161,"T7",Trades!$F$2:$F$2161,$A22,Trades!$M$2:$M$2161,1)/V22)</f>
        <v>0.5</v>
      </c>
      <c r="X22" s="11" t="n">
        <f aca="false">SUMIFS(Trades!$K$2:$K$2161,Trades!$A$2:$A$2161,"GOLD",Trades!$B$2:$B$2161,"T7",Trades!$F$2:$F$2161,$A22)</f>
        <v>772148</v>
      </c>
      <c r="Y22" s="11" t="n">
        <f aca="false">Y21+X22</f>
        <v>4448414</v>
      </c>
      <c r="Z22" s="9" t="n">
        <f aca="false">COUNTIFS(Trades!$A$2:$A$2161,"GOLD",Trades!$B$2:$B$2161,"U1",Trades!$F$2:$F$2161,$A22)</f>
        <v>7</v>
      </c>
      <c r="AA22" s="10" t="n">
        <f aca="false">IF(Z22=0,"",COUNTIFS(Trades!$A$2:$A$2161,"GOLD",Trades!$B$2:$B$2161,"U1",Trades!$F$2:$F$2161,$A22,Trades!$M$2:$M$2161,1)/Z22)</f>
        <v>0.571428571428571</v>
      </c>
      <c r="AB22" s="11" t="n">
        <f aca="false">SUMIFS(Trades!$K$2:$K$2161,Trades!$A$2:$A$2161,"GOLD",Trades!$B$2:$B$2161,"U1",Trades!$F$2:$F$2161,$A22)</f>
        <v>-23911</v>
      </c>
      <c r="AC22" s="11" t="n">
        <f aca="false">AC21+AB22</f>
        <v>4590105</v>
      </c>
      <c r="AD22" s="9" t="n">
        <f aca="false">COUNTIFS(Trades!$A$2:$A$2161,"GOLD",Trades!$B$2:$B$2161,"U9",Trades!$F$2:$F$2161,$A22)</f>
        <v>19</v>
      </c>
      <c r="AE22" s="10" t="n">
        <f aca="false">IF(AD22=0,"",COUNTIFS(Trades!$A$2:$A$2161,"GOLD",Trades!$B$2:$B$2161,"U9",Trades!$F$2:$F$2161,$A22,Trades!$M$2:$M$2161,1)/AD22)</f>
        <v>0.578947368421053</v>
      </c>
      <c r="AF22" s="11" t="n">
        <f aca="false">SUMIFS(Trades!$K$2:$K$2161,Trades!$A$2:$A$2161,"GOLD",Trades!$B$2:$B$2161,"U9",Trades!$F$2:$F$2161,$A22)</f>
        <v>560970</v>
      </c>
      <c r="AG22" s="11" t="n">
        <f aca="false">AG21+AF22</f>
        <v>3653776</v>
      </c>
      <c r="AH22" s="9" t="n">
        <f aca="false">COUNTIFS(Trades!$A$2:$A$2161,"GOLD",Trades!$B$2:$B$2161,"Q1",Trades!$F$2:$F$2161,$A22)</f>
        <v>24</v>
      </c>
      <c r="AI22" s="10" t="n">
        <f aca="false">IF(AH22=0,"",COUNTIFS(Trades!$A$2:$A$2161,"GOLD",Trades!$B$2:$B$2161,"Q1",Trades!$F$2:$F$2161,$A22,Trades!$M$2:$M$2161,1)/AH22)</f>
        <v>0.708333333333333</v>
      </c>
      <c r="AJ22" s="11" t="n">
        <f aca="false">SUMIFS(Trades!$K$2:$K$2161,Trades!$A$2:$A$2161,"GOLD",Trades!$B$2:$B$2161,"Q1",Trades!$F$2:$F$2161,$A22)</f>
        <v>275912</v>
      </c>
      <c r="AK22" s="11" t="n">
        <f aca="false">AK21+AJ22</f>
        <v>5024575</v>
      </c>
    </row>
    <row r="23" customFormat="false" ht="15" hidden="false" customHeight="false" outlineLevel="0" collapsed="false">
      <c r="A23" s="29" t="n">
        <v>46204</v>
      </c>
      <c r="B23" s="9" t="n">
        <f aca="false">COUNTIFS(Trades!$A$2:$A$2161,"GOLD",Trades!$B$2:$B$2161,"V0",Trades!$F$2:$F$2161,$A23)</f>
        <v>5</v>
      </c>
      <c r="C23" s="10" t="n">
        <f aca="false">IF(B23=0,"",COUNTIFS(Trades!$A$2:$A$2161,"GOLD",Trades!$B$2:$B$2161,"V0",Trades!$F$2:$F$2161,$A23,Trades!$M$2:$M$2161,1)/B23)</f>
        <v>0.6</v>
      </c>
      <c r="D23" s="11" t="n">
        <f aca="false">SUMIFS(Trades!$K$2:$K$2161,Trades!$A$2:$A$2161,"GOLD",Trades!$B$2:$B$2161,"V0",Trades!$F$2:$F$2161,$A23)</f>
        <v>439267</v>
      </c>
      <c r="E23" s="11" t="n">
        <f aca="false">E22+D23</f>
        <v>8775954</v>
      </c>
      <c r="F23" s="9" t="n">
        <f aca="false">COUNTIFS(Trades!$A$2:$A$2161,"GOLD",Trades!$B$2:$B$2161,"V1",Trades!$F$2:$F$2161,$A23)</f>
        <v>3</v>
      </c>
      <c r="G23" s="10" t="n">
        <f aca="false">IF(F23=0,"",COUNTIFS(Trades!$A$2:$A$2161,"GOLD",Trades!$B$2:$B$2161,"V1",Trades!$F$2:$F$2161,$A23,Trades!$M$2:$M$2161,1)/F23)</f>
        <v>0.666666666666667</v>
      </c>
      <c r="H23" s="11" t="n">
        <f aca="false">SUMIFS(Trades!$K$2:$K$2161,Trades!$A$2:$A$2161,"GOLD",Trades!$B$2:$B$2161,"V1",Trades!$F$2:$F$2161,$A23)</f>
        <v>595412</v>
      </c>
      <c r="I23" s="11" t="n">
        <f aca="false">I22+H23</f>
        <v>7896115</v>
      </c>
      <c r="J23" s="9" t="n">
        <f aca="false">COUNTIFS(Trades!$A$2:$A$2161,"GOLD",Trades!$B$2:$B$2161,"W8",Trades!$F$2:$F$2161,$A23)</f>
        <v>3</v>
      </c>
      <c r="K23" s="10" t="n">
        <f aca="false">IF(J23=0,"",COUNTIFS(Trades!$A$2:$A$2161,"GOLD",Trades!$B$2:$B$2161,"W8",Trades!$F$2:$F$2161,$A23,Trades!$M$2:$M$2161,1)/J23)</f>
        <v>1</v>
      </c>
      <c r="L23" s="11" t="n">
        <f aca="false">SUMIFS(Trades!$K$2:$K$2161,Trades!$A$2:$A$2161,"GOLD",Trades!$B$2:$B$2161,"W8",Trades!$F$2:$F$2161,$A23)</f>
        <v>636945</v>
      </c>
      <c r="M23" s="11" t="n">
        <f aca="false">M22+L23</f>
        <v>6322975</v>
      </c>
      <c r="N23" s="9" t="n">
        <f aca="false">COUNTIFS(Trades!$A$2:$A$2161,"GOLD",Trades!$B$2:$B$2161,"W8C",Trades!$F$2:$F$2161,$A23)</f>
        <v>3</v>
      </c>
      <c r="O23" s="10" t="n">
        <f aca="false">IF(N23=0,"",COUNTIFS(Trades!$A$2:$A$2161,"GOLD",Trades!$B$2:$B$2161,"W8C",Trades!$F$2:$F$2161,$A23,Trades!$M$2:$M$2161,1)/N23)</f>
        <v>1</v>
      </c>
      <c r="P23" s="11" t="n">
        <f aca="false">SUMIFS(Trades!$K$2:$K$2161,Trades!$A$2:$A$2161,"GOLD",Trades!$B$2:$B$2161,"W8C",Trades!$F$2:$F$2161,$A23)</f>
        <v>597951</v>
      </c>
      <c r="Q23" s="11" t="n">
        <f aca="false">Q22+P23</f>
        <v>4529628</v>
      </c>
      <c r="R23" s="9" t="n">
        <f aca="false">COUNTIFS(Trades!$A$2:$A$2161,"GOLD",Trades!$B$2:$B$2161,"T6",Trades!$F$2:$F$2161,$A23)</f>
        <v>6</v>
      </c>
      <c r="S23" s="10" t="n">
        <f aca="false">IF(R23=0,"",COUNTIFS(Trades!$A$2:$A$2161,"GOLD",Trades!$B$2:$B$2161,"T6",Trades!$F$2:$F$2161,$A23,Trades!$M$2:$M$2161,1)/R23)</f>
        <v>0.833333333333333</v>
      </c>
      <c r="T23" s="11" t="n">
        <f aca="false">SUMIFS(Trades!$K$2:$K$2161,Trades!$A$2:$A$2161,"GOLD",Trades!$B$2:$B$2161,"T6",Trades!$F$2:$F$2161,$A23)</f>
        <v>124210</v>
      </c>
      <c r="U23" s="11" t="n">
        <f aca="false">U22+T23</f>
        <v>2877623</v>
      </c>
      <c r="V23" s="9" t="n">
        <f aca="false">COUNTIFS(Trades!$A$2:$A$2161,"GOLD",Trades!$B$2:$B$2161,"T7",Trades!$F$2:$F$2161,$A23)</f>
        <v>6</v>
      </c>
      <c r="W23" s="10" t="n">
        <f aca="false">IF(V23=0,"",COUNTIFS(Trades!$A$2:$A$2161,"GOLD",Trades!$B$2:$B$2161,"T7",Trades!$F$2:$F$2161,$A23,Trades!$M$2:$M$2161,1)/V23)</f>
        <v>0.666666666666667</v>
      </c>
      <c r="X23" s="11" t="n">
        <f aca="false">SUMIFS(Trades!$K$2:$K$2161,Trades!$A$2:$A$2161,"GOLD",Trades!$B$2:$B$2161,"T7",Trades!$F$2:$F$2161,$A23)</f>
        <v>-60680</v>
      </c>
      <c r="Y23" s="11" t="n">
        <f aca="false">Y22+X23</f>
        <v>4387734</v>
      </c>
      <c r="Z23" s="9" t="n">
        <f aca="false">COUNTIFS(Trades!$A$2:$A$2161,"GOLD",Trades!$B$2:$B$2161,"U1",Trades!$F$2:$F$2161,$A23)</f>
        <v>8</v>
      </c>
      <c r="AA23" s="10" t="n">
        <f aca="false">IF(Z23=0,"",COUNTIFS(Trades!$A$2:$A$2161,"GOLD",Trades!$B$2:$B$2161,"U1",Trades!$F$2:$F$2161,$A23,Trades!$M$2:$M$2161,1)/Z23)</f>
        <v>0.875</v>
      </c>
      <c r="AB23" s="11" t="n">
        <f aca="false">SUMIFS(Trades!$K$2:$K$2161,Trades!$A$2:$A$2161,"GOLD",Trades!$B$2:$B$2161,"U1",Trades!$F$2:$F$2161,$A23)</f>
        <v>210220</v>
      </c>
      <c r="AC23" s="11" t="n">
        <f aca="false">AC22+AB23</f>
        <v>4800325</v>
      </c>
      <c r="AD23" s="9" t="n">
        <f aca="false">COUNTIFS(Trades!$A$2:$A$2161,"GOLD",Trades!$B$2:$B$2161,"U9",Trades!$F$2:$F$2161,$A23)</f>
        <v>16</v>
      </c>
      <c r="AE23" s="10" t="n">
        <f aca="false">IF(AD23=0,"",COUNTIFS(Trades!$A$2:$A$2161,"GOLD",Trades!$B$2:$B$2161,"U9",Trades!$F$2:$F$2161,$A23,Trades!$M$2:$M$2161,1)/AD23)</f>
        <v>0.5625</v>
      </c>
      <c r="AF23" s="11" t="n">
        <f aca="false">SUMIFS(Trades!$K$2:$K$2161,Trades!$A$2:$A$2161,"GOLD",Trades!$B$2:$B$2161,"U9",Trades!$F$2:$F$2161,$A23)</f>
        <v>313210</v>
      </c>
      <c r="AG23" s="11" t="n">
        <f aca="false">AG22+AF23</f>
        <v>3966986</v>
      </c>
      <c r="AH23" s="9" t="n">
        <f aca="false">COUNTIFS(Trades!$A$2:$A$2161,"GOLD",Trades!$B$2:$B$2161,"Q1",Trades!$F$2:$F$2161,$A23)</f>
        <v>23</v>
      </c>
      <c r="AI23" s="10" t="n">
        <f aca="false">IF(AH23=0,"",COUNTIFS(Trades!$A$2:$A$2161,"GOLD",Trades!$B$2:$B$2161,"Q1",Trades!$F$2:$F$2161,$A23,Trades!$M$2:$M$2161,1)/AH23)</f>
        <v>0.739130434782609</v>
      </c>
      <c r="AJ23" s="11" t="n">
        <f aca="false">SUMIFS(Trades!$K$2:$K$2161,Trades!$A$2:$A$2161,"GOLD",Trades!$B$2:$B$2161,"Q1",Trades!$F$2:$F$2161,$A23)</f>
        <v>-197974</v>
      </c>
      <c r="AK23" s="11" t="n">
        <f aca="false">AK22+AJ23</f>
        <v>4826601</v>
      </c>
    </row>
    <row r="24" customFormat="false" ht="15" hidden="false" customHeight="false" outlineLevel="0" collapsed="false">
      <c r="A24" s="29" t="n">
        <v>46235</v>
      </c>
      <c r="B24" s="9" t="n">
        <f aca="false">COUNTIFS(Trades!$A$2:$A$2161,"GOLD",Trades!$B$2:$B$2161,"V0",Trades!$F$2:$F$2161,$A24)</f>
        <v>1</v>
      </c>
      <c r="C24" s="10" t="n">
        <f aca="false">IF(B24=0,"",COUNTIFS(Trades!$A$2:$A$2161,"GOLD",Trades!$B$2:$B$2161,"V0",Trades!$F$2:$F$2161,$A24,Trades!$M$2:$M$2161,1)/B24)</f>
        <v>1</v>
      </c>
      <c r="D24" s="11" t="n">
        <f aca="false">SUMIFS(Trades!$K$2:$K$2161,Trades!$A$2:$A$2161,"GOLD",Trades!$B$2:$B$2161,"V0",Trades!$F$2:$F$2161,$A24)</f>
        <v>1421858</v>
      </c>
      <c r="E24" s="11" t="n">
        <f aca="false">E23+D24</f>
        <v>10197812</v>
      </c>
      <c r="F24" s="9" t="n">
        <f aca="false">COUNTIFS(Trades!$A$2:$A$2161,"GOLD",Trades!$B$2:$B$2161,"V1",Trades!$F$2:$F$2161,$A24)</f>
        <v>0</v>
      </c>
      <c r="G24" s="10" t="str">
        <f aca="false">IF(F24=0,"",COUNTIFS(Trades!$A$2:$A$2161,"GOLD",Trades!$B$2:$B$2161,"V1",Trades!$F$2:$F$2161,$A24,Trades!$M$2:$M$2161,1)/F24)</f>
        <v/>
      </c>
      <c r="H24" s="11" t="n">
        <f aca="false">SUMIFS(Trades!$K$2:$K$2161,Trades!$A$2:$A$2161,"GOLD",Trades!$B$2:$B$2161,"V1",Trades!$F$2:$F$2161,$A24)</f>
        <v>0</v>
      </c>
      <c r="I24" s="11" t="n">
        <f aca="false">I23+H24</f>
        <v>7896115</v>
      </c>
      <c r="J24" s="9" t="n">
        <f aca="false">COUNTIFS(Trades!$A$2:$A$2161,"GOLD",Trades!$B$2:$B$2161,"W8",Trades!$F$2:$F$2161,$A24)</f>
        <v>0</v>
      </c>
      <c r="K24" s="10" t="str">
        <f aca="false">IF(J24=0,"",COUNTIFS(Trades!$A$2:$A$2161,"GOLD",Trades!$B$2:$B$2161,"W8",Trades!$F$2:$F$2161,$A24,Trades!$M$2:$M$2161,1)/J24)</f>
        <v/>
      </c>
      <c r="L24" s="11" t="n">
        <f aca="false">SUMIFS(Trades!$K$2:$K$2161,Trades!$A$2:$A$2161,"GOLD",Trades!$B$2:$B$2161,"W8",Trades!$F$2:$F$2161,$A24)</f>
        <v>0</v>
      </c>
      <c r="M24" s="11" t="n">
        <f aca="false">M23+L24</f>
        <v>6322975</v>
      </c>
      <c r="N24" s="9" t="n">
        <f aca="false">COUNTIFS(Trades!$A$2:$A$2161,"GOLD",Trades!$B$2:$B$2161,"W8C",Trades!$F$2:$F$2161,$A24)</f>
        <v>0</v>
      </c>
      <c r="O24" s="10" t="str">
        <f aca="false">IF(N24=0,"",COUNTIFS(Trades!$A$2:$A$2161,"GOLD",Trades!$B$2:$B$2161,"W8C",Trades!$F$2:$F$2161,$A24,Trades!$M$2:$M$2161,1)/N24)</f>
        <v/>
      </c>
      <c r="P24" s="11" t="n">
        <f aca="false">SUMIFS(Trades!$K$2:$K$2161,Trades!$A$2:$A$2161,"GOLD",Trades!$B$2:$B$2161,"W8C",Trades!$F$2:$F$2161,$A24)</f>
        <v>0</v>
      </c>
      <c r="Q24" s="11" t="n">
        <f aca="false">Q23+P24</f>
        <v>4529628</v>
      </c>
      <c r="R24" s="9" t="n">
        <f aca="false">COUNTIFS(Trades!$A$2:$A$2161,"GOLD",Trades!$B$2:$B$2161,"T6",Trades!$F$2:$F$2161,$A24)</f>
        <v>3</v>
      </c>
      <c r="S24" s="10" t="n">
        <f aca="false">IF(R24=0,"",COUNTIFS(Trades!$A$2:$A$2161,"GOLD",Trades!$B$2:$B$2161,"T6",Trades!$F$2:$F$2161,$A24,Trades!$M$2:$M$2161,1)/R24)</f>
        <v>0.666666666666667</v>
      </c>
      <c r="T24" s="11" t="n">
        <f aca="false">SUMIFS(Trades!$K$2:$K$2161,Trades!$A$2:$A$2161,"GOLD",Trades!$B$2:$B$2161,"T6",Trades!$F$2:$F$2161,$A24)</f>
        <v>231275</v>
      </c>
      <c r="U24" s="11" t="n">
        <f aca="false">U23+T24</f>
        <v>3108898</v>
      </c>
      <c r="V24" s="9" t="n">
        <f aca="false">COUNTIFS(Trades!$A$2:$A$2161,"GOLD",Trades!$B$2:$B$2161,"T7",Trades!$F$2:$F$2161,$A24)</f>
        <v>4</v>
      </c>
      <c r="W24" s="10" t="n">
        <f aca="false">IF(V24=0,"",COUNTIFS(Trades!$A$2:$A$2161,"GOLD",Trades!$B$2:$B$2161,"T7",Trades!$F$2:$F$2161,$A24,Trades!$M$2:$M$2161,1)/V24)</f>
        <v>0.25</v>
      </c>
      <c r="X24" s="11" t="n">
        <f aca="false">SUMIFS(Trades!$K$2:$K$2161,Trades!$A$2:$A$2161,"GOLD",Trades!$B$2:$B$2161,"T7",Trades!$F$2:$F$2161,$A24)</f>
        <v>-409214</v>
      </c>
      <c r="Y24" s="11" t="n">
        <f aca="false">Y23+X24</f>
        <v>3978520</v>
      </c>
      <c r="Z24" s="9" t="n">
        <f aca="false">COUNTIFS(Trades!$A$2:$A$2161,"GOLD",Trades!$B$2:$B$2161,"U1",Trades!$F$2:$F$2161,$A24)</f>
        <v>3</v>
      </c>
      <c r="AA24" s="10" t="n">
        <f aca="false">IF(Z24=0,"",COUNTIFS(Trades!$A$2:$A$2161,"GOLD",Trades!$B$2:$B$2161,"U1",Trades!$F$2:$F$2161,$A24,Trades!$M$2:$M$2161,1)/Z24)</f>
        <v>0.666666666666667</v>
      </c>
      <c r="AB24" s="11" t="n">
        <f aca="false">SUMIFS(Trades!$K$2:$K$2161,Trades!$A$2:$A$2161,"GOLD",Trades!$B$2:$B$2161,"U1",Trades!$F$2:$F$2161,$A24)</f>
        <v>-173462</v>
      </c>
      <c r="AC24" s="11" t="n">
        <f aca="false">AC23+AB24</f>
        <v>4626863</v>
      </c>
      <c r="AD24" s="9" t="n">
        <f aca="false">COUNTIFS(Trades!$A$2:$A$2161,"GOLD",Trades!$B$2:$B$2161,"U9",Trades!$F$2:$F$2161,$A24)</f>
        <v>16</v>
      </c>
      <c r="AE24" s="10" t="n">
        <f aca="false">IF(AD24=0,"",COUNTIFS(Trades!$A$2:$A$2161,"GOLD",Trades!$B$2:$B$2161,"U9",Trades!$F$2:$F$2161,$A24,Trades!$M$2:$M$2161,1)/AD24)</f>
        <v>0.75</v>
      </c>
      <c r="AF24" s="11" t="n">
        <f aca="false">SUMIFS(Trades!$K$2:$K$2161,Trades!$A$2:$A$2161,"GOLD",Trades!$B$2:$B$2161,"U9",Trades!$F$2:$F$2161,$A24)</f>
        <v>239216</v>
      </c>
      <c r="AG24" s="11" t="n">
        <f aca="false">AG23+AF24</f>
        <v>4206202</v>
      </c>
      <c r="AH24" s="9" t="n">
        <f aca="false">COUNTIFS(Trades!$A$2:$A$2161,"GOLD",Trades!$B$2:$B$2161,"Q1",Trades!$F$2:$F$2161,$A24)</f>
        <v>5</v>
      </c>
      <c r="AI24" s="10" t="n">
        <f aca="false">IF(AH24=0,"",COUNTIFS(Trades!$A$2:$A$2161,"GOLD",Trades!$B$2:$B$2161,"Q1",Trades!$F$2:$F$2161,$A24,Trades!$M$2:$M$2161,1)/AH24)</f>
        <v>0.6</v>
      </c>
      <c r="AJ24" s="11" t="n">
        <f aca="false">SUMIFS(Trades!$K$2:$K$2161,Trades!$A$2:$A$2161,"GOLD",Trades!$B$2:$B$2161,"Q1",Trades!$F$2:$F$2161,$A24)</f>
        <v>102465</v>
      </c>
      <c r="AK24" s="11" t="n">
        <f aca="false">AK23+AJ24</f>
        <v>4929066</v>
      </c>
    </row>
    <row r="25" customFormat="false" ht="15" hidden="false" customHeight="false" outlineLevel="0" collapsed="false">
      <c r="A25" s="29" t="n">
        <v>46266</v>
      </c>
      <c r="B25" s="9" t="n">
        <f aca="false">COUNTIFS(Trades!$A$2:$A$2161,"GOLD",Trades!$B$2:$B$2161,"V0",Trades!$F$2:$F$2161,$A25)</f>
        <v>4</v>
      </c>
      <c r="C25" s="10" t="n">
        <f aca="false">IF(B25=0,"",COUNTIFS(Trades!$A$2:$A$2161,"GOLD",Trades!$B$2:$B$2161,"V0",Trades!$F$2:$F$2161,$A25,Trades!$M$2:$M$2161,1)/B25)</f>
        <v>0.25</v>
      </c>
      <c r="D25" s="11" t="n">
        <f aca="false">SUMIFS(Trades!$K$2:$K$2161,Trades!$A$2:$A$2161,"GOLD",Trades!$B$2:$B$2161,"V0",Trades!$F$2:$F$2161,$A25)</f>
        <v>-633117</v>
      </c>
      <c r="E25" s="11" t="n">
        <f aca="false">E24+D25</f>
        <v>9564695</v>
      </c>
      <c r="F25" s="9" t="n">
        <f aca="false">COUNTIFS(Trades!$A$2:$A$2161,"GOLD",Trades!$B$2:$B$2161,"V1",Trades!$F$2:$F$2161,$A25)</f>
        <v>2</v>
      </c>
      <c r="G25" s="10" t="n">
        <f aca="false">IF(F25=0,"",COUNTIFS(Trades!$A$2:$A$2161,"GOLD",Trades!$B$2:$B$2161,"V1",Trades!$F$2:$F$2161,$A25,Trades!$M$2:$M$2161,1)/F25)</f>
        <v>0</v>
      </c>
      <c r="H25" s="11" t="n">
        <f aca="false">SUMIFS(Trades!$K$2:$K$2161,Trades!$A$2:$A$2161,"GOLD",Trades!$B$2:$B$2161,"V1",Trades!$F$2:$F$2161,$A25)</f>
        <v>-762014</v>
      </c>
      <c r="I25" s="11" t="n">
        <f aca="false">I24+H25</f>
        <v>7134101</v>
      </c>
      <c r="J25" s="9" t="n">
        <f aca="false">COUNTIFS(Trades!$A$2:$A$2161,"GOLD",Trades!$B$2:$B$2161,"W8",Trades!$F$2:$F$2161,$A25)</f>
        <v>2</v>
      </c>
      <c r="K25" s="10" t="n">
        <f aca="false">IF(J25=0,"",COUNTIFS(Trades!$A$2:$A$2161,"GOLD",Trades!$B$2:$B$2161,"W8",Trades!$F$2:$F$2161,$A25,Trades!$M$2:$M$2161,1)/J25)</f>
        <v>0</v>
      </c>
      <c r="L25" s="11" t="n">
        <f aca="false">SUMIFS(Trades!$K$2:$K$2161,Trades!$A$2:$A$2161,"GOLD",Trades!$B$2:$B$2161,"W8",Trades!$F$2:$F$2161,$A25)</f>
        <v>-762014</v>
      </c>
      <c r="M25" s="11" t="n">
        <f aca="false">M24+L25</f>
        <v>5560961</v>
      </c>
      <c r="N25" s="9" t="n">
        <f aca="false">COUNTIFS(Trades!$A$2:$A$2161,"GOLD",Trades!$B$2:$B$2161,"W8C",Trades!$F$2:$F$2161,$A25)</f>
        <v>1</v>
      </c>
      <c r="O25" s="10" t="n">
        <f aca="false">IF(N25=0,"",COUNTIFS(Trades!$A$2:$A$2161,"GOLD",Trades!$B$2:$B$2161,"W8C",Trades!$F$2:$F$2161,$A25,Trades!$M$2:$M$2161,1)/N25)</f>
        <v>0</v>
      </c>
      <c r="P25" s="11" t="n">
        <f aca="false">SUMIFS(Trades!$K$2:$K$2161,Trades!$A$2:$A$2161,"GOLD",Trades!$B$2:$B$2161,"W8C",Trades!$F$2:$F$2161,$A25)</f>
        <v>-295056</v>
      </c>
      <c r="Q25" s="11" t="n">
        <f aca="false">Q24+P25</f>
        <v>4234572</v>
      </c>
      <c r="R25" s="9" t="n">
        <f aca="false">COUNTIFS(Trades!$A$2:$A$2161,"GOLD",Trades!$B$2:$B$2161,"T6",Trades!$F$2:$F$2161,$A25)</f>
        <v>2</v>
      </c>
      <c r="S25" s="10" t="n">
        <f aca="false">IF(R25=0,"",COUNTIFS(Trades!$A$2:$A$2161,"GOLD",Trades!$B$2:$B$2161,"T6",Trades!$F$2:$F$2161,$A25,Trades!$M$2:$M$2161,1)/R25)</f>
        <v>1</v>
      </c>
      <c r="T25" s="11" t="n">
        <f aca="false">SUMIFS(Trades!$K$2:$K$2161,Trades!$A$2:$A$2161,"GOLD",Trades!$B$2:$B$2161,"T6",Trades!$F$2:$F$2161,$A25)</f>
        <v>77284</v>
      </c>
      <c r="U25" s="11" t="n">
        <f aca="false">U24+T25</f>
        <v>3186182</v>
      </c>
      <c r="V25" s="9" t="n">
        <f aca="false">COUNTIFS(Trades!$A$2:$A$2161,"GOLD",Trades!$B$2:$B$2161,"T7",Trades!$F$2:$F$2161,$A25)</f>
        <v>2</v>
      </c>
      <c r="W25" s="10" t="n">
        <f aca="false">IF(V25=0,"",COUNTIFS(Trades!$A$2:$A$2161,"GOLD",Trades!$B$2:$B$2161,"T7",Trades!$F$2:$F$2161,$A25,Trades!$M$2:$M$2161,1)/V25)</f>
        <v>1</v>
      </c>
      <c r="X25" s="11" t="n">
        <f aca="false">SUMIFS(Trades!$K$2:$K$2161,Trades!$A$2:$A$2161,"GOLD",Trades!$B$2:$B$2161,"T7",Trades!$F$2:$F$2161,$A25)</f>
        <v>159114</v>
      </c>
      <c r="Y25" s="11" t="n">
        <f aca="false">Y24+X25</f>
        <v>4137634</v>
      </c>
      <c r="Z25" s="9" t="n">
        <f aca="false">COUNTIFS(Trades!$A$2:$A$2161,"GOLD",Trades!$B$2:$B$2161,"U1",Trades!$F$2:$F$2161,$A25)</f>
        <v>6</v>
      </c>
      <c r="AA25" s="10" t="n">
        <f aca="false">IF(Z25=0,"",COUNTIFS(Trades!$A$2:$A$2161,"GOLD",Trades!$B$2:$B$2161,"U1",Trades!$F$2:$F$2161,$A25,Trades!$M$2:$M$2161,1)/Z25)</f>
        <v>0.5</v>
      </c>
      <c r="AB25" s="11" t="n">
        <f aca="false">SUMIFS(Trades!$K$2:$K$2161,Trades!$A$2:$A$2161,"GOLD",Trades!$B$2:$B$2161,"U1",Trades!$F$2:$F$2161,$A25)</f>
        <v>-465418</v>
      </c>
      <c r="AC25" s="11" t="n">
        <f aca="false">AC24+AB25</f>
        <v>4161445</v>
      </c>
      <c r="AD25" s="9" t="n">
        <f aca="false">COUNTIFS(Trades!$A$2:$A$2161,"GOLD",Trades!$B$2:$B$2161,"U9",Trades!$F$2:$F$2161,$A25)</f>
        <v>11</v>
      </c>
      <c r="AE25" s="10" t="n">
        <f aca="false">IF(AD25=0,"",COUNTIFS(Trades!$A$2:$A$2161,"GOLD",Trades!$B$2:$B$2161,"U9",Trades!$F$2:$F$2161,$A25,Trades!$M$2:$M$2161,1)/AD25)</f>
        <v>0.545454545454545</v>
      </c>
      <c r="AF25" s="11" t="n">
        <f aca="false">SUMIFS(Trades!$K$2:$K$2161,Trades!$A$2:$A$2161,"GOLD",Trades!$B$2:$B$2161,"U9",Trades!$F$2:$F$2161,$A25)</f>
        <v>55993</v>
      </c>
      <c r="AG25" s="11" t="n">
        <f aca="false">AG24+AF25</f>
        <v>4262195</v>
      </c>
      <c r="AH25" s="9" t="n">
        <f aca="false">COUNTIFS(Trades!$A$2:$A$2161,"GOLD",Trades!$B$2:$B$2161,"Q1",Trades!$F$2:$F$2161,$A25)</f>
        <v>13</v>
      </c>
      <c r="AI25" s="10" t="n">
        <f aca="false">IF(AH25=0,"",COUNTIFS(Trades!$A$2:$A$2161,"GOLD",Trades!$B$2:$B$2161,"Q1",Trades!$F$2:$F$2161,$A25,Trades!$M$2:$M$2161,1)/AH25)</f>
        <v>0.615384615384615</v>
      </c>
      <c r="AJ25" s="11" t="n">
        <f aca="false">SUMIFS(Trades!$K$2:$K$2161,Trades!$A$2:$A$2161,"GOLD",Trades!$B$2:$B$2161,"Q1",Trades!$F$2:$F$2161,$A25)</f>
        <v>-562167</v>
      </c>
      <c r="AK25" s="11" t="n">
        <f aca="false">AK24+AJ25</f>
        <v>4366899</v>
      </c>
    </row>
    <row r="27" customFormat="false" ht="15" hidden="false" customHeight="false" outlineLevel="0" collapsed="false">
      <c r="A27" s="30" t="s">
        <v>78</v>
      </c>
      <c r="B27" s="31" t="n">
        <f aca="false">SUMIFS(B$5:B$25,$A$5:$A$25,"&gt;="&amp;DATE(2025,1,1),$A$5:$A$25,"&lt;"&amp;DATE(2026,1,1))</f>
        <v>35</v>
      </c>
      <c r="C27" s="32" t="n">
        <f aca="false">IF(B27=0,"",COUNTIFS(Trades!$A$2:$A$2161,"GOLD",Trades!$B$2:$B$2161,"V0",Trades!$E$2:$E$2161,"&gt;="&amp;DATE(2025,1,1),Trades!$E$2:$E$2161,"&lt;"&amp;DATE(2026,1,1),Trades!$M$2:$M$2161,1)/B27)</f>
        <v>0.514285714285714</v>
      </c>
      <c r="D27" s="33" t="n">
        <f aca="false">SUMIFS(D$5:D$25,$A$5:$A$25,"&gt;="&amp;DATE(2025,1,1),$A$5:$A$25,"&lt;"&amp;DATE(2026,1,1))</f>
        <v>4038831</v>
      </c>
      <c r="E27" s="33"/>
      <c r="F27" s="31" t="n">
        <f aca="false">SUMIFS(F$5:F$25,$A$5:$A$25,"&gt;="&amp;DATE(2025,1,1),$A$5:$A$25,"&lt;"&amp;DATE(2026,1,1))</f>
        <v>17</v>
      </c>
      <c r="G27" s="32" t="n">
        <f aca="false">IF(F27=0,"",COUNTIFS(Trades!$A$2:$A$2161,"GOLD",Trades!$B$2:$B$2161,"V1",Trades!$E$2:$E$2161,"&gt;="&amp;DATE(2025,1,1),Trades!$E$2:$E$2161,"&lt;"&amp;DATE(2026,1,1),Trades!$M$2:$M$2161,1)/F27)</f>
        <v>0.705882352941177</v>
      </c>
      <c r="H27" s="33" t="n">
        <f aca="false">SUMIFS(H$5:H$25,$A$5:$A$25,"&gt;="&amp;DATE(2025,1,1),$A$5:$A$25,"&lt;"&amp;DATE(2026,1,1))</f>
        <v>4042473</v>
      </c>
      <c r="I27" s="33"/>
      <c r="J27" s="31" t="n">
        <f aca="false">SUMIFS(J$5:J$25,$A$5:$A$25,"&gt;="&amp;DATE(2025,1,1),$A$5:$A$25,"&lt;"&amp;DATE(2026,1,1))</f>
        <v>17</v>
      </c>
      <c r="K27" s="32" t="n">
        <f aca="false">IF(J27=0,"",COUNTIFS(Trades!$A$2:$A$2161,"GOLD",Trades!$B$2:$B$2161,"W8",Trades!$E$2:$E$2161,"&gt;="&amp;DATE(2025,1,1),Trades!$E$2:$E$2161,"&lt;"&amp;DATE(2026,1,1),Trades!$M$2:$M$2161,1)/J27)</f>
        <v>0.882352941176471</v>
      </c>
      <c r="L27" s="33" t="n">
        <f aca="false">SUMIFS(L$5:L$25,$A$5:$A$25,"&gt;="&amp;DATE(2025,1,1),$A$5:$A$25,"&lt;"&amp;DATE(2026,1,1))</f>
        <v>4313633</v>
      </c>
      <c r="M27" s="33"/>
      <c r="N27" s="31" t="n">
        <f aca="false">SUMIFS(N$5:N$25,$A$5:$A$25,"&gt;="&amp;DATE(2025,1,1),$A$5:$A$25,"&lt;"&amp;DATE(2026,1,1))</f>
        <v>11</v>
      </c>
      <c r="O27" s="32" t="n">
        <f aca="false">IF(N27=0,"",COUNTIFS(Trades!$A$2:$A$2161,"GOLD",Trades!$B$2:$B$2161,"W8C",Trades!$E$2:$E$2161,"&gt;="&amp;DATE(2025,1,1),Trades!$E$2:$E$2161,"&lt;"&amp;DATE(2026,1,1),Trades!$M$2:$M$2161,1)/N27)</f>
        <v>0.909090909090909</v>
      </c>
      <c r="P27" s="33" t="n">
        <f aca="false">SUMIFS(P$5:P$25,$A$5:$A$25,"&gt;="&amp;DATE(2025,1,1),$A$5:$A$25,"&lt;"&amp;DATE(2026,1,1))</f>
        <v>2135607</v>
      </c>
      <c r="Q27" s="33"/>
      <c r="R27" s="31" t="n">
        <f aca="false">SUMIFS(R$5:R$25,$A$5:$A$25,"&gt;="&amp;DATE(2025,1,1),$A$5:$A$25,"&lt;"&amp;DATE(2026,1,1))</f>
        <v>32</v>
      </c>
      <c r="S27" s="32" t="n">
        <f aca="false">IF(R27=0,"",COUNTIFS(Trades!$A$2:$A$2161,"GOLD",Trades!$B$2:$B$2161,"T6",Trades!$E$2:$E$2161,"&gt;="&amp;DATE(2025,1,1),Trades!$E$2:$E$2161,"&lt;"&amp;DATE(2026,1,1),Trades!$M$2:$M$2161,1)/R27)</f>
        <v>0.71875</v>
      </c>
      <c r="T27" s="33" t="n">
        <f aca="false">SUMIFS(T$5:T$25,$A$5:$A$25,"&gt;="&amp;DATE(2025,1,1),$A$5:$A$25,"&lt;"&amp;DATE(2026,1,1))</f>
        <v>2086070</v>
      </c>
      <c r="U27" s="33"/>
      <c r="V27" s="31" t="n">
        <f aca="false">SUMIFS(V$5:V$25,$A$5:$A$25,"&gt;="&amp;DATE(2025,1,1),$A$5:$A$25,"&lt;"&amp;DATE(2026,1,1))</f>
        <v>40</v>
      </c>
      <c r="W27" s="32" t="n">
        <f aca="false">IF(V27=0,"",COUNTIFS(Trades!$A$2:$A$2161,"GOLD",Trades!$B$2:$B$2161,"T7",Trades!$E$2:$E$2161,"&gt;="&amp;DATE(2025,1,1),Trades!$E$2:$E$2161,"&lt;"&amp;DATE(2026,1,1),Trades!$M$2:$M$2161,1)/V27)</f>
        <v>0.725</v>
      </c>
      <c r="X27" s="33" t="n">
        <f aca="false">SUMIFS(X$5:X$25,$A$5:$A$25,"&gt;="&amp;DATE(2025,1,1),$A$5:$A$25,"&lt;"&amp;DATE(2026,1,1))</f>
        <v>3290310</v>
      </c>
      <c r="Y27" s="33"/>
      <c r="Z27" s="31" t="n">
        <f aca="false">SUMIFS(Z$5:Z$25,$A$5:$A$25,"&gt;="&amp;DATE(2025,1,1),$A$5:$A$25,"&lt;"&amp;DATE(2026,1,1))</f>
        <v>69</v>
      </c>
      <c r="AA27" s="32" t="n">
        <f aca="false">IF(Z27=0,"",COUNTIFS(Trades!$A$2:$A$2161,"GOLD",Trades!$B$2:$B$2161,"U1",Trades!$E$2:$E$2161,"&gt;="&amp;DATE(2025,1,1),Trades!$E$2:$E$2161,"&lt;"&amp;DATE(2026,1,1),Trades!$M$2:$M$2161,1)/Z27)</f>
        <v>0.623188405797101</v>
      </c>
      <c r="AB27" s="33" t="n">
        <f aca="false">SUMIFS(AB$5:AB$25,$A$5:$A$25,"&gt;="&amp;DATE(2025,1,1),$A$5:$A$25,"&lt;"&amp;DATE(2026,1,1))</f>
        <v>1946780</v>
      </c>
      <c r="AC27" s="33"/>
      <c r="AD27" s="31" t="n">
        <f aca="false">SUMIFS(AD$5:AD$25,$A$5:$A$25,"&gt;="&amp;DATE(2025,1,1),$A$5:$A$25,"&lt;"&amp;DATE(2026,1,1))</f>
        <v>194</v>
      </c>
      <c r="AE27" s="32" t="n">
        <f aca="false">IF(AD27=0,"",COUNTIFS(Trades!$A$2:$A$2161,"GOLD",Trades!$B$2:$B$2161,"U9",Trades!$E$2:$E$2161,"&gt;="&amp;DATE(2025,1,1),Trades!$E$2:$E$2161,"&lt;"&amp;DATE(2026,1,1),Trades!$M$2:$M$2161,1)/AD27)</f>
        <v>0.577319587628866</v>
      </c>
      <c r="AF27" s="33" t="n">
        <f aca="false">SUMIFS(AF$5:AF$25,$A$5:$A$25,"&gt;="&amp;DATE(2025,1,1),$A$5:$A$25,"&lt;"&amp;DATE(2026,1,1))</f>
        <v>3134388</v>
      </c>
      <c r="AG27" s="33"/>
      <c r="AH27" s="31" t="n">
        <f aca="false">SUMIFS(AH$5:AH$25,$A$5:$A$25,"&gt;="&amp;DATE(2025,1,1),$A$5:$A$25,"&lt;"&amp;DATE(2026,1,1))</f>
        <v>186</v>
      </c>
      <c r="AI27" s="32" t="n">
        <f aca="false">IF(AH27=0,"",COUNTIFS(Trades!$A$2:$A$2161,"GOLD",Trades!$B$2:$B$2161,"Q1",Trades!$E$2:$E$2161,"&gt;="&amp;DATE(2025,1,1),Trades!$E$2:$E$2161,"&lt;"&amp;DATE(2026,1,1),Trades!$M$2:$M$2161,1)/AH27)</f>
        <v>0.709677419354839</v>
      </c>
      <c r="AJ27" s="33" t="n">
        <f aca="false">SUMIFS(AJ$5:AJ$25,$A$5:$A$25,"&gt;="&amp;DATE(2025,1,1),$A$5:$A$25,"&lt;"&amp;DATE(2026,1,1))</f>
        <v>2494829</v>
      </c>
      <c r="AK27" s="33"/>
    </row>
    <row r="28" customFormat="false" ht="15" hidden="false" customHeight="false" outlineLevel="0" collapsed="false">
      <c r="A28" s="30" t="s">
        <v>79</v>
      </c>
      <c r="B28" s="31" t="n">
        <f aca="false">SUMIFS(B$5:B$25,$A$5:$A$25,"&gt;="&amp;DATE(2026,1,1),$A$5:$A$25,"&lt;"&amp;DATE(2027,1,1))</f>
        <v>24</v>
      </c>
      <c r="C28" s="32" t="n">
        <f aca="false">IF(B28=0,"",COUNTIFS(Trades!$A$2:$A$2161,"GOLD",Trades!$B$2:$B$2161,"V0",Trades!$E$2:$E$2161,"&gt;="&amp;DATE(2026,1,1),Trades!$E$2:$E$2161,"&lt;"&amp;DATE(2027,1,1),Trades!$M$2:$M$2161,1)/B28)</f>
        <v>0.541666666666667</v>
      </c>
      <c r="D28" s="33" t="n">
        <f aca="false">SUMIFS(D$5:D$25,$A$5:$A$25,"&gt;="&amp;DATE(2026,1,1),$A$5:$A$25,"&lt;"&amp;DATE(2027,1,1))</f>
        <v>5525864</v>
      </c>
      <c r="E28" s="33"/>
      <c r="F28" s="31" t="n">
        <f aca="false">SUMIFS(F$5:F$25,$A$5:$A$25,"&gt;="&amp;DATE(2026,1,1),$A$5:$A$25,"&lt;"&amp;DATE(2027,1,1))</f>
        <v>11</v>
      </c>
      <c r="G28" s="32" t="n">
        <f aca="false">IF(F28=0,"",COUNTIFS(Trades!$A$2:$A$2161,"GOLD",Trades!$B$2:$B$2161,"V1",Trades!$E$2:$E$2161,"&gt;="&amp;DATE(2026,1,1),Trades!$E$2:$E$2161,"&lt;"&amp;DATE(2027,1,1),Trades!$M$2:$M$2161,1)/F28)</f>
        <v>0.545454545454545</v>
      </c>
      <c r="H28" s="33" t="n">
        <f aca="false">SUMIFS(H$5:H$25,$A$5:$A$25,"&gt;="&amp;DATE(2026,1,1),$A$5:$A$25,"&lt;"&amp;DATE(2027,1,1))</f>
        <v>3091628</v>
      </c>
      <c r="I28" s="33"/>
      <c r="J28" s="31" t="n">
        <f aca="false">SUMIFS(J$5:J$25,$A$5:$A$25,"&gt;="&amp;DATE(2026,1,1),$A$5:$A$25,"&lt;"&amp;DATE(2027,1,1))</f>
        <v>11</v>
      </c>
      <c r="K28" s="32" t="n">
        <f aca="false">IF(J28=0,"",COUNTIFS(Trades!$A$2:$A$2161,"GOLD",Trades!$B$2:$B$2161,"W8",Trades!$E$2:$E$2161,"&gt;="&amp;DATE(2026,1,1),Trades!$E$2:$E$2161,"&lt;"&amp;DATE(2027,1,1),Trades!$M$2:$M$2161,1)/J28)</f>
        <v>0.727272727272727</v>
      </c>
      <c r="L28" s="33" t="n">
        <f aca="false">SUMIFS(L$5:L$25,$A$5:$A$25,"&gt;="&amp;DATE(2026,1,1),$A$5:$A$25,"&lt;"&amp;DATE(2027,1,1))</f>
        <v>1247328</v>
      </c>
      <c r="M28" s="33"/>
      <c r="N28" s="31" t="n">
        <f aca="false">SUMIFS(N$5:N$25,$A$5:$A$25,"&gt;="&amp;DATE(2026,1,1),$A$5:$A$25,"&lt;"&amp;DATE(2027,1,1))</f>
        <v>7</v>
      </c>
      <c r="O28" s="32" t="n">
        <f aca="false">IF(N28=0,"",COUNTIFS(Trades!$A$2:$A$2161,"GOLD",Trades!$B$2:$B$2161,"W8C",Trades!$E$2:$E$2161,"&gt;="&amp;DATE(2026,1,1),Trades!$E$2:$E$2161,"&lt;"&amp;DATE(2027,1,1),Trades!$M$2:$M$2161,1)/N28)</f>
        <v>0.857142857142857</v>
      </c>
      <c r="P28" s="33" t="n">
        <f aca="false">SUMIFS(P$5:P$25,$A$5:$A$25,"&gt;="&amp;DATE(2026,1,1),$A$5:$A$25,"&lt;"&amp;DATE(2027,1,1))</f>
        <v>2098965</v>
      </c>
      <c r="Q28" s="33"/>
      <c r="R28" s="31" t="n">
        <f aca="false">SUMIFS(R$5:R$25,$A$5:$A$25,"&gt;="&amp;DATE(2026,1,1),$A$5:$A$25,"&lt;"&amp;DATE(2027,1,1))</f>
        <v>25</v>
      </c>
      <c r="S28" s="32" t="n">
        <f aca="false">IF(R28=0,"",COUNTIFS(Trades!$A$2:$A$2161,"GOLD",Trades!$B$2:$B$2161,"T6",Trades!$E$2:$E$2161,"&gt;="&amp;DATE(2026,1,1),Trades!$E$2:$E$2161,"&lt;"&amp;DATE(2027,1,1),Trades!$M$2:$M$2161,1)/R28)</f>
        <v>0.68</v>
      </c>
      <c r="T28" s="33" t="n">
        <f aca="false">SUMIFS(T$5:T$25,$A$5:$A$25,"&gt;="&amp;DATE(2026,1,1),$A$5:$A$25,"&lt;"&amp;DATE(2027,1,1))</f>
        <v>1100112</v>
      </c>
      <c r="U28" s="33"/>
      <c r="V28" s="31" t="n">
        <f aca="false">SUMIFS(V$5:V$25,$A$5:$A$25,"&gt;="&amp;DATE(2026,1,1),$A$5:$A$25,"&lt;"&amp;DATE(2027,1,1))</f>
        <v>35</v>
      </c>
      <c r="W28" s="32" t="n">
        <f aca="false">IF(V28=0,"",COUNTIFS(Trades!$A$2:$A$2161,"GOLD",Trades!$B$2:$B$2161,"T7",Trades!$E$2:$E$2161,"&gt;="&amp;DATE(2026,1,1),Trades!$E$2:$E$2161,"&lt;"&amp;DATE(2027,1,1),Trades!$M$2:$M$2161,1)/V28)</f>
        <v>0.6</v>
      </c>
      <c r="X28" s="33" t="n">
        <f aca="false">SUMIFS(X$5:X$25,$A$5:$A$25,"&gt;="&amp;DATE(2026,1,1),$A$5:$A$25,"&lt;"&amp;DATE(2027,1,1))</f>
        <v>847324</v>
      </c>
      <c r="Y28" s="33"/>
      <c r="Z28" s="31" t="n">
        <f aca="false">SUMIFS(Z$5:Z$25,$A$5:$A$25,"&gt;="&amp;DATE(2026,1,1),$A$5:$A$25,"&lt;"&amp;DATE(2027,1,1))</f>
        <v>54</v>
      </c>
      <c r="AA28" s="32" t="n">
        <f aca="false">IF(Z28=0,"",COUNTIFS(Trades!$A$2:$A$2161,"GOLD",Trades!$B$2:$B$2161,"U1",Trades!$E$2:$E$2161,"&gt;="&amp;DATE(2026,1,1),Trades!$E$2:$E$2161,"&lt;"&amp;DATE(2027,1,1),Trades!$M$2:$M$2161,1)/Z28)</f>
        <v>0.611111111111111</v>
      </c>
      <c r="AB28" s="33" t="n">
        <f aca="false">SUMIFS(AB$5:AB$25,$A$5:$A$25,"&gt;="&amp;DATE(2026,1,1),$A$5:$A$25,"&lt;"&amp;DATE(2027,1,1))</f>
        <v>2214665</v>
      </c>
      <c r="AC28" s="33"/>
      <c r="AD28" s="31" t="n">
        <f aca="false">SUMIFS(AD$5:AD$25,$A$5:$A$25,"&gt;="&amp;DATE(2026,1,1),$A$5:$A$25,"&lt;"&amp;DATE(2027,1,1))</f>
        <v>148</v>
      </c>
      <c r="AE28" s="32" t="n">
        <f aca="false">IF(AD28=0,"",COUNTIFS(Trades!$A$2:$A$2161,"GOLD",Trades!$B$2:$B$2161,"U9",Trades!$E$2:$E$2161,"&gt;="&amp;DATE(2026,1,1),Trades!$E$2:$E$2161,"&lt;"&amp;DATE(2027,1,1),Trades!$M$2:$M$2161,1)/AD28)</f>
        <v>0.581081081081081</v>
      </c>
      <c r="AF28" s="33" t="n">
        <f aca="false">SUMIFS(AF$5:AF$25,$A$5:$A$25,"&gt;="&amp;DATE(2026,1,1),$A$5:$A$25,"&lt;"&amp;DATE(2027,1,1))</f>
        <v>1127807</v>
      </c>
      <c r="AG28" s="33"/>
      <c r="AH28" s="31" t="n">
        <f aca="false">SUMIFS(AH$5:AH$25,$A$5:$A$25,"&gt;="&amp;DATE(2026,1,1),$A$5:$A$25,"&lt;"&amp;DATE(2027,1,1))</f>
        <v>158</v>
      </c>
      <c r="AI28" s="32" t="n">
        <f aca="false">IF(AH28=0,"",COUNTIFS(Trades!$A$2:$A$2161,"GOLD",Trades!$B$2:$B$2161,"Q1",Trades!$E$2:$E$2161,"&gt;="&amp;DATE(2026,1,1),Trades!$E$2:$E$2161,"&lt;"&amp;DATE(2027,1,1),Trades!$M$2:$M$2161,1)/AH28)</f>
        <v>0.727848101265823</v>
      </c>
      <c r="AJ28" s="33" t="n">
        <f aca="false">SUMIFS(AJ$5:AJ$25,$A$5:$A$25,"&gt;="&amp;DATE(2026,1,1),$A$5:$A$25,"&lt;"&amp;DATE(2027,1,1))</f>
        <v>1872070</v>
      </c>
      <c r="AK28" s="33"/>
    </row>
    <row r="29" customFormat="false" ht="15" hidden="false" customHeight="false" outlineLevel="0" collapsed="false">
      <c r="A29" s="30" t="s">
        <v>80</v>
      </c>
      <c r="B29" s="31" t="n">
        <f aca="false">SUMIFS(B$5:B$25,$A$5:$A$25,"&gt;="&amp;DATE(2025,1,1),$A$5:$A$25,"&lt;"&amp;DATE(2027,1,1))</f>
        <v>59</v>
      </c>
      <c r="C29" s="32" t="n">
        <f aca="false">IF(B29=0,"",COUNTIFS(Trades!$A$2:$A$2161,"GOLD",Trades!$B$2:$B$2161,"V0",Trades!$E$2:$E$2161,"&gt;="&amp;DATE(2025,1,1),Trades!$E$2:$E$2161,"&lt;"&amp;DATE(2027,1,1),Trades!$M$2:$M$2161,1)/B29)</f>
        <v>0.525423728813559</v>
      </c>
      <c r="D29" s="33" t="n">
        <f aca="false">SUMIFS(D$5:D$25,$A$5:$A$25,"&gt;="&amp;DATE(2025,1,1),$A$5:$A$25,"&lt;"&amp;DATE(2027,1,1))</f>
        <v>9564695</v>
      </c>
      <c r="E29" s="33"/>
      <c r="F29" s="31" t="n">
        <f aca="false">SUMIFS(F$5:F$25,$A$5:$A$25,"&gt;="&amp;DATE(2025,1,1),$A$5:$A$25,"&lt;"&amp;DATE(2027,1,1))</f>
        <v>28</v>
      </c>
      <c r="G29" s="32" t="n">
        <f aca="false">IF(F29=0,"",COUNTIFS(Trades!$A$2:$A$2161,"GOLD",Trades!$B$2:$B$2161,"V1",Trades!$E$2:$E$2161,"&gt;="&amp;DATE(2025,1,1),Trades!$E$2:$E$2161,"&lt;"&amp;DATE(2027,1,1),Trades!$M$2:$M$2161,1)/F29)</f>
        <v>0.642857142857143</v>
      </c>
      <c r="H29" s="33" t="n">
        <f aca="false">SUMIFS(H$5:H$25,$A$5:$A$25,"&gt;="&amp;DATE(2025,1,1),$A$5:$A$25,"&lt;"&amp;DATE(2027,1,1))</f>
        <v>7134101</v>
      </c>
      <c r="I29" s="33"/>
      <c r="J29" s="31" t="n">
        <f aca="false">SUMIFS(J$5:J$25,$A$5:$A$25,"&gt;="&amp;DATE(2025,1,1),$A$5:$A$25,"&lt;"&amp;DATE(2027,1,1))</f>
        <v>28</v>
      </c>
      <c r="K29" s="32" t="n">
        <f aca="false">IF(J29=0,"",COUNTIFS(Trades!$A$2:$A$2161,"GOLD",Trades!$B$2:$B$2161,"W8",Trades!$E$2:$E$2161,"&gt;="&amp;DATE(2025,1,1),Trades!$E$2:$E$2161,"&lt;"&amp;DATE(2027,1,1),Trades!$M$2:$M$2161,1)/J29)</f>
        <v>0.821428571428571</v>
      </c>
      <c r="L29" s="33" t="n">
        <f aca="false">SUMIFS(L$5:L$25,$A$5:$A$25,"&gt;="&amp;DATE(2025,1,1),$A$5:$A$25,"&lt;"&amp;DATE(2027,1,1))</f>
        <v>5560961</v>
      </c>
      <c r="M29" s="33"/>
      <c r="N29" s="31" t="n">
        <f aca="false">SUMIFS(N$5:N$25,$A$5:$A$25,"&gt;="&amp;DATE(2025,1,1),$A$5:$A$25,"&lt;"&amp;DATE(2027,1,1))</f>
        <v>18</v>
      </c>
      <c r="O29" s="32" t="n">
        <f aca="false">IF(N29=0,"",COUNTIFS(Trades!$A$2:$A$2161,"GOLD",Trades!$B$2:$B$2161,"W8C",Trades!$E$2:$E$2161,"&gt;="&amp;DATE(2025,1,1),Trades!$E$2:$E$2161,"&lt;"&amp;DATE(2027,1,1),Trades!$M$2:$M$2161,1)/N29)</f>
        <v>0.888888888888889</v>
      </c>
      <c r="P29" s="33" t="n">
        <f aca="false">SUMIFS(P$5:P$25,$A$5:$A$25,"&gt;="&amp;DATE(2025,1,1),$A$5:$A$25,"&lt;"&amp;DATE(2027,1,1))</f>
        <v>4234572</v>
      </c>
      <c r="Q29" s="33"/>
      <c r="R29" s="31" t="n">
        <f aca="false">SUMIFS(R$5:R$25,$A$5:$A$25,"&gt;="&amp;DATE(2025,1,1),$A$5:$A$25,"&lt;"&amp;DATE(2027,1,1))</f>
        <v>57</v>
      </c>
      <c r="S29" s="32" t="n">
        <f aca="false">IF(R29=0,"",COUNTIFS(Trades!$A$2:$A$2161,"GOLD",Trades!$B$2:$B$2161,"T6",Trades!$E$2:$E$2161,"&gt;="&amp;DATE(2025,1,1),Trades!$E$2:$E$2161,"&lt;"&amp;DATE(2027,1,1),Trades!$M$2:$M$2161,1)/R29)</f>
        <v>0.701754385964912</v>
      </c>
      <c r="T29" s="33" t="n">
        <f aca="false">SUMIFS(T$5:T$25,$A$5:$A$25,"&gt;="&amp;DATE(2025,1,1),$A$5:$A$25,"&lt;"&amp;DATE(2027,1,1))</f>
        <v>3186182</v>
      </c>
      <c r="U29" s="33"/>
      <c r="V29" s="31" t="n">
        <f aca="false">SUMIFS(V$5:V$25,$A$5:$A$25,"&gt;="&amp;DATE(2025,1,1),$A$5:$A$25,"&lt;"&amp;DATE(2027,1,1))</f>
        <v>75</v>
      </c>
      <c r="W29" s="32" t="n">
        <f aca="false">IF(V29=0,"",COUNTIFS(Trades!$A$2:$A$2161,"GOLD",Trades!$B$2:$B$2161,"T7",Trades!$E$2:$E$2161,"&gt;="&amp;DATE(2025,1,1),Trades!$E$2:$E$2161,"&lt;"&amp;DATE(2027,1,1),Trades!$M$2:$M$2161,1)/V29)</f>
        <v>0.666666666666667</v>
      </c>
      <c r="X29" s="33" t="n">
        <f aca="false">SUMIFS(X$5:X$25,$A$5:$A$25,"&gt;="&amp;DATE(2025,1,1),$A$5:$A$25,"&lt;"&amp;DATE(2027,1,1))</f>
        <v>4137634</v>
      </c>
      <c r="Y29" s="33"/>
      <c r="Z29" s="31" t="n">
        <f aca="false">SUMIFS(Z$5:Z$25,$A$5:$A$25,"&gt;="&amp;DATE(2025,1,1),$A$5:$A$25,"&lt;"&amp;DATE(2027,1,1))</f>
        <v>123</v>
      </c>
      <c r="AA29" s="32" t="n">
        <f aca="false">IF(Z29=0,"",COUNTIFS(Trades!$A$2:$A$2161,"GOLD",Trades!$B$2:$B$2161,"U1",Trades!$E$2:$E$2161,"&gt;="&amp;DATE(2025,1,1),Trades!$E$2:$E$2161,"&lt;"&amp;DATE(2027,1,1),Trades!$M$2:$M$2161,1)/Z29)</f>
        <v>0.617886178861789</v>
      </c>
      <c r="AB29" s="33" t="n">
        <f aca="false">SUMIFS(AB$5:AB$25,$A$5:$A$25,"&gt;="&amp;DATE(2025,1,1),$A$5:$A$25,"&lt;"&amp;DATE(2027,1,1))</f>
        <v>4161445</v>
      </c>
      <c r="AC29" s="33"/>
      <c r="AD29" s="31" t="n">
        <f aca="false">SUMIFS(AD$5:AD$25,$A$5:$A$25,"&gt;="&amp;DATE(2025,1,1),$A$5:$A$25,"&lt;"&amp;DATE(2027,1,1))</f>
        <v>342</v>
      </c>
      <c r="AE29" s="32" t="n">
        <f aca="false">IF(AD29=0,"",COUNTIFS(Trades!$A$2:$A$2161,"GOLD",Trades!$B$2:$B$2161,"U9",Trades!$E$2:$E$2161,"&gt;="&amp;DATE(2025,1,1),Trades!$E$2:$E$2161,"&lt;"&amp;DATE(2027,1,1),Trades!$M$2:$M$2161,1)/AD29)</f>
        <v>0.578947368421053</v>
      </c>
      <c r="AF29" s="33" t="n">
        <f aca="false">SUMIFS(AF$5:AF$25,$A$5:$A$25,"&gt;="&amp;DATE(2025,1,1),$A$5:$A$25,"&lt;"&amp;DATE(2027,1,1))</f>
        <v>4262195</v>
      </c>
      <c r="AG29" s="33"/>
      <c r="AH29" s="31" t="n">
        <f aca="false">SUMIFS(AH$5:AH$25,$A$5:$A$25,"&gt;="&amp;DATE(2025,1,1),$A$5:$A$25,"&lt;"&amp;DATE(2027,1,1))</f>
        <v>344</v>
      </c>
      <c r="AI29" s="32" t="n">
        <f aca="false">IF(AH29=0,"",COUNTIFS(Trades!$A$2:$A$2161,"GOLD",Trades!$B$2:$B$2161,"Q1",Trades!$E$2:$E$2161,"&gt;="&amp;DATE(2025,1,1),Trades!$E$2:$E$2161,"&lt;"&amp;DATE(2027,1,1),Trades!$M$2:$M$2161,1)/AH29)</f>
        <v>0.718023255813954</v>
      </c>
      <c r="AJ29" s="33" t="n">
        <f aca="false">SUMIFS(AJ$5:AJ$25,$A$5:$A$25,"&gt;="&amp;DATE(2025,1,1),$A$5:$A$25,"&lt;"&amp;DATE(2027,1,1))</f>
        <v>4366899</v>
      </c>
      <c r="AK29" s="33"/>
    </row>
  </sheetData>
  <mergeCells count="10">
    <mergeCell ref="A3:A4"/>
    <mergeCell ref="B3:E3"/>
    <mergeCell ref="F3:I3"/>
    <mergeCell ref="J3:M3"/>
    <mergeCell ref="N3:Q3"/>
    <mergeCell ref="R3:U3"/>
    <mergeCell ref="V3:Y3"/>
    <mergeCell ref="Z3:AC3"/>
    <mergeCell ref="AD3:AG3"/>
    <mergeCell ref="AH3:A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82</v>
      </c>
    </row>
    <row r="3" customFormat="false" ht="30" hidden="false" customHeight="true" outlineLevel="0" collapsed="false">
      <c r="A3" s="2" t="s">
        <v>83</v>
      </c>
      <c r="B3" s="34" t="s">
        <v>84</v>
      </c>
    </row>
    <row r="4" customFormat="false" ht="30" hidden="false" customHeight="true" outlineLevel="0" collapsed="false">
      <c r="A4" s="2" t="s">
        <v>85</v>
      </c>
      <c r="B4" s="34" t="s">
        <v>86</v>
      </c>
    </row>
    <row r="5" customFormat="false" ht="30" hidden="false" customHeight="true" outlineLevel="0" collapsed="false">
      <c r="A5" s="2" t="s">
        <v>87</v>
      </c>
      <c r="B5" s="34" t="s">
        <v>88</v>
      </c>
    </row>
    <row r="6" customFormat="false" ht="30" hidden="false" customHeight="true" outlineLevel="0" collapsed="false">
      <c r="A6" s="2" t="s">
        <v>27</v>
      </c>
      <c r="B6" s="34" t="s">
        <v>89</v>
      </c>
    </row>
    <row r="7" customFormat="false" ht="30" hidden="false" customHeight="true" outlineLevel="0" collapsed="false">
      <c r="A7" s="2" t="s">
        <v>29</v>
      </c>
      <c r="B7" s="34" t="s">
        <v>90</v>
      </c>
    </row>
    <row r="8" customFormat="false" ht="30" hidden="false" customHeight="true" outlineLevel="0" collapsed="false">
      <c r="A8" s="2" t="s">
        <v>31</v>
      </c>
      <c r="B8" s="34" t="s">
        <v>91</v>
      </c>
    </row>
    <row r="9" customFormat="false" ht="30" hidden="false" customHeight="true" outlineLevel="0" collapsed="false">
      <c r="A9" s="2" t="s">
        <v>33</v>
      </c>
      <c r="B9" s="34" t="s">
        <v>92</v>
      </c>
    </row>
    <row r="10" customFormat="false" ht="30" hidden="false" customHeight="true" outlineLevel="0" collapsed="false">
      <c r="A10" s="2" t="s">
        <v>35</v>
      </c>
      <c r="B10" s="34" t="s">
        <v>93</v>
      </c>
    </row>
    <row r="11" customFormat="false" ht="30" hidden="false" customHeight="true" outlineLevel="0" collapsed="false">
      <c r="A11" s="2" t="s">
        <v>37</v>
      </c>
      <c r="B11" s="34" t="s">
        <v>94</v>
      </c>
    </row>
    <row r="12" customFormat="false" ht="30" hidden="false" customHeight="true" outlineLevel="0" collapsed="false">
      <c r="A12" s="2" t="s">
        <v>39</v>
      </c>
      <c r="B12" s="34" t="s">
        <v>95</v>
      </c>
    </row>
    <row r="13" customFormat="false" ht="30" hidden="false" customHeight="true" outlineLevel="0" collapsed="false">
      <c r="A13" s="2" t="s">
        <v>41</v>
      </c>
      <c r="B13" s="34" t="s">
        <v>96</v>
      </c>
    </row>
    <row r="14" customFormat="false" ht="30" hidden="false" customHeight="true" outlineLevel="0" collapsed="false">
      <c r="A14" s="2" t="s">
        <v>43</v>
      </c>
      <c r="B14" s="34" t="s">
        <v>97</v>
      </c>
    </row>
    <row r="15" customFormat="false" ht="30" hidden="false" customHeight="true" outlineLevel="0" collapsed="false">
      <c r="A15" s="2" t="s">
        <v>98</v>
      </c>
      <c r="B15" s="34" t="s">
        <v>99</v>
      </c>
    </row>
    <row r="16" customFormat="false" ht="30" hidden="false" customHeight="true" outlineLevel="0" collapsed="false">
      <c r="A16" s="2" t="s">
        <v>100</v>
      </c>
      <c r="B16" s="34" t="s">
        <v>101</v>
      </c>
    </row>
    <row r="17" customFormat="false" ht="30" hidden="false" customHeight="true" outlineLevel="0" collapsed="false">
      <c r="A17" s="2" t="s">
        <v>102</v>
      </c>
      <c r="B17" s="34" t="s">
        <v>103</v>
      </c>
    </row>
    <row r="18" customFormat="false" ht="30" hidden="false" customHeight="true" outlineLevel="0" collapsed="false">
      <c r="A18" s="2" t="s">
        <v>104</v>
      </c>
      <c r="B18" s="34" t="s">
        <v>105</v>
      </c>
    </row>
    <row r="19" customFormat="false" ht="30" hidden="false" customHeight="true" outlineLevel="0" collapsed="false">
      <c r="A19" s="2" t="s">
        <v>106</v>
      </c>
      <c r="B19" s="34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2026-10-03T22:35:34Z</dcterms:created>
  <dc:creator>openpyxl</dc:creator>
  <dc:description/>
  <dc:language>en-US</dc:language>
  <cp:lastModifiedBy/>
  <dcterms:modified xsi:type="dcterms:W3CDTF">2026-10-03T22:35:39Z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