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rades" sheetId="2" state="visible" r:id="rId4"/>
    <sheet name="Silver Monthly" sheetId="3" state="visible" r:id="rId5"/>
    <sheet name="Gold Monthly" sheetId="4" state="visible" r:id="rId6"/>
    <sheet name="Notes" sheetId="5" state="visible" r:id="rId7"/>
  </sheets>
  <definedNames>
    <definedName function="false" hidden="true" localSheetId="1" name="_xlnm._FilterDatabase" vbProcedure="false">Trades!$A$1:$P$283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4" authorId="0">
      <text>
        <r>
          <rPr>
            <sz val="10"/>
            <rFont val="Arial"/>
            <family val="2"/>
          </rPr>
          <t xml:space="preserve">Number of standard lots per trade. All P&amp;L scales with this.</t>
        </r>
      </text>
    </comment>
    <comment ref="B5" authorId="0">
      <text>
        <r>
          <rPr>
            <sz val="10"/>
            <rFont val="Arial"/>
            <family val="2"/>
          </rPr>
          <t xml:space="preserve">MCX SILVER lot = 30 kg, quoted in ₹/kg.</t>
        </r>
      </text>
    </comment>
    <comment ref="B6" authorId="0">
      <text>
        <r>
          <rPr>
            <sz val="10"/>
            <rFont val="Arial"/>
            <family val="2"/>
          </rPr>
          <t xml:space="preserve">MCX GOLD lot = 1 kg, quoted in ₹/10 g.</t>
        </r>
      </text>
    </comment>
  </commentList>
</comments>
</file>

<file path=xl/sharedStrings.xml><?xml version="1.0" encoding="utf-8"?>
<sst xmlns="http://schemas.openxmlformats.org/spreadsheetml/2006/main" count="1271" uniqueCount="87">
  <si>
    <t xml:space="preserve">Swastika Signal (reconstructed) - backtest summary, MCX 1h, Jan 2025 - Sep 2026</t>
  </si>
  <si>
    <t xml:space="preserve">Inputs (edit the yellow cells)</t>
  </si>
  <si>
    <t xml:space="preserve">Lots per trade</t>
  </si>
  <si>
    <t xml:space="preserve">Number of standard lots per trade. All P&amp;L scales with this.</t>
  </si>
  <si>
    <t xml:space="preserve">Silver: ₹ per point per lot</t>
  </si>
  <si>
    <t xml:space="preserve">MCX SILVER lot = 30 kg, quoted in ₹/kg.</t>
  </si>
  <si>
    <t xml:space="preserve">Gold: ₹ per point per lot</t>
  </si>
  <si>
    <t xml:space="preserve">MCX GOLD lot = 1 kg, quoted in ₹/10 g.</t>
  </si>
  <si>
    <t xml:space="preserve">Results by strategy (all formulas)</t>
  </si>
  <si>
    <t xml:space="preserve">Metal</t>
  </si>
  <si>
    <t xml:space="preserve">Strategy</t>
  </si>
  <si>
    <t xml:space="preserve">Description</t>
  </si>
  <si>
    <t xml:space="preserve">Trades</t>
  </si>
  <si>
    <t xml:space="preserve">Wins</t>
  </si>
  <si>
    <t xml:space="preserve">Win %</t>
  </si>
  <si>
    <t xml:space="preserve">Net P&amp;L (₹)</t>
  </si>
  <si>
    <t xml:space="preserve">2025 net (₹)</t>
  </si>
  <si>
    <t xml:space="preserve">2026 net (₹)</t>
  </si>
  <si>
    <t xml:space="preserve">Avg win (₹)</t>
  </si>
  <si>
    <t xml:space="preserve">Avg loss (₹)</t>
  </si>
  <si>
    <t xml:space="preserve">Profit factor</t>
  </si>
  <si>
    <t xml:space="preserve">Max drawdown (₹)</t>
  </si>
  <si>
    <t xml:space="preserve">Profitable months %</t>
  </si>
  <si>
    <t xml:space="preserve">Best month (₹)</t>
  </si>
  <si>
    <t xml:space="preserve">Worst month (₹)</t>
  </si>
  <si>
    <t xml:space="preserve">SILVER</t>
  </si>
  <si>
    <t xml:space="preserve">V0</t>
  </si>
  <si>
    <t xml:space="preserve">Real Buy/Sell, always in</t>
  </si>
  <si>
    <t xml:space="preserve">V1</t>
  </si>
  <si>
    <t xml:space="preserve">Day filter</t>
  </si>
  <si>
    <t xml:space="preserve">W8</t>
  </si>
  <si>
    <t xml:space="preserve">Day filter + profit lock</t>
  </si>
  <si>
    <t xml:space="preserve">W8C</t>
  </si>
  <si>
    <t xml:space="preserve">Day + lock + 1-bar confirm</t>
  </si>
  <si>
    <t xml:space="preserve">GOLD</t>
  </si>
  <si>
    <t xml:space="preserve">Highlighted rows = recommended setup (Day filter + profit lock). W8C was chosen after seeing results and rests on 16-18 trades.</t>
  </si>
  <si>
    <t xml:space="preserve">Side</t>
  </si>
  <si>
    <t xml:space="preserve">Entry time</t>
  </si>
  <si>
    <t xml:space="preserve">Exit time</t>
  </si>
  <si>
    <t xml:space="preserve">Exit month</t>
  </si>
  <si>
    <t xml:space="preserve">Entry price</t>
  </si>
  <si>
    <t xml:space="preserve">Exit reason</t>
  </si>
  <si>
    <t xml:space="preserve">Net points / lot (after costs)</t>
  </si>
  <si>
    <t xml:space="preserve">Lots</t>
  </si>
  <si>
    <t xml:space="preserve">R multiple</t>
  </si>
  <si>
    <t xml:space="preserve">Win (1/0)</t>
  </si>
  <si>
    <t xml:space="preserve">Cumulative P&amp;L (₹)</t>
  </si>
  <si>
    <t xml:space="preserve">Peak (₹)</t>
  </si>
  <si>
    <t xml:space="preserve">Drawdown (₹)</t>
  </si>
  <si>
    <t xml:space="preserve">LONG</t>
  </si>
  <si>
    <t xml:space="preserve">flip</t>
  </si>
  <si>
    <t xml:space="preserve">SHORT</t>
  </si>
  <si>
    <t xml:space="preserve">end</t>
  </si>
  <si>
    <t xml:space="preserve">stop</t>
  </si>
  <si>
    <t xml:space="preserve">Silver - monthly backtest (P&amp;L booked in the month a trade closes)</t>
  </si>
  <si>
    <t xml:space="preserve">All figures are formulas over the Trades sheet; lot size comes from Summary!B4.</t>
  </si>
  <si>
    <t xml:space="preserve">Month</t>
  </si>
  <si>
    <t xml:space="preserve">V0: Real Buy/Sell, always in</t>
  </si>
  <si>
    <t xml:space="preserve">V1: Day filter</t>
  </si>
  <si>
    <t xml:space="preserve">W8: Day filter + profit lock</t>
  </si>
  <si>
    <t xml:space="preserve">W8C: Day + lock + 1-bar confirm</t>
  </si>
  <si>
    <t xml:space="preserve">Cumulative (₹)</t>
  </si>
  <si>
    <t xml:space="preserve">2025 total</t>
  </si>
  <si>
    <t xml:space="preserve">2026 total (to Sep)</t>
  </si>
  <si>
    <t xml:space="preserve">All months</t>
  </si>
  <si>
    <t xml:space="preserve">Gold - monthly backtest (P&amp;L booked in the month a trade closes)</t>
  </si>
  <si>
    <t xml:space="preserve">Method and assumptions</t>
  </si>
  <si>
    <t xml:space="preserve">Data</t>
  </si>
  <si>
    <t xml:space="preserve">MCX near-month futures, 1-minute bars, 1 Jan 2025 - 23 Sep 2026 (user-supplied CSVs). Contract rolls are back-adjusted by the roll gap (like TradingView B-ADJ).</t>
  </si>
  <si>
    <t xml:space="preserve">Signals</t>
  </si>
  <si>
    <t xml:space="preserve">Reconstructed Swastika Signal on 1h bars from 09:00: SuperTrend band ATR 20, inner x5 / outer x6. These settings reproduce all 9 real Buy/Sell labels on the user's SILVER1! screenshot (Jul-Sep 2026).</t>
  </si>
  <si>
    <t xml:space="preserve">Day row</t>
  </si>
  <si>
    <t xml:space="preserve">Direction of the same band on daily bars, using the previous finished day only (no look-ahead).</t>
  </si>
  <si>
    <t xml:space="preserve">Every Buy/Sell label, always in the market (stop-and-reverse).</t>
  </si>
  <si>
    <t xml:space="preserve">Take Buy/Sell only when the Day row agrees; exit on the opposite label; otherwise flat.</t>
  </si>
  <si>
    <t xml:space="preserve">V1 + once the trade is +0.5R in profit, move the stop to entry +0.1R. R = distance from entry to the outer band at entry. Checked minute by minute.</t>
  </si>
  <si>
    <t xml:space="preserve">W8 + wait one bar after the signal and enter only if the band held and the bar closed beyond the signal bar. Chosen after seeing results; small sample (16-18 trades per metal).</t>
  </si>
  <si>
    <t xml:space="preserve">Execution</t>
  </si>
  <si>
    <t xml:space="preserve">Signal on 1h close, fill at next bar's open. Stops fill at the stop price, or the minute's open if it gapped.</t>
  </si>
  <si>
    <t xml:space="preserve">Costs</t>
  </si>
  <si>
    <t xml:space="preserve">Already inside 'Net points / lot': 0.02% of notional per round trip + 5 ticks slippage per side, plus one extra round trip for every roll a position is held through.</t>
  </si>
  <si>
    <t xml:space="preserve">Monthly P&amp;L</t>
  </si>
  <si>
    <t xml:space="preserve">Booked in the month a trade closes. Open positions are not marked to market at month end.</t>
  </si>
  <si>
    <t xml:space="preserve">Caveats</t>
  </si>
  <si>
    <t xml:space="preserve">2025-26 was a strong trending period for both metals. Back-adjustment removes the overnight move on roll days. Past results do not guarantee future returns.</t>
  </si>
  <si>
    <t xml:space="preserve">Blue / green / black</t>
  </si>
  <si>
    <t xml:space="preserve">Blue = values from the simulation, green = link to the Summary inputs, black = formulas.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</si>
</sst>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;\-0;\-"/>
    <numFmt numFmtId="167" formatCode="0.0%;\-0.0%;\-"/>
    <numFmt numFmtId="168" formatCode="\₹#,##0;[RED]&quot;(₹&quot;#,##0\);\-"/>
    <numFmt numFmtId="169" formatCode="0.00"/>
    <numFmt numFmtId="170" formatCode="dd\-mmm\-yy\ hh:mm"/>
    <numFmt numFmtId="171" formatCode="mmm\-yyyy"/>
    <numFmt numFmtId="172" formatCode="#,##0.0;[RED]\-#,##0.0"/>
    <numFmt numFmtId="173" formatCode="0"/>
    <numFmt numFmtId="174" formatCode="0.00;[RED]\-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  <font>
      <sz val="10"/>
      <color rgb="FF00800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99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008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2F2F2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Silver - cumulative net P&amp;L by month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"V0 Real Buy/Sell, always in"</c:f>
              <c:strCache>
                <c:ptCount val="1"/>
                <c:pt idx="0">
                  <c:v>V0 Real Buy/Sell, always in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Monthly'!$E$5:$E$25</c:f>
              <c:numCache>
                <c:formatCode>\₹#,##0;[RED]"(₹"#,##0\);\-</c:formatCode>
                <c:ptCount val="21"/>
                <c:pt idx="0">
                  <c:v>-79423.2</c:v>
                </c:pt>
                <c:pt idx="1">
                  <c:v>-173286</c:v>
                </c:pt>
                <c:pt idx="2">
                  <c:v>-130751.4</c:v>
                </c:pt>
                <c:pt idx="3">
                  <c:v>94074.9</c:v>
                </c:pt>
                <c:pt idx="4">
                  <c:v>-144286.5</c:v>
                </c:pt>
                <c:pt idx="5">
                  <c:v>-35601.6</c:v>
                </c:pt>
                <c:pt idx="6">
                  <c:v>-81793.2</c:v>
                </c:pt>
                <c:pt idx="7">
                  <c:v>-20190.9</c:v>
                </c:pt>
                <c:pt idx="8">
                  <c:v>-15597.2999999999</c:v>
                </c:pt>
                <c:pt idx="9">
                  <c:v>807573</c:v>
                </c:pt>
                <c:pt idx="10">
                  <c:v>1025636.4</c:v>
                </c:pt>
                <c:pt idx="11">
                  <c:v>1718459.7</c:v>
                </c:pt>
                <c:pt idx="12">
                  <c:v>1632222</c:v>
                </c:pt>
                <c:pt idx="13">
                  <c:v>5064359.1</c:v>
                </c:pt>
                <c:pt idx="14">
                  <c:v>6047433.3</c:v>
                </c:pt>
                <c:pt idx="15">
                  <c:v>5252006.1</c:v>
                </c:pt>
                <c:pt idx="16">
                  <c:v>5306012.1</c:v>
                </c:pt>
                <c:pt idx="17">
                  <c:v>6420078.9</c:v>
                </c:pt>
                <c:pt idx="18">
                  <c:v>6625433.4</c:v>
                </c:pt>
                <c:pt idx="19">
                  <c:v>6618753.6</c:v>
                </c:pt>
                <c:pt idx="20">
                  <c:v>6378578.1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"V1 Day filter"</c:f>
              <c:strCache>
                <c:ptCount val="1"/>
                <c:pt idx="0">
                  <c:v>V1 Day filter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Monthly'!$I$5:$I$25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-92219.1</c:v>
                </c:pt>
                <c:pt idx="2">
                  <c:v>-101277.6</c:v>
                </c:pt>
                <c:pt idx="3">
                  <c:v>93386.1</c:v>
                </c:pt>
                <c:pt idx="4">
                  <c:v>-33748.2</c:v>
                </c:pt>
                <c:pt idx="5">
                  <c:v>-114077.4</c:v>
                </c:pt>
                <c:pt idx="6">
                  <c:v>-35233.5</c:v>
                </c:pt>
                <c:pt idx="7">
                  <c:v>-9568.49999999996</c:v>
                </c:pt>
                <c:pt idx="8">
                  <c:v>197642.1</c:v>
                </c:pt>
                <c:pt idx="9">
                  <c:v>891360.3</c:v>
                </c:pt>
                <c:pt idx="10">
                  <c:v>1162933.2</c:v>
                </c:pt>
                <c:pt idx="11">
                  <c:v>2697719.1</c:v>
                </c:pt>
                <c:pt idx="12">
                  <c:v>4500822</c:v>
                </c:pt>
                <c:pt idx="13">
                  <c:v>4500822</c:v>
                </c:pt>
                <c:pt idx="14">
                  <c:v>5358323.4</c:v>
                </c:pt>
                <c:pt idx="15">
                  <c:v>4829722.5</c:v>
                </c:pt>
                <c:pt idx="16">
                  <c:v>4453309.5</c:v>
                </c:pt>
                <c:pt idx="17">
                  <c:v>5877179.7</c:v>
                </c:pt>
                <c:pt idx="18">
                  <c:v>6085194.3</c:v>
                </c:pt>
                <c:pt idx="19">
                  <c:v>5739147.9</c:v>
                </c:pt>
                <c:pt idx="20">
                  <c:v>5793475.8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"W8 Day filter + profit lock"</c:f>
              <c:strCache>
                <c:ptCount val="1"/>
                <c:pt idx="0">
                  <c:v>W8 Day filter + profit lock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Monthly'!$M$5:$M$25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-92219.1</c:v>
                </c:pt>
                <c:pt idx="2">
                  <c:v>-70897.8</c:v>
                </c:pt>
                <c:pt idx="3">
                  <c:v>123765.9</c:v>
                </c:pt>
                <c:pt idx="4">
                  <c:v>43818</c:v>
                </c:pt>
                <c:pt idx="5">
                  <c:v>-36511.2</c:v>
                </c:pt>
                <c:pt idx="6">
                  <c:v>75070.8000000001</c:v>
                </c:pt>
                <c:pt idx="7">
                  <c:v>100735.8</c:v>
                </c:pt>
                <c:pt idx="8">
                  <c:v>348566.4</c:v>
                </c:pt>
                <c:pt idx="9">
                  <c:v>850978.5</c:v>
                </c:pt>
                <c:pt idx="10">
                  <c:v>1122551.4</c:v>
                </c:pt>
                <c:pt idx="11">
                  <c:v>2657337.3</c:v>
                </c:pt>
                <c:pt idx="12">
                  <c:v>4348685.7</c:v>
                </c:pt>
                <c:pt idx="13">
                  <c:v>4348685.7</c:v>
                </c:pt>
                <c:pt idx="14">
                  <c:v>4455248.4</c:v>
                </c:pt>
                <c:pt idx="15">
                  <c:v>3962100.9</c:v>
                </c:pt>
                <c:pt idx="16">
                  <c:v>3652027.2</c:v>
                </c:pt>
                <c:pt idx="17">
                  <c:v>5075897.4</c:v>
                </c:pt>
                <c:pt idx="18">
                  <c:v>5304717</c:v>
                </c:pt>
                <c:pt idx="19">
                  <c:v>5094555.6</c:v>
                </c:pt>
                <c:pt idx="20">
                  <c:v>5072715.3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"W8C Day + lock + 1-bar confirm"</c:f>
              <c:strCache>
                <c:ptCount val="1"/>
                <c:pt idx="0">
                  <c:v>W8C Day + lock + 1-bar confirm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'Silver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'Silver Monthly'!$Q$5:$Q$25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15062.4</c:v>
                </c:pt>
                <c:pt idx="3">
                  <c:v>15062.4</c:v>
                </c:pt>
                <c:pt idx="4">
                  <c:v>22298.4</c:v>
                </c:pt>
                <c:pt idx="5">
                  <c:v>22298.4</c:v>
                </c:pt>
                <c:pt idx="6">
                  <c:v>27854.4</c:v>
                </c:pt>
                <c:pt idx="7">
                  <c:v>27854.4</c:v>
                </c:pt>
                <c:pt idx="8">
                  <c:v>273028.2</c:v>
                </c:pt>
                <c:pt idx="9">
                  <c:v>273028.2</c:v>
                </c:pt>
                <c:pt idx="10">
                  <c:v>531909.9</c:v>
                </c:pt>
                <c:pt idx="11">
                  <c:v>1178374.8</c:v>
                </c:pt>
                <c:pt idx="12">
                  <c:v>2707383</c:v>
                </c:pt>
                <c:pt idx="13">
                  <c:v>2707383</c:v>
                </c:pt>
                <c:pt idx="14">
                  <c:v>2721801.3</c:v>
                </c:pt>
                <c:pt idx="15">
                  <c:v>2754183.3</c:v>
                </c:pt>
                <c:pt idx="16">
                  <c:v>2814296.1</c:v>
                </c:pt>
                <c:pt idx="17">
                  <c:v>3266768.4</c:v>
                </c:pt>
                <c:pt idx="18">
                  <c:v>3464943.9</c:v>
                </c:pt>
                <c:pt idx="19">
                  <c:v>3464943.9</c:v>
                </c:pt>
                <c:pt idx="20">
                  <c:v>3316208.4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1985162"/>
        <c:axId val="18376874"/>
      </c:lineChart>
      <c:catAx>
        <c:axId val="21985162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376874"/>
        <c:crosses val="autoZero"/>
        <c:auto val="1"/>
        <c:lblAlgn val="ctr"/>
        <c:lblOffset val="100"/>
        <c:noMultiLvlLbl val="0"/>
      </c:catAx>
      <c:valAx>
        <c:axId val="183768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1985162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Gold - cumulative net P&amp;L by month (₹)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"V0 Real Buy/Sell, always in"</c:f>
              <c:strCache>
                <c:ptCount val="1"/>
                <c:pt idx="0">
                  <c:v>V0 Real Buy/Sell, always in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Monthly'!$E$5:$E$25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482841</c:v>
                </c:pt>
                <c:pt idx="2">
                  <c:v>528839</c:v>
                </c:pt>
                <c:pt idx="3">
                  <c:v>1117304</c:v>
                </c:pt>
                <c:pt idx="4">
                  <c:v>1062830</c:v>
                </c:pt>
                <c:pt idx="5">
                  <c:v>856600</c:v>
                </c:pt>
                <c:pt idx="6">
                  <c:v>701023</c:v>
                </c:pt>
                <c:pt idx="7">
                  <c:v>885028</c:v>
                </c:pt>
                <c:pt idx="8">
                  <c:v>1577845</c:v>
                </c:pt>
                <c:pt idx="9">
                  <c:v>2560356</c:v>
                </c:pt>
                <c:pt idx="10">
                  <c:v>3070779</c:v>
                </c:pt>
                <c:pt idx="11">
                  <c:v>4038831</c:v>
                </c:pt>
                <c:pt idx="12">
                  <c:v>4136127</c:v>
                </c:pt>
                <c:pt idx="13">
                  <c:v>5304610</c:v>
                </c:pt>
                <c:pt idx="14">
                  <c:v>8028111</c:v>
                </c:pt>
                <c:pt idx="15">
                  <c:v>7235704</c:v>
                </c:pt>
                <c:pt idx="16">
                  <c:v>7894004</c:v>
                </c:pt>
                <c:pt idx="17">
                  <c:v>8336687</c:v>
                </c:pt>
                <c:pt idx="18">
                  <c:v>8775954</c:v>
                </c:pt>
                <c:pt idx="19">
                  <c:v>10197812</c:v>
                </c:pt>
                <c:pt idx="20">
                  <c:v>9564695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"V1 Day filter"</c:f>
              <c:strCache>
                <c:ptCount val="1"/>
                <c:pt idx="0">
                  <c:v>V1 Day filter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Monthly'!$I$5:$I$25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-104517</c:v>
                </c:pt>
                <c:pt idx="2">
                  <c:v>77151</c:v>
                </c:pt>
                <c:pt idx="3">
                  <c:v>768211</c:v>
                </c:pt>
                <c:pt idx="4">
                  <c:v>682730</c:v>
                </c:pt>
                <c:pt idx="5">
                  <c:v>691370</c:v>
                </c:pt>
                <c:pt idx="6">
                  <c:v>639616</c:v>
                </c:pt>
                <c:pt idx="7">
                  <c:v>797026</c:v>
                </c:pt>
                <c:pt idx="8">
                  <c:v>1667237</c:v>
                </c:pt>
                <c:pt idx="9">
                  <c:v>2965592</c:v>
                </c:pt>
                <c:pt idx="10">
                  <c:v>3074421</c:v>
                </c:pt>
                <c:pt idx="11">
                  <c:v>4042473</c:v>
                </c:pt>
                <c:pt idx="12">
                  <c:v>5236100</c:v>
                </c:pt>
                <c:pt idx="13">
                  <c:v>5236100</c:v>
                </c:pt>
                <c:pt idx="14">
                  <c:v>7231314</c:v>
                </c:pt>
                <c:pt idx="15">
                  <c:v>6625880</c:v>
                </c:pt>
                <c:pt idx="16">
                  <c:v>6625880</c:v>
                </c:pt>
                <c:pt idx="17">
                  <c:v>7300703</c:v>
                </c:pt>
                <c:pt idx="18">
                  <c:v>7896115</c:v>
                </c:pt>
                <c:pt idx="19">
                  <c:v>7896115</c:v>
                </c:pt>
                <c:pt idx="20">
                  <c:v>7134101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"W8 Day filter + profit lock"</c:f>
              <c:strCache>
                <c:ptCount val="1"/>
                <c:pt idx="0">
                  <c:v>W8 Day filter + profit lock</c:v>
                </c:pt>
              </c:strCache>
            </c:strRef>
          </c:tx>
          <c:spPr>
            <a:solidFill>
              <a:srgbClr val="98b855"/>
            </a:solidFill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Monthly'!$M$5:$M$25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-104517</c:v>
                </c:pt>
                <c:pt idx="2">
                  <c:v>77151</c:v>
                </c:pt>
                <c:pt idx="3">
                  <c:v>768211</c:v>
                </c:pt>
                <c:pt idx="4">
                  <c:v>894411</c:v>
                </c:pt>
                <c:pt idx="5">
                  <c:v>924437</c:v>
                </c:pt>
                <c:pt idx="6">
                  <c:v>910776</c:v>
                </c:pt>
                <c:pt idx="7">
                  <c:v>1068186</c:v>
                </c:pt>
                <c:pt idx="8">
                  <c:v>1938397</c:v>
                </c:pt>
                <c:pt idx="9">
                  <c:v>3236752</c:v>
                </c:pt>
                <c:pt idx="10">
                  <c:v>3345581</c:v>
                </c:pt>
                <c:pt idx="11">
                  <c:v>4313633</c:v>
                </c:pt>
                <c:pt idx="12">
                  <c:v>5501370</c:v>
                </c:pt>
                <c:pt idx="13">
                  <c:v>5501370</c:v>
                </c:pt>
                <c:pt idx="14">
                  <c:v>5555227</c:v>
                </c:pt>
                <c:pt idx="15">
                  <c:v>5011207</c:v>
                </c:pt>
                <c:pt idx="16">
                  <c:v>5011207</c:v>
                </c:pt>
                <c:pt idx="17">
                  <c:v>5686030</c:v>
                </c:pt>
                <c:pt idx="18">
                  <c:v>6322975</c:v>
                </c:pt>
                <c:pt idx="19">
                  <c:v>6322975</c:v>
                </c:pt>
                <c:pt idx="20">
                  <c:v>5560961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"W8C Day + lock + 1-bar confirm"</c:f>
              <c:strCache>
                <c:ptCount val="1"/>
                <c:pt idx="0">
                  <c:v>W8C Day + lock + 1-bar confirm</c:v>
                </c:pt>
              </c:strCache>
            </c:strRef>
          </c:tx>
          <c:spPr>
            <a:solidFill>
              <a:srgbClr val="7d5fa0"/>
            </a:solidFill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'Gold Monthly'!$A$5:$A$25</c:f>
              <c:strCache>
                <c:ptCount val="21"/>
                <c:pt idx="0">
                  <c:v>Jan-2025</c:v>
                </c:pt>
                <c:pt idx="1">
                  <c:v>Feb-2025</c:v>
                </c:pt>
                <c:pt idx="2">
                  <c:v>Mar-2025</c:v>
                </c:pt>
                <c:pt idx="3">
                  <c:v>Apr-2025</c:v>
                </c:pt>
                <c:pt idx="4">
                  <c:v>May-2025</c:v>
                </c:pt>
                <c:pt idx="5">
                  <c:v>Jun-2025</c:v>
                </c:pt>
                <c:pt idx="6">
                  <c:v>Jul-2025</c:v>
                </c:pt>
                <c:pt idx="7">
                  <c:v>Aug-2025</c:v>
                </c:pt>
                <c:pt idx="8">
                  <c:v>Sep-2025</c:v>
                </c:pt>
                <c:pt idx="9">
                  <c:v>Oct-2025</c:v>
                </c:pt>
                <c:pt idx="10">
                  <c:v>Nov-2025</c:v>
                </c:pt>
                <c:pt idx="11">
                  <c:v>Dec-2025</c:v>
                </c:pt>
                <c:pt idx="12">
                  <c:v>Jan-2026</c:v>
                </c:pt>
                <c:pt idx="13">
                  <c:v>Feb-2026</c:v>
                </c:pt>
                <c:pt idx="14">
                  <c:v>Mar-2026</c:v>
                </c:pt>
                <c:pt idx="15">
                  <c:v>Apr-2026</c:v>
                </c:pt>
                <c:pt idx="16">
                  <c:v>May-2026</c:v>
                </c:pt>
                <c:pt idx="17">
                  <c:v>Jun-2026</c:v>
                </c:pt>
                <c:pt idx="18">
                  <c:v>Jul-2026</c:v>
                </c:pt>
                <c:pt idx="19">
                  <c:v>Aug-2026</c:v>
                </c:pt>
                <c:pt idx="20">
                  <c:v>Sep-2026</c:v>
                </c:pt>
              </c:strCache>
            </c:strRef>
          </c:cat>
          <c:val>
            <c:numRef>
              <c:f>'Gold Monthly'!$Q$5:$Q$25</c:f>
              <c:numCache>
                <c:formatCode>\₹#,##0;[RED]"(₹"#,##0\);\-</c:formatCode>
                <c:ptCount val="21"/>
                <c:pt idx="0">
                  <c:v>0</c:v>
                </c:pt>
                <c:pt idx="1">
                  <c:v>-117018</c:v>
                </c:pt>
                <c:pt idx="2">
                  <c:v>21946</c:v>
                </c:pt>
                <c:pt idx="3">
                  <c:v>21946</c:v>
                </c:pt>
                <c:pt idx="4">
                  <c:v>144005</c:v>
                </c:pt>
                <c:pt idx="5">
                  <c:v>159759</c:v>
                </c:pt>
                <c:pt idx="6">
                  <c:v>218190</c:v>
                </c:pt>
                <c:pt idx="7">
                  <c:v>366099</c:v>
                </c:pt>
                <c:pt idx="8">
                  <c:v>1204507</c:v>
                </c:pt>
                <c:pt idx="9">
                  <c:v>2032279</c:v>
                </c:pt>
                <c:pt idx="10">
                  <c:v>2135607</c:v>
                </c:pt>
                <c:pt idx="11">
                  <c:v>2135607</c:v>
                </c:pt>
                <c:pt idx="12">
                  <c:v>3232924</c:v>
                </c:pt>
                <c:pt idx="13">
                  <c:v>3232924</c:v>
                </c:pt>
                <c:pt idx="14">
                  <c:v>3258354</c:v>
                </c:pt>
                <c:pt idx="15">
                  <c:v>3258354</c:v>
                </c:pt>
                <c:pt idx="16">
                  <c:v>3258354</c:v>
                </c:pt>
                <c:pt idx="17">
                  <c:v>3931677</c:v>
                </c:pt>
                <c:pt idx="18">
                  <c:v>4529628</c:v>
                </c:pt>
                <c:pt idx="19">
                  <c:v>4529628</c:v>
                </c:pt>
                <c:pt idx="20">
                  <c:v>4234572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11445441"/>
        <c:axId val="77175530"/>
      </c:lineChart>
      <c:catAx>
        <c:axId val="11445441"/>
        <c:scaling>
          <c:orientation val="minMax"/>
        </c:scaling>
        <c:delete val="0"/>
        <c:axPos val="b"/>
        <c:numFmt formatCode="mmm\-yy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7175530"/>
        <c:crosses val="autoZero"/>
        <c:auto val="1"/>
        <c:lblAlgn val="ctr"/>
        <c:lblOffset val="100"/>
        <c:noMultiLvlLbl val="0"/>
      </c:catAx>
      <c:valAx>
        <c:axId val="771755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₹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144544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160560</xdr:rowOff>
    </xdr:from>
    <xdr:to>
      <xdr:col>7</xdr:col>
      <xdr:colOff>105120</xdr:colOff>
      <xdr:row>47</xdr:row>
      <xdr:rowOff>161640</xdr:rowOff>
    </xdr:to>
    <xdr:graphicFrame>
      <xdr:nvGraphicFramePr>
        <xdr:cNvPr id="0" name="Chart 1"/>
        <xdr:cNvGraphicFramePr/>
      </xdr:nvGraphicFramePr>
      <xdr:xfrm>
        <a:off x="0" y="609588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30</xdr:row>
      <xdr:rowOff>160560</xdr:rowOff>
    </xdr:from>
    <xdr:to>
      <xdr:col>7</xdr:col>
      <xdr:colOff>105120</xdr:colOff>
      <xdr:row>47</xdr:row>
      <xdr:rowOff>161640</xdr:rowOff>
    </xdr:to>
    <xdr:graphicFrame>
      <xdr:nvGraphicFramePr>
        <xdr:cNvPr id="1" name="Chart 1"/>
        <xdr:cNvGraphicFramePr/>
      </xdr:nvGraphicFramePr>
      <xdr:xfrm>
        <a:off x="0" y="6095880"/>
        <a:ext cx="86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9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7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9" min="8" style="0" width="13"/>
    <col collapsed="false" customWidth="true" hidden="false" outlineLevel="0" max="11" min="10" style="0" width="12"/>
    <col collapsed="false" customWidth="true" hidden="false" outlineLevel="0" max="12" min="12" style="0" width="10"/>
    <col collapsed="false" customWidth="true" hidden="false" outlineLevel="0" max="13" min="13" style="0" width="15"/>
    <col collapsed="false" customWidth="true" hidden="false" outlineLevel="0" max="14" min="14" style="0" width="11"/>
    <col collapsed="false" customWidth="true" hidden="false" outlineLevel="0" max="16" min="15" style="0" width="13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  <c r="B4" s="4" t="n">
        <v>1</v>
      </c>
      <c r="C4" s="5" t="s">
        <v>3</v>
      </c>
    </row>
    <row r="5" customFormat="false" ht="15" hidden="false" customHeight="false" outlineLevel="0" collapsed="false">
      <c r="A5" s="3" t="s">
        <v>4</v>
      </c>
      <c r="B5" s="4" t="n">
        <v>30</v>
      </c>
      <c r="C5" s="5" t="s">
        <v>5</v>
      </c>
    </row>
    <row r="6" customFormat="false" ht="15" hidden="false" customHeight="false" outlineLevel="0" collapsed="false">
      <c r="A6" s="3" t="s">
        <v>6</v>
      </c>
      <c r="B6" s="4" t="n">
        <v>100</v>
      </c>
      <c r="C6" s="5" t="s">
        <v>7</v>
      </c>
    </row>
    <row r="8" customFormat="false" ht="15" hidden="false" customHeight="false" outlineLevel="0" collapsed="false">
      <c r="A8" s="2" t="s">
        <v>8</v>
      </c>
    </row>
    <row r="9" customFormat="false" ht="31.5" hidden="false" customHeight="true" outlineLevel="0" collapsed="false">
      <c r="A9" s="6" t="s">
        <v>9</v>
      </c>
      <c r="B9" s="6" t="s">
        <v>10</v>
      </c>
      <c r="C9" s="6" t="s">
        <v>11</v>
      </c>
      <c r="D9" s="6" t="s">
        <v>12</v>
      </c>
      <c r="E9" s="6" t="s">
        <v>13</v>
      </c>
      <c r="F9" s="6" t="s">
        <v>14</v>
      </c>
      <c r="G9" s="6" t="s">
        <v>15</v>
      </c>
      <c r="H9" s="6" t="s">
        <v>16</v>
      </c>
      <c r="I9" s="6" t="s">
        <v>17</v>
      </c>
      <c r="J9" s="6" t="s">
        <v>18</v>
      </c>
      <c r="K9" s="6" t="s">
        <v>19</v>
      </c>
      <c r="L9" s="6" t="s">
        <v>20</v>
      </c>
      <c r="M9" s="6" t="s">
        <v>21</v>
      </c>
      <c r="N9" s="6" t="s">
        <v>22</v>
      </c>
      <c r="O9" s="6" t="s">
        <v>23</v>
      </c>
      <c r="P9" s="6" t="s">
        <v>24</v>
      </c>
    </row>
    <row r="10" customFormat="false" ht="15" hidden="false" customHeight="false" outlineLevel="0" collapsed="false">
      <c r="A10" s="7" t="s">
        <v>25</v>
      </c>
      <c r="B10" s="7" t="s">
        <v>26</v>
      </c>
      <c r="C10" s="8" t="s">
        <v>27</v>
      </c>
      <c r="D10" s="9" t="n">
        <f aca="false">COUNTIFS(Trades!$A$2:$A$283,A10,Trades!$B$2:$B$283,B10)</f>
        <v>69</v>
      </c>
      <c r="E10" s="9" t="n">
        <f aca="false">COUNTIFS(Trades!$A$2:$A$283,A10,Trades!$B$2:$B$283,B10,Trades!$M$2:$M$283,1)</f>
        <v>33</v>
      </c>
      <c r="F10" s="10" t="n">
        <f aca="false">IF(D10=0,"",E10/D10)</f>
        <v>0.478260869565217</v>
      </c>
      <c r="G10" s="11" t="n">
        <f aca="false">SUMIFS(Trades!$K$2:$K$283,Trades!$A$2:$A$283,A10,Trades!$B$2:$B$283,B10)</f>
        <v>6378578.1</v>
      </c>
      <c r="H10" s="11" t="n">
        <f aca="false">SUMIFS(Trades!$K$2:$K$283,Trades!$A$2:$A$283,A10,Trades!$B$2:$B$283,B10,Trades!$E$2:$E$283,"&gt;="&amp;DATE(2025,1,1),Trades!$E$2:$E$283,"&lt;"&amp;DATE(2026,1,1))</f>
        <v>1718459.7</v>
      </c>
      <c r="I10" s="11" t="n">
        <f aca="false">SUMIFS(Trades!$K$2:$K$283,Trades!$A$2:$A$283,A10,Trades!$B$2:$B$283,B10,Trades!$E$2:$E$283,"&gt;="&amp;DATE(2026,1,1))</f>
        <v>4660118.4</v>
      </c>
      <c r="J10" s="11" t="n">
        <f aca="false">IFERROR(AVERAGEIFS(Trades!$K$2:$K$283,Trades!$A$2:$A$283,A10,Trades!$B$2:$B$283,B10,Trades!$K$2:$K$283,"&gt;0"),0)</f>
        <v>406739.045454545</v>
      </c>
      <c r="K10" s="11" t="n">
        <f aca="false">IFERROR(AVERAGEIFS(Trades!$K$2:$K$283,Trades!$A$2:$A$283,A10,Trades!$B$2:$B$283,B10,Trades!$K$2:$K$283,"&lt;=0"),0)</f>
        <v>-195661.4</v>
      </c>
      <c r="L10" s="12" t="n">
        <f aca="false">IFERROR(SUMIFS(Trades!$K$2:$K$283,Trades!$A$2:$A$283,A10,Trades!$B$2:$B$283,B10,Trades!$K$2:$K$283,"&gt;0")/-SUMIFS(Trades!$K$2:$K$283,Trades!$A$2:$A$283,A10,Trades!$B$2:$B$283,B10,Trades!$K$2:$K$283,"&lt;=0"),"no losses")</f>
        <v>1.90555789235894</v>
      </c>
      <c r="M10" s="11" t="n">
        <f aca="false">_xlfn.MINIFS(Trades!$P$2:$P$283,Trades!$A$2:$A$283,A10,Trades!$B$2:$B$283,B10)</f>
        <v>-1535198.1</v>
      </c>
      <c r="N10" s="10" t="n">
        <f aca="false">IFERROR(COUNTIF('Silver Monthly'!D$5:D$25,"&gt;0")/COUNTIF('Silver Monthly'!B$5:B$25,"&gt;0"),"")</f>
        <v>0.619047619047619</v>
      </c>
      <c r="O10" s="11" t="n">
        <f aca="false">MAX('Silver Monthly'!D$5:D$25)</f>
        <v>3432137.1</v>
      </c>
      <c r="P10" s="11" t="n">
        <f aca="false">MIN('Silver Monthly'!D$5:D$25)</f>
        <v>-795427.2</v>
      </c>
    </row>
    <row r="11" customFormat="false" ht="15" hidden="false" customHeight="false" outlineLevel="0" collapsed="false">
      <c r="A11" s="7" t="s">
        <v>25</v>
      </c>
      <c r="B11" s="7" t="s">
        <v>28</v>
      </c>
      <c r="C11" s="8" t="s">
        <v>29</v>
      </c>
      <c r="D11" s="9" t="n">
        <f aca="false">COUNTIFS(Trades!$A$2:$A$283,A11,Trades!$B$2:$B$283,B11)</f>
        <v>32</v>
      </c>
      <c r="E11" s="9" t="n">
        <f aca="false">COUNTIFS(Trades!$A$2:$A$283,A11,Trades!$B$2:$B$283,B11,Trades!$M$2:$M$283,1)</f>
        <v>19</v>
      </c>
      <c r="F11" s="10" t="n">
        <f aca="false">IF(D11=0,"",E11/D11)</f>
        <v>0.59375</v>
      </c>
      <c r="G11" s="11" t="n">
        <f aca="false">SUMIFS(Trades!$K$2:$K$283,Trades!$A$2:$A$283,A11,Trades!$B$2:$B$283,B11)</f>
        <v>5793475.8</v>
      </c>
      <c r="H11" s="11" t="n">
        <f aca="false">SUMIFS(Trades!$K$2:$K$283,Trades!$A$2:$A$283,A11,Trades!$B$2:$B$283,B11,Trades!$E$2:$E$283,"&gt;="&amp;DATE(2025,1,1),Trades!$E$2:$E$283,"&lt;"&amp;DATE(2026,1,1))</f>
        <v>2697719.1</v>
      </c>
      <c r="I11" s="11" t="n">
        <f aca="false">SUMIFS(Trades!$K$2:$K$283,Trades!$A$2:$A$283,A11,Trades!$B$2:$B$283,B11,Trades!$E$2:$E$283,"&gt;="&amp;DATE(2026,1,1))</f>
        <v>3095756.7</v>
      </c>
      <c r="J11" s="11" t="n">
        <f aca="false">IFERROR(AVERAGEIFS(Trades!$K$2:$K$283,Trades!$A$2:$A$283,A11,Trades!$B$2:$B$283,B11,Trades!$K$2:$K$283,"&gt;0"),0)</f>
        <v>398927.305263158</v>
      </c>
      <c r="K11" s="11" t="n">
        <f aca="false">IFERROR(AVERAGEIFS(Trades!$K$2:$K$283,Trades!$A$2:$A$283,A11,Trades!$B$2:$B$283,B11,Trades!$K$2:$K$283,"&lt;=0"),0)</f>
        <v>-137395.615384615</v>
      </c>
      <c r="L11" s="12" t="n">
        <f aca="false">IFERROR(SUMIFS(Trades!$K$2:$K$283,Trades!$A$2:$A$283,A11,Trades!$B$2:$B$283,B11,Trades!$K$2:$K$283,"&gt;0")/-SUMIFS(Trades!$K$2:$K$283,Trades!$A$2:$A$283,A11,Trades!$B$2:$B$283,B11,Trades!$K$2:$K$283,"&lt;=0"),"no losses")</f>
        <v>4.24356773225884</v>
      </c>
      <c r="M11" s="11" t="n">
        <f aca="false">_xlfn.MINIFS(Trades!$P$2:$P$283,Trades!$A$2:$A$283,A11,Trades!$B$2:$B$283,B11)</f>
        <v>-905013.9</v>
      </c>
      <c r="N11" s="10" t="n">
        <f aca="false">IFERROR(COUNTIF('Silver Monthly'!H$5:H$25,"&gt;0")/COUNTIF('Silver Monthly'!F$5:F$25,"&gt;0"),"")</f>
        <v>0.631578947368421</v>
      </c>
      <c r="O11" s="11" t="n">
        <f aca="false">MAX('Silver Monthly'!H$5:H$25)</f>
        <v>1803102.9</v>
      </c>
      <c r="P11" s="11" t="n">
        <f aca="false">MIN('Silver Monthly'!H$5:H$25)</f>
        <v>-528600.9</v>
      </c>
    </row>
    <row r="12" customFormat="false" ht="15" hidden="false" customHeight="false" outlineLevel="0" collapsed="false">
      <c r="A12" s="13" t="s">
        <v>25</v>
      </c>
      <c r="B12" s="13" t="s">
        <v>30</v>
      </c>
      <c r="C12" s="14" t="s">
        <v>31</v>
      </c>
      <c r="D12" s="15" t="n">
        <f aca="false">COUNTIFS(Trades!$A$2:$A$283,A12,Trades!$B$2:$B$283,B12)</f>
        <v>32</v>
      </c>
      <c r="E12" s="15" t="n">
        <f aca="false">COUNTIFS(Trades!$A$2:$A$283,A12,Trades!$B$2:$B$283,B12,Trades!$M$2:$M$283,1)</f>
        <v>25</v>
      </c>
      <c r="F12" s="16" t="n">
        <f aca="false">IF(D12=0,"",E12/D12)</f>
        <v>0.78125</v>
      </c>
      <c r="G12" s="17" t="n">
        <f aca="false">SUMIFS(Trades!$K$2:$K$283,Trades!$A$2:$A$283,A12,Trades!$B$2:$B$283,B12)</f>
        <v>5072715.3</v>
      </c>
      <c r="H12" s="17" t="n">
        <f aca="false">SUMIFS(Trades!$K$2:$K$283,Trades!$A$2:$A$283,A12,Trades!$B$2:$B$283,B12,Trades!$E$2:$E$283,"&gt;="&amp;DATE(2025,1,1),Trades!$E$2:$E$283,"&lt;"&amp;DATE(2026,1,1))</f>
        <v>2657337.3</v>
      </c>
      <c r="I12" s="17" t="n">
        <f aca="false">SUMIFS(Trades!$K$2:$K$283,Trades!$A$2:$A$283,A12,Trades!$B$2:$B$283,B12,Trades!$E$2:$E$283,"&gt;="&amp;DATE(2026,1,1))</f>
        <v>2415378</v>
      </c>
      <c r="J12" s="17" t="n">
        <f aca="false">IFERROR(AVERAGEIFS(Trades!$K$2:$K$283,Trades!$A$2:$A$283,A12,Trades!$B$2:$B$283,B12,Trades!$K$2:$K$283,"&gt;0"),0)</f>
        <v>256761.048</v>
      </c>
      <c r="K12" s="17" t="n">
        <f aca="false">IFERROR(AVERAGEIFS(Trades!$K$2:$K$283,Trades!$A$2:$A$283,A12,Trades!$B$2:$B$283,B12,Trades!$K$2:$K$283,"&lt;=0"),0)</f>
        <v>-192330.128571429</v>
      </c>
      <c r="L12" s="18" t="n">
        <f aca="false">IFERROR(SUMIFS(Trades!$K$2:$K$283,Trades!$A$2:$A$283,A12,Trades!$B$2:$B$283,B12,Trades!$K$2:$K$283,"&gt;0")/-SUMIFS(Trades!$K$2:$K$283,Trades!$A$2:$A$283,A12,Trades!$B$2:$B$283,B12,Trades!$K$2:$K$283,"&lt;=0"),"no losses")</f>
        <v>4.76786320306847</v>
      </c>
      <c r="M12" s="17" t="n">
        <f aca="false">_xlfn.MINIFS(Trades!$P$2:$P$283,Trades!$A$2:$A$283,A12,Trades!$B$2:$B$283,B12)</f>
        <v>-803221.2</v>
      </c>
      <c r="N12" s="16" t="n">
        <f aca="false">IFERROR(COUNTIF('Silver Monthly'!L$5:L$25,"&gt;0")/COUNTIF('Silver Monthly'!J$5:J$25,"&gt;0"),"")</f>
        <v>0.631578947368421</v>
      </c>
      <c r="O12" s="17" t="n">
        <f aca="false">MAX('Silver Monthly'!L$5:L$25)</f>
        <v>1691348.4</v>
      </c>
      <c r="P12" s="17" t="n">
        <f aca="false">MIN('Silver Monthly'!L$5:L$25)</f>
        <v>-493147.5</v>
      </c>
    </row>
    <row r="13" customFormat="false" ht="15" hidden="false" customHeight="false" outlineLevel="0" collapsed="false">
      <c r="A13" s="7" t="s">
        <v>25</v>
      </c>
      <c r="B13" s="7" t="s">
        <v>32</v>
      </c>
      <c r="C13" s="8" t="s">
        <v>33</v>
      </c>
      <c r="D13" s="9" t="n">
        <f aca="false">COUNTIFS(Trades!$A$2:$A$283,A13,Trades!$B$2:$B$283,B13)</f>
        <v>16</v>
      </c>
      <c r="E13" s="9" t="n">
        <f aca="false">COUNTIFS(Trades!$A$2:$A$283,A13,Trades!$B$2:$B$283,B13,Trades!$M$2:$M$283,1)</f>
        <v>15</v>
      </c>
      <c r="F13" s="10" t="n">
        <f aca="false">IF(D13=0,"",E13/D13)</f>
        <v>0.9375</v>
      </c>
      <c r="G13" s="11" t="n">
        <f aca="false">SUMIFS(Trades!$K$2:$K$283,Trades!$A$2:$A$283,A13,Trades!$B$2:$B$283,B13)</f>
        <v>3316208.4</v>
      </c>
      <c r="H13" s="11" t="n">
        <f aca="false">SUMIFS(Trades!$K$2:$K$283,Trades!$A$2:$A$283,A13,Trades!$B$2:$B$283,B13,Trades!$E$2:$E$283,"&gt;="&amp;DATE(2025,1,1),Trades!$E$2:$E$283,"&lt;"&amp;DATE(2026,1,1))</f>
        <v>1178374.8</v>
      </c>
      <c r="I13" s="11" t="n">
        <f aca="false">SUMIFS(Trades!$K$2:$K$283,Trades!$A$2:$A$283,A13,Trades!$B$2:$B$283,B13,Trades!$E$2:$E$283,"&gt;="&amp;DATE(2026,1,1))</f>
        <v>2137833.6</v>
      </c>
      <c r="J13" s="11" t="n">
        <f aca="false">IFERROR(AVERAGEIFS(Trades!$K$2:$K$283,Trades!$A$2:$A$283,A13,Trades!$B$2:$B$283,B13,Trades!$K$2:$K$283,"&gt;0"),0)</f>
        <v>232949.48</v>
      </c>
      <c r="K13" s="11" t="n">
        <f aca="false">IFERROR(AVERAGEIFS(Trades!$K$2:$K$283,Trades!$A$2:$A$283,A13,Trades!$B$2:$B$283,B13,Trades!$K$2:$K$283,"&lt;=0"),0)</f>
        <v>-178033.8</v>
      </c>
      <c r="L13" s="12" t="n">
        <f aca="false">IFERROR(SUMIFS(Trades!$K$2:$K$283,Trades!$A$2:$A$283,A13,Trades!$B$2:$B$283,B13,Trades!$K$2:$K$283,"&gt;0")/-SUMIFS(Trades!$K$2:$K$283,Trades!$A$2:$A$283,A13,Trades!$B$2:$B$283,B13,Trades!$K$2:$K$283,"&lt;=0"),"no losses")</f>
        <v>19.6268472615874</v>
      </c>
      <c r="M13" s="11" t="n">
        <f aca="false">_xlfn.MINIFS(Trades!$P$2:$P$283,Trades!$A$2:$A$283,A13,Trades!$B$2:$B$283,B13)</f>
        <v>-178033.8</v>
      </c>
      <c r="N13" s="10" t="n">
        <f aca="false">IFERROR(COUNTIF('Silver Monthly'!P$5:P$25,"&gt;0")/COUNTIF('Silver Monthly'!N$5:N$25,"&gt;0"),"")</f>
        <v>0.923076923076923</v>
      </c>
      <c r="O13" s="11" t="n">
        <f aca="false">MAX('Silver Monthly'!P$5:P$25)</f>
        <v>1529008.2</v>
      </c>
      <c r="P13" s="11" t="n">
        <f aca="false">MIN('Silver Monthly'!P$5:P$25)</f>
        <v>-148735.5</v>
      </c>
    </row>
    <row r="14" customFormat="false" ht="15" hidden="false" customHeight="false" outlineLevel="0" collapsed="false">
      <c r="A14" s="7" t="s">
        <v>34</v>
      </c>
      <c r="B14" s="7" t="s">
        <v>26</v>
      </c>
      <c r="C14" s="8" t="s">
        <v>27</v>
      </c>
      <c r="D14" s="9" t="n">
        <f aca="false">COUNTIFS(Trades!$A$2:$A$283,A14,Trades!$B$2:$B$283,B14)</f>
        <v>59</v>
      </c>
      <c r="E14" s="9" t="n">
        <f aca="false">COUNTIFS(Trades!$A$2:$A$283,A14,Trades!$B$2:$B$283,B14,Trades!$M$2:$M$283,1)</f>
        <v>31</v>
      </c>
      <c r="F14" s="10" t="n">
        <f aca="false">IF(D14=0,"",E14/D14)</f>
        <v>0.525423728813559</v>
      </c>
      <c r="G14" s="11" t="n">
        <f aca="false">SUMIFS(Trades!$K$2:$K$283,Trades!$A$2:$A$283,A14,Trades!$B$2:$B$283,B14)</f>
        <v>9564695</v>
      </c>
      <c r="H14" s="11" t="n">
        <f aca="false">SUMIFS(Trades!$K$2:$K$283,Trades!$A$2:$A$283,A14,Trades!$B$2:$B$283,B14,Trades!$E$2:$E$283,"&gt;="&amp;DATE(2025,1,1),Trades!$E$2:$E$283,"&lt;"&amp;DATE(2026,1,1))</f>
        <v>4038831</v>
      </c>
      <c r="I14" s="11" t="n">
        <f aca="false">SUMIFS(Trades!$K$2:$K$283,Trades!$A$2:$A$283,A14,Trades!$B$2:$B$283,B14,Trades!$E$2:$E$283,"&gt;="&amp;DATE(2026,1,1))</f>
        <v>5525864</v>
      </c>
      <c r="J14" s="11" t="n">
        <f aca="false">IFERROR(AVERAGEIFS(Trades!$K$2:$K$283,Trades!$A$2:$A$283,A14,Trades!$B$2:$B$283,B14,Trades!$K$2:$K$283,"&gt;0"),0)</f>
        <v>482994.129032258</v>
      </c>
      <c r="K14" s="11" t="n">
        <f aca="false">IFERROR(AVERAGEIFS(Trades!$K$2:$K$283,Trades!$A$2:$A$283,A14,Trades!$B$2:$B$283,B14,Trades!$K$2:$K$283,"&lt;=0"),0)</f>
        <v>-193147.25</v>
      </c>
      <c r="L14" s="12" t="n">
        <f aca="false">IFERROR(SUMIFS(Trades!$K$2:$K$283,Trades!$A$2:$A$283,A14,Trades!$B$2:$B$283,B14,Trades!$K$2:$K$283,"&gt;0")/-SUMIFS(Trades!$K$2:$K$283,Trades!$A$2:$A$283,A14,Trades!$B$2:$B$283,B14,Trades!$K$2:$K$283,"&lt;=0"),"no losses")</f>
        <v>2.76857941285729</v>
      </c>
      <c r="M14" s="11" t="n">
        <f aca="false">_xlfn.MINIFS(Trades!$P$2:$P$283,Trades!$A$2:$A$283,A14,Trades!$B$2:$B$283,B14)</f>
        <v>-1112560</v>
      </c>
      <c r="N14" s="10" t="n">
        <f aca="false">IFERROR(COUNTIF('Gold Monthly'!D$5:D$25,"&gt;0")/COUNTIF('Gold Monthly'!B$5:B$25,"&gt;0"),"")</f>
        <v>0.75</v>
      </c>
      <c r="O14" s="11" t="n">
        <f aca="false">MAX('Gold Monthly'!D$5:D$25)</f>
        <v>2723501</v>
      </c>
      <c r="P14" s="11" t="n">
        <f aca="false">MIN('Gold Monthly'!D$5:D$25)</f>
        <v>-792407</v>
      </c>
    </row>
    <row r="15" customFormat="false" ht="15" hidden="false" customHeight="false" outlineLevel="0" collapsed="false">
      <c r="A15" s="7" t="s">
        <v>34</v>
      </c>
      <c r="B15" s="7" t="s">
        <v>28</v>
      </c>
      <c r="C15" s="8" t="s">
        <v>29</v>
      </c>
      <c r="D15" s="9" t="n">
        <f aca="false">COUNTIFS(Trades!$A$2:$A$283,A15,Trades!$B$2:$B$283,B15)</f>
        <v>28</v>
      </c>
      <c r="E15" s="9" t="n">
        <f aca="false">COUNTIFS(Trades!$A$2:$A$283,A15,Trades!$B$2:$B$283,B15,Trades!$M$2:$M$283,1)</f>
        <v>18</v>
      </c>
      <c r="F15" s="10" t="n">
        <f aca="false">IF(D15=0,"",E15/D15)</f>
        <v>0.642857142857143</v>
      </c>
      <c r="G15" s="11" t="n">
        <f aca="false">SUMIFS(Trades!$K$2:$K$283,Trades!$A$2:$A$283,A15,Trades!$B$2:$B$283,B15)</f>
        <v>7134101</v>
      </c>
      <c r="H15" s="11" t="n">
        <f aca="false">SUMIFS(Trades!$K$2:$K$283,Trades!$A$2:$A$283,A15,Trades!$B$2:$B$283,B15,Trades!$E$2:$E$283,"&gt;="&amp;DATE(2025,1,1),Trades!$E$2:$E$283,"&lt;"&amp;DATE(2026,1,1))</f>
        <v>4042473</v>
      </c>
      <c r="I15" s="11" t="n">
        <f aca="false">SUMIFS(Trades!$K$2:$K$283,Trades!$A$2:$A$283,A15,Trades!$B$2:$B$283,B15,Trades!$E$2:$E$283,"&gt;="&amp;DATE(2026,1,1))</f>
        <v>3091628</v>
      </c>
      <c r="J15" s="11" t="n">
        <f aca="false">IFERROR(AVERAGEIFS(Trades!$K$2:$K$283,Trades!$A$2:$A$283,A15,Trades!$B$2:$B$283,B15,Trades!$K$2:$K$283,"&gt;0"),0)</f>
        <v>495598.555555556</v>
      </c>
      <c r="K15" s="11" t="n">
        <f aca="false">IFERROR(AVERAGEIFS(Trades!$K$2:$K$283,Trades!$A$2:$A$283,A15,Trades!$B$2:$B$283,B15,Trades!$K$2:$K$283,"&lt;=0"),0)</f>
        <v>-178667.3</v>
      </c>
      <c r="L15" s="12" t="n">
        <f aca="false">IFERROR(SUMIFS(Trades!$K$2:$K$283,Trades!$A$2:$A$283,A15,Trades!$B$2:$B$283,B15,Trades!$K$2:$K$283,"&gt;0")/-SUMIFS(Trades!$K$2:$K$283,Trades!$A$2:$A$283,A15,Trades!$B$2:$B$283,B15,Trades!$K$2:$K$283,"&lt;=0"),"no losses")</f>
        <v>4.99295282348813</v>
      </c>
      <c r="M15" s="11" t="n">
        <f aca="false">_xlfn.MINIFS(Trades!$P$2:$P$283,Trades!$A$2:$A$283,A15,Trades!$B$2:$B$283,B15)</f>
        <v>-770980</v>
      </c>
      <c r="N15" s="10" t="n">
        <f aca="false">IFERROR(COUNTIF('Gold Monthly'!H$5:H$25,"&gt;0")/COUNTIF('Gold Monthly'!F$5:F$25,"&gt;0"),"")</f>
        <v>0.705882352941177</v>
      </c>
      <c r="O15" s="11" t="n">
        <f aca="false">MAX('Gold Monthly'!H$5:H$25)</f>
        <v>1995214</v>
      </c>
      <c r="P15" s="11" t="n">
        <f aca="false">MIN('Gold Monthly'!H$5:H$25)</f>
        <v>-762014</v>
      </c>
    </row>
    <row r="16" customFormat="false" ht="15" hidden="false" customHeight="false" outlineLevel="0" collapsed="false">
      <c r="A16" s="13" t="s">
        <v>34</v>
      </c>
      <c r="B16" s="13" t="s">
        <v>30</v>
      </c>
      <c r="C16" s="14" t="s">
        <v>31</v>
      </c>
      <c r="D16" s="15" t="n">
        <f aca="false">COUNTIFS(Trades!$A$2:$A$283,A16,Trades!$B$2:$B$283,B16)</f>
        <v>28</v>
      </c>
      <c r="E16" s="15" t="n">
        <f aca="false">COUNTIFS(Trades!$A$2:$A$283,A16,Trades!$B$2:$B$283,B16,Trades!$M$2:$M$283,1)</f>
        <v>23</v>
      </c>
      <c r="F16" s="16" t="n">
        <f aca="false">IF(D16=0,"",E16/D16)</f>
        <v>0.821428571428571</v>
      </c>
      <c r="G16" s="17" t="n">
        <f aca="false">SUMIFS(Trades!$K$2:$K$283,Trades!$A$2:$A$283,A16,Trades!$B$2:$B$283,B16)</f>
        <v>5560961</v>
      </c>
      <c r="H16" s="17" t="n">
        <f aca="false">SUMIFS(Trades!$K$2:$K$283,Trades!$A$2:$A$283,A16,Trades!$B$2:$B$283,B16,Trades!$E$2:$E$283,"&gt;="&amp;DATE(2025,1,1),Trades!$E$2:$E$283,"&lt;"&amp;DATE(2026,1,1))</f>
        <v>4313633</v>
      </c>
      <c r="I16" s="17" t="n">
        <f aca="false">SUMIFS(Trades!$K$2:$K$283,Trades!$A$2:$A$283,A16,Trades!$B$2:$B$283,B16,Trades!$E$2:$E$283,"&gt;="&amp;DATE(2026,1,1))</f>
        <v>1247328</v>
      </c>
      <c r="J16" s="17" t="n">
        <f aca="false">IFERROR(AVERAGEIFS(Trades!$K$2:$K$283,Trades!$A$2:$A$283,A16,Trades!$B$2:$B$283,B16,Trades!$K$2:$K$283,"&gt;0"),0)</f>
        <v>307792.608695652</v>
      </c>
      <c r="K16" s="17" t="n">
        <f aca="false">IFERROR(AVERAGEIFS(Trades!$K$2:$K$283,Trades!$A$2:$A$283,A16,Trades!$B$2:$B$283,B16,Trades!$K$2:$K$283,"&lt;=0"),0)</f>
        <v>-303653.8</v>
      </c>
      <c r="L16" s="18" t="n">
        <f aca="false">IFERROR(SUMIFS(Trades!$K$2:$K$283,Trades!$A$2:$A$283,A16,Trades!$B$2:$B$283,B16,Trades!$K$2:$K$283,"&gt;0")/-SUMIFS(Trades!$K$2:$K$283,Trades!$A$2:$A$283,A16,Trades!$B$2:$B$283,B16,Trades!$K$2:$K$283,"&lt;=0"),"no losses")</f>
        <v>4.66269811212638</v>
      </c>
      <c r="M16" s="17" t="n">
        <f aca="false">_xlfn.MINIFS(Trades!$P$2:$P$283,Trades!$A$2:$A$283,A16,Trades!$B$2:$B$283,B16)</f>
        <v>-762014</v>
      </c>
      <c r="N16" s="16" t="n">
        <f aca="false">IFERROR(COUNTIF('Gold Monthly'!L$5:L$25,"&gt;0")/COUNTIF('Gold Monthly'!J$5:J$25,"&gt;0"),"")</f>
        <v>0.764705882352941</v>
      </c>
      <c r="O16" s="17" t="n">
        <f aca="false">MAX('Gold Monthly'!L$5:L$25)</f>
        <v>1298355</v>
      </c>
      <c r="P16" s="17" t="n">
        <f aca="false">MIN('Gold Monthly'!L$5:L$25)</f>
        <v>-762014</v>
      </c>
    </row>
    <row r="17" customFormat="false" ht="15" hidden="false" customHeight="false" outlineLevel="0" collapsed="false">
      <c r="A17" s="7" t="s">
        <v>34</v>
      </c>
      <c r="B17" s="7" t="s">
        <v>32</v>
      </c>
      <c r="C17" s="8" t="s">
        <v>33</v>
      </c>
      <c r="D17" s="9" t="n">
        <f aca="false">COUNTIFS(Trades!$A$2:$A$283,A17,Trades!$B$2:$B$283,B17)</f>
        <v>18</v>
      </c>
      <c r="E17" s="9" t="n">
        <f aca="false">COUNTIFS(Trades!$A$2:$A$283,A17,Trades!$B$2:$B$283,B17,Trades!$M$2:$M$283,1)</f>
        <v>16</v>
      </c>
      <c r="F17" s="10" t="n">
        <f aca="false">IF(D17=0,"",E17/D17)</f>
        <v>0.888888888888889</v>
      </c>
      <c r="G17" s="11" t="n">
        <f aca="false">SUMIFS(Trades!$K$2:$K$283,Trades!$A$2:$A$283,A17,Trades!$B$2:$B$283,B17)</f>
        <v>4234572</v>
      </c>
      <c r="H17" s="11" t="n">
        <f aca="false">SUMIFS(Trades!$K$2:$K$283,Trades!$A$2:$A$283,A17,Trades!$B$2:$B$283,B17,Trades!$E$2:$E$283,"&gt;="&amp;DATE(2025,1,1),Trades!$E$2:$E$283,"&lt;"&amp;DATE(2026,1,1))</f>
        <v>2135607</v>
      </c>
      <c r="I17" s="11" t="n">
        <f aca="false">SUMIFS(Trades!$K$2:$K$283,Trades!$A$2:$A$283,A17,Trades!$B$2:$B$283,B17,Trades!$E$2:$E$283,"&gt;="&amp;DATE(2026,1,1))</f>
        <v>2098965</v>
      </c>
      <c r="J17" s="11" t="n">
        <f aca="false">IFERROR(AVERAGEIFS(Trades!$K$2:$K$283,Trades!$A$2:$A$283,A17,Trades!$B$2:$B$283,B17,Trades!$K$2:$K$283,"&gt;0"),0)</f>
        <v>290415.375</v>
      </c>
      <c r="K17" s="11" t="n">
        <f aca="false">IFERROR(AVERAGEIFS(Trades!$K$2:$K$283,Trades!$A$2:$A$283,A17,Trades!$B$2:$B$283,B17,Trades!$K$2:$K$283,"&lt;=0"),0)</f>
        <v>-206037</v>
      </c>
      <c r="L17" s="12" t="n">
        <f aca="false">IFERROR(SUMIFS(Trades!$K$2:$K$283,Trades!$A$2:$A$283,A17,Trades!$B$2:$B$283,B17,Trades!$K$2:$K$283,"&gt;0")/-SUMIFS(Trades!$K$2:$K$283,Trades!$A$2:$A$283,A17,Trades!$B$2:$B$283,B17,Trades!$K$2:$K$283,"&lt;=0"),"no losses")</f>
        <v>11.276241645918</v>
      </c>
      <c r="M17" s="11" t="n">
        <f aca="false">_xlfn.MINIFS(Trades!$P$2:$P$283,Trades!$A$2:$A$283,A17,Trades!$B$2:$B$283,B17)</f>
        <v>-295056</v>
      </c>
      <c r="N17" s="10" t="n">
        <f aca="false">IFERROR(COUNTIF('Gold Monthly'!P$5:P$25,"&gt;0")/COUNTIF('Gold Monthly'!N$5:N$25,"&gt;0"),"")</f>
        <v>0.857142857142857</v>
      </c>
      <c r="O17" s="11" t="n">
        <f aca="false">MAX('Gold Monthly'!P$5:P$25)</f>
        <v>1097317</v>
      </c>
      <c r="P17" s="11" t="n">
        <f aca="false">MIN('Gold Monthly'!P$5:P$25)</f>
        <v>-295056</v>
      </c>
    </row>
    <row r="19" customFormat="false" ht="15" hidden="false" customHeight="false" outlineLevel="0" collapsed="false">
      <c r="A19" s="5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7"/>
    <col collapsed="false" customWidth="true" hidden="false" outlineLevel="0" max="5" min="4" style="0" width="16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0" min="10" style="0" width="6"/>
    <col collapsed="false" customWidth="true" hidden="false" outlineLevel="0" max="11" min="11" style="0" width="13"/>
    <col collapsed="false" customWidth="true" hidden="false" outlineLevel="0" max="12" min="12" style="0" width="9"/>
    <col collapsed="false" customWidth="true" hidden="false" outlineLevel="0" max="13" min="13" style="0" width="8"/>
    <col collapsed="false" customWidth="true" hidden="false" outlineLevel="0" max="14" min="14" style="0" width="15"/>
    <col collapsed="false" customWidth="true" hidden="false" outlineLevel="0" max="16" min="15" style="0" width="13"/>
  </cols>
  <sheetData>
    <row r="1" customFormat="false" ht="42" hidden="false" customHeight="true" outlineLevel="0" collapsed="false">
      <c r="A1" s="6" t="s">
        <v>9</v>
      </c>
      <c r="B1" s="6" t="s">
        <v>10</v>
      </c>
      <c r="C1" s="6" t="s">
        <v>36</v>
      </c>
      <c r="D1" s="6" t="s">
        <v>37</v>
      </c>
      <c r="E1" s="6" t="s">
        <v>38</v>
      </c>
      <c r="F1" s="6" t="s">
        <v>39</v>
      </c>
      <c r="G1" s="6" t="s">
        <v>40</v>
      </c>
      <c r="H1" s="6" t="s">
        <v>41</v>
      </c>
      <c r="I1" s="6" t="s">
        <v>42</v>
      </c>
      <c r="J1" s="6" t="s">
        <v>43</v>
      </c>
      <c r="K1" s="6" t="s">
        <v>15</v>
      </c>
      <c r="L1" s="6" t="s">
        <v>44</v>
      </c>
      <c r="M1" s="6" t="s">
        <v>45</v>
      </c>
      <c r="N1" s="6" t="s">
        <v>46</v>
      </c>
      <c r="O1" s="6" t="s">
        <v>47</v>
      </c>
      <c r="P1" s="6" t="s">
        <v>48</v>
      </c>
    </row>
    <row r="2" customFormat="false" ht="15" hidden="false" customHeight="false" outlineLevel="0" collapsed="false">
      <c r="A2" s="8" t="s">
        <v>25</v>
      </c>
      <c r="B2" s="8" t="s">
        <v>26</v>
      </c>
      <c r="C2" s="8" t="s">
        <v>49</v>
      </c>
      <c r="D2" s="19" t="n">
        <v>45663.7083333333</v>
      </c>
      <c r="E2" s="19" t="n">
        <v>45680.7916666667</v>
      </c>
      <c r="F2" s="20" t="n">
        <f aca="false">DATE(YEAR(E2),MONTH(E2),1)</f>
        <v>45658</v>
      </c>
      <c r="G2" s="21" t="n">
        <v>129941</v>
      </c>
      <c r="H2" s="8" t="s">
        <v>50</v>
      </c>
      <c r="I2" s="22" t="n">
        <v>-502.14</v>
      </c>
      <c r="J2" s="23" t="n">
        <f aca="false">Summary!$B$4</f>
        <v>1</v>
      </c>
      <c r="K2" s="11" t="n">
        <f aca="false">I2*J2*IF(A2="SILVER",Summary!$B$5,Summary!$B$6)</f>
        <v>-15064.2</v>
      </c>
      <c r="L2" s="24" t="n">
        <v>-0.175</v>
      </c>
      <c r="M2" s="25" t="n">
        <f aca="false">IF(K2&gt;0,1,0)</f>
        <v>0</v>
      </c>
      <c r="N2" s="11" t="n">
        <f aca="false">SUMIFS(K$2:K2,A$2:A2,A2,B$2:B2,B2)</f>
        <v>-15064.2</v>
      </c>
      <c r="O2" s="11" t="n">
        <f aca="false">MAX(0,_xlfn.MAXIFS(N$2:N2,A$2:A2,A2,B$2:B2,B2))</f>
        <v>0</v>
      </c>
      <c r="P2" s="11" t="n">
        <f aca="false">N2-O2</f>
        <v>-15064.2</v>
      </c>
    </row>
    <row r="3" customFormat="false" ht="15" hidden="false" customHeight="false" outlineLevel="0" collapsed="false">
      <c r="A3" s="8" t="s">
        <v>25</v>
      </c>
      <c r="B3" s="8" t="s">
        <v>26</v>
      </c>
      <c r="C3" s="8" t="s">
        <v>51</v>
      </c>
      <c r="D3" s="19" t="n">
        <v>45680.7916666667</v>
      </c>
      <c r="E3" s="19" t="n">
        <v>45687.5416666667</v>
      </c>
      <c r="F3" s="20" t="n">
        <f aca="false">DATE(YEAR(E3),MONTH(E3),1)</f>
        <v>45658</v>
      </c>
      <c r="G3" s="21" t="n">
        <v>129467</v>
      </c>
      <c r="H3" s="8" t="s">
        <v>50</v>
      </c>
      <c r="I3" s="22" t="n">
        <v>-2145.3</v>
      </c>
      <c r="J3" s="23" t="n">
        <f aca="false">Summary!$B$4</f>
        <v>1</v>
      </c>
      <c r="K3" s="11" t="n">
        <f aca="false">I3*J3*IF(A3="SILVER",Summary!$B$5,Summary!$B$6)</f>
        <v>-64359</v>
      </c>
      <c r="L3" s="24" t="n">
        <v>-0.895</v>
      </c>
      <c r="M3" s="25" t="n">
        <f aca="false">IF(K3&gt;0,1,0)</f>
        <v>0</v>
      </c>
      <c r="N3" s="11" t="n">
        <f aca="false">SUMIFS(K$2:K3,A$2:A3,A3,B$2:B3,B3)</f>
        <v>-79423.2</v>
      </c>
      <c r="O3" s="11" t="n">
        <f aca="false">MAX(0,_xlfn.MAXIFS(N$2:N3,A$2:A3,A3,B$2:B3,B3))</f>
        <v>0</v>
      </c>
      <c r="P3" s="11" t="n">
        <f aca="false">N3-O3</f>
        <v>-79423.2</v>
      </c>
    </row>
    <row r="4" customFormat="false" ht="15" hidden="false" customHeight="false" outlineLevel="0" collapsed="false">
      <c r="A4" s="8" t="s">
        <v>25</v>
      </c>
      <c r="B4" s="8" t="s">
        <v>26</v>
      </c>
      <c r="C4" s="8" t="s">
        <v>49</v>
      </c>
      <c r="D4" s="19" t="n">
        <v>45687.5416666667</v>
      </c>
      <c r="E4" s="19" t="n">
        <v>45699.7916666667</v>
      </c>
      <c r="F4" s="20" t="n">
        <f aca="false">DATE(YEAR(E4),MONTH(E4),1)</f>
        <v>45689</v>
      </c>
      <c r="G4" s="21" t="n">
        <v>131584</v>
      </c>
      <c r="H4" s="8" t="s">
        <v>50</v>
      </c>
      <c r="I4" s="22" t="n">
        <v>730.41</v>
      </c>
      <c r="J4" s="23" t="n">
        <f aca="false">Summary!$B$4</f>
        <v>1</v>
      </c>
      <c r="K4" s="11" t="n">
        <f aca="false">I4*J4*IF(A4="SILVER",Summary!$B$5,Summary!$B$6)</f>
        <v>21912.3</v>
      </c>
      <c r="L4" s="24" t="n">
        <v>0.309</v>
      </c>
      <c r="M4" s="25" t="n">
        <f aca="false">IF(K4&gt;0,1,0)</f>
        <v>1</v>
      </c>
      <c r="N4" s="11" t="n">
        <f aca="false">SUMIFS(K$2:K4,A$2:A4,A4,B$2:B4,B4)</f>
        <v>-57510.9</v>
      </c>
      <c r="O4" s="11" t="n">
        <f aca="false">MAX(0,_xlfn.MAXIFS(N$2:N4,A$2:A4,A4,B$2:B4,B4))</f>
        <v>0</v>
      </c>
      <c r="P4" s="11" t="n">
        <f aca="false">N4-O4</f>
        <v>-57510.9</v>
      </c>
    </row>
    <row r="5" customFormat="false" ht="15" hidden="false" customHeight="false" outlineLevel="0" collapsed="false">
      <c r="A5" s="8" t="s">
        <v>25</v>
      </c>
      <c r="B5" s="8" t="s">
        <v>26</v>
      </c>
      <c r="C5" s="8" t="s">
        <v>51</v>
      </c>
      <c r="D5" s="19" t="n">
        <v>45699.7916666667</v>
      </c>
      <c r="E5" s="19" t="n">
        <v>45702.4166666667</v>
      </c>
      <c r="F5" s="20" t="n">
        <f aca="false">DATE(YEAR(E5),MONTH(E5),1)</f>
        <v>45689</v>
      </c>
      <c r="G5" s="21" t="n">
        <v>132343</v>
      </c>
      <c r="H5" s="8" t="s">
        <v>50</v>
      </c>
      <c r="I5" s="22" t="n">
        <v>-3073.97</v>
      </c>
      <c r="J5" s="23" t="n">
        <f aca="false">Summary!$B$4</f>
        <v>1</v>
      </c>
      <c r="K5" s="11" t="n">
        <f aca="false">I5*J5*IF(A5="SILVER",Summary!$B$5,Summary!$B$6)</f>
        <v>-92219.1</v>
      </c>
      <c r="L5" s="24" t="n">
        <v>-1.128</v>
      </c>
      <c r="M5" s="25" t="n">
        <f aca="false">IF(K5&gt;0,1,0)</f>
        <v>0</v>
      </c>
      <c r="N5" s="11" t="n">
        <f aca="false">SUMIFS(K$2:K5,A$2:A5,A5,B$2:B5,B5)</f>
        <v>-149730</v>
      </c>
      <c r="O5" s="11" t="n">
        <f aca="false">MAX(0,_xlfn.MAXIFS(N$2:N5,A$2:A5,A5,B$2:B5,B5))</f>
        <v>0</v>
      </c>
      <c r="P5" s="11" t="n">
        <f aca="false">N5-O5</f>
        <v>-149730</v>
      </c>
    </row>
    <row r="6" customFormat="false" ht="15" hidden="false" customHeight="false" outlineLevel="0" collapsed="false">
      <c r="A6" s="8" t="s">
        <v>25</v>
      </c>
      <c r="B6" s="8" t="s">
        <v>26</v>
      </c>
      <c r="C6" s="8" t="s">
        <v>49</v>
      </c>
      <c r="D6" s="19" t="n">
        <v>45702.4166666667</v>
      </c>
      <c r="E6" s="19" t="n">
        <v>45702.9166666667</v>
      </c>
      <c r="F6" s="20" t="n">
        <f aca="false">DATE(YEAR(E6),MONTH(E6),1)</f>
        <v>45689</v>
      </c>
      <c r="G6" s="21" t="n">
        <v>135388</v>
      </c>
      <c r="H6" s="8" t="s">
        <v>50</v>
      </c>
      <c r="I6" s="22" t="n">
        <v>-785.2</v>
      </c>
      <c r="J6" s="23" t="n">
        <f aca="false">Summary!$B$4</f>
        <v>1</v>
      </c>
      <c r="K6" s="11" t="n">
        <f aca="false">I6*J6*IF(A6="SILVER",Summary!$B$5,Summary!$B$6)</f>
        <v>-23556</v>
      </c>
      <c r="L6" s="24" t="n">
        <v>-0.286</v>
      </c>
      <c r="M6" s="25" t="n">
        <f aca="false">IF(K6&gt;0,1,0)</f>
        <v>0</v>
      </c>
      <c r="N6" s="11" t="n">
        <f aca="false">SUMIFS(K$2:K6,A$2:A6,A6,B$2:B6,B6)</f>
        <v>-173286</v>
      </c>
      <c r="O6" s="11" t="n">
        <f aca="false">MAX(0,_xlfn.MAXIFS(N$2:N6,A$2:A6,A6,B$2:B6,B6))</f>
        <v>0</v>
      </c>
      <c r="P6" s="11" t="n">
        <f aca="false">N6-O6</f>
        <v>-173286</v>
      </c>
    </row>
    <row r="7" customFormat="false" ht="15" hidden="false" customHeight="false" outlineLevel="0" collapsed="false">
      <c r="A7" s="8" t="s">
        <v>25</v>
      </c>
      <c r="B7" s="8" t="s">
        <v>26</v>
      </c>
      <c r="C7" s="8" t="s">
        <v>51</v>
      </c>
      <c r="D7" s="19" t="n">
        <v>45702.9166666667</v>
      </c>
      <c r="E7" s="19" t="n">
        <v>45721.4631944444</v>
      </c>
      <c r="F7" s="20" t="n">
        <f aca="false">DATE(YEAR(E7),MONTH(E7),1)</f>
        <v>45717</v>
      </c>
      <c r="G7" s="21" t="n">
        <v>134632</v>
      </c>
      <c r="H7" s="8" t="s">
        <v>50</v>
      </c>
      <c r="I7" s="22" t="n">
        <v>430.92</v>
      </c>
      <c r="J7" s="23" t="n">
        <f aca="false">Summary!$B$4</f>
        <v>1</v>
      </c>
      <c r="K7" s="11" t="n">
        <f aca="false">I7*J7*IF(A7="SILVER",Summary!$B$5,Summary!$B$6)</f>
        <v>12927.6</v>
      </c>
      <c r="L7" s="24" t="n">
        <v>0.136</v>
      </c>
      <c r="M7" s="25" t="n">
        <f aca="false">IF(K7&gt;0,1,0)</f>
        <v>1</v>
      </c>
      <c r="N7" s="11" t="n">
        <f aca="false">SUMIFS(K$2:K7,A$2:A7,A7,B$2:B7,B7)</f>
        <v>-160358.4</v>
      </c>
      <c r="O7" s="11" t="n">
        <f aca="false">MAX(0,_xlfn.MAXIFS(N$2:N7,A$2:A7,A7,B$2:B7,B7))</f>
        <v>0</v>
      </c>
      <c r="P7" s="11" t="n">
        <f aca="false">N7-O7</f>
        <v>-160358.4</v>
      </c>
    </row>
    <row r="8" customFormat="false" ht="15" hidden="false" customHeight="false" outlineLevel="0" collapsed="false">
      <c r="A8" s="8" t="s">
        <v>25</v>
      </c>
      <c r="B8" s="8" t="s">
        <v>26</v>
      </c>
      <c r="C8" s="8" t="s">
        <v>49</v>
      </c>
      <c r="D8" s="19" t="n">
        <v>45721.4631944444</v>
      </c>
      <c r="E8" s="19" t="n">
        <v>45736.6666666667</v>
      </c>
      <c r="F8" s="20" t="n">
        <f aca="false">DATE(YEAR(E8),MONTH(E8),1)</f>
        <v>45717</v>
      </c>
      <c r="G8" s="21" t="n">
        <v>134172</v>
      </c>
      <c r="H8" s="8" t="s">
        <v>50</v>
      </c>
      <c r="I8" s="22" t="n">
        <v>1719.77</v>
      </c>
      <c r="J8" s="23" t="n">
        <f aca="false">Summary!$B$4</f>
        <v>1</v>
      </c>
      <c r="K8" s="11" t="n">
        <f aca="false">I8*J8*IF(A8="SILVER",Summary!$B$5,Summary!$B$6)</f>
        <v>51593.1</v>
      </c>
      <c r="L8" s="24" t="n">
        <v>0.885</v>
      </c>
      <c r="M8" s="25" t="n">
        <f aca="false">IF(K8&gt;0,1,0)</f>
        <v>1</v>
      </c>
      <c r="N8" s="11" t="n">
        <f aca="false">SUMIFS(K$2:K8,A$2:A8,A8,B$2:B8,B8)</f>
        <v>-108765.3</v>
      </c>
      <c r="O8" s="11" t="n">
        <f aca="false">MAX(0,_xlfn.MAXIFS(N$2:N8,A$2:A8,A8,B$2:B8,B8))</f>
        <v>0</v>
      </c>
      <c r="P8" s="11" t="n">
        <f aca="false">N8-O8</f>
        <v>-108765.3</v>
      </c>
    </row>
    <row r="9" customFormat="false" ht="15" hidden="false" customHeight="false" outlineLevel="0" collapsed="false">
      <c r="A9" s="8" t="s">
        <v>25</v>
      </c>
      <c r="B9" s="8" t="s">
        <v>26</v>
      </c>
      <c r="C9" s="8" t="s">
        <v>51</v>
      </c>
      <c r="D9" s="19" t="n">
        <v>45736.6666666667</v>
      </c>
      <c r="E9" s="19" t="n">
        <v>45742.5</v>
      </c>
      <c r="F9" s="20" t="n">
        <f aca="false">DATE(YEAR(E9),MONTH(E9),1)</f>
        <v>45717</v>
      </c>
      <c r="G9" s="21" t="n">
        <v>135951</v>
      </c>
      <c r="H9" s="8" t="s">
        <v>50</v>
      </c>
      <c r="I9" s="22" t="n">
        <v>-732.87</v>
      </c>
      <c r="J9" s="23" t="n">
        <f aca="false">Summary!$B$4</f>
        <v>1</v>
      </c>
      <c r="K9" s="11" t="n">
        <f aca="false">I9*J9*IF(A9="SILVER",Summary!$B$5,Summary!$B$6)</f>
        <v>-21986.1</v>
      </c>
      <c r="L9" s="24" t="n">
        <v>-0.237</v>
      </c>
      <c r="M9" s="25" t="n">
        <f aca="false">IF(K9&gt;0,1,0)</f>
        <v>0</v>
      </c>
      <c r="N9" s="11" t="n">
        <f aca="false">SUMIFS(K$2:K9,A$2:A9,A9,B$2:B9,B9)</f>
        <v>-130751.4</v>
      </c>
      <c r="O9" s="11" t="n">
        <f aca="false">MAX(0,_xlfn.MAXIFS(N$2:N9,A$2:A9,A9,B$2:B9,B9))</f>
        <v>0</v>
      </c>
      <c r="P9" s="11" t="n">
        <f aca="false">N9-O9</f>
        <v>-130751.4</v>
      </c>
    </row>
    <row r="10" customFormat="false" ht="15" hidden="false" customHeight="false" outlineLevel="0" collapsed="false">
      <c r="A10" s="8" t="s">
        <v>25</v>
      </c>
      <c r="B10" s="8" t="s">
        <v>26</v>
      </c>
      <c r="C10" s="8" t="s">
        <v>49</v>
      </c>
      <c r="D10" s="19" t="n">
        <v>45742.5</v>
      </c>
      <c r="E10" s="19" t="n">
        <v>45748.9166666667</v>
      </c>
      <c r="F10" s="20" t="n">
        <f aca="false">DATE(YEAR(E10),MONTH(E10),1)</f>
        <v>45748</v>
      </c>
      <c r="G10" s="21" t="n">
        <v>136654</v>
      </c>
      <c r="H10" s="8" t="s">
        <v>50</v>
      </c>
      <c r="I10" s="22" t="n">
        <v>-386.89</v>
      </c>
      <c r="J10" s="23" t="n">
        <f aca="false">Summary!$B$4</f>
        <v>1</v>
      </c>
      <c r="K10" s="11" t="n">
        <f aca="false">I10*J10*IF(A10="SILVER",Summary!$B$5,Summary!$B$6)</f>
        <v>-11606.7</v>
      </c>
      <c r="L10" s="24" t="n">
        <v>-0.176</v>
      </c>
      <c r="M10" s="25" t="n">
        <f aca="false">IF(K10&gt;0,1,0)</f>
        <v>0</v>
      </c>
      <c r="N10" s="11" t="n">
        <f aca="false">SUMIFS(K$2:K10,A$2:A10,A10,B$2:B10,B10)</f>
        <v>-142358.1</v>
      </c>
      <c r="O10" s="11" t="n">
        <f aca="false">MAX(0,_xlfn.MAXIFS(N$2:N10,A$2:A10,A10,B$2:B10,B10))</f>
        <v>0</v>
      </c>
      <c r="P10" s="11" t="n">
        <f aca="false">N10-O10</f>
        <v>-142358.1</v>
      </c>
    </row>
    <row r="11" customFormat="false" ht="15" hidden="false" customHeight="false" outlineLevel="0" collapsed="false">
      <c r="A11" s="8" t="s">
        <v>25</v>
      </c>
      <c r="B11" s="8" t="s">
        <v>26</v>
      </c>
      <c r="C11" s="8" t="s">
        <v>51</v>
      </c>
      <c r="D11" s="19" t="n">
        <v>45748.9166666667</v>
      </c>
      <c r="E11" s="19" t="n">
        <v>45758.5833333333</v>
      </c>
      <c r="F11" s="20" t="n">
        <f aca="false">DATE(YEAR(E11),MONTH(E11),1)</f>
        <v>45748</v>
      </c>
      <c r="G11" s="21" t="n">
        <v>136297</v>
      </c>
      <c r="H11" s="8" t="s">
        <v>50</v>
      </c>
      <c r="I11" s="22" t="n">
        <v>6488.79</v>
      </c>
      <c r="J11" s="23" t="n">
        <f aca="false">Summary!$B$4</f>
        <v>1</v>
      </c>
      <c r="K11" s="11" t="n">
        <f aca="false">I11*J11*IF(A11="SILVER",Summary!$B$5,Summary!$B$6)</f>
        <v>194663.7</v>
      </c>
      <c r="L11" s="24" t="n">
        <v>2.033</v>
      </c>
      <c r="M11" s="25" t="n">
        <f aca="false">IF(K11&gt;0,1,0)</f>
        <v>1</v>
      </c>
      <c r="N11" s="11" t="n">
        <f aca="false">SUMIFS(K$2:K11,A$2:A11,A11,B$2:B11,B11)</f>
        <v>52305.6</v>
      </c>
      <c r="O11" s="11" t="n">
        <f aca="false">MAX(0,_xlfn.MAXIFS(N$2:N11,A$2:A11,A11,B$2:B11,B11))</f>
        <v>52305.6</v>
      </c>
      <c r="P11" s="11" t="n">
        <f aca="false">N11-O11</f>
        <v>0</v>
      </c>
    </row>
    <row r="12" customFormat="false" ht="15" hidden="false" customHeight="false" outlineLevel="0" collapsed="false">
      <c r="A12" s="8" t="s">
        <v>25</v>
      </c>
      <c r="B12" s="8" t="s">
        <v>26</v>
      </c>
      <c r="C12" s="8" t="s">
        <v>49</v>
      </c>
      <c r="D12" s="19" t="n">
        <v>45758.5833333333</v>
      </c>
      <c r="E12" s="19" t="n">
        <v>45777.5833333333</v>
      </c>
      <c r="F12" s="20" t="n">
        <f aca="false">DATE(YEAR(E12),MONTH(E12),1)</f>
        <v>45748</v>
      </c>
      <c r="G12" s="21" t="n">
        <v>129779</v>
      </c>
      <c r="H12" s="8" t="s">
        <v>50</v>
      </c>
      <c r="I12" s="22" t="n">
        <v>1392.31</v>
      </c>
      <c r="J12" s="23" t="n">
        <f aca="false">Summary!$B$4</f>
        <v>1</v>
      </c>
      <c r="K12" s="11" t="n">
        <f aca="false">I12*J12*IF(A12="SILVER",Summary!$B$5,Summary!$B$6)</f>
        <v>41769.3</v>
      </c>
      <c r="L12" s="24" t="n">
        <v>0.319</v>
      </c>
      <c r="M12" s="25" t="n">
        <f aca="false">IF(K12&gt;0,1,0)</f>
        <v>1</v>
      </c>
      <c r="N12" s="11" t="n">
        <f aca="false">SUMIFS(K$2:K12,A$2:A12,A12,B$2:B12,B12)</f>
        <v>94074.9</v>
      </c>
      <c r="O12" s="11" t="n">
        <f aca="false">MAX(0,_xlfn.MAXIFS(N$2:N12,A$2:A12,A12,B$2:B12,B12))</f>
        <v>94074.9</v>
      </c>
      <c r="P12" s="11" t="n">
        <f aca="false">N12-O12</f>
        <v>0</v>
      </c>
    </row>
    <row r="13" customFormat="false" ht="15" hidden="false" customHeight="false" outlineLevel="0" collapsed="false">
      <c r="A13" s="8" t="s">
        <v>25</v>
      </c>
      <c r="B13" s="8" t="s">
        <v>26</v>
      </c>
      <c r="C13" s="8" t="s">
        <v>51</v>
      </c>
      <c r="D13" s="19" t="n">
        <v>45777.5833333333</v>
      </c>
      <c r="E13" s="19" t="n">
        <v>45790.5833333333</v>
      </c>
      <c r="F13" s="20" t="n">
        <f aca="false">DATE(YEAR(E13),MONTH(E13),1)</f>
        <v>45778</v>
      </c>
      <c r="G13" s="21" t="n">
        <v>131200</v>
      </c>
      <c r="H13" s="8" t="s">
        <v>50</v>
      </c>
      <c r="I13" s="22" t="n">
        <v>-1298.69</v>
      </c>
      <c r="J13" s="23" t="n">
        <f aca="false">Summary!$B$4</f>
        <v>1</v>
      </c>
      <c r="K13" s="11" t="n">
        <f aca="false">I13*J13*IF(A13="SILVER",Summary!$B$5,Summary!$B$6)</f>
        <v>-38960.7</v>
      </c>
      <c r="L13" s="24" t="n">
        <v>-0.351</v>
      </c>
      <c r="M13" s="25" t="n">
        <f aca="false">IF(K13&gt;0,1,0)</f>
        <v>0</v>
      </c>
      <c r="N13" s="11" t="n">
        <f aca="false">SUMIFS(K$2:K13,A$2:A13,A13,B$2:B13,B13)</f>
        <v>55114.2</v>
      </c>
      <c r="O13" s="11" t="n">
        <f aca="false">MAX(0,_xlfn.MAXIFS(N$2:N13,A$2:A13,A13,B$2:B13,B13))</f>
        <v>94074.9</v>
      </c>
      <c r="P13" s="11" t="n">
        <f aca="false">N13-O13</f>
        <v>-38960.7</v>
      </c>
    </row>
    <row r="14" customFormat="false" ht="15" hidden="false" customHeight="false" outlineLevel="0" collapsed="false">
      <c r="A14" s="8" t="s">
        <v>25</v>
      </c>
      <c r="B14" s="8" t="s">
        <v>26</v>
      </c>
      <c r="C14" s="8" t="s">
        <v>49</v>
      </c>
      <c r="D14" s="19" t="n">
        <v>45790.5833333333</v>
      </c>
      <c r="E14" s="19" t="n">
        <v>45792.4583333333</v>
      </c>
      <c r="F14" s="20" t="n">
        <f aca="false">DATE(YEAR(E14),MONTH(E14),1)</f>
        <v>45778</v>
      </c>
      <c r="G14" s="21" t="n">
        <v>132440</v>
      </c>
      <c r="H14" s="8" t="s">
        <v>50</v>
      </c>
      <c r="I14" s="22" t="n">
        <v>-3449.18</v>
      </c>
      <c r="J14" s="23" t="n">
        <f aca="false">Summary!$B$4</f>
        <v>1</v>
      </c>
      <c r="K14" s="11" t="n">
        <f aca="false">I14*J14*IF(A14="SILVER",Summary!$B$5,Summary!$B$6)</f>
        <v>-103475.4</v>
      </c>
      <c r="L14" s="24" t="n">
        <v>-1.034</v>
      </c>
      <c r="M14" s="25" t="n">
        <f aca="false">IF(K14&gt;0,1,0)</f>
        <v>0</v>
      </c>
      <c r="N14" s="11" t="n">
        <f aca="false">SUMIFS(K$2:K14,A$2:A14,A14,B$2:B14,B14)</f>
        <v>-48361.2</v>
      </c>
      <c r="O14" s="11" t="n">
        <f aca="false">MAX(0,_xlfn.MAXIFS(N$2:N14,A$2:A14,A14,B$2:B14,B14))</f>
        <v>94074.9</v>
      </c>
      <c r="P14" s="11" t="n">
        <f aca="false">N14-O14</f>
        <v>-142436.1</v>
      </c>
    </row>
    <row r="15" customFormat="false" ht="15" hidden="false" customHeight="false" outlineLevel="0" collapsed="false">
      <c r="A15" s="8" t="s">
        <v>25</v>
      </c>
      <c r="B15" s="8" t="s">
        <v>26</v>
      </c>
      <c r="C15" s="8" t="s">
        <v>51</v>
      </c>
      <c r="D15" s="19" t="n">
        <v>45792.4583333333</v>
      </c>
      <c r="E15" s="19" t="n">
        <v>45797.9166666667</v>
      </c>
      <c r="F15" s="20" t="n">
        <f aca="false">DATE(YEAR(E15),MONTH(E15),1)</f>
        <v>45778</v>
      </c>
      <c r="G15" s="21" t="n">
        <v>129020</v>
      </c>
      <c r="H15" s="8" t="s">
        <v>50</v>
      </c>
      <c r="I15" s="22" t="n">
        <v>-2939.12</v>
      </c>
      <c r="J15" s="23" t="n">
        <f aca="false">Summary!$B$4</f>
        <v>1</v>
      </c>
      <c r="K15" s="11" t="n">
        <f aca="false">I15*J15*IF(A15="SILVER",Summary!$B$5,Summary!$B$6)</f>
        <v>-88173.6</v>
      </c>
      <c r="L15" s="24" t="n">
        <v>-0.983</v>
      </c>
      <c r="M15" s="25" t="n">
        <f aca="false">IF(K15&gt;0,1,0)</f>
        <v>0</v>
      </c>
      <c r="N15" s="11" t="n">
        <f aca="false">SUMIFS(K$2:K15,A$2:A15,A15,B$2:B15,B15)</f>
        <v>-136534.8</v>
      </c>
      <c r="O15" s="11" t="n">
        <f aca="false">MAX(0,_xlfn.MAXIFS(N$2:N15,A$2:A15,A15,B$2:B15,B15))</f>
        <v>94074.9</v>
      </c>
      <c r="P15" s="11" t="n">
        <f aca="false">N15-O15</f>
        <v>-230609.7</v>
      </c>
    </row>
    <row r="16" customFormat="false" ht="15" hidden="false" customHeight="false" outlineLevel="0" collapsed="false">
      <c r="A16" s="8" t="s">
        <v>25</v>
      </c>
      <c r="B16" s="8" t="s">
        <v>26</v>
      </c>
      <c r="C16" s="8" t="s">
        <v>49</v>
      </c>
      <c r="D16" s="19" t="n">
        <v>45797.9166666667</v>
      </c>
      <c r="E16" s="19" t="n">
        <v>45799.7083333333</v>
      </c>
      <c r="F16" s="20" t="n">
        <f aca="false">DATE(YEAR(E16),MONTH(E16),1)</f>
        <v>45778</v>
      </c>
      <c r="G16" s="21" t="n">
        <v>131930</v>
      </c>
      <c r="H16" s="8" t="s">
        <v>50</v>
      </c>
      <c r="I16" s="22" t="n">
        <v>-258.39</v>
      </c>
      <c r="J16" s="23" t="n">
        <f aca="false">Summary!$B$4</f>
        <v>1</v>
      </c>
      <c r="K16" s="11" t="n">
        <f aca="false">I16*J16*IF(A16="SILVER",Summary!$B$5,Summary!$B$6)</f>
        <v>-7751.7</v>
      </c>
      <c r="L16" s="24" t="n">
        <v>-0.108</v>
      </c>
      <c r="M16" s="25" t="n">
        <f aca="false">IF(K16&gt;0,1,0)</f>
        <v>0</v>
      </c>
      <c r="N16" s="11" t="n">
        <f aca="false">SUMIFS(K$2:K16,A$2:A16,A16,B$2:B16,B16)</f>
        <v>-144286.5</v>
      </c>
      <c r="O16" s="11" t="n">
        <f aca="false">MAX(0,_xlfn.MAXIFS(N$2:N16,A$2:A16,A16,B$2:B16,B16))</f>
        <v>94074.9</v>
      </c>
      <c r="P16" s="11" t="n">
        <f aca="false">N16-O16</f>
        <v>-238361.4</v>
      </c>
    </row>
    <row r="17" customFormat="false" ht="15" hidden="false" customHeight="false" outlineLevel="0" collapsed="false">
      <c r="A17" s="8" t="s">
        <v>25</v>
      </c>
      <c r="B17" s="8" t="s">
        <v>26</v>
      </c>
      <c r="C17" s="8" t="s">
        <v>51</v>
      </c>
      <c r="D17" s="19" t="n">
        <v>45799.7083333333</v>
      </c>
      <c r="E17" s="19" t="n">
        <v>45810.7916666667</v>
      </c>
      <c r="F17" s="20" t="n">
        <f aca="false">DATE(YEAR(E17),MONTH(E17),1)</f>
        <v>45809</v>
      </c>
      <c r="G17" s="21" t="n">
        <v>131701</v>
      </c>
      <c r="H17" s="8" t="s">
        <v>50</v>
      </c>
      <c r="I17" s="22" t="n">
        <v>-2677.64</v>
      </c>
      <c r="J17" s="23" t="n">
        <f aca="false">Summary!$B$4</f>
        <v>1</v>
      </c>
      <c r="K17" s="11" t="n">
        <f aca="false">I17*J17*IF(A17="SILVER",Summary!$B$5,Summary!$B$6)</f>
        <v>-80329.2</v>
      </c>
      <c r="L17" s="24" t="n">
        <v>-1.046</v>
      </c>
      <c r="M17" s="25" t="n">
        <f aca="false">IF(K17&gt;0,1,0)</f>
        <v>0</v>
      </c>
      <c r="N17" s="11" t="n">
        <f aca="false">SUMIFS(K$2:K17,A$2:A17,A17,B$2:B17,B17)</f>
        <v>-224615.7</v>
      </c>
      <c r="O17" s="11" t="n">
        <f aca="false">MAX(0,_xlfn.MAXIFS(N$2:N17,A$2:A17,A17,B$2:B17,B17))</f>
        <v>94074.9</v>
      </c>
      <c r="P17" s="11" t="n">
        <f aca="false">N17-O17</f>
        <v>-318690.6</v>
      </c>
    </row>
    <row r="18" customFormat="false" ht="15" hidden="false" customHeight="false" outlineLevel="0" collapsed="false">
      <c r="A18" s="8" t="s">
        <v>25</v>
      </c>
      <c r="B18" s="8" t="s">
        <v>26</v>
      </c>
      <c r="C18" s="8" t="s">
        <v>49</v>
      </c>
      <c r="D18" s="19" t="n">
        <v>45810.7916666667</v>
      </c>
      <c r="E18" s="19" t="n">
        <v>45828.4166666667</v>
      </c>
      <c r="F18" s="20" t="n">
        <f aca="false">DATE(YEAR(E18),MONTH(E18),1)</f>
        <v>45809</v>
      </c>
      <c r="G18" s="21" t="n">
        <v>134349</v>
      </c>
      <c r="H18" s="8" t="s">
        <v>50</v>
      </c>
      <c r="I18" s="22" t="n">
        <v>6300.47</v>
      </c>
      <c r="J18" s="23" t="n">
        <f aca="false">Summary!$B$4</f>
        <v>1</v>
      </c>
      <c r="K18" s="11" t="n">
        <f aca="false">I18*J18*IF(A18="SILVER",Summary!$B$5,Summary!$B$6)</f>
        <v>189014.1</v>
      </c>
      <c r="L18" s="24" t="n">
        <v>2.033</v>
      </c>
      <c r="M18" s="25" t="n">
        <f aca="false">IF(K18&gt;0,1,0)</f>
        <v>1</v>
      </c>
      <c r="N18" s="11" t="n">
        <f aca="false">SUMIFS(K$2:K18,A$2:A18,A18,B$2:B18,B18)</f>
        <v>-35601.6</v>
      </c>
      <c r="O18" s="11" t="n">
        <f aca="false">MAX(0,_xlfn.MAXIFS(N$2:N18,A$2:A18,A18,B$2:B18,B18))</f>
        <v>94074.9</v>
      </c>
      <c r="P18" s="11" t="n">
        <f aca="false">N18-O18</f>
        <v>-129676.5</v>
      </c>
    </row>
    <row r="19" customFormat="false" ht="15" hidden="false" customHeight="false" outlineLevel="0" collapsed="false">
      <c r="A19" s="8" t="s">
        <v>25</v>
      </c>
      <c r="B19" s="8" t="s">
        <v>26</v>
      </c>
      <c r="C19" s="8" t="s">
        <v>51</v>
      </c>
      <c r="D19" s="19" t="n">
        <v>45828.4166666667</v>
      </c>
      <c r="E19" s="19" t="n">
        <v>45841.53125</v>
      </c>
      <c r="F19" s="20" t="n">
        <f aca="false">DATE(YEAR(E19),MONTH(E19),1)</f>
        <v>45839</v>
      </c>
      <c r="G19" s="21" t="n">
        <v>140680</v>
      </c>
      <c r="H19" s="8" t="s">
        <v>50</v>
      </c>
      <c r="I19" s="22" t="n">
        <v>-1556.31</v>
      </c>
      <c r="J19" s="23" t="n">
        <f aca="false">Summary!$B$4</f>
        <v>1</v>
      </c>
      <c r="K19" s="11" t="n">
        <f aca="false">I19*J19*IF(A19="SILVER",Summary!$B$5,Summary!$B$6)</f>
        <v>-46689.3</v>
      </c>
      <c r="L19" s="24" t="n">
        <v>-0.49</v>
      </c>
      <c r="M19" s="25" t="n">
        <f aca="false">IF(K19&gt;0,1,0)</f>
        <v>0</v>
      </c>
      <c r="N19" s="11" t="n">
        <f aca="false">SUMIFS(K$2:K19,A$2:A19,A19,B$2:B19,B19)</f>
        <v>-82290.9</v>
      </c>
      <c r="O19" s="11" t="n">
        <f aca="false">MAX(0,_xlfn.MAXIFS(N$2:N19,A$2:A19,A19,B$2:B19,B19))</f>
        <v>94074.9</v>
      </c>
      <c r="P19" s="11" t="n">
        <f aca="false">N19-O19</f>
        <v>-176365.8</v>
      </c>
    </row>
    <row r="20" customFormat="false" ht="15" hidden="false" customHeight="false" outlineLevel="0" collapsed="false">
      <c r="A20" s="8" t="s">
        <v>25</v>
      </c>
      <c r="B20" s="8" t="s">
        <v>26</v>
      </c>
      <c r="C20" s="8" t="s">
        <v>49</v>
      </c>
      <c r="D20" s="19" t="n">
        <v>45841.53125</v>
      </c>
      <c r="E20" s="19" t="n">
        <v>45853.875</v>
      </c>
      <c r="F20" s="20" t="n">
        <f aca="false">DATE(YEAR(E20),MONTH(E20),1)</f>
        <v>45839</v>
      </c>
      <c r="G20" s="21" t="n">
        <v>142205</v>
      </c>
      <c r="H20" s="8" t="s">
        <v>50</v>
      </c>
      <c r="I20" s="22" t="n">
        <v>3515.84</v>
      </c>
      <c r="J20" s="23" t="n">
        <f aca="false">Summary!$B$4</f>
        <v>1</v>
      </c>
      <c r="K20" s="11" t="n">
        <f aca="false">I20*J20*IF(A20="SILVER",Summary!$B$5,Summary!$B$6)</f>
        <v>105475.2</v>
      </c>
      <c r="L20" s="24" t="n">
        <v>1.461</v>
      </c>
      <c r="M20" s="25" t="n">
        <f aca="false">IF(K20&gt;0,1,0)</f>
        <v>1</v>
      </c>
      <c r="N20" s="11" t="n">
        <f aca="false">SUMIFS(K$2:K20,A$2:A20,A20,B$2:B20,B20)</f>
        <v>23184.3</v>
      </c>
      <c r="O20" s="11" t="n">
        <f aca="false">MAX(0,_xlfn.MAXIFS(N$2:N20,A$2:A20,A20,B$2:B20,B20))</f>
        <v>94074.9</v>
      </c>
      <c r="P20" s="11" t="n">
        <f aca="false">N20-O20</f>
        <v>-70890.6</v>
      </c>
    </row>
    <row r="21" customFormat="false" ht="15" hidden="false" customHeight="false" outlineLevel="0" collapsed="false">
      <c r="A21" s="8" t="s">
        <v>25</v>
      </c>
      <c r="B21" s="8" t="s">
        <v>26</v>
      </c>
      <c r="C21" s="8" t="s">
        <v>51</v>
      </c>
      <c r="D21" s="19" t="n">
        <v>45853.875</v>
      </c>
      <c r="E21" s="19" t="n">
        <v>45859.6666666667</v>
      </c>
      <c r="F21" s="20" t="n">
        <f aca="false">DATE(YEAR(E21),MONTH(E21),1)</f>
        <v>45839</v>
      </c>
      <c r="G21" s="21" t="n">
        <v>145785</v>
      </c>
      <c r="H21" s="8" t="s">
        <v>50</v>
      </c>
      <c r="I21" s="22" t="n">
        <v>-2611.54</v>
      </c>
      <c r="J21" s="23" t="n">
        <f aca="false">Summary!$B$4</f>
        <v>1</v>
      </c>
      <c r="K21" s="11" t="n">
        <f aca="false">I21*J21*IF(A21="SILVER",Summary!$B$5,Summary!$B$6)</f>
        <v>-78346.2</v>
      </c>
      <c r="L21" s="24" t="n">
        <v>-0.725</v>
      </c>
      <c r="M21" s="25" t="n">
        <f aca="false">IF(K21&gt;0,1,0)</f>
        <v>0</v>
      </c>
      <c r="N21" s="11" t="n">
        <f aca="false">SUMIFS(K$2:K21,A$2:A21,A21,B$2:B21,B21)</f>
        <v>-55161.9</v>
      </c>
      <c r="O21" s="11" t="n">
        <f aca="false">MAX(0,_xlfn.MAXIFS(N$2:N21,A$2:A21,A21,B$2:B21,B21))</f>
        <v>94074.9</v>
      </c>
      <c r="P21" s="11" t="n">
        <f aca="false">N21-O21</f>
        <v>-149236.8</v>
      </c>
    </row>
    <row r="22" customFormat="false" ht="15" hidden="false" customHeight="false" outlineLevel="0" collapsed="false">
      <c r="A22" s="8" t="s">
        <v>25</v>
      </c>
      <c r="B22" s="8" t="s">
        <v>26</v>
      </c>
      <c r="C22" s="8" t="s">
        <v>49</v>
      </c>
      <c r="D22" s="19" t="n">
        <v>45859.6666666667</v>
      </c>
      <c r="E22" s="19" t="n">
        <v>45863.875</v>
      </c>
      <c r="F22" s="20" t="n">
        <f aca="false">DATE(YEAR(E22),MONTH(E22),1)</f>
        <v>45839</v>
      </c>
      <c r="G22" s="21" t="n">
        <v>148364</v>
      </c>
      <c r="H22" s="8" t="s">
        <v>50</v>
      </c>
      <c r="I22" s="22" t="n">
        <v>-887.71</v>
      </c>
      <c r="J22" s="23" t="n">
        <f aca="false">Summary!$B$4</f>
        <v>1</v>
      </c>
      <c r="K22" s="11" t="n">
        <f aca="false">I22*J22*IF(A22="SILVER",Summary!$B$5,Summary!$B$6)</f>
        <v>-26631.3</v>
      </c>
      <c r="L22" s="24" t="n">
        <v>-0.376</v>
      </c>
      <c r="M22" s="25" t="n">
        <f aca="false">IF(K22&gt;0,1,0)</f>
        <v>0</v>
      </c>
      <c r="N22" s="11" t="n">
        <f aca="false">SUMIFS(K$2:K22,A$2:A22,A22,B$2:B22,B22)</f>
        <v>-81793.2</v>
      </c>
      <c r="O22" s="11" t="n">
        <f aca="false">MAX(0,_xlfn.MAXIFS(N$2:N22,A$2:A22,A22,B$2:B22,B22))</f>
        <v>94074.9</v>
      </c>
      <c r="P22" s="11" t="n">
        <f aca="false">N22-O22</f>
        <v>-175868.1</v>
      </c>
    </row>
    <row r="23" customFormat="false" ht="15" hidden="false" customHeight="false" outlineLevel="0" collapsed="false">
      <c r="A23" s="8" t="s">
        <v>25</v>
      </c>
      <c r="B23" s="8" t="s">
        <v>26</v>
      </c>
      <c r="C23" s="8" t="s">
        <v>51</v>
      </c>
      <c r="D23" s="19" t="n">
        <v>45863.875</v>
      </c>
      <c r="E23" s="19" t="n">
        <v>45873.5833333333</v>
      </c>
      <c r="F23" s="20" t="n">
        <f aca="false">DATE(YEAR(E23),MONTH(E23),1)</f>
        <v>45870</v>
      </c>
      <c r="G23" s="21" t="n">
        <v>147509</v>
      </c>
      <c r="H23" s="8" t="s">
        <v>50</v>
      </c>
      <c r="I23" s="22" t="n">
        <v>1045.48</v>
      </c>
      <c r="J23" s="23" t="n">
        <f aca="false">Summary!$B$4</f>
        <v>1</v>
      </c>
      <c r="K23" s="11" t="n">
        <f aca="false">I23*J23*IF(A23="SILVER",Summary!$B$5,Summary!$B$6)</f>
        <v>31364.4</v>
      </c>
      <c r="L23" s="24" t="n">
        <v>0.291</v>
      </c>
      <c r="M23" s="25" t="n">
        <f aca="false">IF(K23&gt;0,1,0)</f>
        <v>1</v>
      </c>
      <c r="N23" s="11" t="n">
        <f aca="false">SUMIFS(K$2:K23,A$2:A23,A23,B$2:B23,B23)</f>
        <v>-50428.8</v>
      </c>
      <c r="O23" s="11" t="n">
        <f aca="false">MAX(0,_xlfn.MAXIFS(N$2:N23,A$2:A23,A23,B$2:B23,B23))</f>
        <v>94074.9</v>
      </c>
      <c r="P23" s="11" t="n">
        <f aca="false">N23-O23</f>
        <v>-144503.7</v>
      </c>
    </row>
    <row r="24" customFormat="false" ht="15" hidden="false" customHeight="false" outlineLevel="0" collapsed="false">
      <c r="A24" s="8" t="s">
        <v>25</v>
      </c>
      <c r="B24" s="8" t="s">
        <v>26</v>
      </c>
      <c r="C24" s="8" t="s">
        <v>49</v>
      </c>
      <c r="D24" s="19" t="n">
        <v>45873.5833333333</v>
      </c>
      <c r="E24" s="19" t="n">
        <v>45888.5</v>
      </c>
      <c r="F24" s="20" t="n">
        <f aca="false">DATE(YEAR(E24),MONTH(E24),1)</f>
        <v>45870</v>
      </c>
      <c r="G24" s="21" t="n">
        <v>146431</v>
      </c>
      <c r="H24" s="8" t="s">
        <v>50</v>
      </c>
      <c r="I24" s="22" t="n">
        <v>855.5</v>
      </c>
      <c r="J24" s="23" t="n">
        <f aca="false">Summary!$B$4</f>
        <v>1</v>
      </c>
      <c r="K24" s="11" t="n">
        <f aca="false">I24*J24*IF(A24="SILVER",Summary!$B$5,Summary!$B$6)</f>
        <v>25665</v>
      </c>
      <c r="L24" s="24" t="n">
        <v>0.278</v>
      </c>
      <c r="M24" s="25" t="n">
        <f aca="false">IF(K24&gt;0,1,0)</f>
        <v>1</v>
      </c>
      <c r="N24" s="11" t="n">
        <f aca="false">SUMIFS(K$2:K24,A$2:A24,A24,B$2:B24,B24)</f>
        <v>-24763.8</v>
      </c>
      <c r="O24" s="11" t="n">
        <f aca="false">MAX(0,_xlfn.MAXIFS(N$2:N24,A$2:A24,A24,B$2:B24,B24))</f>
        <v>94074.9</v>
      </c>
      <c r="P24" s="11" t="n">
        <f aca="false">N24-O24</f>
        <v>-118838.7</v>
      </c>
    </row>
    <row r="25" customFormat="false" ht="15" hidden="false" customHeight="false" outlineLevel="0" collapsed="false">
      <c r="A25" s="8" t="s">
        <v>25</v>
      </c>
      <c r="B25" s="8" t="s">
        <v>26</v>
      </c>
      <c r="C25" s="8" t="s">
        <v>51</v>
      </c>
      <c r="D25" s="19" t="n">
        <v>45888.5</v>
      </c>
      <c r="E25" s="19" t="n">
        <v>45890.4166666667</v>
      </c>
      <c r="F25" s="20" t="n">
        <f aca="false">DATE(YEAR(E25),MONTH(E25),1)</f>
        <v>45870</v>
      </c>
      <c r="G25" s="21" t="n">
        <v>147319</v>
      </c>
      <c r="H25" s="8" t="s">
        <v>50</v>
      </c>
      <c r="I25" s="22" t="n">
        <v>152.43</v>
      </c>
      <c r="J25" s="23" t="n">
        <f aca="false">Summary!$B$4</f>
        <v>1</v>
      </c>
      <c r="K25" s="11" t="n">
        <f aca="false">I25*J25*IF(A25="SILVER",Summary!$B$5,Summary!$B$6)</f>
        <v>4572.9</v>
      </c>
      <c r="L25" s="24" t="n">
        <v>0.07</v>
      </c>
      <c r="M25" s="25" t="n">
        <f aca="false">IF(K25&gt;0,1,0)</f>
        <v>1</v>
      </c>
      <c r="N25" s="11" t="n">
        <f aca="false">SUMIFS(K$2:K25,A$2:A25,A25,B$2:B25,B25)</f>
        <v>-20190.9</v>
      </c>
      <c r="O25" s="11" t="n">
        <f aca="false">MAX(0,_xlfn.MAXIFS(N$2:N25,A$2:A25,A25,B$2:B25,B25))</f>
        <v>94074.9</v>
      </c>
      <c r="P25" s="11" t="n">
        <f aca="false">N25-O25</f>
        <v>-114265.8</v>
      </c>
    </row>
    <row r="26" customFormat="false" ht="15" hidden="false" customHeight="false" outlineLevel="0" collapsed="false">
      <c r="A26" s="8" t="s">
        <v>25</v>
      </c>
      <c r="B26" s="8" t="s">
        <v>26</v>
      </c>
      <c r="C26" s="8" t="s">
        <v>49</v>
      </c>
      <c r="D26" s="19" t="n">
        <v>45890.4166666667</v>
      </c>
      <c r="E26" s="19" t="n">
        <v>45908.4166666667</v>
      </c>
      <c r="F26" s="20" t="n">
        <f aca="false">DATE(YEAR(E26),MONTH(E26),1)</f>
        <v>45901</v>
      </c>
      <c r="G26" s="21" t="n">
        <v>147134</v>
      </c>
      <c r="H26" s="8" t="s">
        <v>50</v>
      </c>
      <c r="I26" s="22" t="n">
        <v>7960.59</v>
      </c>
      <c r="J26" s="23" t="n">
        <f aca="false">Summary!$B$4</f>
        <v>1</v>
      </c>
      <c r="K26" s="11" t="n">
        <f aca="false">I26*J26*IF(A26="SILVER",Summary!$B$5,Summary!$B$6)</f>
        <v>238817.7</v>
      </c>
      <c r="L26" s="24" t="n">
        <v>3.424</v>
      </c>
      <c r="M26" s="25" t="n">
        <f aca="false">IF(K26&gt;0,1,0)</f>
        <v>1</v>
      </c>
      <c r="N26" s="11" t="n">
        <f aca="false">SUMIFS(K$2:K26,A$2:A26,A26,B$2:B26,B26)</f>
        <v>218626.8</v>
      </c>
      <c r="O26" s="11" t="n">
        <f aca="false">MAX(0,_xlfn.MAXIFS(N$2:N26,A$2:A26,A26,B$2:B26,B26))</f>
        <v>218626.8</v>
      </c>
      <c r="P26" s="11" t="n">
        <f aca="false">N26-O26</f>
        <v>0</v>
      </c>
    </row>
    <row r="27" customFormat="false" ht="15" hidden="false" customHeight="false" outlineLevel="0" collapsed="false">
      <c r="A27" s="8" t="s">
        <v>25</v>
      </c>
      <c r="B27" s="8" t="s">
        <v>26</v>
      </c>
      <c r="C27" s="8" t="s">
        <v>51</v>
      </c>
      <c r="D27" s="19" t="n">
        <v>45908.4166666667</v>
      </c>
      <c r="E27" s="19" t="n">
        <v>45912.4166666667</v>
      </c>
      <c r="F27" s="20" t="n">
        <f aca="false">DATE(YEAR(E27),MONTH(E27),1)</f>
        <v>45901</v>
      </c>
      <c r="G27" s="21" t="n">
        <v>155163</v>
      </c>
      <c r="H27" s="8" t="s">
        <v>50</v>
      </c>
      <c r="I27" s="22" t="n">
        <v>-4573.22</v>
      </c>
      <c r="J27" s="23" t="n">
        <f aca="false">Summary!$B$4</f>
        <v>1</v>
      </c>
      <c r="K27" s="11" t="n">
        <f aca="false">I27*J27*IF(A27="SILVER",Summary!$B$5,Summary!$B$6)</f>
        <v>-137196.6</v>
      </c>
      <c r="L27" s="24" t="n">
        <v>-1.102</v>
      </c>
      <c r="M27" s="25" t="n">
        <f aca="false">IF(K27&gt;0,1,0)</f>
        <v>0</v>
      </c>
      <c r="N27" s="11" t="n">
        <f aca="false">SUMIFS(K$2:K27,A$2:A27,A27,B$2:B27,B27)</f>
        <v>81430.2000000001</v>
      </c>
      <c r="O27" s="11" t="n">
        <f aca="false">MAX(0,_xlfn.MAXIFS(N$2:N27,A$2:A27,A27,B$2:B27,B27))</f>
        <v>218626.8</v>
      </c>
      <c r="P27" s="11" t="n">
        <f aca="false">N27-O27</f>
        <v>-137196.6</v>
      </c>
    </row>
    <row r="28" customFormat="false" ht="15" hidden="false" customHeight="false" outlineLevel="0" collapsed="false">
      <c r="A28" s="8" t="s">
        <v>25</v>
      </c>
      <c r="B28" s="8" t="s">
        <v>26</v>
      </c>
      <c r="C28" s="8" t="s">
        <v>49</v>
      </c>
      <c r="D28" s="19" t="n">
        <v>45912.4166666667</v>
      </c>
      <c r="E28" s="19" t="n">
        <v>45917.4166666667</v>
      </c>
      <c r="F28" s="20" t="n">
        <f aca="false">DATE(YEAR(E28),MONTH(E28),1)</f>
        <v>45901</v>
      </c>
      <c r="G28" s="21" t="n">
        <v>159701</v>
      </c>
      <c r="H28" s="8" t="s">
        <v>50</v>
      </c>
      <c r="I28" s="22" t="n">
        <v>-1053.57</v>
      </c>
      <c r="J28" s="23" t="n">
        <f aca="false">Summary!$B$4</f>
        <v>1</v>
      </c>
      <c r="K28" s="11" t="n">
        <f aca="false">I28*J28*IF(A28="SILVER",Summary!$B$5,Summary!$B$6)</f>
        <v>-31607.1</v>
      </c>
      <c r="L28" s="24" t="n">
        <v>-0.313</v>
      </c>
      <c r="M28" s="25" t="n">
        <f aca="false">IF(K28&gt;0,1,0)</f>
        <v>0</v>
      </c>
      <c r="N28" s="11" t="n">
        <f aca="false">SUMIFS(K$2:K28,A$2:A28,A28,B$2:B28,B28)</f>
        <v>49823.1000000001</v>
      </c>
      <c r="O28" s="11" t="n">
        <f aca="false">MAX(0,_xlfn.MAXIFS(N$2:N28,A$2:A28,A28,B$2:B28,B28))</f>
        <v>218626.8</v>
      </c>
      <c r="P28" s="11" t="n">
        <f aca="false">N28-O28</f>
        <v>-168803.7</v>
      </c>
    </row>
    <row r="29" customFormat="false" ht="15" hidden="false" customHeight="false" outlineLevel="0" collapsed="false">
      <c r="A29" s="8" t="s">
        <v>25</v>
      </c>
      <c r="B29" s="8" t="s">
        <v>26</v>
      </c>
      <c r="C29" s="8" t="s">
        <v>51</v>
      </c>
      <c r="D29" s="19" t="n">
        <v>45917.4166666667</v>
      </c>
      <c r="E29" s="19" t="n">
        <v>45919.875</v>
      </c>
      <c r="F29" s="20" t="n">
        <f aca="false">DATE(YEAR(E29),MONTH(E29),1)</f>
        <v>45901</v>
      </c>
      <c r="G29" s="21" t="n">
        <v>158683</v>
      </c>
      <c r="H29" s="8" t="s">
        <v>50</v>
      </c>
      <c r="I29" s="22" t="n">
        <v>-2180.68</v>
      </c>
      <c r="J29" s="23" t="n">
        <f aca="false">Summary!$B$4</f>
        <v>1</v>
      </c>
      <c r="K29" s="11" t="n">
        <f aca="false">I29*J29*IF(A29="SILVER",Summary!$B$5,Summary!$B$6)</f>
        <v>-65420.4</v>
      </c>
      <c r="L29" s="24" t="n">
        <v>-0.713</v>
      </c>
      <c r="M29" s="25" t="n">
        <f aca="false">IF(K29&gt;0,1,0)</f>
        <v>0</v>
      </c>
      <c r="N29" s="11" t="n">
        <f aca="false">SUMIFS(K$2:K29,A$2:A29,A29,B$2:B29,B29)</f>
        <v>-15597.2999999999</v>
      </c>
      <c r="O29" s="11" t="n">
        <f aca="false">MAX(0,_xlfn.MAXIFS(N$2:N29,A$2:A29,A29,B$2:B29,B29))</f>
        <v>218626.8</v>
      </c>
      <c r="P29" s="11" t="n">
        <f aca="false">N29-O29</f>
        <v>-234224.1</v>
      </c>
    </row>
    <row r="30" customFormat="false" ht="15" hidden="false" customHeight="false" outlineLevel="0" collapsed="false">
      <c r="A30" s="8" t="s">
        <v>25</v>
      </c>
      <c r="B30" s="8" t="s">
        <v>26</v>
      </c>
      <c r="C30" s="8" t="s">
        <v>49</v>
      </c>
      <c r="D30" s="19" t="n">
        <v>45919.875</v>
      </c>
      <c r="E30" s="19" t="n">
        <v>45940.4166666667</v>
      </c>
      <c r="F30" s="20" t="n">
        <f aca="false">DATE(YEAR(E30),MONTH(E30),1)</f>
        <v>45931</v>
      </c>
      <c r="G30" s="21" t="n">
        <v>160828</v>
      </c>
      <c r="H30" s="8" t="s">
        <v>50</v>
      </c>
      <c r="I30" s="22" t="n">
        <v>15943.5</v>
      </c>
      <c r="J30" s="23" t="n">
        <f aca="false">Summary!$B$4</f>
        <v>1</v>
      </c>
      <c r="K30" s="11" t="n">
        <f aca="false">I30*J30*IF(A30="SILVER",Summary!$B$5,Summary!$B$6)</f>
        <v>478305</v>
      </c>
      <c r="L30" s="24" t="n">
        <v>4.182</v>
      </c>
      <c r="M30" s="25" t="n">
        <f aca="false">IF(K30&gt;0,1,0)</f>
        <v>1</v>
      </c>
      <c r="N30" s="11" t="n">
        <f aca="false">SUMIFS(K$2:K30,A$2:A30,A30,B$2:B30,B30)</f>
        <v>462707.7</v>
      </c>
      <c r="O30" s="11" t="n">
        <f aca="false">MAX(0,_xlfn.MAXIFS(N$2:N30,A$2:A30,A30,B$2:B30,B30))</f>
        <v>462707.7</v>
      </c>
      <c r="P30" s="11" t="n">
        <f aca="false">N30-O30</f>
        <v>0</v>
      </c>
    </row>
    <row r="31" customFormat="false" ht="15" hidden="false" customHeight="false" outlineLevel="0" collapsed="false">
      <c r="A31" s="8" t="s">
        <v>25</v>
      </c>
      <c r="B31" s="8" t="s">
        <v>26</v>
      </c>
      <c r="C31" s="8" t="s">
        <v>51</v>
      </c>
      <c r="D31" s="19" t="n">
        <v>45940.4166666667</v>
      </c>
      <c r="E31" s="19" t="n">
        <v>45943.8333333333</v>
      </c>
      <c r="F31" s="20" t="n">
        <f aca="false">DATE(YEAR(E31),MONTH(E31),1)</f>
        <v>45931</v>
      </c>
      <c r="G31" s="21" t="n">
        <v>176809</v>
      </c>
      <c r="H31" s="8" t="s">
        <v>50</v>
      </c>
      <c r="I31" s="22" t="n">
        <v>-8860.97</v>
      </c>
      <c r="J31" s="23" t="n">
        <f aca="false">Summary!$B$4</f>
        <v>1</v>
      </c>
      <c r="K31" s="11" t="n">
        <f aca="false">I31*J31*IF(A31="SILVER",Summary!$B$5,Summary!$B$6)</f>
        <v>-265829.1</v>
      </c>
      <c r="L31" s="24" t="n">
        <v>-1.043</v>
      </c>
      <c r="M31" s="25" t="n">
        <f aca="false">IF(K31&gt;0,1,0)</f>
        <v>0</v>
      </c>
      <c r="N31" s="11" t="n">
        <f aca="false">SUMIFS(K$2:K31,A$2:A31,A31,B$2:B31,B31)</f>
        <v>196878.6</v>
      </c>
      <c r="O31" s="11" t="n">
        <f aca="false">MAX(0,_xlfn.MAXIFS(N$2:N31,A$2:A31,A31,B$2:B31,B31))</f>
        <v>462707.7</v>
      </c>
      <c r="P31" s="11" t="n">
        <f aca="false">N31-O31</f>
        <v>-265829.1</v>
      </c>
    </row>
    <row r="32" customFormat="false" ht="15" hidden="false" customHeight="false" outlineLevel="0" collapsed="false">
      <c r="A32" s="8" t="s">
        <v>25</v>
      </c>
      <c r="B32" s="8" t="s">
        <v>26</v>
      </c>
      <c r="C32" s="8" t="s">
        <v>49</v>
      </c>
      <c r="D32" s="19" t="n">
        <v>45943.8333333333</v>
      </c>
      <c r="E32" s="19" t="n">
        <v>45947.8333333333</v>
      </c>
      <c r="F32" s="20" t="n">
        <f aca="false">DATE(YEAR(E32),MONTH(E32),1)</f>
        <v>45931</v>
      </c>
      <c r="G32" s="21" t="n">
        <v>185630</v>
      </c>
      <c r="H32" s="8" t="s">
        <v>50</v>
      </c>
      <c r="I32" s="22" t="n">
        <v>7180.44</v>
      </c>
      <c r="J32" s="23" t="n">
        <f aca="false">Summary!$B$4</f>
        <v>1</v>
      </c>
      <c r="K32" s="11" t="n">
        <f aca="false">I32*J32*IF(A32="SILVER",Summary!$B$5,Summary!$B$6)</f>
        <v>215413.2</v>
      </c>
      <c r="L32" s="24" t="n">
        <v>0.85</v>
      </c>
      <c r="M32" s="25" t="n">
        <f aca="false">IF(K32&gt;0,1,0)</f>
        <v>1</v>
      </c>
      <c r="N32" s="11" t="n">
        <f aca="false">SUMIFS(K$2:K32,A$2:A32,A32,B$2:B32,B32)</f>
        <v>412291.8</v>
      </c>
      <c r="O32" s="11" t="n">
        <f aca="false">MAX(0,_xlfn.MAXIFS(N$2:N32,A$2:A32,A32,B$2:B32,B32))</f>
        <v>462707.7</v>
      </c>
      <c r="P32" s="11" t="n">
        <f aca="false">N32-O32</f>
        <v>-50415.9</v>
      </c>
    </row>
    <row r="33" customFormat="false" ht="15" hidden="false" customHeight="false" outlineLevel="0" collapsed="false">
      <c r="A33" s="8" t="s">
        <v>25</v>
      </c>
      <c r="B33" s="8" t="s">
        <v>26</v>
      </c>
      <c r="C33" s="8" t="s">
        <v>51</v>
      </c>
      <c r="D33" s="19" t="n">
        <v>45947.8333333333</v>
      </c>
      <c r="E33" s="19" t="n">
        <v>45960.8333333333</v>
      </c>
      <c r="F33" s="20" t="n">
        <f aca="false">DATE(YEAR(E33),MONTH(E33),1)</f>
        <v>45931</v>
      </c>
      <c r="G33" s="21" t="n">
        <v>192852</v>
      </c>
      <c r="H33" s="8" t="s">
        <v>50</v>
      </c>
      <c r="I33" s="22" t="n">
        <v>13176.04</v>
      </c>
      <c r="J33" s="23" t="n">
        <f aca="false">Summary!$B$4</f>
        <v>1</v>
      </c>
      <c r="K33" s="11" t="n">
        <f aca="false">I33*J33*IF(A33="SILVER",Summary!$B$5,Summary!$B$6)</f>
        <v>395281.2</v>
      </c>
      <c r="L33" s="24" t="n">
        <v>1.158</v>
      </c>
      <c r="M33" s="25" t="n">
        <f aca="false">IF(K33&gt;0,1,0)</f>
        <v>1</v>
      </c>
      <c r="N33" s="11" t="n">
        <f aca="false">SUMIFS(K$2:K33,A$2:A33,A33,B$2:B33,B33)</f>
        <v>807573</v>
      </c>
      <c r="O33" s="11" t="n">
        <f aca="false">MAX(0,_xlfn.MAXIFS(N$2:N33,A$2:A33,A33,B$2:B33,B33))</f>
        <v>807573</v>
      </c>
      <c r="P33" s="11" t="n">
        <f aca="false">N33-O33</f>
        <v>0</v>
      </c>
    </row>
    <row r="34" customFormat="false" ht="15" hidden="false" customHeight="false" outlineLevel="0" collapsed="false">
      <c r="A34" s="8" t="s">
        <v>25</v>
      </c>
      <c r="B34" s="8" t="s">
        <v>26</v>
      </c>
      <c r="C34" s="8" t="s">
        <v>49</v>
      </c>
      <c r="D34" s="19" t="n">
        <v>45960.8333333333</v>
      </c>
      <c r="E34" s="19" t="n">
        <v>45975.75</v>
      </c>
      <c r="F34" s="20" t="n">
        <f aca="false">DATE(YEAR(E34),MONTH(E34),1)</f>
        <v>45962</v>
      </c>
      <c r="G34" s="21" t="n">
        <v>179635</v>
      </c>
      <c r="H34" s="8" t="s">
        <v>50</v>
      </c>
      <c r="I34" s="22" t="n">
        <v>9052.43</v>
      </c>
      <c r="J34" s="23" t="n">
        <f aca="false">Summary!$B$4</f>
        <v>1</v>
      </c>
      <c r="K34" s="11" t="n">
        <f aca="false">I34*J34*IF(A34="SILVER",Summary!$B$5,Summary!$B$6)</f>
        <v>271572.9</v>
      </c>
      <c r="L34" s="24" t="n">
        <v>1.197</v>
      </c>
      <c r="M34" s="25" t="n">
        <f aca="false">IF(K34&gt;0,1,0)</f>
        <v>1</v>
      </c>
      <c r="N34" s="11" t="n">
        <f aca="false">SUMIFS(K$2:K34,A$2:A34,A34,B$2:B34,B34)</f>
        <v>1079145.9</v>
      </c>
      <c r="O34" s="11" t="n">
        <f aca="false">MAX(0,_xlfn.MAXIFS(N$2:N34,A$2:A34,A34,B$2:B34,B34))</f>
        <v>1079145.9</v>
      </c>
      <c r="P34" s="11" t="n">
        <f aca="false">N34-O34</f>
        <v>0</v>
      </c>
    </row>
    <row r="35" customFormat="false" ht="15" hidden="false" customHeight="false" outlineLevel="0" collapsed="false">
      <c r="A35" s="8" t="s">
        <v>25</v>
      </c>
      <c r="B35" s="8" t="s">
        <v>26</v>
      </c>
      <c r="C35" s="8" t="s">
        <v>51</v>
      </c>
      <c r="D35" s="19" t="n">
        <v>45975.75</v>
      </c>
      <c r="E35" s="19" t="n">
        <v>45987.7083333333</v>
      </c>
      <c r="F35" s="20" t="n">
        <f aca="false">DATE(YEAR(E35),MONTH(E35),1)</f>
        <v>45962</v>
      </c>
      <c r="G35" s="21" t="n">
        <v>188728</v>
      </c>
      <c r="H35" s="8" t="s">
        <v>50</v>
      </c>
      <c r="I35" s="22" t="n">
        <v>-1783.65</v>
      </c>
      <c r="J35" s="23" t="n">
        <f aca="false">Summary!$B$4</f>
        <v>1</v>
      </c>
      <c r="K35" s="11" t="n">
        <f aca="false">I35*J35*IF(A35="SILVER",Summary!$B$5,Summary!$B$6)</f>
        <v>-53509.5</v>
      </c>
      <c r="L35" s="24" t="n">
        <v>-0.194</v>
      </c>
      <c r="M35" s="25" t="n">
        <f aca="false">IF(K35&gt;0,1,0)</f>
        <v>0</v>
      </c>
      <c r="N35" s="11" t="n">
        <f aca="false">SUMIFS(K$2:K35,A$2:A35,A35,B$2:B35,B35)</f>
        <v>1025636.4</v>
      </c>
      <c r="O35" s="11" t="n">
        <f aca="false">MAX(0,_xlfn.MAXIFS(N$2:N35,A$2:A35,A35,B$2:B35,B35))</f>
        <v>1079145.9</v>
      </c>
      <c r="P35" s="11" t="n">
        <f aca="false">N35-O35</f>
        <v>-53509.5</v>
      </c>
    </row>
    <row r="36" customFormat="false" ht="15" hidden="false" customHeight="false" outlineLevel="0" collapsed="false">
      <c r="A36" s="8" t="s">
        <v>25</v>
      </c>
      <c r="B36" s="8" t="s">
        <v>26</v>
      </c>
      <c r="C36" s="8" t="s">
        <v>49</v>
      </c>
      <c r="D36" s="19" t="n">
        <v>45987.7083333333</v>
      </c>
      <c r="E36" s="19" t="n">
        <v>46003.9583333333</v>
      </c>
      <c r="F36" s="20" t="n">
        <f aca="false">DATE(YEAR(E36),MONTH(E36),1)</f>
        <v>45992</v>
      </c>
      <c r="G36" s="21" t="n">
        <v>190470</v>
      </c>
      <c r="H36" s="8" t="s">
        <v>50</v>
      </c>
      <c r="I36" s="22" t="n">
        <v>29264.67</v>
      </c>
      <c r="J36" s="23" t="n">
        <f aca="false">Summary!$B$4</f>
        <v>1</v>
      </c>
      <c r="K36" s="11" t="n">
        <f aca="false">I36*J36*IF(A36="SILVER",Summary!$B$5,Summary!$B$6)</f>
        <v>877940.1</v>
      </c>
      <c r="L36" s="24" t="n">
        <v>5.619</v>
      </c>
      <c r="M36" s="25" t="n">
        <f aca="false">IF(K36&gt;0,1,0)</f>
        <v>1</v>
      </c>
      <c r="N36" s="11" t="n">
        <f aca="false">SUMIFS(K$2:K36,A$2:A36,A36,B$2:B36,B36)</f>
        <v>1903576.5</v>
      </c>
      <c r="O36" s="11" t="n">
        <f aca="false">MAX(0,_xlfn.MAXIFS(N$2:N36,A$2:A36,A36,B$2:B36,B36))</f>
        <v>1903576.5</v>
      </c>
      <c r="P36" s="11" t="n">
        <f aca="false">N36-O36</f>
        <v>0</v>
      </c>
    </row>
    <row r="37" customFormat="false" ht="15" hidden="false" customHeight="false" outlineLevel="0" collapsed="false">
      <c r="A37" s="8" t="s">
        <v>25</v>
      </c>
      <c r="B37" s="8" t="s">
        <v>26</v>
      </c>
      <c r="C37" s="8" t="s">
        <v>51</v>
      </c>
      <c r="D37" s="19" t="n">
        <v>46003.9583333333</v>
      </c>
      <c r="E37" s="19" t="n">
        <v>46008.4166666667</v>
      </c>
      <c r="F37" s="20" t="n">
        <f aca="false">DATE(YEAR(E37),MONTH(E37),1)</f>
        <v>45992</v>
      </c>
      <c r="G37" s="21" t="n">
        <v>219828</v>
      </c>
      <c r="H37" s="8" t="s">
        <v>50</v>
      </c>
      <c r="I37" s="22" t="n">
        <v>-13107.6</v>
      </c>
      <c r="J37" s="23" t="n">
        <f aca="false">Summary!$B$4</f>
        <v>1</v>
      </c>
      <c r="K37" s="11" t="n">
        <f aca="false">I37*J37*IF(A37="SILVER",Summary!$B$5,Summary!$B$6)</f>
        <v>-393228</v>
      </c>
      <c r="L37" s="24" t="n">
        <v>-1.252</v>
      </c>
      <c r="M37" s="25" t="n">
        <f aca="false">IF(K37&gt;0,1,0)</f>
        <v>0</v>
      </c>
      <c r="N37" s="11" t="n">
        <f aca="false">SUMIFS(K$2:K37,A$2:A37,A37,B$2:B37,B37)</f>
        <v>1510348.5</v>
      </c>
      <c r="O37" s="11" t="n">
        <f aca="false">MAX(0,_xlfn.MAXIFS(N$2:N37,A$2:A37,A37,B$2:B37,B37))</f>
        <v>1903576.5</v>
      </c>
      <c r="P37" s="11" t="n">
        <f aca="false">N37-O37</f>
        <v>-393228</v>
      </c>
    </row>
    <row r="38" customFormat="false" ht="15" hidden="false" customHeight="false" outlineLevel="0" collapsed="false">
      <c r="A38" s="8" t="s">
        <v>25</v>
      </c>
      <c r="B38" s="8" t="s">
        <v>26</v>
      </c>
      <c r="C38" s="8" t="s">
        <v>49</v>
      </c>
      <c r="D38" s="19" t="n">
        <v>46008.4166666667</v>
      </c>
      <c r="E38" s="19" t="n">
        <v>46020.8333333333</v>
      </c>
      <c r="F38" s="20" t="n">
        <f aca="false">DATE(YEAR(E38),MONTH(E38),1)</f>
        <v>45992</v>
      </c>
      <c r="G38" s="21" t="n">
        <v>232886</v>
      </c>
      <c r="H38" s="8" t="s">
        <v>50</v>
      </c>
      <c r="I38" s="22" t="n">
        <v>21894.86</v>
      </c>
      <c r="J38" s="23" t="n">
        <f aca="false">Summary!$B$4</f>
        <v>1</v>
      </c>
      <c r="K38" s="11" t="n">
        <f aca="false">I38*J38*IF(A38="SILVER",Summary!$B$5,Summary!$B$6)</f>
        <v>656845.8</v>
      </c>
      <c r="L38" s="24" t="n">
        <v>1.672</v>
      </c>
      <c r="M38" s="25" t="n">
        <f aca="false">IF(K38&gt;0,1,0)</f>
        <v>1</v>
      </c>
      <c r="N38" s="11" t="n">
        <f aca="false">SUMIFS(K$2:K38,A$2:A38,A38,B$2:B38,B38)</f>
        <v>2167194.3</v>
      </c>
      <c r="O38" s="11" t="n">
        <f aca="false">MAX(0,_xlfn.MAXIFS(N$2:N38,A$2:A38,A38,B$2:B38,B38))</f>
        <v>2167194.3</v>
      </c>
      <c r="P38" s="11" t="n">
        <f aca="false">N38-O38</f>
        <v>0</v>
      </c>
    </row>
    <row r="39" customFormat="false" ht="15" hidden="false" customHeight="false" outlineLevel="0" collapsed="false">
      <c r="A39" s="8" t="s">
        <v>25</v>
      </c>
      <c r="B39" s="8" t="s">
        <v>26</v>
      </c>
      <c r="C39" s="8" t="s">
        <v>51</v>
      </c>
      <c r="D39" s="19" t="n">
        <v>46020.8333333333</v>
      </c>
      <c r="E39" s="19" t="n">
        <v>46022.375</v>
      </c>
      <c r="F39" s="20" t="n">
        <f aca="false">DATE(YEAR(E39),MONTH(E39),1)</f>
        <v>45992</v>
      </c>
      <c r="G39" s="21" t="n">
        <v>254834</v>
      </c>
      <c r="H39" s="8" t="s">
        <v>50</v>
      </c>
      <c r="I39" s="22" t="n">
        <v>-14957.82</v>
      </c>
      <c r="J39" s="23" t="n">
        <f aca="false">Summary!$B$4</f>
        <v>1</v>
      </c>
      <c r="K39" s="11" t="n">
        <f aca="false">I39*J39*IF(A39="SILVER",Summary!$B$5,Summary!$B$6)</f>
        <v>-448734.6</v>
      </c>
      <c r="L39" s="24" t="n">
        <v>-0.547</v>
      </c>
      <c r="M39" s="25" t="n">
        <f aca="false">IF(K39&gt;0,1,0)</f>
        <v>0</v>
      </c>
      <c r="N39" s="11" t="n">
        <f aca="false">SUMIFS(K$2:K39,A$2:A39,A39,B$2:B39,B39)</f>
        <v>1718459.7</v>
      </c>
      <c r="O39" s="11" t="n">
        <f aca="false">MAX(0,_xlfn.MAXIFS(N$2:N39,A$2:A39,A39,B$2:B39,B39))</f>
        <v>2167194.3</v>
      </c>
      <c r="P39" s="11" t="n">
        <f aca="false">N39-O39</f>
        <v>-448734.6</v>
      </c>
    </row>
    <row r="40" customFormat="false" ht="15" hidden="false" customHeight="false" outlineLevel="0" collapsed="false">
      <c r="A40" s="8" t="s">
        <v>25</v>
      </c>
      <c r="B40" s="8" t="s">
        <v>26</v>
      </c>
      <c r="C40" s="8" t="s">
        <v>49</v>
      </c>
      <c r="D40" s="19" t="n">
        <v>46022.375</v>
      </c>
      <c r="E40" s="19" t="n">
        <v>46030.5</v>
      </c>
      <c r="F40" s="20" t="n">
        <f aca="false">DATE(YEAR(E40),MONTH(E40),1)</f>
        <v>46023</v>
      </c>
      <c r="G40" s="21" t="n">
        <v>269734</v>
      </c>
      <c r="H40" s="8" t="s">
        <v>50</v>
      </c>
      <c r="I40" s="22" t="n">
        <v>1395.57</v>
      </c>
      <c r="J40" s="23" t="n">
        <f aca="false">Summary!$B$4</f>
        <v>1</v>
      </c>
      <c r="K40" s="11" t="n">
        <f aca="false">I40*J40*IF(A40="SILVER",Summary!$B$5,Summary!$B$6)</f>
        <v>41867.1</v>
      </c>
      <c r="L40" s="24" t="n">
        <v>0.101</v>
      </c>
      <c r="M40" s="25" t="n">
        <f aca="false">IF(K40&gt;0,1,0)</f>
        <v>1</v>
      </c>
      <c r="N40" s="11" t="n">
        <f aca="false">SUMIFS(K$2:K40,A$2:A40,A40,B$2:B40,B40)</f>
        <v>1760326.8</v>
      </c>
      <c r="O40" s="11" t="n">
        <f aca="false">MAX(0,_xlfn.MAXIFS(N$2:N40,A$2:A40,A40,B$2:B40,B40))</f>
        <v>2167194.3</v>
      </c>
      <c r="P40" s="11" t="n">
        <f aca="false">N40-O40</f>
        <v>-406867.5</v>
      </c>
    </row>
    <row r="41" customFormat="false" ht="15" hidden="false" customHeight="false" outlineLevel="0" collapsed="false">
      <c r="A41" s="8" t="s">
        <v>25</v>
      </c>
      <c r="B41" s="8" t="s">
        <v>26</v>
      </c>
      <c r="C41" s="8" t="s">
        <v>51</v>
      </c>
      <c r="D41" s="19" t="n">
        <v>46030.5</v>
      </c>
      <c r="E41" s="19" t="n">
        <v>46031.875</v>
      </c>
      <c r="F41" s="20" t="n">
        <f aca="false">DATE(YEAR(E41),MONTH(E41),1)</f>
        <v>46023</v>
      </c>
      <c r="G41" s="21" t="n">
        <v>271189</v>
      </c>
      <c r="H41" s="8" t="s">
        <v>50</v>
      </c>
      <c r="I41" s="22" t="n">
        <v>-11804.75</v>
      </c>
      <c r="J41" s="23" t="n">
        <f aca="false">Summary!$B$4</f>
        <v>1</v>
      </c>
      <c r="K41" s="11" t="n">
        <f aca="false">I41*J41*IF(A41="SILVER",Summary!$B$5,Summary!$B$6)</f>
        <v>-354142.5</v>
      </c>
      <c r="L41" s="24" t="n">
        <v>-0.659</v>
      </c>
      <c r="M41" s="25" t="n">
        <f aca="false">IF(K41&gt;0,1,0)</f>
        <v>0</v>
      </c>
      <c r="N41" s="11" t="n">
        <f aca="false">SUMIFS(K$2:K41,A$2:A41,A41,B$2:B41,B41)</f>
        <v>1406184.3</v>
      </c>
      <c r="O41" s="11" t="n">
        <f aca="false">MAX(0,_xlfn.MAXIFS(N$2:N41,A$2:A41,A41,B$2:B41,B41))</f>
        <v>2167194.3</v>
      </c>
      <c r="P41" s="11" t="n">
        <f aca="false">N41-O41</f>
        <v>-761010</v>
      </c>
    </row>
    <row r="42" customFormat="false" ht="15" hidden="false" customHeight="false" outlineLevel="0" collapsed="false">
      <c r="A42" s="8" t="s">
        <v>25</v>
      </c>
      <c r="B42" s="8" t="s">
        <v>26</v>
      </c>
      <c r="C42" s="8" t="s">
        <v>49</v>
      </c>
      <c r="D42" s="19" t="n">
        <v>46031.875</v>
      </c>
      <c r="E42" s="19" t="n">
        <v>46044.4166666667</v>
      </c>
      <c r="F42" s="20" t="n">
        <f aca="false">DATE(YEAR(E42),MONTH(E42),1)</f>
        <v>46023</v>
      </c>
      <c r="G42" s="21" t="n">
        <v>282934</v>
      </c>
      <c r="H42" s="8" t="s">
        <v>50</v>
      </c>
      <c r="I42" s="22" t="n">
        <v>51086.97</v>
      </c>
      <c r="J42" s="23" t="n">
        <f aca="false">Summary!$B$4</f>
        <v>1</v>
      </c>
      <c r="K42" s="11" t="n">
        <f aca="false">I42*J42*IF(A42="SILVER",Summary!$B$5,Summary!$B$6)</f>
        <v>1532609.1</v>
      </c>
      <c r="L42" s="24" t="n">
        <v>2.62</v>
      </c>
      <c r="M42" s="25" t="n">
        <f aca="false">IF(K42&gt;0,1,0)</f>
        <v>1</v>
      </c>
      <c r="N42" s="11" t="n">
        <f aca="false">SUMIFS(K$2:K42,A$2:A42,A42,B$2:B42,B42)</f>
        <v>2938793.4</v>
      </c>
      <c r="O42" s="11" t="n">
        <f aca="false">MAX(0,_xlfn.MAXIFS(N$2:N42,A$2:A42,A42,B$2:B42,B42))</f>
        <v>2938793.4</v>
      </c>
      <c r="P42" s="11" t="n">
        <f aca="false">N42-O42</f>
        <v>0</v>
      </c>
    </row>
    <row r="43" customFormat="false" ht="15" hidden="false" customHeight="false" outlineLevel="0" collapsed="false">
      <c r="A43" s="8" t="s">
        <v>25</v>
      </c>
      <c r="B43" s="8" t="s">
        <v>26</v>
      </c>
      <c r="C43" s="8" t="s">
        <v>51</v>
      </c>
      <c r="D43" s="19" t="n">
        <v>46044.4166666667</v>
      </c>
      <c r="E43" s="19" t="n">
        <v>46049.4166666667</v>
      </c>
      <c r="F43" s="20" t="n">
        <f aca="false">DATE(YEAR(E43),MONTH(E43),1)</f>
        <v>46023</v>
      </c>
      <c r="G43" s="21" t="n">
        <v>334087</v>
      </c>
      <c r="H43" s="8" t="s">
        <v>50</v>
      </c>
      <c r="I43" s="22" t="n">
        <v>-51173.27</v>
      </c>
      <c r="J43" s="23" t="n">
        <f aca="false">Summary!$B$4</f>
        <v>1</v>
      </c>
      <c r="K43" s="11" t="n">
        <f aca="false">I43*J43*IF(A43="SILVER",Summary!$B$5,Summary!$B$6)</f>
        <v>-1535198.1</v>
      </c>
      <c r="L43" s="24" t="n">
        <v>-1.317</v>
      </c>
      <c r="M43" s="25" t="n">
        <f aca="false">IF(K43&gt;0,1,0)</f>
        <v>0</v>
      </c>
      <c r="N43" s="11" t="n">
        <f aca="false">SUMIFS(K$2:K43,A$2:A43,A43,B$2:B43,B43)</f>
        <v>1403595.3</v>
      </c>
      <c r="O43" s="11" t="n">
        <f aca="false">MAX(0,_xlfn.MAXIFS(N$2:N43,A$2:A43,A43,B$2:B43,B43))</f>
        <v>2938793.4</v>
      </c>
      <c r="P43" s="11" t="n">
        <f aca="false">N43-O43</f>
        <v>-1535198.1</v>
      </c>
    </row>
    <row r="44" customFormat="false" ht="15" hidden="false" customHeight="false" outlineLevel="0" collapsed="false">
      <c r="A44" s="8" t="s">
        <v>25</v>
      </c>
      <c r="B44" s="8" t="s">
        <v>26</v>
      </c>
      <c r="C44" s="8" t="s">
        <v>49</v>
      </c>
      <c r="D44" s="19" t="n">
        <v>46049.4166666667</v>
      </c>
      <c r="E44" s="19" t="n">
        <v>46051.875</v>
      </c>
      <c r="F44" s="20" t="n">
        <f aca="false">DATE(YEAR(E44),MONTH(E44),1)</f>
        <v>46023</v>
      </c>
      <c r="G44" s="21" t="n">
        <v>385184</v>
      </c>
      <c r="H44" s="8" t="s">
        <v>50</v>
      </c>
      <c r="I44" s="22" t="n">
        <v>7620.89</v>
      </c>
      <c r="J44" s="23" t="n">
        <f aca="false">Summary!$B$4</f>
        <v>1</v>
      </c>
      <c r="K44" s="11" t="n">
        <f aca="false">I44*J44*IF(A44="SILVER",Summary!$B$5,Summary!$B$6)</f>
        <v>228626.7</v>
      </c>
      <c r="L44" s="24" t="n">
        <v>0.188</v>
      </c>
      <c r="M44" s="25" t="n">
        <f aca="false">IF(K44&gt;0,1,0)</f>
        <v>1</v>
      </c>
      <c r="N44" s="11" t="n">
        <f aca="false">SUMIFS(K$2:K44,A$2:A44,A44,B$2:B44,B44)</f>
        <v>1632222</v>
      </c>
      <c r="O44" s="11" t="n">
        <f aca="false">MAX(0,_xlfn.MAXIFS(N$2:N44,A$2:A44,A44,B$2:B44,B44))</f>
        <v>2938793.4</v>
      </c>
      <c r="P44" s="11" t="n">
        <f aca="false">N44-O44</f>
        <v>-1306571.4</v>
      </c>
    </row>
    <row r="45" customFormat="false" ht="15" hidden="false" customHeight="false" outlineLevel="0" collapsed="false">
      <c r="A45" s="8" t="s">
        <v>25</v>
      </c>
      <c r="B45" s="8" t="s">
        <v>26</v>
      </c>
      <c r="C45" s="8" t="s">
        <v>51</v>
      </c>
      <c r="D45" s="19" t="n">
        <v>46051.875</v>
      </c>
      <c r="E45" s="19" t="n">
        <v>46073.625</v>
      </c>
      <c r="F45" s="20" t="n">
        <f aca="false">DATE(YEAR(E45),MONTH(E45),1)</f>
        <v>46054</v>
      </c>
      <c r="G45" s="21" t="n">
        <v>392887</v>
      </c>
      <c r="H45" s="8" t="s">
        <v>50</v>
      </c>
      <c r="I45" s="22" t="n">
        <v>114404.57</v>
      </c>
      <c r="J45" s="23" t="n">
        <f aca="false">Summary!$B$4</f>
        <v>1</v>
      </c>
      <c r="K45" s="11" t="n">
        <f aca="false">I45*J45*IF(A45="SILVER",Summary!$B$5,Summary!$B$6)</f>
        <v>3432137.1</v>
      </c>
      <c r="L45" s="24" t="n">
        <v>1.549</v>
      </c>
      <c r="M45" s="25" t="n">
        <f aca="false">IF(K45&gt;0,1,0)</f>
        <v>1</v>
      </c>
      <c r="N45" s="11" t="n">
        <f aca="false">SUMIFS(K$2:K45,A$2:A45,A45,B$2:B45,B45)</f>
        <v>5064359.1</v>
      </c>
      <c r="O45" s="11" t="n">
        <f aca="false">MAX(0,_xlfn.MAXIFS(N$2:N45,A$2:A45,A45,B$2:B45,B45))</f>
        <v>5064359.1</v>
      </c>
      <c r="P45" s="11" t="n">
        <f aca="false">N45-O45</f>
        <v>0</v>
      </c>
    </row>
    <row r="46" customFormat="false" ht="15" hidden="false" customHeight="false" outlineLevel="0" collapsed="false">
      <c r="A46" s="8" t="s">
        <v>25</v>
      </c>
      <c r="B46" s="8" t="s">
        <v>26</v>
      </c>
      <c r="C46" s="8" t="s">
        <v>49</v>
      </c>
      <c r="D46" s="19" t="n">
        <v>46073.625</v>
      </c>
      <c r="E46" s="19" t="n">
        <v>46083.9201388889</v>
      </c>
      <c r="F46" s="20" t="n">
        <f aca="false">DATE(YEAR(E46),MONTH(E46),1)</f>
        <v>46082</v>
      </c>
      <c r="G46" s="21" t="n">
        <v>278411</v>
      </c>
      <c r="H46" s="8" t="s">
        <v>50</v>
      </c>
      <c r="I46" s="22" t="n">
        <v>18960.97</v>
      </c>
      <c r="J46" s="23" t="n">
        <f aca="false">Summary!$B$4</f>
        <v>1</v>
      </c>
      <c r="K46" s="11" t="n">
        <f aca="false">I46*J46*IF(A46="SILVER",Summary!$B$5,Summary!$B$6)</f>
        <v>568829.1</v>
      </c>
      <c r="L46" s="24" t="n">
        <v>1.054</v>
      </c>
      <c r="M46" s="25" t="n">
        <f aca="false">IF(K46&gt;0,1,0)</f>
        <v>1</v>
      </c>
      <c r="N46" s="11" t="n">
        <f aca="false">SUMIFS(K$2:K46,A$2:A46,A46,B$2:B46,B46)</f>
        <v>5633188.2</v>
      </c>
      <c r="O46" s="11" t="n">
        <f aca="false">MAX(0,_xlfn.MAXIFS(N$2:N46,A$2:A46,A46,B$2:B46,B46))</f>
        <v>5633188.2</v>
      </c>
      <c r="P46" s="11" t="n">
        <f aca="false">N46-O46</f>
        <v>0</v>
      </c>
    </row>
    <row r="47" customFormat="false" ht="15" hidden="false" customHeight="false" outlineLevel="0" collapsed="false">
      <c r="A47" s="8" t="s">
        <v>25</v>
      </c>
      <c r="B47" s="8" t="s">
        <v>26</v>
      </c>
      <c r="C47" s="8" t="s">
        <v>51</v>
      </c>
      <c r="D47" s="19" t="n">
        <v>46083.9201388889</v>
      </c>
      <c r="E47" s="19" t="n">
        <v>46091.7916666667</v>
      </c>
      <c r="F47" s="20" t="n">
        <f aca="false">DATE(YEAR(E47),MONTH(E47),1)</f>
        <v>46082</v>
      </c>
      <c r="G47" s="21" t="n">
        <v>297434</v>
      </c>
      <c r="H47" s="8" t="s">
        <v>50</v>
      </c>
      <c r="I47" s="22" t="n">
        <v>1419.37</v>
      </c>
      <c r="J47" s="23" t="n">
        <f aca="false">Summary!$B$4</f>
        <v>1</v>
      </c>
      <c r="K47" s="11" t="n">
        <f aca="false">I47*J47*IF(A47="SILVER",Summary!$B$5,Summary!$B$6)</f>
        <v>42581.1</v>
      </c>
      <c r="L47" s="24" t="n">
        <v>0.065</v>
      </c>
      <c r="M47" s="25" t="n">
        <f aca="false">IF(K47&gt;0,1,0)</f>
        <v>1</v>
      </c>
      <c r="N47" s="11" t="n">
        <f aca="false">SUMIFS(K$2:K47,A$2:A47,A47,B$2:B47,B47)</f>
        <v>5675769.3</v>
      </c>
      <c r="O47" s="11" t="n">
        <f aca="false">MAX(0,_xlfn.MAXIFS(N$2:N47,A$2:A47,A47,B$2:B47,B47))</f>
        <v>5675769.3</v>
      </c>
      <c r="P47" s="11" t="n">
        <f aca="false">N47-O47</f>
        <v>0</v>
      </c>
    </row>
    <row r="48" customFormat="false" ht="15" hidden="false" customHeight="false" outlineLevel="0" collapsed="false">
      <c r="A48" s="8" t="s">
        <v>25</v>
      </c>
      <c r="B48" s="8" t="s">
        <v>26</v>
      </c>
      <c r="C48" s="8" t="s">
        <v>49</v>
      </c>
      <c r="D48" s="19" t="n">
        <v>46091.7916666667</v>
      </c>
      <c r="E48" s="19" t="n">
        <v>46094.5</v>
      </c>
      <c r="F48" s="20" t="n">
        <f aca="false">DATE(YEAR(E48),MONTH(E48),1)</f>
        <v>46082</v>
      </c>
      <c r="G48" s="21" t="n">
        <v>295884</v>
      </c>
      <c r="H48" s="8" t="s">
        <v>50</v>
      </c>
      <c r="I48" s="22" t="n">
        <v>-14775.21</v>
      </c>
      <c r="J48" s="23" t="n">
        <f aca="false">Summary!$B$4</f>
        <v>1</v>
      </c>
      <c r="K48" s="11" t="n">
        <f aca="false">I48*J48*IF(A48="SILVER",Summary!$B$5,Summary!$B$6)</f>
        <v>-443256.3</v>
      </c>
      <c r="L48" s="24" t="n">
        <v>-0.879</v>
      </c>
      <c r="M48" s="25" t="n">
        <f aca="false">IF(K48&gt;0,1,0)</f>
        <v>0</v>
      </c>
      <c r="N48" s="11" t="n">
        <f aca="false">SUMIFS(K$2:K48,A$2:A48,A48,B$2:B48,B48)</f>
        <v>5232513</v>
      </c>
      <c r="O48" s="11" t="n">
        <f aca="false">MAX(0,_xlfn.MAXIFS(N$2:N48,A$2:A48,A48,B$2:B48,B48))</f>
        <v>5675769.3</v>
      </c>
      <c r="P48" s="11" t="n">
        <f aca="false">N48-O48</f>
        <v>-443256.3</v>
      </c>
    </row>
    <row r="49" customFormat="false" ht="15" hidden="false" customHeight="false" outlineLevel="0" collapsed="false">
      <c r="A49" s="8" t="s">
        <v>25</v>
      </c>
      <c r="B49" s="8" t="s">
        <v>26</v>
      </c>
      <c r="C49" s="8" t="s">
        <v>51</v>
      </c>
      <c r="D49" s="19" t="n">
        <v>46094.5</v>
      </c>
      <c r="E49" s="19" t="n">
        <v>46106.4166666667</v>
      </c>
      <c r="F49" s="20" t="n">
        <f aca="false">DATE(YEAR(E49),MONTH(E49),1)</f>
        <v>46082</v>
      </c>
      <c r="G49" s="21" t="n">
        <v>281173</v>
      </c>
      <c r="H49" s="8" t="s">
        <v>50</v>
      </c>
      <c r="I49" s="22" t="n">
        <v>27164.01</v>
      </c>
      <c r="J49" s="23" t="n">
        <f aca="false">Summary!$B$4</f>
        <v>1</v>
      </c>
      <c r="K49" s="11" t="n">
        <f aca="false">I49*J49*IF(A49="SILVER",Summary!$B$5,Summary!$B$6)</f>
        <v>814920.3</v>
      </c>
      <c r="L49" s="24" t="n">
        <v>1.721</v>
      </c>
      <c r="M49" s="25" t="n">
        <f aca="false">IF(K49&gt;0,1,0)</f>
        <v>1</v>
      </c>
      <c r="N49" s="11" t="n">
        <f aca="false">SUMIFS(K$2:K49,A$2:A49,A49,B$2:B49,B49)</f>
        <v>6047433.3</v>
      </c>
      <c r="O49" s="11" t="n">
        <f aca="false">MAX(0,_xlfn.MAXIFS(N$2:N49,A$2:A49,A49,B$2:B49,B49))</f>
        <v>6047433.3</v>
      </c>
      <c r="P49" s="11" t="n">
        <f aca="false">N49-O49</f>
        <v>0</v>
      </c>
    </row>
    <row r="50" customFormat="false" ht="15" hidden="false" customHeight="false" outlineLevel="0" collapsed="false">
      <c r="A50" s="8" t="s">
        <v>25</v>
      </c>
      <c r="B50" s="8" t="s">
        <v>26</v>
      </c>
      <c r="C50" s="8" t="s">
        <v>49</v>
      </c>
      <c r="D50" s="19" t="n">
        <v>46106.4166666667</v>
      </c>
      <c r="E50" s="19" t="n">
        <v>46114.5</v>
      </c>
      <c r="F50" s="20" t="n">
        <f aca="false">DATE(YEAR(E50),MONTH(E50),1)</f>
        <v>46113</v>
      </c>
      <c r="G50" s="21" t="n">
        <v>253949</v>
      </c>
      <c r="H50" s="8" t="s">
        <v>50</v>
      </c>
      <c r="I50" s="22" t="n">
        <v>-10336.29</v>
      </c>
      <c r="J50" s="23" t="n">
        <f aca="false">Summary!$B$4</f>
        <v>1</v>
      </c>
      <c r="K50" s="11" t="n">
        <f aca="false">I50*J50*IF(A50="SILVER",Summary!$B$5,Summary!$B$6)</f>
        <v>-310088.7</v>
      </c>
      <c r="L50" s="24" t="n">
        <v>-0.316</v>
      </c>
      <c r="M50" s="25" t="n">
        <f aca="false">IF(K50&gt;0,1,0)</f>
        <v>0</v>
      </c>
      <c r="N50" s="11" t="n">
        <f aca="false">SUMIFS(K$2:K50,A$2:A50,A50,B$2:B50,B50)</f>
        <v>5737344.6</v>
      </c>
      <c r="O50" s="11" t="n">
        <f aca="false">MAX(0,_xlfn.MAXIFS(N$2:N50,A$2:A50,A50,B$2:B50,B50))</f>
        <v>6047433.3</v>
      </c>
      <c r="P50" s="11" t="n">
        <f aca="false">N50-O50</f>
        <v>-310088.7</v>
      </c>
    </row>
    <row r="51" customFormat="false" ht="15" hidden="false" customHeight="false" outlineLevel="0" collapsed="false">
      <c r="A51" s="8" t="s">
        <v>25</v>
      </c>
      <c r="B51" s="8" t="s">
        <v>26</v>
      </c>
      <c r="C51" s="8" t="s">
        <v>51</v>
      </c>
      <c r="D51" s="19" t="n">
        <v>46114.5</v>
      </c>
      <c r="E51" s="19" t="n">
        <v>46120.4166666667</v>
      </c>
      <c r="F51" s="20" t="n">
        <f aca="false">DATE(YEAR(E51),MONTH(E51),1)</f>
        <v>46113</v>
      </c>
      <c r="G51" s="21" t="n">
        <v>243669</v>
      </c>
      <c r="H51" s="8" t="s">
        <v>50</v>
      </c>
      <c r="I51" s="22" t="n">
        <v>-17620.03</v>
      </c>
      <c r="J51" s="23" t="n">
        <f aca="false">Summary!$B$4</f>
        <v>1</v>
      </c>
      <c r="K51" s="11" t="n">
        <f aca="false">I51*J51*IF(A51="SILVER",Summary!$B$5,Summary!$B$6)</f>
        <v>-528600.9</v>
      </c>
      <c r="L51" s="24" t="n">
        <v>-0.852</v>
      </c>
      <c r="M51" s="25" t="n">
        <f aca="false">IF(K51&gt;0,1,0)</f>
        <v>0</v>
      </c>
      <c r="N51" s="11" t="n">
        <f aca="false">SUMIFS(K$2:K51,A$2:A51,A51,B$2:B51,B51)</f>
        <v>5208743.7</v>
      </c>
      <c r="O51" s="11" t="n">
        <f aca="false">MAX(0,_xlfn.MAXIFS(N$2:N51,A$2:A51,A51,B$2:B51,B51))</f>
        <v>6047433.3</v>
      </c>
      <c r="P51" s="11" t="n">
        <f aca="false">N51-O51</f>
        <v>-838689.600000001</v>
      </c>
    </row>
    <row r="52" customFormat="false" ht="15" hidden="false" customHeight="false" outlineLevel="0" collapsed="false">
      <c r="A52" s="8" t="s">
        <v>25</v>
      </c>
      <c r="B52" s="8" t="s">
        <v>26</v>
      </c>
      <c r="C52" s="8" t="s">
        <v>49</v>
      </c>
      <c r="D52" s="19" t="n">
        <v>46120.4166666667</v>
      </c>
      <c r="E52" s="19" t="n">
        <v>46133.875</v>
      </c>
      <c r="F52" s="20" t="n">
        <f aca="false">DATE(YEAR(E52),MONTH(E52),1)</f>
        <v>46113</v>
      </c>
      <c r="G52" s="21" t="n">
        <v>261232</v>
      </c>
      <c r="H52" s="8" t="s">
        <v>50</v>
      </c>
      <c r="I52" s="22" t="n">
        <v>1442.08</v>
      </c>
      <c r="J52" s="23" t="n">
        <f aca="false">Summary!$B$4</f>
        <v>1</v>
      </c>
      <c r="K52" s="11" t="n">
        <f aca="false">I52*J52*IF(A52="SILVER",Summary!$B$5,Summary!$B$6)</f>
        <v>43262.4</v>
      </c>
      <c r="L52" s="24" t="n">
        <v>0.076</v>
      </c>
      <c r="M52" s="25" t="n">
        <f aca="false">IF(K52&gt;0,1,0)</f>
        <v>1</v>
      </c>
      <c r="N52" s="11" t="n">
        <f aca="false">SUMIFS(K$2:K52,A$2:A52,A52,B$2:B52,B52)</f>
        <v>5252006.1</v>
      </c>
      <c r="O52" s="11" t="n">
        <f aca="false">MAX(0,_xlfn.MAXIFS(N$2:N52,A$2:A52,A52,B$2:B52,B52))</f>
        <v>6047433.3</v>
      </c>
      <c r="P52" s="11" t="n">
        <f aca="false">N52-O52</f>
        <v>-795427.2</v>
      </c>
    </row>
    <row r="53" customFormat="false" ht="15" hidden="false" customHeight="false" outlineLevel="0" collapsed="false">
      <c r="A53" s="8" t="s">
        <v>25</v>
      </c>
      <c r="B53" s="8" t="s">
        <v>26</v>
      </c>
      <c r="C53" s="8" t="s">
        <v>51</v>
      </c>
      <c r="D53" s="19" t="n">
        <v>46133.875</v>
      </c>
      <c r="E53" s="19" t="n">
        <v>46143.8340277778</v>
      </c>
      <c r="F53" s="20" t="n">
        <f aca="false">DATE(YEAR(E53),MONTH(E53),1)</f>
        <v>46143</v>
      </c>
      <c r="G53" s="21" t="n">
        <v>262733</v>
      </c>
      <c r="H53" s="8" t="s">
        <v>50</v>
      </c>
      <c r="I53" s="22" t="n">
        <v>-2211.31</v>
      </c>
      <c r="J53" s="23" t="n">
        <f aca="false">Summary!$B$4</f>
        <v>1</v>
      </c>
      <c r="K53" s="11" t="n">
        <f aca="false">I53*J53*IF(A53="SILVER",Summary!$B$5,Summary!$B$6)</f>
        <v>-66339.3</v>
      </c>
      <c r="L53" s="24" t="n">
        <v>-0.178</v>
      </c>
      <c r="M53" s="25" t="n">
        <f aca="false">IF(K53&gt;0,1,0)</f>
        <v>0</v>
      </c>
      <c r="N53" s="11" t="n">
        <f aca="false">SUMIFS(K$2:K53,A$2:A53,A53,B$2:B53,B53)</f>
        <v>5185666.8</v>
      </c>
      <c r="O53" s="11" t="n">
        <f aca="false">MAX(0,_xlfn.MAXIFS(N$2:N53,A$2:A53,A53,B$2:B53,B53))</f>
        <v>6047433.3</v>
      </c>
      <c r="P53" s="11" t="n">
        <f aca="false">N53-O53</f>
        <v>-861766.5</v>
      </c>
    </row>
    <row r="54" customFormat="false" ht="15" hidden="false" customHeight="false" outlineLevel="0" collapsed="false">
      <c r="A54" s="8" t="s">
        <v>25</v>
      </c>
      <c r="B54" s="8" t="s">
        <v>26</v>
      </c>
      <c r="C54" s="8" t="s">
        <v>49</v>
      </c>
      <c r="D54" s="19" t="n">
        <v>46143.8340277778</v>
      </c>
      <c r="E54" s="19" t="n">
        <v>46147.5819444444</v>
      </c>
      <c r="F54" s="20" t="n">
        <f aca="false">DATE(YEAR(E54),MONTH(E54),1)</f>
        <v>46143</v>
      </c>
      <c r="G54" s="21" t="n">
        <v>264885</v>
      </c>
      <c r="H54" s="8" t="s">
        <v>50</v>
      </c>
      <c r="I54" s="22" t="n">
        <v>-7558.37</v>
      </c>
      <c r="J54" s="23" t="n">
        <f aca="false">Summary!$B$4</f>
        <v>1</v>
      </c>
      <c r="K54" s="11" t="n">
        <f aca="false">I54*J54*IF(A54="SILVER",Summary!$B$5,Summary!$B$6)</f>
        <v>-226751.1</v>
      </c>
      <c r="L54" s="24" t="n">
        <v>-0.591</v>
      </c>
      <c r="M54" s="25" t="n">
        <f aca="false">IF(K54&gt;0,1,0)</f>
        <v>0</v>
      </c>
      <c r="N54" s="11" t="n">
        <f aca="false">SUMIFS(K$2:K54,A$2:A54,A54,B$2:B54,B54)</f>
        <v>4958915.7</v>
      </c>
      <c r="O54" s="11" t="n">
        <f aca="false">MAX(0,_xlfn.MAXIFS(N$2:N54,A$2:A54,A54,B$2:B54,B54))</f>
        <v>6047433.3</v>
      </c>
      <c r="P54" s="11" t="n">
        <f aca="false">N54-O54</f>
        <v>-1088517.6</v>
      </c>
    </row>
    <row r="55" customFormat="false" ht="15" hidden="false" customHeight="false" outlineLevel="0" collapsed="false">
      <c r="A55" s="8" t="s">
        <v>25</v>
      </c>
      <c r="B55" s="8" t="s">
        <v>26</v>
      </c>
      <c r="C55" s="8" t="s">
        <v>51</v>
      </c>
      <c r="D55" s="19" t="n">
        <v>46147.5819444444</v>
      </c>
      <c r="E55" s="19" t="n">
        <v>46149.6666666667</v>
      </c>
      <c r="F55" s="20" t="n">
        <f aca="false">DATE(YEAR(E55),MONTH(E55),1)</f>
        <v>46143</v>
      </c>
      <c r="G55" s="21" t="n">
        <v>257385</v>
      </c>
      <c r="H55" s="8" t="s">
        <v>50</v>
      </c>
      <c r="I55" s="22" t="n">
        <v>-10335.79</v>
      </c>
      <c r="J55" s="23" t="n">
        <f aca="false">Summary!$B$4</f>
        <v>1</v>
      </c>
      <c r="K55" s="11" t="n">
        <f aca="false">I55*J55*IF(A55="SILVER",Summary!$B$5,Summary!$B$6)</f>
        <v>-310073.7</v>
      </c>
      <c r="L55" s="24" t="n">
        <v>-1.065</v>
      </c>
      <c r="M55" s="25" t="n">
        <f aca="false">IF(K55&gt;0,1,0)</f>
        <v>0</v>
      </c>
      <c r="N55" s="11" t="n">
        <f aca="false">SUMIFS(K$2:K55,A$2:A55,A55,B$2:B55,B55)</f>
        <v>4648842</v>
      </c>
      <c r="O55" s="11" t="n">
        <f aca="false">MAX(0,_xlfn.MAXIFS(N$2:N55,A$2:A55,A55,B$2:B55,B55))</f>
        <v>6047433.3</v>
      </c>
      <c r="P55" s="11" t="n">
        <f aca="false">N55-O55</f>
        <v>-1398591.3</v>
      </c>
    </row>
    <row r="56" customFormat="false" ht="15" hidden="false" customHeight="false" outlineLevel="0" collapsed="false">
      <c r="A56" s="8" t="s">
        <v>25</v>
      </c>
      <c r="B56" s="8" t="s">
        <v>26</v>
      </c>
      <c r="C56" s="8" t="s">
        <v>49</v>
      </c>
      <c r="D56" s="19" t="n">
        <v>46149.6666666667</v>
      </c>
      <c r="E56" s="19" t="n">
        <v>46157.4166666667</v>
      </c>
      <c r="F56" s="20" t="n">
        <f aca="false">DATE(YEAR(E56),MONTH(E56),1)</f>
        <v>46143</v>
      </c>
      <c r="G56" s="21" t="n">
        <v>267599</v>
      </c>
      <c r="H56" s="8" t="s">
        <v>50</v>
      </c>
      <c r="I56" s="22" t="n">
        <v>21905.67</v>
      </c>
      <c r="J56" s="23" t="n">
        <f aca="false">Summary!$B$4</f>
        <v>1</v>
      </c>
      <c r="K56" s="11" t="n">
        <f aca="false">I56*J56*IF(A56="SILVER",Summary!$B$5,Summary!$B$6)</f>
        <v>657170.1</v>
      </c>
      <c r="L56" s="24" t="n">
        <v>1.911</v>
      </c>
      <c r="M56" s="25" t="n">
        <f aca="false">IF(K56&gt;0,1,0)</f>
        <v>1</v>
      </c>
      <c r="N56" s="11" t="n">
        <f aca="false">SUMIFS(K$2:K56,A$2:A56,A56,B$2:B56,B56)</f>
        <v>5306012.1</v>
      </c>
      <c r="O56" s="11" t="n">
        <f aca="false">MAX(0,_xlfn.MAXIFS(N$2:N56,A$2:A56,A56,B$2:B56,B56))</f>
        <v>6047433.3</v>
      </c>
      <c r="P56" s="11" t="n">
        <f aca="false">N56-O56</f>
        <v>-741421.2</v>
      </c>
    </row>
    <row r="57" customFormat="false" ht="15" hidden="false" customHeight="false" outlineLevel="0" collapsed="false">
      <c r="A57" s="8" t="s">
        <v>25</v>
      </c>
      <c r="B57" s="8" t="s">
        <v>26</v>
      </c>
      <c r="C57" s="8" t="s">
        <v>51</v>
      </c>
      <c r="D57" s="19" t="n">
        <v>46157.4166666667</v>
      </c>
      <c r="E57" s="19" t="n">
        <v>46188.375</v>
      </c>
      <c r="F57" s="20" t="n">
        <f aca="false">DATE(YEAR(E57),MONTH(E57),1)</f>
        <v>46174</v>
      </c>
      <c r="G57" s="21" t="n">
        <v>289569</v>
      </c>
      <c r="H57" s="8" t="s">
        <v>50</v>
      </c>
      <c r="I57" s="22" t="n">
        <v>30974.07</v>
      </c>
      <c r="J57" s="23" t="n">
        <f aca="false">Summary!$B$4</f>
        <v>1</v>
      </c>
      <c r="K57" s="11" t="n">
        <f aca="false">I57*J57*IF(A57="SILVER",Summary!$B$5,Summary!$B$6)</f>
        <v>929222.1</v>
      </c>
      <c r="L57" s="24" t="n">
        <v>1.771</v>
      </c>
      <c r="M57" s="25" t="n">
        <f aca="false">IF(K57&gt;0,1,0)</f>
        <v>1</v>
      </c>
      <c r="N57" s="11" t="n">
        <f aca="false">SUMIFS(K$2:K57,A$2:A57,A57,B$2:B57,B57)</f>
        <v>6235234.2</v>
      </c>
      <c r="O57" s="11" t="n">
        <f aca="false">MAX(0,_xlfn.MAXIFS(N$2:N57,A$2:A57,A57,B$2:B57,B57))</f>
        <v>6235234.2</v>
      </c>
      <c r="P57" s="11" t="n">
        <f aca="false">N57-O57</f>
        <v>0</v>
      </c>
    </row>
    <row r="58" customFormat="false" ht="15" hidden="false" customHeight="false" outlineLevel="0" collapsed="false">
      <c r="A58" s="8" t="s">
        <v>25</v>
      </c>
      <c r="B58" s="8" t="s">
        <v>26</v>
      </c>
      <c r="C58" s="8" t="s">
        <v>49</v>
      </c>
      <c r="D58" s="19" t="n">
        <v>46188.375</v>
      </c>
      <c r="E58" s="19" t="n">
        <v>46191.7083333333</v>
      </c>
      <c r="F58" s="20" t="n">
        <f aca="false">DATE(YEAR(E58),MONTH(E58),1)</f>
        <v>46174</v>
      </c>
      <c r="G58" s="21" t="n">
        <v>258532</v>
      </c>
      <c r="H58" s="8" t="s">
        <v>50</v>
      </c>
      <c r="I58" s="22" t="n">
        <v>-10326.78</v>
      </c>
      <c r="J58" s="23" t="n">
        <f aca="false">Summary!$B$4</f>
        <v>1</v>
      </c>
      <c r="K58" s="11" t="n">
        <f aca="false">I58*J58*IF(A58="SILVER",Summary!$B$5,Summary!$B$6)</f>
        <v>-309803.4</v>
      </c>
      <c r="L58" s="24" t="n">
        <v>-0.535</v>
      </c>
      <c r="M58" s="25" t="n">
        <f aca="false">IF(K58&gt;0,1,0)</f>
        <v>0</v>
      </c>
      <c r="N58" s="11" t="n">
        <f aca="false">SUMIFS(K$2:K58,A$2:A58,A58,B$2:B58,B58)</f>
        <v>5925430.8</v>
      </c>
      <c r="O58" s="11" t="n">
        <f aca="false">MAX(0,_xlfn.MAXIFS(N$2:N58,A$2:A58,A58,B$2:B58,B58))</f>
        <v>6235234.2</v>
      </c>
      <c r="P58" s="11" t="n">
        <f aca="false">N58-O58</f>
        <v>-309803.399999999</v>
      </c>
    </row>
    <row r="59" customFormat="false" ht="15" hidden="false" customHeight="false" outlineLevel="0" collapsed="false">
      <c r="A59" s="8" t="s">
        <v>25</v>
      </c>
      <c r="B59" s="8" t="s">
        <v>26</v>
      </c>
      <c r="C59" s="8" t="s">
        <v>51</v>
      </c>
      <c r="D59" s="19" t="n">
        <v>46191.7083333333</v>
      </c>
      <c r="E59" s="19" t="n">
        <v>46203.7958333333</v>
      </c>
      <c r="F59" s="20" t="n">
        <f aca="false">DATE(YEAR(E59),MONTH(E59),1)</f>
        <v>46174</v>
      </c>
      <c r="G59" s="21" t="n">
        <v>248264</v>
      </c>
      <c r="H59" s="8" t="s">
        <v>50</v>
      </c>
      <c r="I59" s="22" t="n">
        <v>16488.27</v>
      </c>
      <c r="J59" s="23" t="n">
        <f aca="false">Summary!$B$4</f>
        <v>1</v>
      </c>
      <c r="K59" s="11" t="n">
        <f aca="false">I59*J59*IF(A59="SILVER",Summary!$B$5,Summary!$B$6)</f>
        <v>494648.1</v>
      </c>
      <c r="L59" s="24" t="n">
        <v>1.458</v>
      </c>
      <c r="M59" s="25" t="n">
        <f aca="false">IF(K59&gt;0,1,0)</f>
        <v>1</v>
      </c>
      <c r="N59" s="11" t="n">
        <f aca="false">SUMIFS(K$2:K59,A$2:A59,A59,B$2:B59,B59)</f>
        <v>6420078.9</v>
      </c>
      <c r="O59" s="11" t="n">
        <f aca="false">MAX(0,_xlfn.MAXIFS(N$2:N59,A$2:A59,A59,B$2:B59,B59))</f>
        <v>6420078.9</v>
      </c>
      <c r="P59" s="11" t="n">
        <f aca="false">N59-O59</f>
        <v>0</v>
      </c>
    </row>
    <row r="60" customFormat="false" ht="15" hidden="false" customHeight="false" outlineLevel="0" collapsed="false">
      <c r="A60" s="8" t="s">
        <v>25</v>
      </c>
      <c r="B60" s="8" t="s">
        <v>26</v>
      </c>
      <c r="C60" s="8" t="s">
        <v>49</v>
      </c>
      <c r="D60" s="19" t="n">
        <v>46203.7958333333</v>
      </c>
      <c r="E60" s="19" t="n">
        <v>46211.4166666667</v>
      </c>
      <c r="F60" s="20" t="n">
        <f aca="false">DATE(YEAR(E60),MONTH(E60),1)</f>
        <v>46204</v>
      </c>
      <c r="G60" s="21" t="n">
        <v>231719</v>
      </c>
      <c r="H60" s="8" t="s">
        <v>50</v>
      </c>
      <c r="I60" s="22" t="n">
        <v>2216.57</v>
      </c>
      <c r="J60" s="23" t="n">
        <f aca="false">Summary!$B$4</f>
        <v>1</v>
      </c>
      <c r="K60" s="11" t="n">
        <f aca="false">I60*J60*IF(A60="SILVER",Summary!$B$5,Summary!$B$6)</f>
        <v>66497.1</v>
      </c>
      <c r="L60" s="24" t="n">
        <v>0.201</v>
      </c>
      <c r="M60" s="25" t="n">
        <f aca="false">IF(K60&gt;0,1,0)</f>
        <v>1</v>
      </c>
      <c r="N60" s="11" t="n">
        <f aca="false">SUMIFS(K$2:K60,A$2:A60,A60,B$2:B60,B60)</f>
        <v>6486576</v>
      </c>
      <c r="O60" s="11" t="n">
        <f aca="false">MAX(0,_xlfn.MAXIFS(N$2:N60,A$2:A60,A60,B$2:B60,B60))</f>
        <v>6486576</v>
      </c>
      <c r="P60" s="11" t="n">
        <f aca="false">N60-O60</f>
        <v>0</v>
      </c>
    </row>
    <row r="61" customFormat="false" ht="15" hidden="false" customHeight="false" outlineLevel="0" collapsed="false">
      <c r="A61" s="8" t="s">
        <v>25</v>
      </c>
      <c r="B61" s="8" t="s">
        <v>26</v>
      </c>
      <c r="C61" s="8" t="s">
        <v>51</v>
      </c>
      <c r="D61" s="19" t="n">
        <v>46211.4166666667</v>
      </c>
      <c r="E61" s="19" t="n">
        <v>46224.5</v>
      </c>
      <c r="F61" s="20" t="n">
        <f aca="false">DATE(YEAR(E61),MONTH(E61),1)</f>
        <v>46204</v>
      </c>
      <c r="G61" s="21" t="n">
        <v>234047</v>
      </c>
      <c r="H61" s="8" t="s">
        <v>50</v>
      </c>
      <c r="I61" s="22" t="n">
        <v>6933.82</v>
      </c>
      <c r="J61" s="23" t="n">
        <f aca="false">Summary!$B$4</f>
        <v>1</v>
      </c>
      <c r="K61" s="11" t="n">
        <f aca="false">I61*J61*IF(A61="SILVER",Summary!$B$5,Summary!$B$6)</f>
        <v>208014.6</v>
      </c>
      <c r="L61" s="24" t="n">
        <v>0.802</v>
      </c>
      <c r="M61" s="25" t="n">
        <f aca="false">IF(K61&gt;0,1,0)</f>
        <v>1</v>
      </c>
      <c r="N61" s="11" t="n">
        <f aca="false">SUMIFS(K$2:K61,A$2:A61,A61,B$2:B61,B61)</f>
        <v>6694590.6</v>
      </c>
      <c r="O61" s="11" t="n">
        <f aca="false">MAX(0,_xlfn.MAXIFS(N$2:N61,A$2:A61,A61,B$2:B61,B61))</f>
        <v>6694590.6</v>
      </c>
      <c r="P61" s="11" t="n">
        <f aca="false">N61-O61</f>
        <v>0</v>
      </c>
    </row>
    <row r="62" customFormat="false" ht="15" hidden="false" customHeight="false" outlineLevel="0" collapsed="false">
      <c r="A62" s="8" t="s">
        <v>25</v>
      </c>
      <c r="B62" s="8" t="s">
        <v>26</v>
      </c>
      <c r="C62" s="8" t="s">
        <v>49</v>
      </c>
      <c r="D62" s="19" t="n">
        <v>46224.5</v>
      </c>
      <c r="E62" s="19" t="n">
        <v>46226.7916666667</v>
      </c>
      <c r="F62" s="20" t="n">
        <f aca="false">DATE(YEAR(E62),MONTH(E62),1)</f>
        <v>46204</v>
      </c>
      <c r="G62" s="21" t="n">
        <v>227058</v>
      </c>
      <c r="H62" s="8" t="s">
        <v>50</v>
      </c>
      <c r="I62" s="22" t="n">
        <v>-2305.24</v>
      </c>
      <c r="J62" s="23" t="n">
        <f aca="false">Summary!$B$4</f>
        <v>1</v>
      </c>
      <c r="K62" s="11" t="n">
        <f aca="false">I62*J62*IF(A62="SILVER",Summary!$B$5,Summary!$B$6)</f>
        <v>-69157.2</v>
      </c>
      <c r="L62" s="24" t="n">
        <v>-0.303</v>
      </c>
      <c r="M62" s="25" t="n">
        <f aca="false">IF(K62&gt;0,1,0)</f>
        <v>0</v>
      </c>
      <c r="N62" s="11" t="n">
        <f aca="false">SUMIFS(K$2:K62,A$2:A62,A62,B$2:B62,B62)</f>
        <v>6625433.4</v>
      </c>
      <c r="O62" s="11" t="n">
        <f aca="false">MAX(0,_xlfn.MAXIFS(N$2:N62,A$2:A62,A62,B$2:B62,B62))</f>
        <v>6694590.6</v>
      </c>
      <c r="P62" s="11" t="n">
        <f aca="false">N62-O62</f>
        <v>-69157.2000000002</v>
      </c>
    </row>
    <row r="63" customFormat="false" ht="15" hidden="false" customHeight="false" outlineLevel="0" collapsed="false">
      <c r="A63" s="8" t="s">
        <v>25</v>
      </c>
      <c r="B63" s="8" t="s">
        <v>26</v>
      </c>
      <c r="C63" s="8" t="s">
        <v>51</v>
      </c>
      <c r="D63" s="19" t="n">
        <v>46226.7916666667</v>
      </c>
      <c r="E63" s="19" t="n">
        <v>46239.4166666667</v>
      </c>
      <c r="F63" s="20" t="n">
        <f aca="false">DATE(YEAR(E63),MONTH(E63),1)</f>
        <v>46235</v>
      </c>
      <c r="G63" s="21" t="n">
        <v>224807</v>
      </c>
      <c r="H63" s="8" t="s">
        <v>50</v>
      </c>
      <c r="I63" s="22" t="n">
        <v>-4032.41</v>
      </c>
      <c r="J63" s="23" t="n">
        <f aca="false">Summary!$B$4</f>
        <v>1</v>
      </c>
      <c r="K63" s="11" t="n">
        <f aca="false">I63*J63*IF(A63="SILVER",Summary!$B$5,Summary!$B$6)</f>
        <v>-120972.3</v>
      </c>
      <c r="L63" s="24" t="n">
        <v>-0.54</v>
      </c>
      <c r="M63" s="25" t="n">
        <f aca="false">IF(K63&gt;0,1,0)</f>
        <v>0</v>
      </c>
      <c r="N63" s="11" t="n">
        <f aca="false">SUMIFS(K$2:K63,A$2:A63,A63,B$2:B63,B63)</f>
        <v>6504461.1</v>
      </c>
      <c r="O63" s="11" t="n">
        <f aca="false">MAX(0,_xlfn.MAXIFS(N$2:N63,A$2:A63,A63,B$2:B63,B63))</f>
        <v>6694590.6</v>
      </c>
      <c r="P63" s="11" t="n">
        <f aca="false">N63-O63</f>
        <v>-190129.5</v>
      </c>
    </row>
    <row r="64" customFormat="false" ht="15" hidden="false" customHeight="false" outlineLevel="0" collapsed="false">
      <c r="A64" s="8" t="s">
        <v>25</v>
      </c>
      <c r="B64" s="8" t="s">
        <v>26</v>
      </c>
      <c r="C64" s="8" t="s">
        <v>49</v>
      </c>
      <c r="D64" s="19" t="n">
        <v>46239.4166666667</v>
      </c>
      <c r="E64" s="19" t="n">
        <v>46253.4166666667</v>
      </c>
      <c r="F64" s="20" t="n">
        <f aca="false">DATE(YEAR(E64),MONTH(E64),1)</f>
        <v>46235</v>
      </c>
      <c r="G64" s="21" t="n">
        <v>228785</v>
      </c>
      <c r="H64" s="8" t="s">
        <v>50</v>
      </c>
      <c r="I64" s="22" t="n">
        <v>4516.72</v>
      </c>
      <c r="J64" s="23" t="n">
        <f aca="false">Summary!$B$4</f>
        <v>1</v>
      </c>
      <c r="K64" s="11" t="n">
        <f aca="false">I64*J64*IF(A64="SILVER",Summary!$B$5,Summary!$B$6)</f>
        <v>135501.6</v>
      </c>
      <c r="L64" s="24" t="n">
        <v>0.635</v>
      </c>
      <c r="M64" s="25" t="n">
        <f aca="false">IF(K64&gt;0,1,0)</f>
        <v>1</v>
      </c>
      <c r="N64" s="11" t="n">
        <f aca="false">SUMIFS(K$2:K64,A$2:A64,A64,B$2:B64,B64)</f>
        <v>6639962.7</v>
      </c>
      <c r="O64" s="11" t="n">
        <f aca="false">MAX(0,_xlfn.MAXIFS(N$2:N64,A$2:A64,A64,B$2:B64,B64))</f>
        <v>6694590.6</v>
      </c>
      <c r="P64" s="11" t="n">
        <f aca="false">N64-O64</f>
        <v>-54627.9000000004</v>
      </c>
    </row>
    <row r="65" customFormat="false" ht="15" hidden="false" customHeight="false" outlineLevel="0" collapsed="false">
      <c r="A65" s="8" t="s">
        <v>25</v>
      </c>
      <c r="B65" s="8" t="s">
        <v>26</v>
      </c>
      <c r="C65" s="8" t="s">
        <v>51</v>
      </c>
      <c r="D65" s="19" t="n">
        <v>46253.4166666667</v>
      </c>
      <c r="E65" s="19" t="n">
        <v>46253.8333333333</v>
      </c>
      <c r="F65" s="20" t="n">
        <f aca="false">DATE(YEAR(E65),MONTH(E65),1)</f>
        <v>46235</v>
      </c>
      <c r="G65" s="21" t="n">
        <v>233357</v>
      </c>
      <c r="H65" s="8" t="s">
        <v>50</v>
      </c>
      <c r="I65" s="22" t="n">
        <v>-7502.47</v>
      </c>
      <c r="J65" s="23" t="n">
        <f aca="false">Summary!$B$4</f>
        <v>1</v>
      </c>
      <c r="K65" s="11" t="n">
        <f aca="false">I65*J65*IF(A65="SILVER",Summary!$B$5,Summary!$B$6)</f>
        <v>-225074.1</v>
      </c>
      <c r="L65" s="24" t="n">
        <v>-0.893</v>
      </c>
      <c r="M65" s="25" t="n">
        <f aca="false">IF(K65&gt;0,1,0)</f>
        <v>0</v>
      </c>
      <c r="N65" s="11" t="n">
        <f aca="false">SUMIFS(K$2:K65,A$2:A65,A65,B$2:B65,B65)</f>
        <v>6414888.6</v>
      </c>
      <c r="O65" s="11" t="n">
        <f aca="false">MAX(0,_xlfn.MAXIFS(N$2:N65,A$2:A65,A65,B$2:B65,B65))</f>
        <v>6694590.6</v>
      </c>
      <c r="P65" s="11" t="n">
        <f aca="false">N65-O65</f>
        <v>-279702</v>
      </c>
    </row>
    <row r="66" customFormat="false" ht="15" hidden="false" customHeight="false" outlineLevel="0" collapsed="false">
      <c r="A66" s="8" t="s">
        <v>25</v>
      </c>
      <c r="B66" s="8" t="s">
        <v>26</v>
      </c>
      <c r="C66" s="8" t="s">
        <v>49</v>
      </c>
      <c r="D66" s="19" t="n">
        <v>46253.8333333333</v>
      </c>
      <c r="E66" s="19" t="n">
        <v>46261.375</v>
      </c>
      <c r="F66" s="20" t="n">
        <f aca="false">DATE(YEAR(E66),MONTH(E66),1)</f>
        <v>46235</v>
      </c>
      <c r="G66" s="21" t="n">
        <v>240803</v>
      </c>
      <c r="H66" s="8" t="s">
        <v>50</v>
      </c>
      <c r="I66" s="22" t="n">
        <v>6795.5</v>
      </c>
      <c r="J66" s="23" t="n">
        <f aca="false">Summary!$B$4</f>
        <v>1</v>
      </c>
      <c r="K66" s="11" t="n">
        <f aca="false">I66*J66*IF(A66="SILVER",Summary!$B$5,Summary!$B$6)</f>
        <v>203865</v>
      </c>
      <c r="L66" s="24" t="n">
        <v>0.777</v>
      </c>
      <c r="M66" s="25" t="n">
        <f aca="false">IF(K66&gt;0,1,0)</f>
        <v>1</v>
      </c>
      <c r="N66" s="11" t="n">
        <f aca="false">SUMIFS(K$2:K66,A$2:A66,A66,B$2:B66,B66)</f>
        <v>6618753.6</v>
      </c>
      <c r="O66" s="11" t="n">
        <f aca="false">MAX(0,_xlfn.MAXIFS(N$2:N66,A$2:A66,A66,B$2:B66,B66))</f>
        <v>6694590.6</v>
      </c>
      <c r="P66" s="11" t="n">
        <f aca="false">N66-O66</f>
        <v>-75837</v>
      </c>
    </row>
    <row r="67" customFormat="false" ht="15" hidden="false" customHeight="false" outlineLevel="0" collapsed="false">
      <c r="A67" s="8" t="s">
        <v>25</v>
      </c>
      <c r="B67" s="8" t="s">
        <v>26</v>
      </c>
      <c r="C67" s="8" t="s">
        <v>51</v>
      </c>
      <c r="D67" s="19" t="n">
        <v>46261.375</v>
      </c>
      <c r="E67" s="19" t="n">
        <v>46268.9166666667</v>
      </c>
      <c r="F67" s="20" t="n">
        <f aca="false">DATE(YEAR(E67),MONTH(E67),1)</f>
        <v>46266</v>
      </c>
      <c r="G67" s="21" t="n">
        <v>247656</v>
      </c>
      <c r="H67" s="8" t="s">
        <v>50</v>
      </c>
      <c r="I67" s="22" t="n">
        <v>6983.45</v>
      </c>
      <c r="J67" s="23" t="n">
        <f aca="false">Summary!$B$4</f>
        <v>1</v>
      </c>
      <c r="K67" s="11" t="n">
        <f aca="false">I67*J67*IF(A67="SILVER",Summary!$B$5,Summary!$B$6)</f>
        <v>209503.5</v>
      </c>
      <c r="L67" s="24" t="n">
        <v>1.257</v>
      </c>
      <c r="M67" s="25" t="n">
        <f aca="false">IF(K67&gt;0,1,0)</f>
        <v>1</v>
      </c>
      <c r="N67" s="11" t="n">
        <f aca="false">SUMIFS(K$2:K67,A$2:A67,A67,B$2:B67,B67)</f>
        <v>6828257.1</v>
      </c>
      <c r="O67" s="11" t="n">
        <f aca="false">MAX(0,_xlfn.MAXIFS(N$2:N67,A$2:A67,A67,B$2:B67,B67))</f>
        <v>6828257.1</v>
      </c>
      <c r="P67" s="11" t="n">
        <f aca="false">N67-O67</f>
        <v>0</v>
      </c>
    </row>
    <row r="68" customFormat="false" ht="15" hidden="false" customHeight="false" outlineLevel="0" collapsed="false">
      <c r="A68" s="8" t="s">
        <v>25</v>
      </c>
      <c r="B68" s="8" t="s">
        <v>26</v>
      </c>
      <c r="C68" s="8" t="s">
        <v>49</v>
      </c>
      <c r="D68" s="19" t="n">
        <v>46268.9166666667</v>
      </c>
      <c r="E68" s="19" t="n">
        <v>46275.875</v>
      </c>
      <c r="F68" s="20" t="n">
        <f aca="false">DATE(YEAR(E68),MONTH(E68),1)</f>
        <v>46266</v>
      </c>
      <c r="G68" s="21" t="n">
        <v>240615</v>
      </c>
      <c r="H68" s="8" t="s">
        <v>50</v>
      </c>
      <c r="I68" s="22" t="n">
        <v>-5615.16</v>
      </c>
      <c r="J68" s="23" t="n">
        <f aca="false">Summary!$B$4</f>
        <v>1</v>
      </c>
      <c r="K68" s="11" t="n">
        <f aca="false">I68*J68*IF(A68="SILVER",Summary!$B$5,Summary!$B$6)</f>
        <v>-168454.8</v>
      </c>
      <c r="L68" s="24" t="n">
        <v>-0.671</v>
      </c>
      <c r="M68" s="25" t="n">
        <f aca="false">IF(K68&gt;0,1,0)</f>
        <v>0</v>
      </c>
      <c r="N68" s="11" t="n">
        <f aca="false">SUMIFS(K$2:K68,A$2:A68,A68,B$2:B68,B68)</f>
        <v>6659802.3</v>
      </c>
      <c r="O68" s="11" t="n">
        <f aca="false">MAX(0,_xlfn.MAXIFS(N$2:N68,A$2:A68,A68,B$2:B68,B68))</f>
        <v>6828257.1</v>
      </c>
      <c r="P68" s="11" t="n">
        <f aca="false">N68-O68</f>
        <v>-168454.8</v>
      </c>
    </row>
    <row r="69" customFormat="false" ht="15" hidden="false" customHeight="false" outlineLevel="0" collapsed="false">
      <c r="A69" s="8" t="s">
        <v>25</v>
      </c>
      <c r="B69" s="8" t="s">
        <v>26</v>
      </c>
      <c r="C69" s="8" t="s">
        <v>51</v>
      </c>
      <c r="D69" s="19" t="n">
        <v>46275.875</v>
      </c>
      <c r="E69" s="19" t="n">
        <v>46283.4583333333</v>
      </c>
      <c r="F69" s="20" t="n">
        <f aca="false">DATE(YEAR(E69),MONTH(E69),1)</f>
        <v>46266</v>
      </c>
      <c r="G69" s="21" t="n">
        <v>235114</v>
      </c>
      <c r="H69" s="8" t="s">
        <v>50</v>
      </c>
      <c r="I69" s="22" t="n">
        <v>-5172.52</v>
      </c>
      <c r="J69" s="23" t="n">
        <f aca="false">Summary!$B$4</f>
        <v>1</v>
      </c>
      <c r="K69" s="11" t="n">
        <f aca="false">I69*J69*IF(A69="SILVER",Summary!$B$5,Summary!$B$6)</f>
        <v>-155175.6</v>
      </c>
      <c r="L69" s="24" t="n">
        <v>-0.524</v>
      </c>
      <c r="M69" s="25" t="n">
        <f aca="false">IF(K69&gt;0,1,0)</f>
        <v>0</v>
      </c>
      <c r="N69" s="11" t="n">
        <f aca="false">SUMIFS(K$2:K69,A$2:A69,A69,B$2:B69,B69)</f>
        <v>6504626.7</v>
      </c>
      <c r="O69" s="11" t="n">
        <f aca="false">MAX(0,_xlfn.MAXIFS(N$2:N69,A$2:A69,A69,B$2:B69,B69))</f>
        <v>6828257.1</v>
      </c>
      <c r="P69" s="11" t="n">
        <f aca="false">N69-O69</f>
        <v>-323630.4</v>
      </c>
    </row>
    <row r="70" customFormat="false" ht="15" hidden="false" customHeight="false" outlineLevel="0" collapsed="false">
      <c r="A70" s="8" t="s">
        <v>25</v>
      </c>
      <c r="B70" s="8" t="s">
        <v>26</v>
      </c>
      <c r="C70" s="8" t="s">
        <v>49</v>
      </c>
      <c r="D70" s="19" t="n">
        <v>46283.4583333333</v>
      </c>
      <c r="E70" s="19" t="n">
        <v>46288.9784722222</v>
      </c>
      <c r="F70" s="20" t="n">
        <f aca="false">DATE(YEAR(E70),MONTH(E70),1)</f>
        <v>46266</v>
      </c>
      <c r="G70" s="21" t="n">
        <v>240229</v>
      </c>
      <c r="H70" s="8" t="s">
        <v>52</v>
      </c>
      <c r="I70" s="22" t="n">
        <v>-4201.62</v>
      </c>
      <c r="J70" s="23" t="n">
        <f aca="false">Summary!$B$4</f>
        <v>1</v>
      </c>
      <c r="K70" s="11" t="n">
        <f aca="false">I70*J70*IF(A70="SILVER",Summary!$B$5,Summary!$B$6)</f>
        <v>-126048.6</v>
      </c>
      <c r="L70" s="24" t="n">
        <v>-0.482</v>
      </c>
      <c r="M70" s="25" t="n">
        <f aca="false">IF(K70&gt;0,1,0)</f>
        <v>0</v>
      </c>
      <c r="N70" s="11" t="n">
        <f aca="false">SUMIFS(K$2:K70,A$2:A70,A70,B$2:B70,B70)</f>
        <v>6378578.1</v>
      </c>
      <c r="O70" s="11" t="n">
        <f aca="false">MAX(0,_xlfn.MAXIFS(N$2:N70,A$2:A70,A70,B$2:B70,B70))</f>
        <v>6828257.1</v>
      </c>
      <c r="P70" s="11" t="n">
        <f aca="false">N70-O70</f>
        <v>-449679</v>
      </c>
    </row>
    <row r="71" customFormat="false" ht="15" hidden="false" customHeight="false" outlineLevel="0" collapsed="false">
      <c r="A71" s="8" t="s">
        <v>25</v>
      </c>
      <c r="B71" s="8" t="s">
        <v>28</v>
      </c>
      <c r="C71" s="8" t="s">
        <v>51</v>
      </c>
      <c r="D71" s="19" t="n">
        <v>45699.7916666667</v>
      </c>
      <c r="E71" s="19" t="n">
        <v>45702.4166666667</v>
      </c>
      <c r="F71" s="20" t="n">
        <f aca="false">DATE(YEAR(E71),MONTH(E71),1)</f>
        <v>45689</v>
      </c>
      <c r="G71" s="21" t="n">
        <v>132343</v>
      </c>
      <c r="H71" s="8" t="s">
        <v>50</v>
      </c>
      <c r="I71" s="22" t="n">
        <v>-3073.97</v>
      </c>
      <c r="J71" s="23" t="n">
        <f aca="false">Summary!$B$4</f>
        <v>1</v>
      </c>
      <c r="K71" s="11" t="n">
        <f aca="false">I71*J71*IF(A71="SILVER",Summary!$B$5,Summary!$B$6)</f>
        <v>-92219.1</v>
      </c>
      <c r="L71" s="24" t="n">
        <v>-1.128</v>
      </c>
      <c r="M71" s="25" t="n">
        <f aca="false">IF(K71&gt;0,1,0)</f>
        <v>0</v>
      </c>
      <c r="N71" s="11" t="n">
        <f aca="false">SUMIFS(K$2:K71,A$2:A71,A71,B$2:B71,B71)</f>
        <v>-92219.1</v>
      </c>
      <c r="O71" s="11" t="n">
        <f aca="false">MAX(0,_xlfn.MAXIFS(N$2:N71,A$2:A71,A71,B$2:B71,B71))</f>
        <v>0</v>
      </c>
      <c r="P71" s="11" t="n">
        <f aca="false">N71-O71</f>
        <v>-92219.1</v>
      </c>
    </row>
    <row r="72" customFormat="false" ht="15" hidden="false" customHeight="false" outlineLevel="0" collapsed="false">
      <c r="A72" s="8" t="s">
        <v>25</v>
      </c>
      <c r="B72" s="8" t="s">
        <v>28</v>
      </c>
      <c r="C72" s="8" t="s">
        <v>51</v>
      </c>
      <c r="D72" s="19" t="n">
        <v>45702.9166666667</v>
      </c>
      <c r="E72" s="19" t="n">
        <v>45721.4631944444</v>
      </c>
      <c r="F72" s="20" t="n">
        <f aca="false">DATE(YEAR(E72),MONTH(E72),1)</f>
        <v>45717</v>
      </c>
      <c r="G72" s="21" t="n">
        <v>134632</v>
      </c>
      <c r="H72" s="8" t="s">
        <v>50</v>
      </c>
      <c r="I72" s="22" t="n">
        <v>430.92</v>
      </c>
      <c r="J72" s="23" t="n">
        <f aca="false">Summary!$B$4</f>
        <v>1</v>
      </c>
      <c r="K72" s="11" t="n">
        <f aca="false">I72*J72*IF(A72="SILVER",Summary!$B$5,Summary!$B$6)</f>
        <v>12927.6</v>
      </c>
      <c r="L72" s="24" t="n">
        <v>0.136</v>
      </c>
      <c r="M72" s="25" t="n">
        <f aca="false">IF(K72&gt;0,1,0)</f>
        <v>1</v>
      </c>
      <c r="N72" s="11" t="n">
        <f aca="false">SUMIFS(K$2:K72,A$2:A72,A72,B$2:B72,B72)</f>
        <v>-79291.5</v>
      </c>
      <c r="O72" s="11" t="n">
        <f aca="false">MAX(0,_xlfn.MAXIFS(N$2:N72,A$2:A72,A72,B$2:B72,B72))</f>
        <v>0</v>
      </c>
      <c r="P72" s="11" t="n">
        <f aca="false">N72-O72</f>
        <v>-79291.5</v>
      </c>
    </row>
    <row r="73" customFormat="false" ht="15" hidden="false" customHeight="false" outlineLevel="0" collapsed="false">
      <c r="A73" s="8" t="s">
        <v>25</v>
      </c>
      <c r="B73" s="8" t="s">
        <v>28</v>
      </c>
      <c r="C73" s="8" t="s">
        <v>51</v>
      </c>
      <c r="D73" s="19" t="n">
        <v>45736.6666666667</v>
      </c>
      <c r="E73" s="19" t="n">
        <v>45742.5</v>
      </c>
      <c r="F73" s="20" t="n">
        <f aca="false">DATE(YEAR(E73),MONTH(E73),1)</f>
        <v>45717</v>
      </c>
      <c r="G73" s="21" t="n">
        <v>135951</v>
      </c>
      <c r="H73" s="8" t="s">
        <v>50</v>
      </c>
      <c r="I73" s="22" t="n">
        <v>-732.87</v>
      </c>
      <c r="J73" s="23" t="n">
        <f aca="false">Summary!$B$4</f>
        <v>1</v>
      </c>
      <c r="K73" s="11" t="n">
        <f aca="false">I73*J73*IF(A73="SILVER",Summary!$B$5,Summary!$B$6)</f>
        <v>-21986.1</v>
      </c>
      <c r="L73" s="24" t="n">
        <v>-0.237</v>
      </c>
      <c r="M73" s="25" t="n">
        <f aca="false">IF(K73&gt;0,1,0)</f>
        <v>0</v>
      </c>
      <c r="N73" s="11" t="n">
        <f aca="false">SUMIFS(K$2:K73,A$2:A73,A73,B$2:B73,B73)</f>
        <v>-101277.6</v>
      </c>
      <c r="O73" s="11" t="n">
        <f aca="false">MAX(0,_xlfn.MAXIFS(N$2:N73,A$2:A73,A73,B$2:B73,B73))</f>
        <v>0</v>
      </c>
      <c r="P73" s="11" t="n">
        <f aca="false">N73-O73</f>
        <v>-101277.6</v>
      </c>
    </row>
    <row r="74" customFormat="false" ht="15" hidden="false" customHeight="false" outlineLevel="0" collapsed="false">
      <c r="A74" s="8" t="s">
        <v>25</v>
      </c>
      <c r="B74" s="8" t="s">
        <v>28</v>
      </c>
      <c r="C74" s="8" t="s">
        <v>51</v>
      </c>
      <c r="D74" s="19" t="n">
        <v>45748.9166666667</v>
      </c>
      <c r="E74" s="19" t="n">
        <v>45758.5833333333</v>
      </c>
      <c r="F74" s="20" t="n">
        <f aca="false">DATE(YEAR(E74),MONTH(E74),1)</f>
        <v>45748</v>
      </c>
      <c r="G74" s="21" t="n">
        <v>136297</v>
      </c>
      <c r="H74" s="8" t="s">
        <v>50</v>
      </c>
      <c r="I74" s="22" t="n">
        <v>6488.79</v>
      </c>
      <c r="J74" s="23" t="n">
        <f aca="false">Summary!$B$4</f>
        <v>1</v>
      </c>
      <c r="K74" s="11" t="n">
        <f aca="false">I74*J74*IF(A74="SILVER",Summary!$B$5,Summary!$B$6)</f>
        <v>194663.7</v>
      </c>
      <c r="L74" s="24" t="n">
        <v>2.033</v>
      </c>
      <c r="M74" s="25" t="n">
        <f aca="false">IF(K74&gt;0,1,0)</f>
        <v>1</v>
      </c>
      <c r="N74" s="11" t="n">
        <f aca="false">SUMIFS(K$2:K74,A$2:A74,A74,B$2:B74,B74)</f>
        <v>93386.1</v>
      </c>
      <c r="O74" s="11" t="n">
        <f aca="false">MAX(0,_xlfn.MAXIFS(N$2:N74,A$2:A74,A74,B$2:B74,B74))</f>
        <v>93386.1</v>
      </c>
      <c r="P74" s="11" t="n">
        <f aca="false">N74-O74</f>
        <v>0</v>
      </c>
    </row>
    <row r="75" customFormat="false" ht="15" hidden="false" customHeight="false" outlineLevel="0" collapsed="false">
      <c r="A75" s="8" t="s">
        <v>25</v>
      </c>
      <c r="B75" s="8" t="s">
        <v>28</v>
      </c>
      <c r="C75" s="8" t="s">
        <v>51</v>
      </c>
      <c r="D75" s="19" t="n">
        <v>45777.5833333333</v>
      </c>
      <c r="E75" s="19" t="n">
        <v>45790.5833333333</v>
      </c>
      <c r="F75" s="20" t="n">
        <f aca="false">DATE(YEAR(E75),MONTH(E75),1)</f>
        <v>45778</v>
      </c>
      <c r="G75" s="21" t="n">
        <v>131200</v>
      </c>
      <c r="H75" s="8" t="s">
        <v>50</v>
      </c>
      <c r="I75" s="22" t="n">
        <v>-1298.69</v>
      </c>
      <c r="J75" s="23" t="n">
        <f aca="false">Summary!$B$4</f>
        <v>1</v>
      </c>
      <c r="K75" s="11" t="n">
        <f aca="false">I75*J75*IF(A75="SILVER",Summary!$B$5,Summary!$B$6)</f>
        <v>-38960.7</v>
      </c>
      <c r="L75" s="24" t="n">
        <v>-0.351</v>
      </c>
      <c r="M75" s="25" t="n">
        <f aca="false">IF(K75&gt;0,1,0)</f>
        <v>0</v>
      </c>
      <c r="N75" s="11" t="n">
        <f aca="false">SUMIFS(K$2:K75,A$2:A75,A75,B$2:B75,B75)</f>
        <v>54425.4</v>
      </c>
      <c r="O75" s="11" t="n">
        <f aca="false">MAX(0,_xlfn.MAXIFS(N$2:N75,A$2:A75,A75,B$2:B75,B75))</f>
        <v>93386.1</v>
      </c>
      <c r="P75" s="11" t="n">
        <f aca="false">N75-O75</f>
        <v>-38960.7</v>
      </c>
    </row>
    <row r="76" customFormat="false" ht="15" hidden="false" customHeight="false" outlineLevel="0" collapsed="false">
      <c r="A76" s="8" t="s">
        <v>25</v>
      </c>
      <c r="B76" s="8" t="s">
        <v>28</v>
      </c>
      <c r="C76" s="8" t="s">
        <v>51</v>
      </c>
      <c r="D76" s="19" t="n">
        <v>45792.4583333333</v>
      </c>
      <c r="E76" s="19" t="n">
        <v>45797.9166666667</v>
      </c>
      <c r="F76" s="20" t="n">
        <f aca="false">DATE(YEAR(E76),MONTH(E76),1)</f>
        <v>45778</v>
      </c>
      <c r="G76" s="21" t="n">
        <v>129020</v>
      </c>
      <c r="H76" s="8" t="s">
        <v>50</v>
      </c>
      <c r="I76" s="22" t="n">
        <v>-2939.12</v>
      </c>
      <c r="J76" s="23" t="n">
        <f aca="false">Summary!$B$4</f>
        <v>1</v>
      </c>
      <c r="K76" s="11" t="n">
        <f aca="false">I76*J76*IF(A76="SILVER",Summary!$B$5,Summary!$B$6)</f>
        <v>-88173.6</v>
      </c>
      <c r="L76" s="24" t="n">
        <v>-0.983</v>
      </c>
      <c r="M76" s="25" t="n">
        <f aca="false">IF(K76&gt;0,1,0)</f>
        <v>0</v>
      </c>
      <c r="N76" s="11" t="n">
        <f aca="false">SUMIFS(K$2:K76,A$2:A76,A76,B$2:B76,B76)</f>
        <v>-33748.2</v>
      </c>
      <c r="O76" s="11" t="n">
        <f aca="false">MAX(0,_xlfn.MAXIFS(N$2:N76,A$2:A76,A76,B$2:B76,B76))</f>
        <v>93386.1</v>
      </c>
      <c r="P76" s="11" t="n">
        <f aca="false">N76-O76</f>
        <v>-127134.3</v>
      </c>
    </row>
    <row r="77" customFormat="false" ht="15" hidden="false" customHeight="false" outlineLevel="0" collapsed="false">
      <c r="A77" s="8" t="s">
        <v>25</v>
      </c>
      <c r="B77" s="8" t="s">
        <v>28</v>
      </c>
      <c r="C77" s="8" t="s">
        <v>51</v>
      </c>
      <c r="D77" s="19" t="n">
        <v>45799.7083333333</v>
      </c>
      <c r="E77" s="19" t="n">
        <v>45810.7916666667</v>
      </c>
      <c r="F77" s="20" t="n">
        <f aca="false">DATE(YEAR(E77),MONTH(E77),1)</f>
        <v>45809</v>
      </c>
      <c r="G77" s="21" t="n">
        <v>131701</v>
      </c>
      <c r="H77" s="8" t="s">
        <v>50</v>
      </c>
      <c r="I77" s="22" t="n">
        <v>-2677.64</v>
      </c>
      <c r="J77" s="23" t="n">
        <f aca="false">Summary!$B$4</f>
        <v>1</v>
      </c>
      <c r="K77" s="11" t="n">
        <f aca="false">I77*J77*IF(A77="SILVER",Summary!$B$5,Summary!$B$6)</f>
        <v>-80329.2</v>
      </c>
      <c r="L77" s="24" t="n">
        <v>-1.046</v>
      </c>
      <c r="M77" s="25" t="n">
        <f aca="false">IF(K77&gt;0,1,0)</f>
        <v>0</v>
      </c>
      <c r="N77" s="11" t="n">
        <f aca="false">SUMIFS(K$2:K77,A$2:A77,A77,B$2:B77,B77)</f>
        <v>-114077.4</v>
      </c>
      <c r="O77" s="11" t="n">
        <f aca="false">MAX(0,_xlfn.MAXIFS(N$2:N77,A$2:A77,A77,B$2:B77,B77))</f>
        <v>93386.1</v>
      </c>
      <c r="P77" s="11" t="n">
        <f aca="false">N77-O77</f>
        <v>-207463.5</v>
      </c>
    </row>
    <row r="78" customFormat="false" ht="15" hidden="false" customHeight="false" outlineLevel="0" collapsed="false">
      <c r="A78" s="8" t="s">
        <v>25</v>
      </c>
      <c r="B78" s="8" t="s">
        <v>28</v>
      </c>
      <c r="C78" s="8" t="s">
        <v>49</v>
      </c>
      <c r="D78" s="19" t="n">
        <v>45841.53125</v>
      </c>
      <c r="E78" s="19" t="n">
        <v>45853.875</v>
      </c>
      <c r="F78" s="20" t="n">
        <f aca="false">DATE(YEAR(E78),MONTH(E78),1)</f>
        <v>45839</v>
      </c>
      <c r="G78" s="21" t="n">
        <v>142205</v>
      </c>
      <c r="H78" s="8" t="s">
        <v>50</v>
      </c>
      <c r="I78" s="22" t="n">
        <v>3515.84</v>
      </c>
      <c r="J78" s="23" t="n">
        <f aca="false">Summary!$B$4</f>
        <v>1</v>
      </c>
      <c r="K78" s="11" t="n">
        <f aca="false">I78*J78*IF(A78="SILVER",Summary!$B$5,Summary!$B$6)</f>
        <v>105475.2</v>
      </c>
      <c r="L78" s="24" t="n">
        <v>1.461</v>
      </c>
      <c r="M78" s="25" t="n">
        <f aca="false">IF(K78&gt;0,1,0)</f>
        <v>1</v>
      </c>
      <c r="N78" s="11" t="n">
        <f aca="false">SUMIFS(K$2:K78,A$2:A78,A78,B$2:B78,B78)</f>
        <v>-8602.19999999996</v>
      </c>
      <c r="O78" s="11" t="n">
        <f aca="false">MAX(0,_xlfn.MAXIFS(N$2:N78,A$2:A78,A78,B$2:B78,B78))</f>
        <v>93386.1</v>
      </c>
      <c r="P78" s="11" t="n">
        <f aca="false">N78-O78</f>
        <v>-101988.3</v>
      </c>
    </row>
    <row r="79" customFormat="false" ht="15" hidden="false" customHeight="false" outlineLevel="0" collapsed="false">
      <c r="A79" s="8" t="s">
        <v>25</v>
      </c>
      <c r="B79" s="8" t="s">
        <v>28</v>
      </c>
      <c r="C79" s="8" t="s">
        <v>49</v>
      </c>
      <c r="D79" s="19" t="n">
        <v>45859.6666666667</v>
      </c>
      <c r="E79" s="19" t="n">
        <v>45863.875</v>
      </c>
      <c r="F79" s="20" t="n">
        <f aca="false">DATE(YEAR(E79),MONTH(E79),1)</f>
        <v>45839</v>
      </c>
      <c r="G79" s="21" t="n">
        <v>148364</v>
      </c>
      <c r="H79" s="8" t="s">
        <v>50</v>
      </c>
      <c r="I79" s="22" t="n">
        <v>-887.71</v>
      </c>
      <c r="J79" s="23" t="n">
        <f aca="false">Summary!$B$4</f>
        <v>1</v>
      </c>
      <c r="K79" s="11" t="n">
        <f aca="false">I79*J79*IF(A79="SILVER",Summary!$B$5,Summary!$B$6)</f>
        <v>-26631.3</v>
      </c>
      <c r="L79" s="24" t="n">
        <v>-0.376</v>
      </c>
      <c r="M79" s="25" t="n">
        <f aca="false">IF(K79&gt;0,1,0)</f>
        <v>0</v>
      </c>
      <c r="N79" s="11" t="n">
        <f aca="false">SUMIFS(K$2:K79,A$2:A79,A79,B$2:B79,B79)</f>
        <v>-35233.5</v>
      </c>
      <c r="O79" s="11" t="n">
        <f aca="false">MAX(0,_xlfn.MAXIFS(N$2:N79,A$2:A79,A79,B$2:B79,B79))</f>
        <v>93386.1</v>
      </c>
      <c r="P79" s="11" t="n">
        <f aca="false">N79-O79</f>
        <v>-128619.6</v>
      </c>
    </row>
    <row r="80" customFormat="false" ht="15" hidden="false" customHeight="false" outlineLevel="0" collapsed="false">
      <c r="A80" s="8" t="s">
        <v>25</v>
      </c>
      <c r="B80" s="8" t="s">
        <v>28</v>
      </c>
      <c r="C80" s="8" t="s">
        <v>49</v>
      </c>
      <c r="D80" s="19" t="n">
        <v>45873.5833333333</v>
      </c>
      <c r="E80" s="19" t="n">
        <v>45888.5</v>
      </c>
      <c r="F80" s="20" t="n">
        <f aca="false">DATE(YEAR(E80),MONTH(E80),1)</f>
        <v>45870</v>
      </c>
      <c r="G80" s="21" t="n">
        <v>146431</v>
      </c>
      <c r="H80" s="8" t="s">
        <v>50</v>
      </c>
      <c r="I80" s="22" t="n">
        <v>855.5</v>
      </c>
      <c r="J80" s="23" t="n">
        <f aca="false">Summary!$B$4</f>
        <v>1</v>
      </c>
      <c r="K80" s="11" t="n">
        <f aca="false">I80*J80*IF(A80="SILVER",Summary!$B$5,Summary!$B$6)</f>
        <v>25665</v>
      </c>
      <c r="L80" s="24" t="n">
        <v>0.278</v>
      </c>
      <c r="M80" s="25" t="n">
        <f aca="false">IF(K80&gt;0,1,0)</f>
        <v>1</v>
      </c>
      <c r="N80" s="11" t="n">
        <f aca="false">SUMIFS(K$2:K80,A$2:A80,A80,B$2:B80,B80)</f>
        <v>-9568.49999999996</v>
      </c>
      <c r="O80" s="11" t="n">
        <f aca="false">MAX(0,_xlfn.MAXIFS(N$2:N80,A$2:A80,A80,B$2:B80,B80))</f>
        <v>93386.1</v>
      </c>
      <c r="P80" s="11" t="n">
        <f aca="false">N80-O80</f>
        <v>-102954.6</v>
      </c>
    </row>
    <row r="81" customFormat="false" ht="15" hidden="false" customHeight="false" outlineLevel="0" collapsed="false">
      <c r="A81" s="8" t="s">
        <v>25</v>
      </c>
      <c r="B81" s="8" t="s">
        <v>28</v>
      </c>
      <c r="C81" s="8" t="s">
        <v>49</v>
      </c>
      <c r="D81" s="19" t="n">
        <v>45890.4166666667</v>
      </c>
      <c r="E81" s="19" t="n">
        <v>45908.4166666667</v>
      </c>
      <c r="F81" s="20" t="n">
        <f aca="false">DATE(YEAR(E81),MONTH(E81),1)</f>
        <v>45901</v>
      </c>
      <c r="G81" s="21" t="n">
        <v>147134</v>
      </c>
      <c r="H81" s="8" t="s">
        <v>50</v>
      </c>
      <c r="I81" s="22" t="n">
        <v>7960.59</v>
      </c>
      <c r="J81" s="23" t="n">
        <f aca="false">Summary!$B$4</f>
        <v>1</v>
      </c>
      <c r="K81" s="11" t="n">
        <f aca="false">I81*J81*IF(A81="SILVER",Summary!$B$5,Summary!$B$6)</f>
        <v>238817.7</v>
      </c>
      <c r="L81" s="24" t="n">
        <v>3.424</v>
      </c>
      <c r="M81" s="25" t="n">
        <f aca="false">IF(K81&gt;0,1,0)</f>
        <v>1</v>
      </c>
      <c r="N81" s="11" t="n">
        <f aca="false">SUMIFS(K$2:K81,A$2:A81,A81,B$2:B81,B81)</f>
        <v>229249.2</v>
      </c>
      <c r="O81" s="11" t="n">
        <f aca="false">MAX(0,_xlfn.MAXIFS(N$2:N81,A$2:A81,A81,B$2:B81,B81))</f>
        <v>229249.2</v>
      </c>
      <c r="P81" s="11" t="n">
        <f aca="false">N81-O81</f>
        <v>0</v>
      </c>
    </row>
    <row r="82" customFormat="false" ht="15" hidden="false" customHeight="false" outlineLevel="0" collapsed="false">
      <c r="A82" s="8" t="s">
        <v>25</v>
      </c>
      <c r="B82" s="8" t="s">
        <v>28</v>
      </c>
      <c r="C82" s="8" t="s">
        <v>49</v>
      </c>
      <c r="D82" s="19" t="n">
        <v>45912.4166666667</v>
      </c>
      <c r="E82" s="19" t="n">
        <v>45917.4166666667</v>
      </c>
      <c r="F82" s="20" t="n">
        <f aca="false">DATE(YEAR(E82),MONTH(E82),1)</f>
        <v>45901</v>
      </c>
      <c r="G82" s="21" t="n">
        <v>159701</v>
      </c>
      <c r="H82" s="8" t="s">
        <v>50</v>
      </c>
      <c r="I82" s="22" t="n">
        <v>-1053.57</v>
      </c>
      <c r="J82" s="23" t="n">
        <f aca="false">Summary!$B$4</f>
        <v>1</v>
      </c>
      <c r="K82" s="11" t="n">
        <f aca="false">I82*J82*IF(A82="SILVER",Summary!$B$5,Summary!$B$6)</f>
        <v>-31607.1</v>
      </c>
      <c r="L82" s="24" t="n">
        <v>-0.313</v>
      </c>
      <c r="M82" s="25" t="n">
        <f aca="false">IF(K82&gt;0,1,0)</f>
        <v>0</v>
      </c>
      <c r="N82" s="11" t="n">
        <f aca="false">SUMIFS(K$2:K82,A$2:A82,A82,B$2:B82,B82)</f>
        <v>197642.1</v>
      </c>
      <c r="O82" s="11" t="n">
        <f aca="false">MAX(0,_xlfn.MAXIFS(N$2:N82,A$2:A82,A82,B$2:B82,B82))</f>
        <v>229249.2</v>
      </c>
      <c r="P82" s="11" t="n">
        <f aca="false">N82-O82</f>
        <v>-31607.1</v>
      </c>
    </row>
    <row r="83" customFormat="false" ht="15" hidden="false" customHeight="false" outlineLevel="0" collapsed="false">
      <c r="A83" s="8" t="s">
        <v>25</v>
      </c>
      <c r="B83" s="8" t="s">
        <v>28</v>
      </c>
      <c r="C83" s="8" t="s">
        <v>49</v>
      </c>
      <c r="D83" s="19" t="n">
        <v>45919.875</v>
      </c>
      <c r="E83" s="19" t="n">
        <v>45940.4166666667</v>
      </c>
      <c r="F83" s="20" t="n">
        <f aca="false">DATE(YEAR(E83),MONTH(E83),1)</f>
        <v>45931</v>
      </c>
      <c r="G83" s="21" t="n">
        <v>160828</v>
      </c>
      <c r="H83" s="8" t="s">
        <v>50</v>
      </c>
      <c r="I83" s="22" t="n">
        <v>15943.5</v>
      </c>
      <c r="J83" s="23" t="n">
        <f aca="false">Summary!$B$4</f>
        <v>1</v>
      </c>
      <c r="K83" s="11" t="n">
        <f aca="false">I83*J83*IF(A83="SILVER",Summary!$B$5,Summary!$B$6)</f>
        <v>478305</v>
      </c>
      <c r="L83" s="24" t="n">
        <v>4.182</v>
      </c>
      <c r="M83" s="25" t="n">
        <f aca="false">IF(K83&gt;0,1,0)</f>
        <v>1</v>
      </c>
      <c r="N83" s="11" t="n">
        <f aca="false">SUMIFS(K$2:K83,A$2:A83,A83,B$2:B83,B83)</f>
        <v>675947.1</v>
      </c>
      <c r="O83" s="11" t="n">
        <f aca="false">MAX(0,_xlfn.MAXIFS(N$2:N83,A$2:A83,A83,B$2:B83,B83))</f>
        <v>675947.1</v>
      </c>
      <c r="P83" s="11" t="n">
        <f aca="false">N83-O83</f>
        <v>0</v>
      </c>
    </row>
    <row r="84" customFormat="false" ht="15" hidden="false" customHeight="false" outlineLevel="0" collapsed="false">
      <c r="A84" s="8" t="s">
        <v>25</v>
      </c>
      <c r="B84" s="8" t="s">
        <v>28</v>
      </c>
      <c r="C84" s="8" t="s">
        <v>49</v>
      </c>
      <c r="D84" s="19" t="n">
        <v>45943.8333333333</v>
      </c>
      <c r="E84" s="19" t="n">
        <v>45947.8333333333</v>
      </c>
      <c r="F84" s="20" t="n">
        <f aca="false">DATE(YEAR(E84),MONTH(E84),1)</f>
        <v>45931</v>
      </c>
      <c r="G84" s="21" t="n">
        <v>185630</v>
      </c>
      <c r="H84" s="8" t="s">
        <v>50</v>
      </c>
      <c r="I84" s="22" t="n">
        <v>7180.44</v>
      </c>
      <c r="J84" s="23" t="n">
        <f aca="false">Summary!$B$4</f>
        <v>1</v>
      </c>
      <c r="K84" s="11" t="n">
        <f aca="false">I84*J84*IF(A84="SILVER",Summary!$B$5,Summary!$B$6)</f>
        <v>215413.2</v>
      </c>
      <c r="L84" s="24" t="n">
        <v>0.85</v>
      </c>
      <c r="M84" s="25" t="n">
        <f aca="false">IF(K84&gt;0,1,0)</f>
        <v>1</v>
      </c>
      <c r="N84" s="11" t="n">
        <f aca="false">SUMIFS(K$2:K84,A$2:A84,A84,B$2:B84,B84)</f>
        <v>891360.3</v>
      </c>
      <c r="O84" s="11" t="n">
        <f aca="false">MAX(0,_xlfn.MAXIFS(N$2:N84,A$2:A84,A84,B$2:B84,B84))</f>
        <v>891360.3</v>
      </c>
      <c r="P84" s="11" t="n">
        <f aca="false">N84-O84</f>
        <v>0</v>
      </c>
    </row>
    <row r="85" customFormat="false" ht="15" hidden="false" customHeight="false" outlineLevel="0" collapsed="false">
      <c r="A85" s="8" t="s">
        <v>25</v>
      </c>
      <c r="B85" s="8" t="s">
        <v>28</v>
      </c>
      <c r="C85" s="8" t="s">
        <v>49</v>
      </c>
      <c r="D85" s="19" t="n">
        <v>45960.8333333333</v>
      </c>
      <c r="E85" s="19" t="n">
        <v>45975.75</v>
      </c>
      <c r="F85" s="20" t="n">
        <f aca="false">DATE(YEAR(E85),MONTH(E85),1)</f>
        <v>45962</v>
      </c>
      <c r="G85" s="21" t="n">
        <v>179635</v>
      </c>
      <c r="H85" s="8" t="s">
        <v>50</v>
      </c>
      <c r="I85" s="22" t="n">
        <v>9052.43</v>
      </c>
      <c r="J85" s="23" t="n">
        <f aca="false">Summary!$B$4</f>
        <v>1</v>
      </c>
      <c r="K85" s="11" t="n">
        <f aca="false">I85*J85*IF(A85="SILVER",Summary!$B$5,Summary!$B$6)</f>
        <v>271572.9</v>
      </c>
      <c r="L85" s="24" t="n">
        <v>1.197</v>
      </c>
      <c r="M85" s="25" t="n">
        <f aca="false">IF(K85&gt;0,1,0)</f>
        <v>1</v>
      </c>
      <c r="N85" s="11" t="n">
        <f aca="false">SUMIFS(K$2:K85,A$2:A85,A85,B$2:B85,B85)</f>
        <v>1162933.2</v>
      </c>
      <c r="O85" s="11" t="n">
        <f aca="false">MAX(0,_xlfn.MAXIFS(N$2:N85,A$2:A85,A85,B$2:B85,B85))</f>
        <v>1162933.2</v>
      </c>
      <c r="P85" s="11" t="n">
        <f aca="false">N85-O85</f>
        <v>0</v>
      </c>
    </row>
    <row r="86" customFormat="false" ht="15" hidden="false" customHeight="false" outlineLevel="0" collapsed="false">
      <c r="A86" s="8" t="s">
        <v>25</v>
      </c>
      <c r="B86" s="8" t="s">
        <v>28</v>
      </c>
      <c r="C86" s="8" t="s">
        <v>49</v>
      </c>
      <c r="D86" s="19" t="n">
        <v>45987.7083333333</v>
      </c>
      <c r="E86" s="19" t="n">
        <v>46003.9583333333</v>
      </c>
      <c r="F86" s="20" t="n">
        <f aca="false">DATE(YEAR(E86),MONTH(E86),1)</f>
        <v>45992</v>
      </c>
      <c r="G86" s="21" t="n">
        <v>190470</v>
      </c>
      <c r="H86" s="8" t="s">
        <v>50</v>
      </c>
      <c r="I86" s="22" t="n">
        <v>29264.67</v>
      </c>
      <c r="J86" s="23" t="n">
        <f aca="false">Summary!$B$4</f>
        <v>1</v>
      </c>
      <c r="K86" s="11" t="n">
        <f aca="false">I86*J86*IF(A86="SILVER",Summary!$B$5,Summary!$B$6)</f>
        <v>877940.1</v>
      </c>
      <c r="L86" s="24" t="n">
        <v>5.619</v>
      </c>
      <c r="M86" s="25" t="n">
        <f aca="false">IF(K86&gt;0,1,0)</f>
        <v>1</v>
      </c>
      <c r="N86" s="11" t="n">
        <f aca="false">SUMIFS(K$2:K86,A$2:A86,A86,B$2:B86,B86)</f>
        <v>2040873.3</v>
      </c>
      <c r="O86" s="11" t="n">
        <f aca="false">MAX(0,_xlfn.MAXIFS(N$2:N86,A$2:A86,A86,B$2:B86,B86))</f>
        <v>2040873.3</v>
      </c>
      <c r="P86" s="11" t="n">
        <f aca="false">N86-O86</f>
        <v>0</v>
      </c>
    </row>
    <row r="87" customFormat="false" ht="15" hidden="false" customHeight="false" outlineLevel="0" collapsed="false">
      <c r="A87" s="8" t="s">
        <v>25</v>
      </c>
      <c r="B87" s="8" t="s">
        <v>28</v>
      </c>
      <c r="C87" s="8" t="s">
        <v>49</v>
      </c>
      <c r="D87" s="19" t="n">
        <v>46008.4166666667</v>
      </c>
      <c r="E87" s="19" t="n">
        <v>46020.8333333333</v>
      </c>
      <c r="F87" s="20" t="n">
        <f aca="false">DATE(YEAR(E87),MONTH(E87),1)</f>
        <v>45992</v>
      </c>
      <c r="G87" s="21" t="n">
        <v>232886</v>
      </c>
      <c r="H87" s="8" t="s">
        <v>50</v>
      </c>
      <c r="I87" s="22" t="n">
        <v>21894.86</v>
      </c>
      <c r="J87" s="23" t="n">
        <f aca="false">Summary!$B$4</f>
        <v>1</v>
      </c>
      <c r="K87" s="11" t="n">
        <f aca="false">I87*J87*IF(A87="SILVER",Summary!$B$5,Summary!$B$6)</f>
        <v>656845.8</v>
      </c>
      <c r="L87" s="24" t="n">
        <v>1.672</v>
      </c>
      <c r="M87" s="25" t="n">
        <f aca="false">IF(K87&gt;0,1,0)</f>
        <v>1</v>
      </c>
      <c r="N87" s="11" t="n">
        <f aca="false">SUMIFS(K$2:K87,A$2:A87,A87,B$2:B87,B87)</f>
        <v>2697719.1</v>
      </c>
      <c r="O87" s="11" t="n">
        <f aca="false">MAX(0,_xlfn.MAXIFS(N$2:N87,A$2:A87,A87,B$2:B87,B87))</f>
        <v>2697719.1</v>
      </c>
      <c r="P87" s="11" t="n">
        <f aca="false">N87-O87</f>
        <v>0</v>
      </c>
    </row>
    <row r="88" customFormat="false" ht="15" hidden="false" customHeight="false" outlineLevel="0" collapsed="false">
      <c r="A88" s="8" t="s">
        <v>25</v>
      </c>
      <c r="B88" s="8" t="s">
        <v>28</v>
      </c>
      <c r="C88" s="8" t="s">
        <v>49</v>
      </c>
      <c r="D88" s="19" t="n">
        <v>46022.375</v>
      </c>
      <c r="E88" s="19" t="n">
        <v>46030.5</v>
      </c>
      <c r="F88" s="20" t="n">
        <f aca="false">DATE(YEAR(E88),MONTH(E88),1)</f>
        <v>46023</v>
      </c>
      <c r="G88" s="21" t="n">
        <v>269734</v>
      </c>
      <c r="H88" s="8" t="s">
        <v>50</v>
      </c>
      <c r="I88" s="22" t="n">
        <v>1395.57</v>
      </c>
      <c r="J88" s="23" t="n">
        <f aca="false">Summary!$B$4</f>
        <v>1</v>
      </c>
      <c r="K88" s="11" t="n">
        <f aca="false">I88*J88*IF(A88="SILVER",Summary!$B$5,Summary!$B$6)</f>
        <v>41867.1</v>
      </c>
      <c r="L88" s="24" t="n">
        <v>0.101</v>
      </c>
      <c r="M88" s="25" t="n">
        <f aca="false">IF(K88&gt;0,1,0)</f>
        <v>1</v>
      </c>
      <c r="N88" s="11" t="n">
        <f aca="false">SUMIFS(K$2:K88,A$2:A88,A88,B$2:B88,B88)</f>
        <v>2739586.2</v>
      </c>
      <c r="O88" s="11" t="n">
        <f aca="false">MAX(0,_xlfn.MAXIFS(N$2:N88,A$2:A88,A88,B$2:B88,B88))</f>
        <v>2739586.2</v>
      </c>
      <c r="P88" s="11" t="n">
        <f aca="false">N88-O88</f>
        <v>0</v>
      </c>
    </row>
    <row r="89" customFormat="false" ht="15" hidden="false" customHeight="false" outlineLevel="0" collapsed="false">
      <c r="A89" s="8" t="s">
        <v>25</v>
      </c>
      <c r="B89" s="8" t="s">
        <v>28</v>
      </c>
      <c r="C89" s="8" t="s">
        <v>49</v>
      </c>
      <c r="D89" s="19" t="n">
        <v>46031.875</v>
      </c>
      <c r="E89" s="19" t="n">
        <v>46044.4166666667</v>
      </c>
      <c r="F89" s="20" t="n">
        <f aca="false">DATE(YEAR(E89),MONTH(E89),1)</f>
        <v>46023</v>
      </c>
      <c r="G89" s="21" t="n">
        <v>282934</v>
      </c>
      <c r="H89" s="8" t="s">
        <v>50</v>
      </c>
      <c r="I89" s="22" t="n">
        <v>51086.97</v>
      </c>
      <c r="J89" s="23" t="n">
        <f aca="false">Summary!$B$4</f>
        <v>1</v>
      </c>
      <c r="K89" s="11" t="n">
        <f aca="false">I89*J89*IF(A89="SILVER",Summary!$B$5,Summary!$B$6)</f>
        <v>1532609.1</v>
      </c>
      <c r="L89" s="24" t="n">
        <v>2.62</v>
      </c>
      <c r="M89" s="25" t="n">
        <f aca="false">IF(K89&gt;0,1,0)</f>
        <v>1</v>
      </c>
      <c r="N89" s="11" t="n">
        <f aca="false">SUMIFS(K$2:K89,A$2:A89,A89,B$2:B89,B89)</f>
        <v>4272195.3</v>
      </c>
      <c r="O89" s="11" t="n">
        <f aca="false">MAX(0,_xlfn.MAXIFS(N$2:N89,A$2:A89,A89,B$2:B89,B89))</f>
        <v>4272195.3</v>
      </c>
      <c r="P89" s="11" t="n">
        <f aca="false">N89-O89</f>
        <v>0</v>
      </c>
    </row>
    <row r="90" customFormat="false" ht="15" hidden="false" customHeight="false" outlineLevel="0" collapsed="false">
      <c r="A90" s="8" t="s">
        <v>25</v>
      </c>
      <c r="B90" s="8" t="s">
        <v>28</v>
      </c>
      <c r="C90" s="8" t="s">
        <v>49</v>
      </c>
      <c r="D90" s="19" t="n">
        <v>46049.4166666667</v>
      </c>
      <c r="E90" s="19" t="n">
        <v>46051.875</v>
      </c>
      <c r="F90" s="20" t="n">
        <f aca="false">DATE(YEAR(E90),MONTH(E90),1)</f>
        <v>46023</v>
      </c>
      <c r="G90" s="21" t="n">
        <v>385184</v>
      </c>
      <c r="H90" s="8" t="s">
        <v>50</v>
      </c>
      <c r="I90" s="22" t="n">
        <v>7620.89</v>
      </c>
      <c r="J90" s="23" t="n">
        <f aca="false">Summary!$B$4</f>
        <v>1</v>
      </c>
      <c r="K90" s="11" t="n">
        <f aca="false">I90*J90*IF(A90="SILVER",Summary!$B$5,Summary!$B$6)</f>
        <v>228626.7</v>
      </c>
      <c r="L90" s="24" t="n">
        <v>0.188</v>
      </c>
      <c r="M90" s="25" t="n">
        <f aca="false">IF(K90&gt;0,1,0)</f>
        <v>1</v>
      </c>
      <c r="N90" s="11" t="n">
        <f aca="false">SUMIFS(K$2:K90,A$2:A90,A90,B$2:B90,B90)</f>
        <v>4500822</v>
      </c>
      <c r="O90" s="11" t="n">
        <f aca="false">MAX(0,_xlfn.MAXIFS(N$2:N90,A$2:A90,A90,B$2:B90,B90))</f>
        <v>4500822</v>
      </c>
      <c r="P90" s="11" t="n">
        <f aca="false">N90-O90</f>
        <v>0</v>
      </c>
    </row>
    <row r="91" customFormat="false" ht="15" hidden="false" customHeight="false" outlineLevel="0" collapsed="false">
      <c r="A91" s="8" t="s">
        <v>25</v>
      </c>
      <c r="B91" s="8" t="s">
        <v>28</v>
      </c>
      <c r="C91" s="8" t="s">
        <v>51</v>
      </c>
      <c r="D91" s="19" t="n">
        <v>46083.9201388889</v>
      </c>
      <c r="E91" s="19" t="n">
        <v>46091.7916666667</v>
      </c>
      <c r="F91" s="20" t="n">
        <f aca="false">DATE(YEAR(E91),MONTH(E91),1)</f>
        <v>46082</v>
      </c>
      <c r="G91" s="21" t="n">
        <v>297434</v>
      </c>
      <c r="H91" s="8" t="s">
        <v>50</v>
      </c>
      <c r="I91" s="22" t="n">
        <v>1419.37</v>
      </c>
      <c r="J91" s="23" t="n">
        <f aca="false">Summary!$B$4</f>
        <v>1</v>
      </c>
      <c r="K91" s="11" t="n">
        <f aca="false">I91*J91*IF(A91="SILVER",Summary!$B$5,Summary!$B$6)</f>
        <v>42581.1</v>
      </c>
      <c r="L91" s="24" t="n">
        <v>0.065</v>
      </c>
      <c r="M91" s="25" t="n">
        <f aca="false">IF(K91&gt;0,1,0)</f>
        <v>1</v>
      </c>
      <c r="N91" s="11" t="n">
        <f aca="false">SUMIFS(K$2:K91,A$2:A91,A91,B$2:B91,B91)</f>
        <v>4543403.1</v>
      </c>
      <c r="O91" s="11" t="n">
        <f aca="false">MAX(0,_xlfn.MAXIFS(N$2:N91,A$2:A91,A91,B$2:B91,B91))</f>
        <v>4543403.1</v>
      </c>
      <c r="P91" s="11" t="n">
        <f aca="false">N91-O91</f>
        <v>0</v>
      </c>
    </row>
    <row r="92" customFormat="false" ht="15" hidden="false" customHeight="false" outlineLevel="0" collapsed="false">
      <c r="A92" s="8" t="s">
        <v>25</v>
      </c>
      <c r="B92" s="8" t="s">
        <v>28</v>
      </c>
      <c r="C92" s="8" t="s">
        <v>51</v>
      </c>
      <c r="D92" s="19" t="n">
        <v>46094.5</v>
      </c>
      <c r="E92" s="19" t="n">
        <v>46106.4166666667</v>
      </c>
      <c r="F92" s="20" t="n">
        <f aca="false">DATE(YEAR(E92),MONTH(E92),1)</f>
        <v>46082</v>
      </c>
      <c r="G92" s="21" t="n">
        <v>281173</v>
      </c>
      <c r="H92" s="8" t="s">
        <v>50</v>
      </c>
      <c r="I92" s="22" t="n">
        <v>27164.01</v>
      </c>
      <c r="J92" s="23" t="n">
        <f aca="false">Summary!$B$4</f>
        <v>1</v>
      </c>
      <c r="K92" s="11" t="n">
        <f aca="false">I92*J92*IF(A92="SILVER",Summary!$B$5,Summary!$B$6)</f>
        <v>814920.3</v>
      </c>
      <c r="L92" s="24" t="n">
        <v>1.721</v>
      </c>
      <c r="M92" s="25" t="n">
        <f aca="false">IF(K92&gt;0,1,0)</f>
        <v>1</v>
      </c>
      <c r="N92" s="11" t="n">
        <f aca="false">SUMIFS(K$2:K92,A$2:A92,A92,B$2:B92,B92)</f>
        <v>5358323.4</v>
      </c>
      <c r="O92" s="11" t="n">
        <f aca="false">MAX(0,_xlfn.MAXIFS(N$2:N92,A$2:A92,A92,B$2:B92,B92))</f>
        <v>5358323.4</v>
      </c>
      <c r="P92" s="11" t="n">
        <f aca="false">N92-O92</f>
        <v>0</v>
      </c>
    </row>
    <row r="93" customFormat="false" ht="15" hidden="false" customHeight="false" outlineLevel="0" collapsed="false">
      <c r="A93" s="8" t="s">
        <v>25</v>
      </c>
      <c r="B93" s="8" t="s">
        <v>28</v>
      </c>
      <c r="C93" s="8" t="s">
        <v>51</v>
      </c>
      <c r="D93" s="19" t="n">
        <v>46114.5</v>
      </c>
      <c r="E93" s="19" t="n">
        <v>46120.4166666667</v>
      </c>
      <c r="F93" s="20" t="n">
        <f aca="false">DATE(YEAR(E93),MONTH(E93),1)</f>
        <v>46113</v>
      </c>
      <c r="G93" s="21" t="n">
        <v>243669</v>
      </c>
      <c r="H93" s="8" t="s">
        <v>50</v>
      </c>
      <c r="I93" s="22" t="n">
        <v>-17620.03</v>
      </c>
      <c r="J93" s="23" t="n">
        <f aca="false">Summary!$B$4</f>
        <v>1</v>
      </c>
      <c r="K93" s="11" t="n">
        <f aca="false">I93*J93*IF(A93="SILVER",Summary!$B$5,Summary!$B$6)</f>
        <v>-528600.9</v>
      </c>
      <c r="L93" s="24" t="n">
        <v>-0.852</v>
      </c>
      <c r="M93" s="25" t="n">
        <f aca="false">IF(K93&gt;0,1,0)</f>
        <v>0</v>
      </c>
      <c r="N93" s="11" t="n">
        <f aca="false">SUMIFS(K$2:K93,A$2:A93,A93,B$2:B93,B93)</f>
        <v>4829722.5</v>
      </c>
      <c r="O93" s="11" t="n">
        <f aca="false">MAX(0,_xlfn.MAXIFS(N$2:N93,A$2:A93,A93,B$2:B93,B93))</f>
        <v>5358323.4</v>
      </c>
      <c r="P93" s="11" t="n">
        <f aca="false">N93-O93</f>
        <v>-528600.9</v>
      </c>
    </row>
    <row r="94" customFormat="false" ht="15" hidden="false" customHeight="false" outlineLevel="0" collapsed="false">
      <c r="A94" s="8" t="s">
        <v>25</v>
      </c>
      <c r="B94" s="8" t="s">
        <v>28</v>
      </c>
      <c r="C94" s="8" t="s">
        <v>51</v>
      </c>
      <c r="D94" s="19" t="n">
        <v>46133.875</v>
      </c>
      <c r="E94" s="19" t="n">
        <v>46143.8340277778</v>
      </c>
      <c r="F94" s="20" t="n">
        <f aca="false">DATE(YEAR(E94),MONTH(E94),1)</f>
        <v>46143</v>
      </c>
      <c r="G94" s="21" t="n">
        <v>262733</v>
      </c>
      <c r="H94" s="8" t="s">
        <v>50</v>
      </c>
      <c r="I94" s="22" t="n">
        <v>-2211.31</v>
      </c>
      <c r="J94" s="23" t="n">
        <f aca="false">Summary!$B$4</f>
        <v>1</v>
      </c>
      <c r="K94" s="11" t="n">
        <f aca="false">I94*J94*IF(A94="SILVER",Summary!$B$5,Summary!$B$6)</f>
        <v>-66339.3</v>
      </c>
      <c r="L94" s="24" t="n">
        <v>-0.178</v>
      </c>
      <c r="M94" s="25" t="n">
        <f aca="false">IF(K94&gt;0,1,0)</f>
        <v>0</v>
      </c>
      <c r="N94" s="11" t="n">
        <f aca="false">SUMIFS(K$2:K94,A$2:A94,A94,B$2:B94,B94)</f>
        <v>4763383.2</v>
      </c>
      <c r="O94" s="11" t="n">
        <f aca="false">MAX(0,_xlfn.MAXIFS(N$2:N94,A$2:A94,A94,B$2:B94,B94))</f>
        <v>5358323.4</v>
      </c>
      <c r="P94" s="11" t="n">
        <f aca="false">N94-O94</f>
        <v>-594940.2</v>
      </c>
    </row>
    <row r="95" customFormat="false" ht="15" hidden="false" customHeight="false" outlineLevel="0" collapsed="false">
      <c r="A95" s="8" t="s">
        <v>25</v>
      </c>
      <c r="B95" s="8" t="s">
        <v>28</v>
      </c>
      <c r="C95" s="8" t="s">
        <v>51</v>
      </c>
      <c r="D95" s="19" t="n">
        <v>46147.5819444444</v>
      </c>
      <c r="E95" s="19" t="n">
        <v>46149.6666666667</v>
      </c>
      <c r="F95" s="20" t="n">
        <f aca="false">DATE(YEAR(E95),MONTH(E95),1)</f>
        <v>46143</v>
      </c>
      <c r="G95" s="21" t="n">
        <v>257385</v>
      </c>
      <c r="H95" s="8" t="s">
        <v>50</v>
      </c>
      <c r="I95" s="22" t="n">
        <v>-10335.79</v>
      </c>
      <c r="J95" s="23" t="n">
        <f aca="false">Summary!$B$4</f>
        <v>1</v>
      </c>
      <c r="K95" s="11" t="n">
        <f aca="false">I95*J95*IF(A95="SILVER",Summary!$B$5,Summary!$B$6)</f>
        <v>-310073.7</v>
      </c>
      <c r="L95" s="24" t="n">
        <v>-1.065</v>
      </c>
      <c r="M95" s="25" t="n">
        <f aca="false">IF(K95&gt;0,1,0)</f>
        <v>0</v>
      </c>
      <c r="N95" s="11" t="n">
        <f aca="false">SUMIFS(K$2:K95,A$2:A95,A95,B$2:B95,B95)</f>
        <v>4453309.5</v>
      </c>
      <c r="O95" s="11" t="n">
        <f aca="false">MAX(0,_xlfn.MAXIFS(N$2:N95,A$2:A95,A95,B$2:B95,B95))</f>
        <v>5358323.4</v>
      </c>
      <c r="P95" s="11" t="n">
        <f aca="false">N95-O95</f>
        <v>-905013.9</v>
      </c>
    </row>
    <row r="96" customFormat="false" ht="15" hidden="false" customHeight="false" outlineLevel="0" collapsed="false">
      <c r="A96" s="8" t="s">
        <v>25</v>
      </c>
      <c r="B96" s="8" t="s">
        <v>28</v>
      </c>
      <c r="C96" s="8" t="s">
        <v>51</v>
      </c>
      <c r="D96" s="19" t="n">
        <v>46157.4166666667</v>
      </c>
      <c r="E96" s="19" t="n">
        <v>46188.375</v>
      </c>
      <c r="F96" s="20" t="n">
        <f aca="false">DATE(YEAR(E96),MONTH(E96),1)</f>
        <v>46174</v>
      </c>
      <c r="G96" s="21" t="n">
        <v>289569</v>
      </c>
      <c r="H96" s="8" t="s">
        <v>50</v>
      </c>
      <c r="I96" s="22" t="n">
        <v>30974.07</v>
      </c>
      <c r="J96" s="23" t="n">
        <f aca="false">Summary!$B$4</f>
        <v>1</v>
      </c>
      <c r="K96" s="11" t="n">
        <f aca="false">I96*J96*IF(A96="SILVER",Summary!$B$5,Summary!$B$6)</f>
        <v>929222.1</v>
      </c>
      <c r="L96" s="24" t="n">
        <v>1.771</v>
      </c>
      <c r="M96" s="25" t="n">
        <f aca="false">IF(K96&gt;0,1,0)</f>
        <v>1</v>
      </c>
      <c r="N96" s="11" t="n">
        <f aca="false">SUMIFS(K$2:K96,A$2:A96,A96,B$2:B96,B96)</f>
        <v>5382531.6</v>
      </c>
      <c r="O96" s="11" t="n">
        <f aca="false">MAX(0,_xlfn.MAXIFS(N$2:N96,A$2:A96,A96,B$2:B96,B96))</f>
        <v>5382531.6</v>
      </c>
      <c r="P96" s="11" t="n">
        <f aca="false">N96-O96</f>
        <v>0</v>
      </c>
    </row>
    <row r="97" customFormat="false" ht="15" hidden="false" customHeight="false" outlineLevel="0" collapsed="false">
      <c r="A97" s="8" t="s">
        <v>25</v>
      </c>
      <c r="B97" s="8" t="s">
        <v>28</v>
      </c>
      <c r="C97" s="8" t="s">
        <v>51</v>
      </c>
      <c r="D97" s="19" t="n">
        <v>46191.7083333333</v>
      </c>
      <c r="E97" s="19" t="n">
        <v>46203.7958333333</v>
      </c>
      <c r="F97" s="20" t="n">
        <f aca="false">DATE(YEAR(E97),MONTH(E97),1)</f>
        <v>46174</v>
      </c>
      <c r="G97" s="21" t="n">
        <v>248264</v>
      </c>
      <c r="H97" s="8" t="s">
        <v>50</v>
      </c>
      <c r="I97" s="22" t="n">
        <v>16488.27</v>
      </c>
      <c r="J97" s="23" t="n">
        <f aca="false">Summary!$B$4</f>
        <v>1</v>
      </c>
      <c r="K97" s="11" t="n">
        <f aca="false">I97*J97*IF(A97="SILVER",Summary!$B$5,Summary!$B$6)</f>
        <v>494648.1</v>
      </c>
      <c r="L97" s="24" t="n">
        <v>1.458</v>
      </c>
      <c r="M97" s="25" t="n">
        <f aca="false">IF(K97&gt;0,1,0)</f>
        <v>1</v>
      </c>
      <c r="N97" s="11" t="n">
        <f aca="false">SUMIFS(K$2:K97,A$2:A97,A97,B$2:B97,B97)</f>
        <v>5877179.7</v>
      </c>
      <c r="O97" s="11" t="n">
        <f aca="false">MAX(0,_xlfn.MAXIFS(N$2:N97,A$2:A97,A97,B$2:B97,B97))</f>
        <v>5877179.7</v>
      </c>
      <c r="P97" s="11" t="n">
        <f aca="false">N97-O97</f>
        <v>0</v>
      </c>
    </row>
    <row r="98" customFormat="false" ht="15" hidden="false" customHeight="false" outlineLevel="0" collapsed="false">
      <c r="A98" s="8" t="s">
        <v>25</v>
      </c>
      <c r="B98" s="8" t="s">
        <v>28</v>
      </c>
      <c r="C98" s="8" t="s">
        <v>51</v>
      </c>
      <c r="D98" s="19" t="n">
        <v>46211.4166666667</v>
      </c>
      <c r="E98" s="19" t="n">
        <v>46224.5</v>
      </c>
      <c r="F98" s="20" t="n">
        <f aca="false">DATE(YEAR(E98),MONTH(E98),1)</f>
        <v>46204</v>
      </c>
      <c r="G98" s="21" t="n">
        <v>234047</v>
      </c>
      <c r="H98" s="8" t="s">
        <v>50</v>
      </c>
      <c r="I98" s="22" t="n">
        <v>6933.82</v>
      </c>
      <c r="J98" s="23" t="n">
        <f aca="false">Summary!$B$4</f>
        <v>1</v>
      </c>
      <c r="K98" s="11" t="n">
        <f aca="false">I98*J98*IF(A98="SILVER",Summary!$B$5,Summary!$B$6)</f>
        <v>208014.6</v>
      </c>
      <c r="L98" s="24" t="n">
        <v>0.802</v>
      </c>
      <c r="M98" s="25" t="n">
        <f aca="false">IF(K98&gt;0,1,0)</f>
        <v>1</v>
      </c>
      <c r="N98" s="11" t="n">
        <f aca="false">SUMIFS(K$2:K98,A$2:A98,A98,B$2:B98,B98)</f>
        <v>6085194.3</v>
      </c>
      <c r="O98" s="11" t="n">
        <f aca="false">MAX(0,_xlfn.MAXIFS(N$2:N98,A$2:A98,A98,B$2:B98,B98))</f>
        <v>6085194.3</v>
      </c>
      <c r="P98" s="11" t="n">
        <f aca="false">N98-O98</f>
        <v>0</v>
      </c>
    </row>
    <row r="99" customFormat="false" ht="15" hidden="false" customHeight="false" outlineLevel="0" collapsed="false">
      <c r="A99" s="8" t="s">
        <v>25</v>
      </c>
      <c r="B99" s="8" t="s">
        <v>28</v>
      </c>
      <c r="C99" s="8" t="s">
        <v>51</v>
      </c>
      <c r="D99" s="19" t="n">
        <v>46226.7916666667</v>
      </c>
      <c r="E99" s="19" t="n">
        <v>46239.4166666667</v>
      </c>
      <c r="F99" s="20" t="n">
        <f aca="false">DATE(YEAR(E99),MONTH(E99),1)</f>
        <v>46235</v>
      </c>
      <c r="G99" s="21" t="n">
        <v>224807</v>
      </c>
      <c r="H99" s="8" t="s">
        <v>50</v>
      </c>
      <c r="I99" s="22" t="n">
        <v>-4032.41</v>
      </c>
      <c r="J99" s="23" t="n">
        <f aca="false">Summary!$B$4</f>
        <v>1</v>
      </c>
      <c r="K99" s="11" t="n">
        <f aca="false">I99*J99*IF(A99="SILVER",Summary!$B$5,Summary!$B$6)</f>
        <v>-120972.3</v>
      </c>
      <c r="L99" s="24" t="n">
        <v>-0.54</v>
      </c>
      <c r="M99" s="25" t="n">
        <f aca="false">IF(K99&gt;0,1,0)</f>
        <v>0</v>
      </c>
      <c r="N99" s="11" t="n">
        <f aca="false">SUMIFS(K$2:K99,A$2:A99,A99,B$2:B99,B99)</f>
        <v>5964222</v>
      </c>
      <c r="O99" s="11" t="n">
        <f aca="false">MAX(0,_xlfn.MAXIFS(N$2:N99,A$2:A99,A99,B$2:B99,B99))</f>
        <v>6085194.3</v>
      </c>
      <c r="P99" s="11" t="n">
        <f aca="false">N99-O99</f>
        <v>-120972.3</v>
      </c>
    </row>
    <row r="100" customFormat="false" ht="15" hidden="false" customHeight="false" outlineLevel="0" collapsed="false">
      <c r="A100" s="8" t="s">
        <v>25</v>
      </c>
      <c r="B100" s="8" t="s">
        <v>28</v>
      </c>
      <c r="C100" s="8" t="s">
        <v>51</v>
      </c>
      <c r="D100" s="19" t="n">
        <v>46253.4166666667</v>
      </c>
      <c r="E100" s="19" t="n">
        <v>46253.8333333333</v>
      </c>
      <c r="F100" s="20" t="n">
        <f aca="false">DATE(YEAR(E100),MONTH(E100),1)</f>
        <v>46235</v>
      </c>
      <c r="G100" s="21" t="n">
        <v>233357</v>
      </c>
      <c r="H100" s="8" t="s">
        <v>50</v>
      </c>
      <c r="I100" s="22" t="n">
        <v>-7502.47</v>
      </c>
      <c r="J100" s="23" t="n">
        <f aca="false">Summary!$B$4</f>
        <v>1</v>
      </c>
      <c r="K100" s="11" t="n">
        <f aca="false">I100*J100*IF(A100="SILVER",Summary!$B$5,Summary!$B$6)</f>
        <v>-225074.1</v>
      </c>
      <c r="L100" s="24" t="n">
        <v>-0.893</v>
      </c>
      <c r="M100" s="25" t="n">
        <f aca="false">IF(K100&gt;0,1,0)</f>
        <v>0</v>
      </c>
      <c r="N100" s="11" t="n">
        <f aca="false">SUMIFS(K$2:K100,A$2:A100,A100,B$2:B100,B100)</f>
        <v>5739147.9</v>
      </c>
      <c r="O100" s="11" t="n">
        <f aca="false">MAX(0,_xlfn.MAXIFS(N$2:N100,A$2:A100,A100,B$2:B100,B100))</f>
        <v>6085194.3</v>
      </c>
      <c r="P100" s="11" t="n">
        <f aca="false">N100-O100</f>
        <v>-346046.399999999</v>
      </c>
    </row>
    <row r="101" customFormat="false" ht="15" hidden="false" customHeight="false" outlineLevel="0" collapsed="false">
      <c r="A101" s="8" t="s">
        <v>25</v>
      </c>
      <c r="B101" s="8" t="s">
        <v>28</v>
      </c>
      <c r="C101" s="8" t="s">
        <v>51</v>
      </c>
      <c r="D101" s="19" t="n">
        <v>46261.375</v>
      </c>
      <c r="E101" s="19" t="n">
        <v>46268.9166666667</v>
      </c>
      <c r="F101" s="20" t="n">
        <f aca="false">DATE(YEAR(E101),MONTH(E101),1)</f>
        <v>46266</v>
      </c>
      <c r="G101" s="21" t="n">
        <v>247656</v>
      </c>
      <c r="H101" s="8" t="s">
        <v>50</v>
      </c>
      <c r="I101" s="22" t="n">
        <v>6983.45</v>
      </c>
      <c r="J101" s="23" t="n">
        <f aca="false">Summary!$B$4</f>
        <v>1</v>
      </c>
      <c r="K101" s="11" t="n">
        <f aca="false">I101*J101*IF(A101="SILVER",Summary!$B$5,Summary!$B$6)</f>
        <v>209503.5</v>
      </c>
      <c r="L101" s="24" t="n">
        <v>1.257</v>
      </c>
      <c r="M101" s="25" t="n">
        <f aca="false">IF(K101&gt;0,1,0)</f>
        <v>1</v>
      </c>
      <c r="N101" s="11" t="n">
        <f aca="false">SUMIFS(K$2:K101,A$2:A101,A101,B$2:B101,B101)</f>
        <v>5948651.4</v>
      </c>
      <c r="O101" s="11" t="n">
        <f aca="false">MAX(0,_xlfn.MAXIFS(N$2:N101,A$2:A101,A101,B$2:B101,B101))</f>
        <v>6085194.3</v>
      </c>
      <c r="P101" s="11" t="n">
        <f aca="false">N101-O101</f>
        <v>-136542.899999999</v>
      </c>
    </row>
    <row r="102" customFormat="false" ht="15" hidden="false" customHeight="false" outlineLevel="0" collapsed="false">
      <c r="A102" s="8" t="s">
        <v>25</v>
      </c>
      <c r="B102" s="8" t="s">
        <v>28</v>
      </c>
      <c r="C102" s="8" t="s">
        <v>51</v>
      </c>
      <c r="D102" s="19" t="n">
        <v>46275.875</v>
      </c>
      <c r="E102" s="19" t="n">
        <v>46283.4583333333</v>
      </c>
      <c r="F102" s="20" t="n">
        <f aca="false">DATE(YEAR(E102),MONTH(E102),1)</f>
        <v>46266</v>
      </c>
      <c r="G102" s="21" t="n">
        <v>235114</v>
      </c>
      <c r="H102" s="8" t="s">
        <v>50</v>
      </c>
      <c r="I102" s="22" t="n">
        <v>-5172.52</v>
      </c>
      <c r="J102" s="23" t="n">
        <f aca="false">Summary!$B$4</f>
        <v>1</v>
      </c>
      <c r="K102" s="11" t="n">
        <f aca="false">I102*J102*IF(A102="SILVER",Summary!$B$5,Summary!$B$6)</f>
        <v>-155175.6</v>
      </c>
      <c r="L102" s="24" t="n">
        <v>-0.524</v>
      </c>
      <c r="M102" s="25" t="n">
        <f aca="false">IF(K102&gt;0,1,0)</f>
        <v>0</v>
      </c>
      <c r="N102" s="11" t="n">
        <f aca="false">SUMIFS(K$2:K102,A$2:A102,A102,B$2:B102,B102)</f>
        <v>5793475.8</v>
      </c>
      <c r="O102" s="11" t="n">
        <f aca="false">MAX(0,_xlfn.MAXIFS(N$2:N102,A$2:A102,A102,B$2:B102,B102))</f>
        <v>6085194.3</v>
      </c>
      <c r="P102" s="11" t="n">
        <f aca="false">N102-O102</f>
        <v>-291718.5</v>
      </c>
    </row>
    <row r="103" customFormat="false" ht="15" hidden="false" customHeight="false" outlineLevel="0" collapsed="false">
      <c r="A103" s="8" t="s">
        <v>25</v>
      </c>
      <c r="B103" s="8" t="s">
        <v>30</v>
      </c>
      <c r="C103" s="8" t="s">
        <v>51</v>
      </c>
      <c r="D103" s="19" t="n">
        <v>45699.7916666667</v>
      </c>
      <c r="E103" s="19" t="n">
        <v>45702.4166666667</v>
      </c>
      <c r="F103" s="20" t="n">
        <f aca="false">DATE(YEAR(E103),MONTH(E103),1)</f>
        <v>45689</v>
      </c>
      <c r="G103" s="21" t="n">
        <v>132343</v>
      </c>
      <c r="H103" s="8" t="s">
        <v>50</v>
      </c>
      <c r="I103" s="22" t="n">
        <v>-3073.97</v>
      </c>
      <c r="J103" s="23" t="n">
        <f aca="false">Summary!$B$4</f>
        <v>1</v>
      </c>
      <c r="K103" s="11" t="n">
        <f aca="false">I103*J103*IF(A103="SILVER",Summary!$B$5,Summary!$B$6)</f>
        <v>-92219.1</v>
      </c>
      <c r="L103" s="24" t="n">
        <v>-1.128</v>
      </c>
      <c r="M103" s="25" t="n">
        <f aca="false">IF(K103&gt;0,1,0)</f>
        <v>0</v>
      </c>
      <c r="N103" s="11" t="n">
        <f aca="false">SUMIFS(K$2:K103,A$2:A103,A103,B$2:B103,B103)</f>
        <v>-92219.1</v>
      </c>
      <c r="O103" s="11" t="n">
        <f aca="false">MAX(0,_xlfn.MAXIFS(N$2:N103,A$2:A103,A103,B$2:B103,B103))</f>
        <v>0</v>
      </c>
      <c r="P103" s="11" t="n">
        <f aca="false">N103-O103</f>
        <v>-92219.1</v>
      </c>
    </row>
    <row r="104" customFormat="false" ht="15" hidden="false" customHeight="false" outlineLevel="0" collapsed="false">
      <c r="A104" s="8" t="s">
        <v>25</v>
      </c>
      <c r="B104" s="8" t="s">
        <v>30</v>
      </c>
      <c r="C104" s="8" t="s">
        <v>51</v>
      </c>
      <c r="D104" s="19" t="n">
        <v>45702.9166666667</v>
      </c>
      <c r="E104" s="19" t="n">
        <v>45721.4631944444</v>
      </c>
      <c r="F104" s="20" t="n">
        <f aca="false">DATE(YEAR(E104),MONTH(E104),1)</f>
        <v>45717</v>
      </c>
      <c r="G104" s="21" t="n">
        <v>134632</v>
      </c>
      <c r="H104" s="8" t="s">
        <v>50</v>
      </c>
      <c r="I104" s="22" t="n">
        <v>430.92</v>
      </c>
      <c r="J104" s="23" t="n">
        <f aca="false">Summary!$B$4</f>
        <v>1</v>
      </c>
      <c r="K104" s="11" t="n">
        <f aca="false">I104*J104*IF(A104="SILVER",Summary!$B$5,Summary!$B$6)</f>
        <v>12927.6</v>
      </c>
      <c r="L104" s="24" t="n">
        <v>0.136</v>
      </c>
      <c r="M104" s="25" t="n">
        <f aca="false">IF(K104&gt;0,1,0)</f>
        <v>1</v>
      </c>
      <c r="N104" s="11" t="n">
        <f aca="false">SUMIFS(K$2:K104,A$2:A104,A104,B$2:B104,B104)</f>
        <v>-79291.5</v>
      </c>
      <c r="O104" s="11" t="n">
        <f aca="false">MAX(0,_xlfn.MAXIFS(N$2:N104,A$2:A104,A104,B$2:B104,B104))</f>
        <v>0</v>
      </c>
      <c r="P104" s="11" t="n">
        <f aca="false">N104-O104</f>
        <v>-79291.5</v>
      </c>
    </row>
    <row r="105" customFormat="false" ht="15" hidden="false" customHeight="false" outlineLevel="0" collapsed="false">
      <c r="A105" s="8" t="s">
        <v>25</v>
      </c>
      <c r="B105" s="8" t="s">
        <v>30</v>
      </c>
      <c r="C105" s="8" t="s">
        <v>51</v>
      </c>
      <c r="D105" s="19" t="n">
        <v>45736.6666666667</v>
      </c>
      <c r="E105" s="19" t="n">
        <v>45741.6909722222</v>
      </c>
      <c r="F105" s="20" t="n">
        <f aca="false">DATE(YEAR(E105),MONTH(E105),1)</f>
        <v>45717</v>
      </c>
      <c r="G105" s="21" t="n">
        <v>135951</v>
      </c>
      <c r="H105" s="8" t="s">
        <v>53</v>
      </c>
      <c r="I105" s="22" t="n">
        <v>279.79</v>
      </c>
      <c r="J105" s="23" t="n">
        <f aca="false">Summary!$B$4</f>
        <v>1</v>
      </c>
      <c r="K105" s="11" t="n">
        <f aca="false">I105*J105*IF(A105="SILVER",Summary!$B$5,Summary!$B$6)</f>
        <v>8393.7</v>
      </c>
      <c r="L105" s="24" t="n">
        <v>0.09</v>
      </c>
      <c r="M105" s="25" t="n">
        <f aca="false">IF(K105&gt;0,1,0)</f>
        <v>1</v>
      </c>
      <c r="N105" s="11" t="n">
        <f aca="false">SUMIFS(K$2:K105,A$2:A105,A105,B$2:B105,B105)</f>
        <v>-70897.8</v>
      </c>
      <c r="O105" s="11" t="n">
        <f aca="false">MAX(0,_xlfn.MAXIFS(N$2:N105,A$2:A105,A105,B$2:B105,B105))</f>
        <v>0</v>
      </c>
      <c r="P105" s="11" t="n">
        <f aca="false">N105-O105</f>
        <v>-70897.8</v>
      </c>
    </row>
    <row r="106" customFormat="false" ht="15" hidden="false" customHeight="false" outlineLevel="0" collapsed="false">
      <c r="A106" s="8" t="s">
        <v>25</v>
      </c>
      <c r="B106" s="8" t="s">
        <v>30</v>
      </c>
      <c r="C106" s="8" t="s">
        <v>51</v>
      </c>
      <c r="D106" s="19" t="n">
        <v>45748.9166666667</v>
      </c>
      <c r="E106" s="19" t="n">
        <v>45758.5833333333</v>
      </c>
      <c r="F106" s="20" t="n">
        <f aca="false">DATE(YEAR(E106),MONTH(E106),1)</f>
        <v>45748</v>
      </c>
      <c r="G106" s="21" t="n">
        <v>136297</v>
      </c>
      <c r="H106" s="8" t="s">
        <v>50</v>
      </c>
      <c r="I106" s="22" t="n">
        <v>6488.79</v>
      </c>
      <c r="J106" s="23" t="n">
        <f aca="false">Summary!$B$4</f>
        <v>1</v>
      </c>
      <c r="K106" s="11" t="n">
        <f aca="false">I106*J106*IF(A106="SILVER",Summary!$B$5,Summary!$B$6)</f>
        <v>194663.7</v>
      </c>
      <c r="L106" s="24" t="n">
        <v>2.033</v>
      </c>
      <c r="M106" s="25" t="n">
        <f aca="false">IF(K106&gt;0,1,0)</f>
        <v>1</v>
      </c>
      <c r="N106" s="11" t="n">
        <f aca="false">SUMIFS(K$2:K106,A$2:A106,A106,B$2:B106,B106)</f>
        <v>123765.9</v>
      </c>
      <c r="O106" s="11" t="n">
        <f aca="false">MAX(0,_xlfn.MAXIFS(N$2:N106,A$2:A106,A106,B$2:B106,B106))</f>
        <v>123765.9</v>
      </c>
      <c r="P106" s="11" t="n">
        <f aca="false">N106-O106</f>
        <v>0</v>
      </c>
    </row>
    <row r="107" customFormat="false" ht="15" hidden="false" customHeight="false" outlineLevel="0" collapsed="false">
      <c r="A107" s="8" t="s">
        <v>25</v>
      </c>
      <c r="B107" s="8" t="s">
        <v>30</v>
      </c>
      <c r="C107" s="8" t="s">
        <v>51</v>
      </c>
      <c r="D107" s="19" t="n">
        <v>45777.5833333333</v>
      </c>
      <c r="E107" s="19" t="n">
        <v>45778.7666666667</v>
      </c>
      <c r="F107" s="20" t="n">
        <f aca="false">DATE(YEAR(E107),MONTH(E107),1)</f>
        <v>45778</v>
      </c>
      <c r="G107" s="21" t="n">
        <v>131200</v>
      </c>
      <c r="H107" s="8" t="s">
        <v>53</v>
      </c>
      <c r="I107" s="22" t="n">
        <v>274.19</v>
      </c>
      <c r="J107" s="23" t="n">
        <f aca="false">Summary!$B$4</f>
        <v>1</v>
      </c>
      <c r="K107" s="11" t="n">
        <f aca="false">I107*J107*IF(A107="SILVER",Summary!$B$5,Summary!$B$6)</f>
        <v>8225.7</v>
      </c>
      <c r="L107" s="24" t="n">
        <v>0.074</v>
      </c>
      <c r="M107" s="25" t="n">
        <f aca="false">IF(K107&gt;0,1,0)</f>
        <v>1</v>
      </c>
      <c r="N107" s="11" t="n">
        <f aca="false">SUMIFS(K$2:K107,A$2:A107,A107,B$2:B107,B107)</f>
        <v>131991.6</v>
      </c>
      <c r="O107" s="11" t="n">
        <f aca="false">MAX(0,_xlfn.MAXIFS(N$2:N107,A$2:A107,A107,B$2:B107,B107))</f>
        <v>131991.6</v>
      </c>
      <c r="P107" s="11" t="n">
        <f aca="false">N107-O107</f>
        <v>0</v>
      </c>
    </row>
    <row r="108" customFormat="false" ht="15" hidden="false" customHeight="false" outlineLevel="0" collapsed="false">
      <c r="A108" s="8" t="s">
        <v>25</v>
      </c>
      <c r="B108" s="8" t="s">
        <v>30</v>
      </c>
      <c r="C108" s="8" t="s">
        <v>51</v>
      </c>
      <c r="D108" s="19" t="n">
        <v>45792.4583333333</v>
      </c>
      <c r="E108" s="19" t="n">
        <v>45797.9166666667</v>
      </c>
      <c r="F108" s="20" t="n">
        <f aca="false">DATE(YEAR(E108),MONTH(E108),1)</f>
        <v>45778</v>
      </c>
      <c r="G108" s="21" t="n">
        <v>129020</v>
      </c>
      <c r="H108" s="8" t="s">
        <v>50</v>
      </c>
      <c r="I108" s="22" t="n">
        <v>-2939.12</v>
      </c>
      <c r="J108" s="23" t="n">
        <f aca="false">Summary!$B$4</f>
        <v>1</v>
      </c>
      <c r="K108" s="11" t="n">
        <f aca="false">I108*J108*IF(A108="SILVER",Summary!$B$5,Summary!$B$6)</f>
        <v>-88173.6</v>
      </c>
      <c r="L108" s="24" t="n">
        <v>-0.983</v>
      </c>
      <c r="M108" s="25" t="n">
        <f aca="false">IF(K108&gt;0,1,0)</f>
        <v>0</v>
      </c>
      <c r="N108" s="11" t="n">
        <f aca="false">SUMIFS(K$2:K108,A$2:A108,A108,B$2:B108,B108)</f>
        <v>43818</v>
      </c>
      <c r="O108" s="11" t="n">
        <f aca="false">MAX(0,_xlfn.MAXIFS(N$2:N108,A$2:A108,A108,B$2:B108,B108))</f>
        <v>131991.6</v>
      </c>
      <c r="P108" s="11" t="n">
        <f aca="false">N108-O108</f>
        <v>-88173.6</v>
      </c>
    </row>
    <row r="109" customFormat="false" ht="15" hidden="false" customHeight="false" outlineLevel="0" collapsed="false">
      <c r="A109" s="8" t="s">
        <v>25</v>
      </c>
      <c r="B109" s="8" t="s">
        <v>30</v>
      </c>
      <c r="C109" s="8" t="s">
        <v>51</v>
      </c>
      <c r="D109" s="19" t="n">
        <v>45799.7083333333</v>
      </c>
      <c r="E109" s="19" t="n">
        <v>45810.7916666667</v>
      </c>
      <c r="F109" s="20" t="n">
        <f aca="false">DATE(YEAR(E109),MONTH(E109),1)</f>
        <v>45809</v>
      </c>
      <c r="G109" s="21" t="n">
        <v>131701</v>
      </c>
      <c r="H109" s="8" t="s">
        <v>50</v>
      </c>
      <c r="I109" s="22" t="n">
        <v>-2677.64</v>
      </c>
      <c r="J109" s="23" t="n">
        <f aca="false">Summary!$B$4</f>
        <v>1</v>
      </c>
      <c r="K109" s="11" t="n">
        <f aca="false">I109*J109*IF(A109="SILVER",Summary!$B$5,Summary!$B$6)</f>
        <v>-80329.2</v>
      </c>
      <c r="L109" s="24" t="n">
        <v>-1.046</v>
      </c>
      <c r="M109" s="25" t="n">
        <f aca="false">IF(K109&gt;0,1,0)</f>
        <v>0</v>
      </c>
      <c r="N109" s="11" t="n">
        <f aca="false">SUMIFS(K$2:K109,A$2:A109,A109,B$2:B109,B109)</f>
        <v>-36511.2</v>
      </c>
      <c r="O109" s="11" t="n">
        <f aca="false">MAX(0,_xlfn.MAXIFS(N$2:N109,A$2:A109,A109,B$2:B109,B109))</f>
        <v>131991.6</v>
      </c>
      <c r="P109" s="11" t="n">
        <f aca="false">N109-O109</f>
        <v>-168502.8</v>
      </c>
    </row>
    <row r="110" customFormat="false" ht="15" hidden="false" customHeight="false" outlineLevel="0" collapsed="false">
      <c r="A110" s="8" t="s">
        <v>25</v>
      </c>
      <c r="B110" s="8" t="s">
        <v>30</v>
      </c>
      <c r="C110" s="8" t="s">
        <v>49</v>
      </c>
      <c r="D110" s="19" t="n">
        <v>45841.53125</v>
      </c>
      <c r="E110" s="19" t="n">
        <v>45853.875</v>
      </c>
      <c r="F110" s="20" t="n">
        <f aca="false">DATE(YEAR(E110),MONTH(E110),1)</f>
        <v>45839</v>
      </c>
      <c r="G110" s="21" t="n">
        <v>142205</v>
      </c>
      <c r="H110" s="8" t="s">
        <v>50</v>
      </c>
      <c r="I110" s="22" t="n">
        <v>3515.84</v>
      </c>
      <c r="J110" s="23" t="n">
        <f aca="false">Summary!$B$4</f>
        <v>1</v>
      </c>
      <c r="K110" s="11" t="n">
        <f aca="false">I110*J110*IF(A110="SILVER",Summary!$B$5,Summary!$B$6)</f>
        <v>105475.2</v>
      </c>
      <c r="L110" s="24" t="n">
        <v>1.461</v>
      </c>
      <c r="M110" s="25" t="n">
        <f aca="false">IF(K110&gt;0,1,0)</f>
        <v>1</v>
      </c>
      <c r="N110" s="11" t="n">
        <f aca="false">SUMIFS(K$2:K110,A$2:A110,A110,B$2:B110,B110)</f>
        <v>68964</v>
      </c>
      <c r="O110" s="11" t="n">
        <f aca="false">MAX(0,_xlfn.MAXIFS(N$2:N110,A$2:A110,A110,B$2:B110,B110))</f>
        <v>131991.6</v>
      </c>
      <c r="P110" s="11" t="n">
        <f aca="false">N110-O110</f>
        <v>-63027.6</v>
      </c>
    </row>
    <row r="111" customFormat="false" ht="15" hidden="false" customHeight="false" outlineLevel="0" collapsed="false">
      <c r="A111" s="8" t="s">
        <v>25</v>
      </c>
      <c r="B111" s="8" t="s">
        <v>30</v>
      </c>
      <c r="C111" s="8" t="s">
        <v>49</v>
      </c>
      <c r="D111" s="19" t="n">
        <v>45859.6666666667</v>
      </c>
      <c r="E111" s="19" t="n">
        <v>45863.8243055556</v>
      </c>
      <c r="F111" s="20" t="n">
        <f aca="false">DATE(YEAR(E111),MONTH(E111),1)</f>
        <v>45839</v>
      </c>
      <c r="G111" s="21" t="n">
        <v>148364</v>
      </c>
      <c r="H111" s="8" t="s">
        <v>53</v>
      </c>
      <c r="I111" s="22" t="n">
        <v>203.56</v>
      </c>
      <c r="J111" s="23" t="n">
        <f aca="false">Summary!$B$4</f>
        <v>1</v>
      </c>
      <c r="K111" s="11" t="n">
        <f aca="false">I111*J111*IF(A111="SILVER",Summary!$B$5,Summary!$B$6)</f>
        <v>6106.8</v>
      </c>
      <c r="L111" s="24" t="n">
        <v>0.086</v>
      </c>
      <c r="M111" s="25" t="n">
        <f aca="false">IF(K111&gt;0,1,0)</f>
        <v>1</v>
      </c>
      <c r="N111" s="11" t="n">
        <f aca="false">SUMIFS(K$2:K111,A$2:A111,A111,B$2:B111,B111)</f>
        <v>75070.8000000001</v>
      </c>
      <c r="O111" s="11" t="n">
        <f aca="false">MAX(0,_xlfn.MAXIFS(N$2:N111,A$2:A111,A111,B$2:B111,B111))</f>
        <v>131991.6</v>
      </c>
      <c r="P111" s="11" t="n">
        <f aca="false">N111-O111</f>
        <v>-56920.8</v>
      </c>
    </row>
    <row r="112" customFormat="false" ht="15" hidden="false" customHeight="false" outlineLevel="0" collapsed="false">
      <c r="A112" s="8" t="s">
        <v>25</v>
      </c>
      <c r="B112" s="8" t="s">
        <v>30</v>
      </c>
      <c r="C112" s="8" t="s">
        <v>49</v>
      </c>
      <c r="D112" s="19" t="n">
        <v>45873.5833333333</v>
      </c>
      <c r="E112" s="19" t="n">
        <v>45888.5</v>
      </c>
      <c r="F112" s="20" t="n">
        <f aca="false">DATE(YEAR(E112),MONTH(E112),1)</f>
        <v>45870</v>
      </c>
      <c r="G112" s="21" t="n">
        <v>146431</v>
      </c>
      <c r="H112" s="8" t="s">
        <v>50</v>
      </c>
      <c r="I112" s="22" t="n">
        <v>855.5</v>
      </c>
      <c r="J112" s="23" t="n">
        <f aca="false">Summary!$B$4</f>
        <v>1</v>
      </c>
      <c r="K112" s="11" t="n">
        <f aca="false">I112*J112*IF(A112="SILVER",Summary!$B$5,Summary!$B$6)</f>
        <v>25665</v>
      </c>
      <c r="L112" s="24" t="n">
        <v>0.278</v>
      </c>
      <c r="M112" s="25" t="n">
        <f aca="false">IF(K112&gt;0,1,0)</f>
        <v>1</v>
      </c>
      <c r="N112" s="11" t="n">
        <f aca="false">SUMIFS(K$2:K112,A$2:A112,A112,B$2:B112,B112)</f>
        <v>100735.8</v>
      </c>
      <c r="O112" s="11" t="n">
        <f aca="false">MAX(0,_xlfn.MAXIFS(N$2:N112,A$2:A112,A112,B$2:B112,B112))</f>
        <v>131991.6</v>
      </c>
      <c r="P112" s="11" t="n">
        <f aca="false">N112-O112</f>
        <v>-31255.8</v>
      </c>
    </row>
    <row r="113" customFormat="false" ht="15" hidden="false" customHeight="false" outlineLevel="0" collapsed="false">
      <c r="A113" s="8" t="s">
        <v>25</v>
      </c>
      <c r="B113" s="8" t="s">
        <v>30</v>
      </c>
      <c r="C113" s="8" t="s">
        <v>49</v>
      </c>
      <c r="D113" s="19" t="n">
        <v>45890.4166666667</v>
      </c>
      <c r="E113" s="19" t="n">
        <v>45908.4166666667</v>
      </c>
      <c r="F113" s="20" t="n">
        <f aca="false">DATE(YEAR(E113),MONTH(E113),1)</f>
        <v>45901</v>
      </c>
      <c r="G113" s="21" t="n">
        <v>147134</v>
      </c>
      <c r="H113" s="8" t="s">
        <v>50</v>
      </c>
      <c r="I113" s="22" t="n">
        <v>7960.59</v>
      </c>
      <c r="J113" s="23" t="n">
        <f aca="false">Summary!$B$4</f>
        <v>1</v>
      </c>
      <c r="K113" s="11" t="n">
        <f aca="false">I113*J113*IF(A113="SILVER",Summary!$B$5,Summary!$B$6)</f>
        <v>238817.7</v>
      </c>
      <c r="L113" s="24" t="n">
        <v>3.424</v>
      </c>
      <c r="M113" s="25" t="n">
        <f aca="false">IF(K113&gt;0,1,0)</f>
        <v>1</v>
      </c>
      <c r="N113" s="11" t="n">
        <f aca="false">SUMIFS(K$2:K113,A$2:A113,A113,B$2:B113,B113)</f>
        <v>339553.5</v>
      </c>
      <c r="O113" s="11" t="n">
        <f aca="false">MAX(0,_xlfn.MAXIFS(N$2:N113,A$2:A113,A113,B$2:B113,B113))</f>
        <v>339553.5</v>
      </c>
      <c r="P113" s="11" t="n">
        <f aca="false">N113-O113</f>
        <v>0</v>
      </c>
    </row>
    <row r="114" customFormat="false" ht="15" hidden="false" customHeight="false" outlineLevel="0" collapsed="false">
      <c r="A114" s="8" t="s">
        <v>25</v>
      </c>
      <c r="B114" s="8" t="s">
        <v>30</v>
      </c>
      <c r="C114" s="8" t="s">
        <v>49</v>
      </c>
      <c r="D114" s="19" t="n">
        <v>45912.4166666667</v>
      </c>
      <c r="E114" s="19" t="n">
        <v>45916.8756944445</v>
      </c>
      <c r="F114" s="20" t="n">
        <f aca="false">DATE(YEAR(E114),MONTH(E114),1)</f>
        <v>45901</v>
      </c>
      <c r="G114" s="21" t="n">
        <v>159701</v>
      </c>
      <c r="H114" s="8" t="s">
        <v>53</v>
      </c>
      <c r="I114" s="22" t="n">
        <v>300.43</v>
      </c>
      <c r="J114" s="23" t="n">
        <f aca="false">Summary!$B$4</f>
        <v>1</v>
      </c>
      <c r="K114" s="11" t="n">
        <f aca="false">I114*J114*IF(A114="SILVER",Summary!$B$5,Summary!$B$6)</f>
        <v>9012.9</v>
      </c>
      <c r="L114" s="24" t="n">
        <v>0.089</v>
      </c>
      <c r="M114" s="25" t="n">
        <f aca="false">IF(K114&gt;0,1,0)</f>
        <v>1</v>
      </c>
      <c r="N114" s="11" t="n">
        <f aca="false">SUMIFS(K$2:K114,A$2:A114,A114,B$2:B114,B114)</f>
        <v>348566.4</v>
      </c>
      <c r="O114" s="11" t="n">
        <f aca="false">MAX(0,_xlfn.MAXIFS(N$2:N114,A$2:A114,A114,B$2:B114,B114))</f>
        <v>348566.4</v>
      </c>
      <c r="P114" s="11" t="n">
        <f aca="false">N114-O114</f>
        <v>0</v>
      </c>
    </row>
    <row r="115" customFormat="false" ht="15" hidden="false" customHeight="false" outlineLevel="0" collapsed="false">
      <c r="A115" s="8" t="s">
        <v>25</v>
      </c>
      <c r="B115" s="8" t="s">
        <v>30</v>
      </c>
      <c r="C115" s="8" t="s">
        <v>49</v>
      </c>
      <c r="D115" s="19" t="n">
        <v>45919.875</v>
      </c>
      <c r="E115" s="19" t="n">
        <v>45940.4166666667</v>
      </c>
      <c r="F115" s="20" t="n">
        <f aca="false">DATE(YEAR(E115),MONTH(E115),1)</f>
        <v>45931</v>
      </c>
      <c r="G115" s="21" t="n">
        <v>160828</v>
      </c>
      <c r="H115" s="8" t="s">
        <v>50</v>
      </c>
      <c r="I115" s="22" t="n">
        <v>15943.5</v>
      </c>
      <c r="J115" s="23" t="n">
        <f aca="false">Summary!$B$4</f>
        <v>1</v>
      </c>
      <c r="K115" s="11" t="n">
        <f aca="false">I115*J115*IF(A115="SILVER",Summary!$B$5,Summary!$B$6)</f>
        <v>478305</v>
      </c>
      <c r="L115" s="24" t="n">
        <v>4.182</v>
      </c>
      <c r="M115" s="25" t="n">
        <f aca="false">IF(K115&gt;0,1,0)</f>
        <v>1</v>
      </c>
      <c r="N115" s="11" t="n">
        <f aca="false">SUMIFS(K$2:K115,A$2:A115,A115,B$2:B115,B115)</f>
        <v>826871.4</v>
      </c>
      <c r="O115" s="11" t="n">
        <f aca="false">MAX(0,_xlfn.MAXIFS(N$2:N115,A$2:A115,A115,B$2:B115,B115))</f>
        <v>826871.4</v>
      </c>
      <c r="P115" s="11" t="n">
        <f aca="false">N115-O115</f>
        <v>0</v>
      </c>
    </row>
    <row r="116" customFormat="false" ht="15" hidden="false" customHeight="false" outlineLevel="0" collapsed="false">
      <c r="A116" s="8" t="s">
        <v>25</v>
      </c>
      <c r="B116" s="8" t="s">
        <v>30</v>
      </c>
      <c r="C116" s="8" t="s">
        <v>49</v>
      </c>
      <c r="D116" s="19" t="n">
        <v>45943.8333333333</v>
      </c>
      <c r="E116" s="19" t="n">
        <v>45944.4951388889</v>
      </c>
      <c r="F116" s="20" t="n">
        <f aca="false">DATE(YEAR(E116),MONTH(E116),1)</f>
        <v>45931</v>
      </c>
      <c r="G116" s="21" t="n">
        <v>185630</v>
      </c>
      <c r="H116" s="8" t="s">
        <v>53</v>
      </c>
      <c r="I116" s="22" t="n">
        <v>803.57</v>
      </c>
      <c r="J116" s="23" t="n">
        <f aca="false">Summary!$B$4</f>
        <v>1</v>
      </c>
      <c r="K116" s="11" t="n">
        <f aca="false">I116*J116*IF(A116="SILVER",Summary!$B$5,Summary!$B$6)</f>
        <v>24107.1</v>
      </c>
      <c r="L116" s="24" t="n">
        <v>0.095</v>
      </c>
      <c r="M116" s="25" t="n">
        <f aca="false">IF(K116&gt;0,1,0)</f>
        <v>1</v>
      </c>
      <c r="N116" s="11" t="n">
        <f aca="false">SUMIFS(K$2:K116,A$2:A116,A116,B$2:B116,B116)</f>
        <v>850978.5</v>
      </c>
      <c r="O116" s="11" t="n">
        <f aca="false">MAX(0,_xlfn.MAXIFS(N$2:N116,A$2:A116,A116,B$2:B116,B116))</f>
        <v>850978.5</v>
      </c>
      <c r="P116" s="11" t="n">
        <f aca="false">N116-O116</f>
        <v>0</v>
      </c>
    </row>
    <row r="117" customFormat="false" ht="15" hidden="false" customHeight="false" outlineLevel="0" collapsed="false">
      <c r="A117" s="8" t="s">
        <v>25</v>
      </c>
      <c r="B117" s="8" t="s">
        <v>30</v>
      </c>
      <c r="C117" s="8" t="s">
        <v>49</v>
      </c>
      <c r="D117" s="19" t="n">
        <v>45960.8333333333</v>
      </c>
      <c r="E117" s="19" t="n">
        <v>45975.75</v>
      </c>
      <c r="F117" s="20" t="n">
        <f aca="false">DATE(YEAR(E117),MONTH(E117),1)</f>
        <v>45962</v>
      </c>
      <c r="G117" s="21" t="n">
        <v>179635</v>
      </c>
      <c r="H117" s="8" t="s">
        <v>50</v>
      </c>
      <c r="I117" s="22" t="n">
        <v>9052.43</v>
      </c>
      <c r="J117" s="23" t="n">
        <f aca="false">Summary!$B$4</f>
        <v>1</v>
      </c>
      <c r="K117" s="11" t="n">
        <f aca="false">I117*J117*IF(A117="SILVER",Summary!$B$5,Summary!$B$6)</f>
        <v>271572.9</v>
      </c>
      <c r="L117" s="24" t="n">
        <v>1.197</v>
      </c>
      <c r="M117" s="25" t="n">
        <f aca="false">IF(K117&gt;0,1,0)</f>
        <v>1</v>
      </c>
      <c r="N117" s="11" t="n">
        <f aca="false">SUMIFS(K$2:K117,A$2:A117,A117,B$2:B117,B117)</f>
        <v>1122551.4</v>
      </c>
      <c r="O117" s="11" t="n">
        <f aca="false">MAX(0,_xlfn.MAXIFS(N$2:N117,A$2:A117,A117,B$2:B117,B117))</f>
        <v>1122551.4</v>
      </c>
      <c r="P117" s="11" t="n">
        <f aca="false">N117-O117</f>
        <v>0</v>
      </c>
    </row>
    <row r="118" customFormat="false" ht="15" hidden="false" customHeight="false" outlineLevel="0" collapsed="false">
      <c r="A118" s="8" t="s">
        <v>25</v>
      </c>
      <c r="B118" s="8" t="s">
        <v>30</v>
      </c>
      <c r="C118" s="8" t="s">
        <v>49</v>
      </c>
      <c r="D118" s="19" t="n">
        <v>45987.7083333333</v>
      </c>
      <c r="E118" s="19" t="n">
        <v>46003.9583333333</v>
      </c>
      <c r="F118" s="20" t="n">
        <f aca="false">DATE(YEAR(E118),MONTH(E118),1)</f>
        <v>45992</v>
      </c>
      <c r="G118" s="21" t="n">
        <v>190470</v>
      </c>
      <c r="H118" s="8" t="s">
        <v>50</v>
      </c>
      <c r="I118" s="22" t="n">
        <v>29264.67</v>
      </c>
      <c r="J118" s="23" t="n">
        <f aca="false">Summary!$B$4</f>
        <v>1</v>
      </c>
      <c r="K118" s="11" t="n">
        <f aca="false">I118*J118*IF(A118="SILVER",Summary!$B$5,Summary!$B$6)</f>
        <v>877940.1</v>
      </c>
      <c r="L118" s="24" t="n">
        <v>5.619</v>
      </c>
      <c r="M118" s="25" t="n">
        <f aca="false">IF(K118&gt;0,1,0)</f>
        <v>1</v>
      </c>
      <c r="N118" s="11" t="n">
        <f aca="false">SUMIFS(K$2:K118,A$2:A118,A118,B$2:B118,B118)</f>
        <v>2000491.5</v>
      </c>
      <c r="O118" s="11" t="n">
        <f aca="false">MAX(0,_xlfn.MAXIFS(N$2:N118,A$2:A118,A118,B$2:B118,B118))</f>
        <v>2000491.5</v>
      </c>
      <c r="P118" s="11" t="n">
        <f aca="false">N118-O118</f>
        <v>0</v>
      </c>
    </row>
    <row r="119" customFormat="false" ht="15" hidden="false" customHeight="false" outlineLevel="0" collapsed="false">
      <c r="A119" s="8" t="s">
        <v>25</v>
      </c>
      <c r="B119" s="8" t="s">
        <v>30</v>
      </c>
      <c r="C119" s="8" t="s">
        <v>49</v>
      </c>
      <c r="D119" s="19" t="n">
        <v>46008.4166666667</v>
      </c>
      <c r="E119" s="19" t="n">
        <v>46020.8333333333</v>
      </c>
      <c r="F119" s="20" t="n">
        <f aca="false">DATE(YEAR(E119),MONTH(E119),1)</f>
        <v>45992</v>
      </c>
      <c r="G119" s="21" t="n">
        <v>232886</v>
      </c>
      <c r="H119" s="8" t="s">
        <v>50</v>
      </c>
      <c r="I119" s="22" t="n">
        <v>21894.86</v>
      </c>
      <c r="J119" s="23" t="n">
        <f aca="false">Summary!$B$4</f>
        <v>1</v>
      </c>
      <c r="K119" s="11" t="n">
        <f aca="false">I119*J119*IF(A119="SILVER",Summary!$B$5,Summary!$B$6)</f>
        <v>656845.8</v>
      </c>
      <c r="L119" s="24" t="n">
        <v>1.672</v>
      </c>
      <c r="M119" s="25" t="n">
        <f aca="false">IF(K119&gt;0,1,0)</f>
        <v>1</v>
      </c>
      <c r="N119" s="11" t="n">
        <f aca="false">SUMIFS(K$2:K119,A$2:A119,A119,B$2:B119,B119)</f>
        <v>2657337.3</v>
      </c>
      <c r="O119" s="11" t="n">
        <f aca="false">MAX(0,_xlfn.MAXIFS(N$2:N119,A$2:A119,A119,B$2:B119,B119))</f>
        <v>2657337.3</v>
      </c>
      <c r="P119" s="11" t="n">
        <f aca="false">N119-O119</f>
        <v>0</v>
      </c>
    </row>
    <row r="120" customFormat="false" ht="15" hidden="false" customHeight="false" outlineLevel="0" collapsed="false">
      <c r="A120" s="8" t="s">
        <v>25</v>
      </c>
      <c r="B120" s="8" t="s">
        <v>30</v>
      </c>
      <c r="C120" s="8" t="s">
        <v>49</v>
      </c>
      <c r="D120" s="19" t="n">
        <v>46022.375</v>
      </c>
      <c r="E120" s="19" t="n">
        <v>46027.3770833333</v>
      </c>
      <c r="F120" s="20" t="n">
        <f aca="false">DATE(YEAR(E120),MONTH(E120),1)</f>
        <v>46023</v>
      </c>
      <c r="G120" s="21" t="n">
        <v>269734</v>
      </c>
      <c r="H120" s="8" t="s">
        <v>53</v>
      </c>
      <c r="I120" s="22" t="n">
        <v>1315.87</v>
      </c>
      <c r="J120" s="23" t="n">
        <f aca="false">Summary!$B$4</f>
        <v>1</v>
      </c>
      <c r="K120" s="11" t="n">
        <f aca="false">I120*J120*IF(A120="SILVER",Summary!$B$5,Summary!$B$6)</f>
        <v>39476.1</v>
      </c>
      <c r="L120" s="24" t="n">
        <v>0.096</v>
      </c>
      <c r="M120" s="25" t="n">
        <f aca="false">IF(K120&gt;0,1,0)</f>
        <v>1</v>
      </c>
      <c r="N120" s="11" t="n">
        <f aca="false">SUMIFS(K$2:K120,A$2:A120,A120,B$2:B120,B120)</f>
        <v>2696813.4</v>
      </c>
      <c r="O120" s="11" t="n">
        <f aca="false">MAX(0,_xlfn.MAXIFS(N$2:N120,A$2:A120,A120,B$2:B120,B120))</f>
        <v>2696813.4</v>
      </c>
      <c r="P120" s="11" t="n">
        <f aca="false">N120-O120</f>
        <v>0</v>
      </c>
    </row>
    <row r="121" customFormat="false" ht="15" hidden="false" customHeight="false" outlineLevel="0" collapsed="false">
      <c r="A121" s="8" t="s">
        <v>25</v>
      </c>
      <c r="B121" s="8" t="s">
        <v>30</v>
      </c>
      <c r="C121" s="8" t="s">
        <v>49</v>
      </c>
      <c r="D121" s="19" t="n">
        <v>46031.875</v>
      </c>
      <c r="E121" s="19" t="n">
        <v>46044.4166666667</v>
      </c>
      <c r="F121" s="20" t="n">
        <f aca="false">DATE(YEAR(E121),MONTH(E121),1)</f>
        <v>46023</v>
      </c>
      <c r="G121" s="21" t="n">
        <v>282934</v>
      </c>
      <c r="H121" s="8" t="s">
        <v>50</v>
      </c>
      <c r="I121" s="22" t="n">
        <v>51086.97</v>
      </c>
      <c r="J121" s="23" t="n">
        <f aca="false">Summary!$B$4</f>
        <v>1</v>
      </c>
      <c r="K121" s="11" t="n">
        <f aca="false">I121*J121*IF(A121="SILVER",Summary!$B$5,Summary!$B$6)</f>
        <v>1532609.1</v>
      </c>
      <c r="L121" s="24" t="n">
        <v>2.62</v>
      </c>
      <c r="M121" s="25" t="n">
        <f aca="false">IF(K121&gt;0,1,0)</f>
        <v>1</v>
      </c>
      <c r="N121" s="11" t="n">
        <f aca="false">SUMIFS(K$2:K121,A$2:A121,A121,B$2:B121,B121)</f>
        <v>4229422.5</v>
      </c>
      <c r="O121" s="11" t="n">
        <f aca="false">MAX(0,_xlfn.MAXIFS(N$2:N121,A$2:A121,A121,B$2:B121,B121))</f>
        <v>4229422.5</v>
      </c>
      <c r="P121" s="11" t="n">
        <f aca="false">N121-O121</f>
        <v>0</v>
      </c>
    </row>
    <row r="122" customFormat="false" ht="15" hidden="false" customHeight="false" outlineLevel="0" collapsed="false">
      <c r="A122" s="8" t="s">
        <v>25</v>
      </c>
      <c r="B122" s="8" t="s">
        <v>30</v>
      </c>
      <c r="C122" s="8" t="s">
        <v>49</v>
      </c>
      <c r="D122" s="19" t="n">
        <v>46049.4166666667</v>
      </c>
      <c r="E122" s="19" t="n">
        <v>46051.8659722222</v>
      </c>
      <c r="F122" s="20" t="n">
        <f aca="false">DATE(YEAR(E122),MONTH(E122),1)</f>
        <v>46023</v>
      </c>
      <c r="G122" s="21" t="n">
        <v>385184</v>
      </c>
      <c r="H122" s="8" t="s">
        <v>53</v>
      </c>
      <c r="I122" s="22" t="n">
        <v>3975.44</v>
      </c>
      <c r="J122" s="23" t="n">
        <f aca="false">Summary!$B$4</f>
        <v>1</v>
      </c>
      <c r="K122" s="11" t="n">
        <f aca="false">I122*J122*IF(A122="SILVER",Summary!$B$5,Summary!$B$6)</f>
        <v>119263.2</v>
      </c>
      <c r="L122" s="24" t="n">
        <v>0.098</v>
      </c>
      <c r="M122" s="25" t="n">
        <f aca="false">IF(K122&gt;0,1,0)</f>
        <v>1</v>
      </c>
      <c r="N122" s="11" t="n">
        <f aca="false">SUMIFS(K$2:K122,A$2:A122,A122,B$2:B122,B122)</f>
        <v>4348685.7</v>
      </c>
      <c r="O122" s="11" t="n">
        <f aca="false">MAX(0,_xlfn.MAXIFS(N$2:N122,A$2:A122,A122,B$2:B122,B122))</f>
        <v>4348685.7</v>
      </c>
      <c r="P122" s="11" t="n">
        <f aca="false">N122-O122</f>
        <v>0</v>
      </c>
    </row>
    <row r="123" customFormat="false" ht="15" hidden="false" customHeight="false" outlineLevel="0" collapsed="false">
      <c r="A123" s="8" t="s">
        <v>25</v>
      </c>
      <c r="B123" s="8" t="s">
        <v>30</v>
      </c>
      <c r="C123" s="8" t="s">
        <v>51</v>
      </c>
      <c r="D123" s="19" t="n">
        <v>46083.9201388889</v>
      </c>
      <c r="E123" s="19" t="n">
        <v>46085.3993055556</v>
      </c>
      <c r="F123" s="20" t="n">
        <f aca="false">DATE(YEAR(E123),MONTH(E123),1)</f>
        <v>46082</v>
      </c>
      <c r="G123" s="21" t="n">
        <v>297434</v>
      </c>
      <c r="H123" s="8" t="s">
        <v>53</v>
      </c>
      <c r="I123" s="22" t="n">
        <v>2036.15</v>
      </c>
      <c r="J123" s="23" t="n">
        <f aca="false">Summary!$B$4</f>
        <v>1</v>
      </c>
      <c r="K123" s="11" t="n">
        <f aca="false">I123*J123*IF(A123="SILVER",Summary!$B$5,Summary!$B$6)</f>
        <v>61084.5</v>
      </c>
      <c r="L123" s="24" t="n">
        <v>0.093</v>
      </c>
      <c r="M123" s="25" t="n">
        <f aca="false">IF(K123&gt;0,1,0)</f>
        <v>1</v>
      </c>
      <c r="N123" s="11" t="n">
        <f aca="false">SUMIFS(K$2:K123,A$2:A123,A123,B$2:B123,B123)</f>
        <v>4409770.2</v>
      </c>
      <c r="O123" s="11" t="n">
        <f aca="false">MAX(0,_xlfn.MAXIFS(N$2:N123,A$2:A123,A123,B$2:B123,B123))</f>
        <v>4409770.2</v>
      </c>
      <c r="P123" s="11" t="n">
        <f aca="false">N123-O123</f>
        <v>0</v>
      </c>
    </row>
    <row r="124" customFormat="false" ht="15" hidden="false" customHeight="false" outlineLevel="0" collapsed="false">
      <c r="A124" s="8" t="s">
        <v>25</v>
      </c>
      <c r="B124" s="8" t="s">
        <v>30</v>
      </c>
      <c r="C124" s="8" t="s">
        <v>51</v>
      </c>
      <c r="D124" s="19" t="n">
        <v>46094.5</v>
      </c>
      <c r="E124" s="19" t="n">
        <v>46098.4166666667</v>
      </c>
      <c r="F124" s="20" t="n">
        <f aca="false">DATE(YEAR(E124),MONTH(E124),1)</f>
        <v>46082</v>
      </c>
      <c r="G124" s="21" t="n">
        <v>281173</v>
      </c>
      <c r="H124" s="8" t="s">
        <v>53</v>
      </c>
      <c r="I124" s="22" t="n">
        <v>1515.94</v>
      </c>
      <c r="J124" s="23" t="n">
        <f aca="false">Summary!$B$4</f>
        <v>1</v>
      </c>
      <c r="K124" s="11" t="n">
        <f aca="false">I124*J124*IF(A124="SILVER",Summary!$B$5,Summary!$B$6)</f>
        <v>45478.2</v>
      </c>
      <c r="L124" s="24" t="n">
        <v>0.096</v>
      </c>
      <c r="M124" s="25" t="n">
        <f aca="false">IF(K124&gt;0,1,0)</f>
        <v>1</v>
      </c>
      <c r="N124" s="11" t="n">
        <f aca="false">SUMIFS(K$2:K124,A$2:A124,A124,B$2:B124,B124)</f>
        <v>4455248.4</v>
      </c>
      <c r="O124" s="11" t="n">
        <f aca="false">MAX(0,_xlfn.MAXIFS(N$2:N124,A$2:A124,A124,B$2:B124,B124))</f>
        <v>4455248.4</v>
      </c>
      <c r="P124" s="11" t="n">
        <f aca="false">N124-O124</f>
        <v>0</v>
      </c>
    </row>
    <row r="125" customFormat="false" ht="15" hidden="false" customHeight="false" outlineLevel="0" collapsed="false">
      <c r="A125" s="8" t="s">
        <v>25</v>
      </c>
      <c r="B125" s="8" t="s">
        <v>30</v>
      </c>
      <c r="C125" s="8" t="s">
        <v>51</v>
      </c>
      <c r="D125" s="19" t="n">
        <v>46114.5</v>
      </c>
      <c r="E125" s="19" t="n">
        <v>46120.4166666667</v>
      </c>
      <c r="F125" s="20" t="n">
        <f aca="false">DATE(YEAR(E125),MONTH(E125),1)</f>
        <v>46113</v>
      </c>
      <c r="G125" s="21" t="n">
        <v>243669</v>
      </c>
      <c r="H125" s="8" t="s">
        <v>50</v>
      </c>
      <c r="I125" s="22" t="n">
        <v>-17620.03</v>
      </c>
      <c r="J125" s="23" t="n">
        <f aca="false">Summary!$B$4</f>
        <v>1</v>
      </c>
      <c r="K125" s="11" t="n">
        <f aca="false">I125*J125*IF(A125="SILVER",Summary!$B$5,Summary!$B$6)</f>
        <v>-528600.9</v>
      </c>
      <c r="L125" s="24" t="n">
        <v>-0.852</v>
      </c>
      <c r="M125" s="25" t="n">
        <f aca="false">IF(K125&gt;0,1,0)</f>
        <v>0</v>
      </c>
      <c r="N125" s="11" t="n">
        <f aca="false">SUMIFS(K$2:K125,A$2:A125,A125,B$2:B125,B125)</f>
        <v>3926647.5</v>
      </c>
      <c r="O125" s="11" t="n">
        <f aca="false">MAX(0,_xlfn.MAXIFS(N$2:N125,A$2:A125,A125,B$2:B125,B125))</f>
        <v>4455248.4</v>
      </c>
      <c r="P125" s="11" t="n">
        <f aca="false">N125-O125</f>
        <v>-528600.9</v>
      </c>
    </row>
    <row r="126" customFormat="false" ht="15" hidden="false" customHeight="false" outlineLevel="0" collapsed="false">
      <c r="A126" s="8" t="s">
        <v>25</v>
      </c>
      <c r="B126" s="8" t="s">
        <v>30</v>
      </c>
      <c r="C126" s="8" t="s">
        <v>51</v>
      </c>
      <c r="D126" s="19" t="n">
        <v>46133.875</v>
      </c>
      <c r="E126" s="19" t="n">
        <v>46136.70625</v>
      </c>
      <c r="F126" s="20" t="n">
        <f aca="false">DATE(YEAR(E126),MONTH(E126),1)</f>
        <v>46113</v>
      </c>
      <c r="G126" s="21" t="n">
        <v>262733</v>
      </c>
      <c r="H126" s="8" t="s">
        <v>53</v>
      </c>
      <c r="I126" s="22" t="n">
        <v>1181.78</v>
      </c>
      <c r="J126" s="23" t="n">
        <f aca="false">Summary!$B$4</f>
        <v>1</v>
      </c>
      <c r="K126" s="11" t="n">
        <f aca="false">I126*J126*IF(A126="SILVER",Summary!$B$5,Summary!$B$6)</f>
        <v>35453.4</v>
      </c>
      <c r="L126" s="24" t="n">
        <v>0.095</v>
      </c>
      <c r="M126" s="25" t="n">
        <f aca="false">IF(K126&gt;0,1,0)</f>
        <v>1</v>
      </c>
      <c r="N126" s="11" t="n">
        <f aca="false">SUMIFS(K$2:K126,A$2:A126,A126,B$2:B126,B126)</f>
        <v>3962100.9</v>
      </c>
      <c r="O126" s="11" t="n">
        <f aca="false">MAX(0,_xlfn.MAXIFS(N$2:N126,A$2:A126,A126,B$2:B126,B126))</f>
        <v>4455248.4</v>
      </c>
      <c r="P126" s="11" t="n">
        <f aca="false">N126-O126</f>
        <v>-493147.5</v>
      </c>
    </row>
    <row r="127" customFormat="false" ht="15" hidden="false" customHeight="false" outlineLevel="0" collapsed="false">
      <c r="A127" s="8" t="s">
        <v>25</v>
      </c>
      <c r="B127" s="8" t="s">
        <v>30</v>
      </c>
      <c r="C127" s="8" t="s">
        <v>51</v>
      </c>
      <c r="D127" s="19" t="n">
        <v>46147.5819444444</v>
      </c>
      <c r="E127" s="19" t="n">
        <v>46149.6666666667</v>
      </c>
      <c r="F127" s="20" t="n">
        <f aca="false">DATE(YEAR(E127),MONTH(E127),1)</f>
        <v>46143</v>
      </c>
      <c r="G127" s="21" t="n">
        <v>257385</v>
      </c>
      <c r="H127" s="8" t="s">
        <v>50</v>
      </c>
      <c r="I127" s="22" t="n">
        <v>-10335.79</v>
      </c>
      <c r="J127" s="23" t="n">
        <f aca="false">Summary!$B$4</f>
        <v>1</v>
      </c>
      <c r="K127" s="11" t="n">
        <f aca="false">I127*J127*IF(A127="SILVER",Summary!$B$5,Summary!$B$6)</f>
        <v>-310073.7</v>
      </c>
      <c r="L127" s="24" t="n">
        <v>-1.065</v>
      </c>
      <c r="M127" s="25" t="n">
        <f aca="false">IF(K127&gt;0,1,0)</f>
        <v>0</v>
      </c>
      <c r="N127" s="11" t="n">
        <f aca="false">SUMIFS(K$2:K127,A$2:A127,A127,B$2:B127,B127)</f>
        <v>3652027.2</v>
      </c>
      <c r="O127" s="11" t="n">
        <f aca="false">MAX(0,_xlfn.MAXIFS(N$2:N127,A$2:A127,A127,B$2:B127,B127))</f>
        <v>4455248.4</v>
      </c>
      <c r="P127" s="11" t="n">
        <f aca="false">N127-O127</f>
        <v>-803221.2</v>
      </c>
    </row>
    <row r="128" customFormat="false" ht="15" hidden="false" customHeight="false" outlineLevel="0" collapsed="false">
      <c r="A128" s="8" t="s">
        <v>25</v>
      </c>
      <c r="B128" s="8" t="s">
        <v>30</v>
      </c>
      <c r="C128" s="8" t="s">
        <v>51</v>
      </c>
      <c r="D128" s="19" t="n">
        <v>46157.4166666667</v>
      </c>
      <c r="E128" s="19" t="n">
        <v>46188.375</v>
      </c>
      <c r="F128" s="20" t="n">
        <f aca="false">DATE(YEAR(E128),MONTH(E128),1)</f>
        <v>46174</v>
      </c>
      <c r="G128" s="21" t="n">
        <v>289569</v>
      </c>
      <c r="H128" s="8" t="s">
        <v>50</v>
      </c>
      <c r="I128" s="22" t="n">
        <v>30974.07</v>
      </c>
      <c r="J128" s="23" t="n">
        <f aca="false">Summary!$B$4</f>
        <v>1</v>
      </c>
      <c r="K128" s="11" t="n">
        <f aca="false">I128*J128*IF(A128="SILVER",Summary!$B$5,Summary!$B$6)</f>
        <v>929222.1</v>
      </c>
      <c r="L128" s="24" t="n">
        <v>1.771</v>
      </c>
      <c r="M128" s="25" t="n">
        <f aca="false">IF(K128&gt;0,1,0)</f>
        <v>1</v>
      </c>
      <c r="N128" s="11" t="n">
        <f aca="false">SUMIFS(K$2:K128,A$2:A128,A128,B$2:B128,B128)</f>
        <v>4581249.3</v>
      </c>
      <c r="O128" s="11" t="n">
        <f aca="false">MAX(0,_xlfn.MAXIFS(N$2:N128,A$2:A128,A128,B$2:B128,B128))</f>
        <v>4581249.3</v>
      </c>
      <c r="P128" s="11" t="n">
        <f aca="false">N128-O128</f>
        <v>0</v>
      </c>
    </row>
    <row r="129" customFormat="false" ht="15" hidden="false" customHeight="false" outlineLevel="0" collapsed="false">
      <c r="A129" s="8" t="s">
        <v>25</v>
      </c>
      <c r="B129" s="8" t="s">
        <v>30</v>
      </c>
      <c r="C129" s="8" t="s">
        <v>51</v>
      </c>
      <c r="D129" s="19" t="n">
        <v>46191.7083333333</v>
      </c>
      <c r="E129" s="19" t="n">
        <v>46203.7958333333</v>
      </c>
      <c r="F129" s="20" t="n">
        <f aca="false">DATE(YEAR(E129),MONTH(E129),1)</f>
        <v>46174</v>
      </c>
      <c r="G129" s="21" t="n">
        <v>248264</v>
      </c>
      <c r="H129" s="8" t="s">
        <v>50</v>
      </c>
      <c r="I129" s="22" t="n">
        <v>16488.27</v>
      </c>
      <c r="J129" s="23" t="n">
        <f aca="false">Summary!$B$4</f>
        <v>1</v>
      </c>
      <c r="K129" s="11" t="n">
        <f aca="false">I129*J129*IF(A129="SILVER",Summary!$B$5,Summary!$B$6)</f>
        <v>494648.1</v>
      </c>
      <c r="L129" s="24" t="n">
        <v>1.458</v>
      </c>
      <c r="M129" s="25" t="n">
        <f aca="false">IF(K129&gt;0,1,0)</f>
        <v>1</v>
      </c>
      <c r="N129" s="11" t="n">
        <f aca="false">SUMIFS(K$2:K129,A$2:A129,A129,B$2:B129,B129)</f>
        <v>5075897.4</v>
      </c>
      <c r="O129" s="11" t="n">
        <f aca="false">MAX(0,_xlfn.MAXIFS(N$2:N129,A$2:A129,A129,B$2:B129,B129))</f>
        <v>5075897.4</v>
      </c>
      <c r="P129" s="11" t="n">
        <f aca="false">N129-O129</f>
        <v>0</v>
      </c>
    </row>
    <row r="130" customFormat="false" ht="15" hidden="false" customHeight="false" outlineLevel="0" collapsed="false">
      <c r="A130" s="8" t="s">
        <v>25</v>
      </c>
      <c r="B130" s="8" t="s">
        <v>30</v>
      </c>
      <c r="C130" s="8" t="s">
        <v>51</v>
      </c>
      <c r="D130" s="19" t="n">
        <v>46211.4166666667</v>
      </c>
      <c r="E130" s="19" t="n">
        <v>46224.5</v>
      </c>
      <c r="F130" s="20" t="n">
        <f aca="false">DATE(YEAR(E130),MONTH(E130),1)</f>
        <v>46204</v>
      </c>
      <c r="G130" s="21" t="n">
        <v>234047</v>
      </c>
      <c r="H130" s="8" t="s">
        <v>50</v>
      </c>
      <c r="I130" s="22" t="n">
        <v>6933.82</v>
      </c>
      <c r="J130" s="23" t="n">
        <f aca="false">Summary!$B$4</f>
        <v>1</v>
      </c>
      <c r="K130" s="11" t="n">
        <f aca="false">I130*J130*IF(A130="SILVER",Summary!$B$5,Summary!$B$6)</f>
        <v>208014.6</v>
      </c>
      <c r="L130" s="24" t="n">
        <v>0.802</v>
      </c>
      <c r="M130" s="25" t="n">
        <f aca="false">IF(K130&gt;0,1,0)</f>
        <v>1</v>
      </c>
      <c r="N130" s="11" t="n">
        <f aca="false">SUMIFS(K$2:K130,A$2:A130,A130,B$2:B130,B130)</f>
        <v>5283912</v>
      </c>
      <c r="O130" s="11" t="n">
        <f aca="false">MAX(0,_xlfn.MAXIFS(N$2:N130,A$2:A130,A130,B$2:B130,B130))</f>
        <v>5283912</v>
      </c>
      <c r="P130" s="11" t="n">
        <f aca="false">N130-O130</f>
        <v>0</v>
      </c>
    </row>
    <row r="131" customFormat="false" ht="15" hidden="false" customHeight="false" outlineLevel="0" collapsed="false">
      <c r="A131" s="8" t="s">
        <v>25</v>
      </c>
      <c r="B131" s="8" t="s">
        <v>30</v>
      </c>
      <c r="C131" s="8" t="s">
        <v>51</v>
      </c>
      <c r="D131" s="19" t="n">
        <v>46226.7916666667</v>
      </c>
      <c r="E131" s="19" t="n">
        <v>46233.7326388889</v>
      </c>
      <c r="F131" s="20" t="n">
        <f aca="false">DATE(YEAR(E131),MONTH(E131),1)</f>
        <v>46204</v>
      </c>
      <c r="G131" s="21" t="n">
        <v>224807</v>
      </c>
      <c r="H131" s="8" t="s">
        <v>53</v>
      </c>
      <c r="I131" s="22" t="n">
        <v>693.5</v>
      </c>
      <c r="J131" s="23" t="n">
        <f aca="false">Summary!$B$4</f>
        <v>1</v>
      </c>
      <c r="K131" s="11" t="n">
        <f aca="false">I131*J131*IF(A131="SILVER",Summary!$B$5,Summary!$B$6)</f>
        <v>20805</v>
      </c>
      <c r="L131" s="24" t="n">
        <v>0.093</v>
      </c>
      <c r="M131" s="25" t="n">
        <f aca="false">IF(K131&gt;0,1,0)</f>
        <v>1</v>
      </c>
      <c r="N131" s="11" t="n">
        <f aca="false">SUMIFS(K$2:K131,A$2:A131,A131,B$2:B131,B131)</f>
        <v>5304717</v>
      </c>
      <c r="O131" s="11" t="n">
        <f aca="false">MAX(0,_xlfn.MAXIFS(N$2:N131,A$2:A131,A131,B$2:B131,B131))</f>
        <v>5304717</v>
      </c>
      <c r="P131" s="11" t="n">
        <f aca="false">N131-O131</f>
        <v>0</v>
      </c>
    </row>
    <row r="132" customFormat="false" ht="15" hidden="false" customHeight="false" outlineLevel="0" collapsed="false">
      <c r="A132" s="8" t="s">
        <v>25</v>
      </c>
      <c r="B132" s="8" t="s">
        <v>30</v>
      </c>
      <c r="C132" s="8" t="s">
        <v>51</v>
      </c>
      <c r="D132" s="19" t="n">
        <v>46253.4166666667</v>
      </c>
      <c r="E132" s="19" t="n">
        <v>46253.8333333333</v>
      </c>
      <c r="F132" s="20" t="n">
        <f aca="false">DATE(YEAR(E132),MONTH(E132),1)</f>
        <v>46235</v>
      </c>
      <c r="G132" s="21" t="n">
        <v>233357</v>
      </c>
      <c r="H132" s="8" t="s">
        <v>50</v>
      </c>
      <c r="I132" s="22" t="n">
        <v>-7502.47</v>
      </c>
      <c r="J132" s="23" t="n">
        <f aca="false">Summary!$B$4</f>
        <v>1</v>
      </c>
      <c r="K132" s="11" t="n">
        <f aca="false">I132*J132*IF(A132="SILVER",Summary!$B$5,Summary!$B$6)</f>
        <v>-225074.1</v>
      </c>
      <c r="L132" s="24" t="n">
        <v>-0.893</v>
      </c>
      <c r="M132" s="25" t="n">
        <f aca="false">IF(K132&gt;0,1,0)</f>
        <v>0</v>
      </c>
      <c r="N132" s="11" t="n">
        <f aca="false">SUMIFS(K$2:K132,A$2:A132,A132,B$2:B132,B132)</f>
        <v>5079642.9</v>
      </c>
      <c r="O132" s="11" t="n">
        <f aca="false">MAX(0,_xlfn.MAXIFS(N$2:N132,A$2:A132,A132,B$2:B132,B132))</f>
        <v>5304717</v>
      </c>
      <c r="P132" s="11" t="n">
        <f aca="false">N132-O132</f>
        <v>-225074.1</v>
      </c>
    </row>
    <row r="133" customFormat="false" ht="15" hidden="false" customHeight="false" outlineLevel="0" collapsed="false">
      <c r="A133" s="8" t="s">
        <v>25</v>
      </c>
      <c r="B133" s="8" t="s">
        <v>30</v>
      </c>
      <c r="C133" s="8" t="s">
        <v>51</v>
      </c>
      <c r="D133" s="19" t="n">
        <v>46261.375</v>
      </c>
      <c r="E133" s="19" t="n">
        <v>46262.5173611111</v>
      </c>
      <c r="F133" s="20" t="n">
        <f aca="false">DATE(YEAR(E133),MONTH(E133),1)</f>
        <v>46235</v>
      </c>
      <c r="G133" s="21" t="n">
        <v>247656</v>
      </c>
      <c r="H133" s="8" t="s">
        <v>53</v>
      </c>
      <c r="I133" s="22" t="n">
        <v>497.09</v>
      </c>
      <c r="J133" s="23" t="n">
        <f aca="false">Summary!$B$4</f>
        <v>1</v>
      </c>
      <c r="K133" s="11" t="n">
        <f aca="false">I133*J133*IF(A133="SILVER",Summary!$B$5,Summary!$B$6)</f>
        <v>14912.7</v>
      </c>
      <c r="L133" s="24" t="n">
        <v>0.09</v>
      </c>
      <c r="M133" s="25" t="n">
        <f aca="false">IF(K133&gt;0,1,0)</f>
        <v>1</v>
      </c>
      <c r="N133" s="11" t="n">
        <f aca="false">SUMIFS(K$2:K133,A$2:A133,A133,B$2:B133,B133)</f>
        <v>5094555.6</v>
      </c>
      <c r="O133" s="11" t="n">
        <f aca="false">MAX(0,_xlfn.MAXIFS(N$2:N133,A$2:A133,A133,B$2:B133,B133))</f>
        <v>5304717</v>
      </c>
      <c r="P133" s="11" t="n">
        <f aca="false">N133-O133</f>
        <v>-210161.399999999</v>
      </c>
    </row>
    <row r="134" customFormat="false" ht="15" hidden="false" customHeight="false" outlineLevel="0" collapsed="false">
      <c r="A134" s="8" t="s">
        <v>25</v>
      </c>
      <c r="B134" s="8" t="s">
        <v>30</v>
      </c>
      <c r="C134" s="8" t="s">
        <v>51</v>
      </c>
      <c r="D134" s="19" t="n">
        <v>46275.875</v>
      </c>
      <c r="E134" s="19" t="n">
        <v>46281.375</v>
      </c>
      <c r="F134" s="20" t="n">
        <f aca="false">DATE(YEAR(E134),MONTH(E134),1)</f>
        <v>46266</v>
      </c>
      <c r="G134" s="21" t="n">
        <v>235114</v>
      </c>
      <c r="H134" s="8" t="s">
        <v>53</v>
      </c>
      <c r="I134" s="22" t="n">
        <v>-728.01</v>
      </c>
      <c r="J134" s="23" t="n">
        <f aca="false">Summary!$B$4</f>
        <v>1</v>
      </c>
      <c r="K134" s="11" t="n">
        <f aca="false">I134*J134*IF(A134="SILVER",Summary!$B$5,Summary!$B$6)</f>
        <v>-21840.3</v>
      </c>
      <c r="L134" s="24" t="n">
        <v>-0.074</v>
      </c>
      <c r="M134" s="25" t="n">
        <f aca="false">IF(K134&gt;0,1,0)</f>
        <v>0</v>
      </c>
      <c r="N134" s="11" t="n">
        <f aca="false">SUMIFS(K$2:K134,A$2:A134,A134,B$2:B134,B134)</f>
        <v>5072715.3</v>
      </c>
      <c r="O134" s="11" t="n">
        <f aca="false">MAX(0,_xlfn.MAXIFS(N$2:N134,A$2:A134,A134,B$2:B134,B134))</f>
        <v>5304717</v>
      </c>
      <c r="P134" s="11" t="n">
        <f aca="false">N134-O134</f>
        <v>-232001.7</v>
      </c>
    </row>
    <row r="135" customFormat="false" ht="15" hidden="false" customHeight="false" outlineLevel="0" collapsed="false">
      <c r="A135" s="8" t="s">
        <v>25</v>
      </c>
      <c r="B135" s="8" t="s">
        <v>32</v>
      </c>
      <c r="C135" s="8" t="s">
        <v>51</v>
      </c>
      <c r="D135" s="19" t="n">
        <v>45702.9583333333</v>
      </c>
      <c r="E135" s="19" t="n">
        <v>45721.4493055556</v>
      </c>
      <c r="F135" s="20" t="n">
        <f aca="false">DATE(YEAR(E135),MONTH(E135),1)</f>
        <v>45717</v>
      </c>
      <c r="G135" s="21" t="n">
        <v>134531</v>
      </c>
      <c r="H135" s="8" t="s">
        <v>53</v>
      </c>
      <c r="I135" s="22" t="n">
        <v>278.93</v>
      </c>
      <c r="J135" s="23" t="n">
        <f aca="false">Summary!$B$4</f>
        <v>1</v>
      </c>
      <c r="K135" s="11" t="n">
        <f aca="false">I135*J135*IF(A135="SILVER",Summary!$B$5,Summary!$B$6)</f>
        <v>8367.9</v>
      </c>
      <c r="L135" s="24" t="n">
        <v>0.085</v>
      </c>
      <c r="M135" s="25" t="n">
        <f aca="false">IF(K135&gt;0,1,0)</f>
        <v>1</v>
      </c>
      <c r="N135" s="11" t="n">
        <f aca="false">SUMIFS(K$2:K135,A$2:A135,A135,B$2:B135,B135)</f>
        <v>8367.9</v>
      </c>
      <c r="O135" s="11" t="n">
        <f aca="false">MAX(0,_xlfn.MAXIFS(N$2:N135,A$2:A135,A135,B$2:B135,B135))</f>
        <v>8367.9</v>
      </c>
      <c r="P135" s="11" t="n">
        <f aca="false">N135-O135</f>
        <v>0</v>
      </c>
    </row>
    <row r="136" customFormat="false" ht="15" hidden="false" customHeight="false" outlineLevel="0" collapsed="false">
      <c r="A136" s="8" t="s">
        <v>25</v>
      </c>
      <c r="B136" s="8" t="s">
        <v>32</v>
      </c>
      <c r="C136" s="8" t="s">
        <v>51</v>
      </c>
      <c r="D136" s="19" t="n">
        <v>45736.7083333333</v>
      </c>
      <c r="E136" s="19" t="n">
        <v>45741.7</v>
      </c>
      <c r="F136" s="20" t="n">
        <f aca="false">DATE(YEAR(E136),MONTH(E136),1)</f>
        <v>45717</v>
      </c>
      <c r="G136" s="21" t="n">
        <v>135923</v>
      </c>
      <c r="H136" s="8" t="s">
        <v>53</v>
      </c>
      <c r="I136" s="22" t="n">
        <v>223.15</v>
      </c>
      <c r="J136" s="23" t="n">
        <f aca="false">Summary!$B$4</f>
        <v>1</v>
      </c>
      <c r="K136" s="11" t="n">
        <f aca="false">I136*J136*IF(A136="SILVER",Summary!$B$5,Summary!$B$6)</f>
        <v>6694.5</v>
      </c>
      <c r="L136" s="24" t="n">
        <v>0.088</v>
      </c>
      <c r="M136" s="25" t="n">
        <f aca="false">IF(K136&gt;0,1,0)</f>
        <v>1</v>
      </c>
      <c r="N136" s="11" t="n">
        <f aca="false">SUMIFS(K$2:K136,A$2:A136,A136,B$2:B136,B136)</f>
        <v>15062.4</v>
      </c>
      <c r="O136" s="11" t="n">
        <f aca="false">MAX(0,_xlfn.MAXIFS(N$2:N136,A$2:A136,A136,B$2:B136,B136))</f>
        <v>15062.4</v>
      </c>
      <c r="P136" s="11" t="n">
        <f aca="false">N136-O136</f>
        <v>0</v>
      </c>
    </row>
    <row r="137" customFormat="false" ht="15" hidden="false" customHeight="false" outlineLevel="0" collapsed="false">
      <c r="A137" s="8" t="s">
        <v>25</v>
      </c>
      <c r="B137" s="8" t="s">
        <v>32</v>
      </c>
      <c r="C137" s="8" t="s">
        <v>51</v>
      </c>
      <c r="D137" s="19" t="n">
        <v>45777.6263888889</v>
      </c>
      <c r="E137" s="19" t="n">
        <v>45778.7666666667</v>
      </c>
      <c r="F137" s="20" t="n">
        <f aca="false">DATE(YEAR(E137),MONTH(E137),1)</f>
        <v>45778</v>
      </c>
      <c r="G137" s="21" t="n">
        <v>131167</v>
      </c>
      <c r="H137" s="8" t="s">
        <v>53</v>
      </c>
      <c r="I137" s="22" t="n">
        <v>241.2</v>
      </c>
      <c r="J137" s="23" t="n">
        <f aca="false">Summary!$B$4</f>
        <v>1</v>
      </c>
      <c r="K137" s="11" t="n">
        <f aca="false">I137*J137*IF(A137="SILVER",Summary!$B$5,Summary!$B$6)</f>
        <v>7236</v>
      </c>
      <c r="L137" s="24" t="n">
        <v>0.082</v>
      </c>
      <c r="M137" s="25" t="n">
        <f aca="false">IF(K137&gt;0,1,0)</f>
        <v>1</v>
      </c>
      <c r="N137" s="11" t="n">
        <f aca="false">SUMIFS(K$2:K137,A$2:A137,A137,B$2:B137,B137)</f>
        <v>22298.4</v>
      </c>
      <c r="O137" s="11" t="n">
        <f aca="false">MAX(0,_xlfn.MAXIFS(N$2:N137,A$2:A137,A137,B$2:B137,B137))</f>
        <v>22298.4</v>
      </c>
      <c r="P137" s="11" t="n">
        <f aca="false">N137-O137</f>
        <v>0</v>
      </c>
    </row>
    <row r="138" customFormat="false" ht="15" hidden="false" customHeight="false" outlineLevel="0" collapsed="false">
      <c r="A138" s="8" t="s">
        <v>25</v>
      </c>
      <c r="B138" s="8" t="s">
        <v>32</v>
      </c>
      <c r="C138" s="8" t="s">
        <v>49</v>
      </c>
      <c r="D138" s="19" t="n">
        <v>45841.5423611111</v>
      </c>
      <c r="E138" s="19" t="n">
        <v>45848.8048611111</v>
      </c>
      <c r="F138" s="20" t="n">
        <f aca="false">DATE(YEAR(E138),MONTH(E138),1)</f>
        <v>45839</v>
      </c>
      <c r="G138" s="21" t="n">
        <v>142559</v>
      </c>
      <c r="H138" s="8" t="s">
        <v>53</v>
      </c>
      <c r="I138" s="22" t="n">
        <v>185.2</v>
      </c>
      <c r="J138" s="23" t="n">
        <f aca="false">Summary!$B$4</f>
        <v>1</v>
      </c>
      <c r="K138" s="11" t="n">
        <f aca="false">I138*J138*IF(A138="SILVER",Summary!$B$5,Summary!$B$6)</f>
        <v>5556</v>
      </c>
      <c r="L138" s="24" t="n">
        <v>0.075</v>
      </c>
      <c r="M138" s="25" t="n">
        <f aca="false">IF(K138&gt;0,1,0)</f>
        <v>1</v>
      </c>
      <c r="N138" s="11" t="n">
        <f aca="false">SUMIFS(K$2:K138,A$2:A138,A138,B$2:B138,B138)</f>
        <v>27854.4</v>
      </c>
      <c r="O138" s="11" t="n">
        <f aca="false">MAX(0,_xlfn.MAXIFS(N$2:N138,A$2:A138,A138,B$2:B138,B138))</f>
        <v>27854.4</v>
      </c>
      <c r="P138" s="11" t="n">
        <f aca="false">N138-O138</f>
        <v>0</v>
      </c>
    </row>
    <row r="139" customFormat="false" ht="15" hidden="false" customHeight="false" outlineLevel="0" collapsed="false">
      <c r="A139" s="8" t="s">
        <v>25</v>
      </c>
      <c r="B139" s="8" t="s">
        <v>32</v>
      </c>
      <c r="C139" s="8" t="s">
        <v>49</v>
      </c>
      <c r="D139" s="19" t="n">
        <v>45890.4583333333</v>
      </c>
      <c r="E139" s="19" t="n">
        <v>45908.4166666667</v>
      </c>
      <c r="F139" s="20" t="n">
        <f aca="false">DATE(YEAR(E139),MONTH(E139),1)</f>
        <v>45901</v>
      </c>
      <c r="G139" s="21" t="n">
        <v>147184</v>
      </c>
      <c r="H139" s="8" t="s">
        <v>50</v>
      </c>
      <c r="I139" s="22" t="n">
        <v>7910.58</v>
      </c>
      <c r="J139" s="23" t="n">
        <f aca="false">Summary!$B$4</f>
        <v>1</v>
      </c>
      <c r="K139" s="11" t="n">
        <f aca="false">I139*J139*IF(A139="SILVER",Summary!$B$5,Summary!$B$6)</f>
        <v>237317.4</v>
      </c>
      <c r="L139" s="24" t="n">
        <v>3.536</v>
      </c>
      <c r="M139" s="25" t="n">
        <f aca="false">IF(K139&gt;0,1,0)</f>
        <v>1</v>
      </c>
      <c r="N139" s="11" t="n">
        <f aca="false">SUMIFS(K$2:K139,A$2:A139,A139,B$2:B139,B139)</f>
        <v>265171.8</v>
      </c>
      <c r="O139" s="11" t="n">
        <f aca="false">MAX(0,_xlfn.MAXIFS(N$2:N139,A$2:A139,A139,B$2:B139,B139))</f>
        <v>265171.8</v>
      </c>
      <c r="P139" s="11" t="n">
        <f aca="false">N139-O139</f>
        <v>0</v>
      </c>
    </row>
    <row r="140" customFormat="false" ht="15" hidden="false" customHeight="false" outlineLevel="0" collapsed="false">
      <c r="A140" s="8" t="s">
        <v>25</v>
      </c>
      <c r="B140" s="8" t="s">
        <v>32</v>
      </c>
      <c r="C140" s="8" t="s">
        <v>49</v>
      </c>
      <c r="D140" s="19" t="n">
        <v>45912.4583333333</v>
      </c>
      <c r="E140" s="19" t="n">
        <v>45916.8756944445</v>
      </c>
      <c r="F140" s="20" t="n">
        <f aca="false">DATE(YEAR(E140),MONTH(E140),1)</f>
        <v>45901</v>
      </c>
      <c r="G140" s="21" t="n">
        <v>159736</v>
      </c>
      <c r="H140" s="8" t="s">
        <v>53</v>
      </c>
      <c r="I140" s="22" t="n">
        <v>261.88</v>
      </c>
      <c r="J140" s="23" t="n">
        <f aca="false">Summary!$B$4</f>
        <v>1</v>
      </c>
      <c r="K140" s="11" t="n">
        <f aca="false">I140*J140*IF(A140="SILVER",Summary!$B$5,Summary!$B$6)</f>
        <v>7856.4</v>
      </c>
      <c r="L140" s="24" t="n">
        <v>0.088</v>
      </c>
      <c r="M140" s="25" t="n">
        <f aca="false">IF(K140&gt;0,1,0)</f>
        <v>1</v>
      </c>
      <c r="N140" s="11" t="n">
        <f aca="false">SUMIFS(K$2:K140,A$2:A140,A140,B$2:B140,B140)</f>
        <v>273028.2</v>
      </c>
      <c r="O140" s="11" t="n">
        <f aca="false">MAX(0,_xlfn.MAXIFS(N$2:N140,A$2:A140,A140,B$2:B140,B140))</f>
        <v>273028.2</v>
      </c>
      <c r="P140" s="11" t="n">
        <f aca="false">N140-O140</f>
        <v>0</v>
      </c>
    </row>
    <row r="141" customFormat="false" ht="15" hidden="false" customHeight="false" outlineLevel="0" collapsed="false">
      <c r="A141" s="8" t="s">
        <v>25</v>
      </c>
      <c r="B141" s="8" t="s">
        <v>32</v>
      </c>
      <c r="C141" s="8" t="s">
        <v>49</v>
      </c>
      <c r="D141" s="19" t="n">
        <v>45960.875</v>
      </c>
      <c r="E141" s="19" t="n">
        <v>45975.75</v>
      </c>
      <c r="F141" s="20" t="n">
        <f aca="false">DATE(YEAR(E141),MONTH(E141),1)</f>
        <v>45962</v>
      </c>
      <c r="G141" s="21" t="n">
        <v>180058</v>
      </c>
      <c r="H141" s="8" t="s">
        <v>50</v>
      </c>
      <c r="I141" s="22" t="n">
        <v>8629.39</v>
      </c>
      <c r="J141" s="23" t="n">
        <f aca="false">Summary!$B$4</f>
        <v>1</v>
      </c>
      <c r="K141" s="11" t="n">
        <f aca="false">I141*J141*IF(A141="SILVER",Summary!$B$5,Summary!$B$6)</f>
        <v>258881.7</v>
      </c>
      <c r="L141" s="24" t="n">
        <v>1.2</v>
      </c>
      <c r="M141" s="25" t="n">
        <f aca="false">IF(K141&gt;0,1,0)</f>
        <v>1</v>
      </c>
      <c r="N141" s="11" t="n">
        <f aca="false">SUMIFS(K$2:K141,A$2:A141,A141,B$2:B141,B141)</f>
        <v>531909.9</v>
      </c>
      <c r="O141" s="11" t="n">
        <f aca="false">MAX(0,_xlfn.MAXIFS(N$2:N141,A$2:A141,A141,B$2:B141,B141))</f>
        <v>531909.9</v>
      </c>
      <c r="P141" s="11" t="n">
        <f aca="false">N141-O141</f>
        <v>0</v>
      </c>
    </row>
    <row r="142" customFormat="false" ht="15" hidden="false" customHeight="false" outlineLevel="0" collapsed="false">
      <c r="A142" s="8" t="s">
        <v>25</v>
      </c>
      <c r="B142" s="8" t="s">
        <v>32</v>
      </c>
      <c r="C142" s="8" t="s">
        <v>49</v>
      </c>
      <c r="D142" s="19" t="n">
        <v>46008.4583333333</v>
      </c>
      <c r="E142" s="19" t="n">
        <v>46020.8333333333</v>
      </c>
      <c r="F142" s="20" t="n">
        <f aca="false">DATE(YEAR(E142),MONTH(E142),1)</f>
        <v>45992</v>
      </c>
      <c r="G142" s="21" t="n">
        <v>233232</v>
      </c>
      <c r="H142" s="8" t="s">
        <v>50</v>
      </c>
      <c r="I142" s="22" t="n">
        <v>21548.83</v>
      </c>
      <c r="J142" s="23" t="n">
        <f aca="false">Summary!$B$4</f>
        <v>1</v>
      </c>
      <c r="K142" s="11" t="n">
        <f aca="false">I142*J142*IF(A142="SILVER",Summary!$B$5,Summary!$B$6)</f>
        <v>646464.9</v>
      </c>
      <c r="L142" s="24" t="n">
        <v>1.975</v>
      </c>
      <c r="M142" s="25" t="n">
        <f aca="false">IF(K142&gt;0,1,0)</f>
        <v>1</v>
      </c>
      <c r="N142" s="11" t="n">
        <f aca="false">SUMIFS(K$2:K142,A$2:A142,A142,B$2:B142,B142)</f>
        <v>1178374.8</v>
      </c>
      <c r="O142" s="11" t="n">
        <f aca="false">MAX(0,_xlfn.MAXIFS(N$2:N142,A$2:A142,A142,B$2:B142,B142))</f>
        <v>1178374.8</v>
      </c>
      <c r="P142" s="11" t="n">
        <f aca="false">N142-O142</f>
        <v>0</v>
      </c>
    </row>
    <row r="143" customFormat="false" ht="15" hidden="false" customHeight="false" outlineLevel="0" collapsed="false">
      <c r="A143" s="8" t="s">
        <v>25</v>
      </c>
      <c r="B143" s="8" t="s">
        <v>32</v>
      </c>
      <c r="C143" s="8" t="s">
        <v>49</v>
      </c>
      <c r="D143" s="19" t="n">
        <v>46031.9166666667</v>
      </c>
      <c r="E143" s="19" t="n">
        <v>46044.4166666667</v>
      </c>
      <c r="F143" s="20" t="n">
        <f aca="false">DATE(YEAR(E143),MONTH(E143),1)</f>
        <v>46023</v>
      </c>
      <c r="G143" s="21" t="n">
        <v>283054</v>
      </c>
      <c r="H143" s="8" t="s">
        <v>50</v>
      </c>
      <c r="I143" s="22" t="n">
        <v>50966.94</v>
      </c>
      <c r="J143" s="23" t="n">
        <f aca="false">Summary!$B$4</f>
        <v>1</v>
      </c>
      <c r="K143" s="11" t="n">
        <f aca="false">I143*J143*IF(A143="SILVER",Summary!$B$5,Summary!$B$6)</f>
        <v>1529008.2</v>
      </c>
      <c r="L143" s="24" t="n">
        <v>2.974</v>
      </c>
      <c r="M143" s="25" t="n">
        <f aca="false">IF(K143&gt;0,1,0)</f>
        <v>1</v>
      </c>
      <c r="N143" s="11" t="n">
        <f aca="false">SUMIFS(K$2:K143,A$2:A143,A143,B$2:B143,B143)</f>
        <v>2707383</v>
      </c>
      <c r="O143" s="11" t="n">
        <f aca="false">MAX(0,_xlfn.MAXIFS(N$2:N143,A$2:A143,A143,B$2:B143,B143))</f>
        <v>2707383</v>
      </c>
      <c r="P143" s="11" t="n">
        <f aca="false">N143-O143</f>
        <v>0</v>
      </c>
    </row>
    <row r="144" customFormat="false" ht="15" hidden="false" customHeight="false" outlineLevel="0" collapsed="false">
      <c r="A144" s="8" t="s">
        <v>25</v>
      </c>
      <c r="B144" s="8" t="s">
        <v>32</v>
      </c>
      <c r="C144" s="8" t="s">
        <v>51</v>
      </c>
      <c r="D144" s="19" t="n">
        <v>46094.5416666667</v>
      </c>
      <c r="E144" s="19" t="n">
        <v>46098.375</v>
      </c>
      <c r="F144" s="20" t="n">
        <f aca="false">DATE(YEAR(E144),MONTH(E144),1)</f>
        <v>46082</v>
      </c>
      <c r="G144" s="21" t="n">
        <v>279385</v>
      </c>
      <c r="H144" s="8" t="s">
        <v>53</v>
      </c>
      <c r="I144" s="22" t="n">
        <v>480.61</v>
      </c>
      <c r="J144" s="23" t="n">
        <f aca="false">Summary!$B$4</f>
        <v>1</v>
      </c>
      <c r="K144" s="11" t="n">
        <f aca="false">I144*J144*IF(A144="SILVER",Summary!$B$5,Summary!$B$6)</f>
        <v>14418.3</v>
      </c>
      <c r="L144" s="24" t="n">
        <v>0.032</v>
      </c>
      <c r="M144" s="25" t="n">
        <f aca="false">IF(K144&gt;0,1,0)</f>
        <v>1</v>
      </c>
      <c r="N144" s="11" t="n">
        <f aca="false">SUMIFS(K$2:K144,A$2:A144,A144,B$2:B144,B144)</f>
        <v>2721801.3</v>
      </c>
      <c r="O144" s="11" t="n">
        <f aca="false">MAX(0,_xlfn.MAXIFS(N$2:N144,A$2:A144,A144,B$2:B144,B144))</f>
        <v>2721801.3</v>
      </c>
      <c r="P144" s="11" t="n">
        <f aca="false">N144-O144</f>
        <v>0</v>
      </c>
    </row>
    <row r="145" customFormat="false" ht="15" hidden="false" customHeight="false" outlineLevel="0" collapsed="false">
      <c r="A145" s="8" t="s">
        <v>25</v>
      </c>
      <c r="B145" s="8" t="s">
        <v>32</v>
      </c>
      <c r="C145" s="8" t="s">
        <v>51</v>
      </c>
      <c r="D145" s="19" t="n">
        <v>46133.9166666667</v>
      </c>
      <c r="E145" s="19" t="n">
        <v>46136.6923611111</v>
      </c>
      <c r="F145" s="20" t="n">
        <f aca="false">DATE(YEAR(E145),MONTH(E145),1)</f>
        <v>46113</v>
      </c>
      <c r="G145" s="21" t="n">
        <v>261514</v>
      </c>
      <c r="H145" s="8" t="s">
        <v>53</v>
      </c>
      <c r="I145" s="22" t="n">
        <v>1079.4</v>
      </c>
      <c r="J145" s="23" t="n">
        <f aca="false">Summary!$B$4</f>
        <v>1</v>
      </c>
      <c r="K145" s="11" t="n">
        <f aca="false">I145*J145*IF(A145="SILVER",Summary!$B$5,Summary!$B$6)</f>
        <v>32382</v>
      </c>
      <c r="L145" s="24" t="n">
        <v>0.095</v>
      </c>
      <c r="M145" s="25" t="n">
        <f aca="false">IF(K145&gt;0,1,0)</f>
        <v>1</v>
      </c>
      <c r="N145" s="11" t="n">
        <f aca="false">SUMIFS(K$2:K145,A$2:A145,A145,B$2:B145,B145)</f>
        <v>2754183.3</v>
      </c>
      <c r="O145" s="11" t="n">
        <f aca="false">MAX(0,_xlfn.MAXIFS(N$2:N145,A$2:A145,A145,B$2:B145,B145))</f>
        <v>2754183.3</v>
      </c>
      <c r="P145" s="11" t="n">
        <f aca="false">N145-O145</f>
        <v>0</v>
      </c>
    </row>
    <row r="146" customFormat="false" ht="15" hidden="false" customHeight="false" outlineLevel="0" collapsed="false">
      <c r="A146" s="8" t="s">
        <v>25</v>
      </c>
      <c r="B146" s="8" t="s">
        <v>32</v>
      </c>
      <c r="C146" s="8" t="s">
        <v>51</v>
      </c>
      <c r="D146" s="19" t="n">
        <v>46157.4583333333</v>
      </c>
      <c r="E146" s="19" t="n">
        <v>46160.7180555556</v>
      </c>
      <c r="F146" s="20" t="n">
        <f aca="false">DATE(YEAR(E146),MONTH(E146),1)</f>
        <v>46143</v>
      </c>
      <c r="G146" s="21" t="n">
        <v>285797</v>
      </c>
      <c r="H146" s="8" t="s">
        <v>53</v>
      </c>
      <c r="I146" s="22" t="n">
        <v>2003.76</v>
      </c>
      <c r="J146" s="23" t="n">
        <f aca="false">Summary!$B$4</f>
        <v>1</v>
      </c>
      <c r="K146" s="11" t="n">
        <f aca="false">I146*J146*IF(A146="SILVER",Summary!$B$5,Summary!$B$6)</f>
        <v>60112.8</v>
      </c>
      <c r="L146" s="24" t="n">
        <v>0.097</v>
      </c>
      <c r="M146" s="25" t="n">
        <f aca="false">IF(K146&gt;0,1,0)</f>
        <v>1</v>
      </c>
      <c r="N146" s="11" t="n">
        <f aca="false">SUMIFS(K$2:K146,A$2:A146,A146,B$2:B146,B146)</f>
        <v>2814296.1</v>
      </c>
      <c r="O146" s="11" t="n">
        <f aca="false">MAX(0,_xlfn.MAXIFS(N$2:N146,A$2:A146,A146,B$2:B146,B146))</f>
        <v>2814296.1</v>
      </c>
      <c r="P146" s="11" t="n">
        <f aca="false">N146-O146</f>
        <v>0</v>
      </c>
    </row>
    <row r="147" customFormat="false" ht="15" hidden="false" customHeight="false" outlineLevel="0" collapsed="false">
      <c r="A147" s="8" t="s">
        <v>25</v>
      </c>
      <c r="B147" s="8" t="s">
        <v>32</v>
      </c>
      <c r="C147" s="8" t="s">
        <v>51</v>
      </c>
      <c r="D147" s="19" t="n">
        <v>46191.75</v>
      </c>
      <c r="E147" s="19" t="n">
        <v>46203.7958333333</v>
      </c>
      <c r="F147" s="20" t="n">
        <f aca="false">DATE(YEAR(E147),MONTH(E147),1)</f>
        <v>46174</v>
      </c>
      <c r="G147" s="21" t="n">
        <v>246858</v>
      </c>
      <c r="H147" s="8" t="s">
        <v>50</v>
      </c>
      <c r="I147" s="22" t="n">
        <v>15082.41</v>
      </c>
      <c r="J147" s="23" t="n">
        <f aca="false">Summary!$B$4</f>
        <v>1</v>
      </c>
      <c r="K147" s="11" t="n">
        <f aca="false">I147*J147*IF(A147="SILVER",Summary!$B$5,Summary!$B$6)</f>
        <v>452472.3</v>
      </c>
      <c r="L147" s="24" t="n">
        <v>1.394</v>
      </c>
      <c r="M147" s="25" t="n">
        <f aca="false">IF(K147&gt;0,1,0)</f>
        <v>1</v>
      </c>
      <c r="N147" s="11" t="n">
        <f aca="false">SUMIFS(K$2:K147,A$2:A147,A147,B$2:B147,B147)</f>
        <v>3266768.4</v>
      </c>
      <c r="O147" s="11" t="n">
        <f aca="false">MAX(0,_xlfn.MAXIFS(N$2:N147,A$2:A147,A147,B$2:B147,B147))</f>
        <v>3266768.4</v>
      </c>
      <c r="P147" s="11" t="n">
        <f aca="false">N147-O147</f>
        <v>0</v>
      </c>
    </row>
    <row r="148" customFormat="false" ht="15" hidden="false" customHeight="false" outlineLevel="0" collapsed="false">
      <c r="A148" s="8" t="s">
        <v>25</v>
      </c>
      <c r="B148" s="8" t="s">
        <v>32</v>
      </c>
      <c r="C148" s="8" t="s">
        <v>51</v>
      </c>
      <c r="D148" s="19" t="n">
        <v>46211.4583333333</v>
      </c>
      <c r="E148" s="19" t="n">
        <v>46224.5</v>
      </c>
      <c r="F148" s="20" t="n">
        <f aca="false">DATE(YEAR(E148),MONTH(E148),1)</f>
        <v>46204</v>
      </c>
      <c r="G148" s="21" t="n">
        <v>233719</v>
      </c>
      <c r="H148" s="8" t="s">
        <v>50</v>
      </c>
      <c r="I148" s="22" t="n">
        <v>6605.85</v>
      </c>
      <c r="J148" s="23" t="n">
        <f aca="false">Summary!$B$4</f>
        <v>1</v>
      </c>
      <c r="K148" s="11" t="n">
        <f aca="false">I148*J148*IF(A148="SILVER",Summary!$B$5,Summary!$B$6)</f>
        <v>198175.5</v>
      </c>
      <c r="L148" s="24" t="n">
        <v>0.767</v>
      </c>
      <c r="M148" s="25" t="n">
        <f aca="false">IF(K148&gt;0,1,0)</f>
        <v>1</v>
      </c>
      <c r="N148" s="11" t="n">
        <f aca="false">SUMIFS(K$2:K148,A$2:A148,A148,B$2:B148,B148)</f>
        <v>3464943.9</v>
      </c>
      <c r="O148" s="11" t="n">
        <f aca="false">MAX(0,_xlfn.MAXIFS(N$2:N148,A$2:A148,A148,B$2:B148,B148))</f>
        <v>3464943.9</v>
      </c>
      <c r="P148" s="11" t="n">
        <f aca="false">N148-O148</f>
        <v>0</v>
      </c>
    </row>
    <row r="149" customFormat="false" ht="15" hidden="false" customHeight="false" outlineLevel="0" collapsed="false">
      <c r="A149" s="8" t="s">
        <v>25</v>
      </c>
      <c r="B149" s="8" t="s">
        <v>32</v>
      </c>
      <c r="C149" s="8" t="s">
        <v>51</v>
      </c>
      <c r="D149" s="19" t="n">
        <v>46261.4166666667</v>
      </c>
      <c r="E149" s="19" t="n">
        <v>46268.8743055556</v>
      </c>
      <c r="F149" s="20" t="n">
        <f aca="false">DATE(YEAR(E149),MONTH(E149),1)</f>
        <v>46266</v>
      </c>
      <c r="G149" s="21" t="n">
        <v>242161</v>
      </c>
      <c r="H149" s="8" t="s">
        <v>53</v>
      </c>
      <c r="I149" s="22" t="n">
        <v>976.61</v>
      </c>
      <c r="J149" s="23" t="n">
        <f aca="false">Summary!$B$4</f>
        <v>1</v>
      </c>
      <c r="K149" s="11" t="n">
        <f aca="false">I149*J149*IF(A149="SILVER",Summary!$B$5,Summary!$B$6)</f>
        <v>29298.3</v>
      </c>
      <c r="L149" s="24" t="n">
        <v>0.088</v>
      </c>
      <c r="M149" s="25" t="n">
        <f aca="false">IF(K149&gt;0,1,0)</f>
        <v>1</v>
      </c>
      <c r="N149" s="11" t="n">
        <f aca="false">SUMIFS(K$2:K149,A$2:A149,A149,B$2:B149,B149)</f>
        <v>3494242.2</v>
      </c>
      <c r="O149" s="11" t="n">
        <f aca="false">MAX(0,_xlfn.MAXIFS(N$2:N149,A$2:A149,A149,B$2:B149,B149))</f>
        <v>3494242.2</v>
      </c>
      <c r="P149" s="11" t="n">
        <f aca="false">N149-O149</f>
        <v>0</v>
      </c>
    </row>
    <row r="150" customFormat="false" ht="15" hidden="false" customHeight="false" outlineLevel="0" collapsed="false">
      <c r="A150" s="8" t="s">
        <v>25</v>
      </c>
      <c r="B150" s="8" t="s">
        <v>32</v>
      </c>
      <c r="C150" s="8" t="s">
        <v>51</v>
      </c>
      <c r="D150" s="19" t="n">
        <v>46275.9166666667</v>
      </c>
      <c r="E150" s="19" t="n">
        <v>46283.4583333333</v>
      </c>
      <c r="F150" s="20" t="n">
        <f aca="false">DATE(YEAR(E150),MONTH(E150),1)</f>
        <v>46266</v>
      </c>
      <c r="G150" s="21" t="n">
        <v>234352</v>
      </c>
      <c r="H150" s="8" t="s">
        <v>50</v>
      </c>
      <c r="I150" s="22" t="n">
        <v>-5934.46</v>
      </c>
      <c r="J150" s="23" t="n">
        <f aca="false">Summary!$B$4</f>
        <v>1</v>
      </c>
      <c r="K150" s="11" t="n">
        <f aca="false">I150*J150*IF(A150="SILVER",Summary!$B$5,Summary!$B$6)</f>
        <v>-178033.8</v>
      </c>
      <c r="L150" s="24" t="n">
        <v>-0.601</v>
      </c>
      <c r="M150" s="25" t="n">
        <f aca="false">IF(K150&gt;0,1,0)</f>
        <v>0</v>
      </c>
      <c r="N150" s="11" t="n">
        <f aca="false">SUMIFS(K$2:K150,A$2:A150,A150,B$2:B150,B150)</f>
        <v>3316208.4</v>
      </c>
      <c r="O150" s="11" t="n">
        <f aca="false">MAX(0,_xlfn.MAXIFS(N$2:N150,A$2:A150,A150,B$2:B150,B150))</f>
        <v>3494242.2</v>
      </c>
      <c r="P150" s="11" t="n">
        <f aca="false">N150-O150</f>
        <v>-178033.8</v>
      </c>
    </row>
    <row r="151" customFormat="false" ht="15" hidden="false" customHeight="false" outlineLevel="0" collapsed="false">
      <c r="A151" s="8" t="s">
        <v>34</v>
      </c>
      <c r="B151" s="8" t="s">
        <v>26</v>
      </c>
      <c r="C151" s="8" t="s">
        <v>49</v>
      </c>
      <c r="D151" s="19" t="n">
        <v>45665.8333333333</v>
      </c>
      <c r="E151" s="19" t="n">
        <v>45702.875</v>
      </c>
      <c r="F151" s="20" t="n">
        <f aca="false">DATE(YEAR(E151),MONTH(E151),1)</f>
        <v>45689</v>
      </c>
      <c r="G151" s="21" t="n">
        <v>98216</v>
      </c>
      <c r="H151" s="8" t="s">
        <v>50</v>
      </c>
      <c r="I151" s="22" t="n">
        <v>7271.71</v>
      </c>
      <c r="J151" s="23" t="n">
        <f aca="false">Summary!$B$4</f>
        <v>1</v>
      </c>
      <c r="K151" s="11" t="n">
        <f aca="false">I151*J151*IF(A151="SILVER",Summary!$B$5,Summary!$B$6)</f>
        <v>727171</v>
      </c>
      <c r="L151" s="24" t="n">
        <v>5.82</v>
      </c>
      <c r="M151" s="25" t="n">
        <f aca="false">IF(K151&gt;0,1,0)</f>
        <v>1</v>
      </c>
      <c r="N151" s="11" t="n">
        <f aca="false">SUMIFS(K$2:K151,A$2:A151,A151,B$2:B151,B151)</f>
        <v>727171</v>
      </c>
      <c r="O151" s="11" t="n">
        <f aca="false">MAX(0,_xlfn.MAXIFS(N$2:N151,A$2:A151,A151,B$2:B151,B151))</f>
        <v>727171</v>
      </c>
      <c r="P151" s="11" t="n">
        <f aca="false">N151-O151</f>
        <v>0</v>
      </c>
    </row>
    <row r="152" customFormat="false" ht="15" hidden="false" customHeight="false" outlineLevel="0" collapsed="false">
      <c r="A152" s="8" t="s">
        <v>34</v>
      </c>
      <c r="B152" s="8" t="s">
        <v>26</v>
      </c>
      <c r="C152" s="8" t="s">
        <v>51</v>
      </c>
      <c r="D152" s="19" t="n">
        <v>45702.875</v>
      </c>
      <c r="E152" s="19" t="n">
        <v>45707.5833333333</v>
      </c>
      <c r="F152" s="20" t="n">
        <f aca="false">DATE(YEAR(E152),MONTH(E152),1)</f>
        <v>45689</v>
      </c>
      <c r="G152" s="21" t="n">
        <v>105541</v>
      </c>
      <c r="H152" s="8" t="s">
        <v>50</v>
      </c>
      <c r="I152" s="22" t="n">
        <v>-1398.13</v>
      </c>
      <c r="J152" s="23" t="n">
        <f aca="false">Summary!$B$4</f>
        <v>1</v>
      </c>
      <c r="K152" s="11" t="n">
        <f aca="false">I152*J152*IF(A152="SILVER",Summary!$B$5,Summary!$B$6)</f>
        <v>-139813</v>
      </c>
      <c r="L152" s="24" t="n">
        <v>-1.033</v>
      </c>
      <c r="M152" s="25" t="n">
        <f aca="false">IF(K152&gt;0,1,0)</f>
        <v>0</v>
      </c>
      <c r="N152" s="11" t="n">
        <f aca="false">SUMIFS(K$2:K152,A$2:A152,A152,B$2:B152,B152)</f>
        <v>587358</v>
      </c>
      <c r="O152" s="11" t="n">
        <f aca="false">MAX(0,_xlfn.MAXIFS(N$2:N152,A$2:A152,A152,B$2:B152,B152))</f>
        <v>727171</v>
      </c>
      <c r="P152" s="11" t="n">
        <f aca="false">N152-O152</f>
        <v>-139813</v>
      </c>
    </row>
    <row r="153" customFormat="false" ht="15" hidden="false" customHeight="false" outlineLevel="0" collapsed="false">
      <c r="A153" s="8" t="s">
        <v>34</v>
      </c>
      <c r="B153" s="8" t="s">
        <v>26</v>
      </c>
      <c r="C153" s="8" t="s">
        <v>49</v>
      </c>
      <c r="D153" s="19" t="n">
        <v>45707.5833333333</v>
      </c>
      <c r="E153" s="19" t="n">
        <v>45713.9166666667</v>
      </c>
      <c r="F153" s="20" t="n">
        <f aca="false">DATE(YEAR(E153),MONTH(E153),1)</f>
        <v>45689</v>
      </c>
      <c r="G153" s="21" t="n">
        <v>106912</v>
      </c>
      <c r="H153" s="8" t="s">
        <v>50</v>
      </c>
      <c r="I153" s="22" t="n">
        <v>-1045.17</v>
      </c>
      <c r="J153" s="23" t="n">
        <f aca="false">Summary!$B$4</f>
        <v>1</v>
      </c>
      <c r="K153" s="11" t="n">
        <f aca="false">I153*J153*IF(A153="SILVER",Summary!$B$5,Summary!$B$6)</f>
        <v>-104517</v>
      </c>
      <c r="L153" s="24" t="n">
        <v>-0.914</v>
      </c>
      <c r="M153" s="25" t="n">
        <f aca="false">IF(K153&gt;0,1,0)</f>
        <v>0</v>
      </c>
      <c r="N153" s="11" t="n">
        <f aca="false">SUMIFS(K$2:K153,A$2:A153,A153,B$2:B153,B153)</f>
        <v>482841</v>
      </c>
      <c r="O153" s="11" t="n">
        <f aca="false">MAX(0,_xlfn.MAXIFS(N$2:N153,A$2:A153,A153,B$2:B153,B153))</f>
        <v>727171</v>
      </c>
      <c r="P153" s="11" t="n">
        <f aca="false">N153-O153</f>
        <v>-244330</v>
      </c>
    </row>
    <row r="154" customFormat="false" ht="15" hidden="false" customHeight="false" outlineLevel="0" collapsed="false">
      <c r="A154" s="8" t="s">
        <v>34</v>
      </c>
      <c r="B154" s="8" t="s">
        <v>26</v>
      </c>
      <c r="C154" s="8" t="s">
        <v>51</v>
      </c>
      <c r="D154" s="19" t="n">
        <v>45713.9166666667</v>
      </c>
      <c r="E154" s="19" t="n">
        <v>45720.5416666667</v>
      </c>
      <c r="F154" s="20" t="n">
        <f aca="false">DATE(YEAR(E154),MONTH(E154),1)</f>
        <v>45717</v>
      </c>
      <c r="G154" s="21" t="n">
        <v>105894</v>
      </c>
      <c r="H154" s="8" t="s">
        <v>50</v>
      </c>
      <c r="I154" s="22" t="n">
        <v>-370.1</v>
      </c>
      <c r="J154" s="23" t="n">
        <f aca="false">Summary!$B$4</f>
        <v>1</v>
      </c>
      <c r="K154" s="11" t="n">
        <f aca="false">I154*J154*IF(A154="SILVER",Summary!$B$5,Summary!$B$6)</f>
        <v>-37010</v>
      </c>
      <c r="L154" s="24" t="n">
        <v>-0.228</v>
      </c>
      <c r="M154" s="25" t="n">
        <f aca="false">IF(K154&gt;0,1,0)</f>
        <v>0</v>
      </c>
      <c r="N154" s="11" t="n">
        <f aca="false">SUMIFS(K$2:K154,A$2:A154,A154,B$2:B154,B154)</f>
        <v>445831</v>
      </c>
      <c r="O154" s="11" t="n">
        <f aca="false">MAX(0,_xlfn.MAXIFS(N$2:N154,A$2:A154,A154,B$2:B154,B154))</f>
        <v>727171</v>
      </c>
      <c r="P154" s="11" t="n">
        <f aca="false">N154-O154</f>
        <v>-281340</v>
      </c>
    </row>
    <row r="155" customFormat="false" ht="15" hidden="false" customHeight="false" outlineLevel="0" collapsed="false">
      <c r="A155" s="8" t="s">
        <v>34</v>
      </c>
      <c r="B155" s="8" t="s">
        <v>26</v>
      </c>
      <c r="C155" s="8" t="s">
        <v>49</v>
      </c>
      <c r="D155" s="19" t="n">
        <v>45720.5416666667</v>
      </c>
      <c r="E155" s="19" t="n">
        <v>45737.8333333333</v>
      </c>
      <c r="F155" s="20" t="n">
        <f aca="false">DATE(YEAR(E155),MONTH(E155),1)</f>
        <v>45717</v>
      </c>
      <c r="G155" s="21" t="n">
        <v>106237</v>
      </c>
      <c r="H155" s="8" t="s">
        <v>50</v>
      </c>
      <c r="I155" s="22" t="n">
        <v>1816.68</v>
      </c>
      <c r="J155" s="23" t="n">
        <f aca="false">Summary!$B$4</f>
        <v>1</v>
      </c>
      <c r="K155" s="11" t="n">
        <f aca="false">I155*J155*IF(A155="SILVER",Summary!$B$5,Summary!$B$6)</f>
        <v>181668</v>
      </c>
      <c r="L155" s="24" t="n">
        <v>1.27</v>
      </c>
      <c r="M155" s="25" t="n">
        <f aca="false">IF(K155&gt;0,1,0)</f>
        <v>1</v>
      </c>
      <c r="N155" s="11" t="n">
        <f aca="false">SUMIFS(K$2:K155,A$2:A155,A155,B$2:B155,B155)</f>
        <v>627499</v>
      </c>
      <c r="O155" s="11" t="n">
        <f aca="false">MAX(0,_xlfn.MAXIFS(N$2:N155,A$2:A155,A155,B$2:B155,B155))</f>
        <v>727171</v>
      </c>
      <c r="P155" s="11" t="n">
        <f aca="false">N155-O155</f>
        <v>-99672</v>
      </c>
    </row>
    <row r="156" customFormat="false" ht="15" hidden="false" customHeight="false" outlineLevel="0" collapsed="false">
      <c r="A156" s="8" t="s">
        <v>34</v>
      </c>
      <c r="B156" s="8" t="s">
        <v>26</v>
      </c>
      <c r="C156" s="8" t="s">
        <v>51</v>
      </c>
      <c r="D156" s="19" t="n">
        <v>45737.8333333333</v>
      </c>
      <c r="E156" s="19" t="n">
        <v>45743.875</v>
      </c>
      <c r="F156" s="20" t="n">
        <f aca="false">DATE(YEAR(E156),MONTH(E156),1)</f>
        <v>45717</v>
      </c>
      <c r="G156" s="21" t="n">
        <v>108081</v>
      </c>
      <c r="H156" s="8" t="s">
        <v>50</v>
      </c>
      <c r="I156" s="22" t="n">
        <v>-986.6</v>
      </c>
      <c r="J156" s="23" t="n">
        <f aca="false">Summary!$B$4</f>
        <v>1</v>
      </c>
      <c r="K156" s="11" t="n">
        <f aca="false">I156*J156*IF(A156="SILVER",Summary!$B$5,Summary!$B$6)</f>
        <v>-98660</v>
      </c>
      <c r="L156" s="24" t="n">
        <v>-0.631</v>
      </c>
      <c r="M156" s="25" t="n">
        <f aca="false">IF(K156&gt;0,1,0)</f>
        <v>0</v>
      </c>
      <c r="N156" s="11" t="n">
        <f aca="false">SUMIFS(K$2:K156,A$2:A156,A156,B$2:B156,B156)</f>
        <v>528839</v>
      </c>
      <c r="O156" s="11" t="n">
        <f aca="false">MAX(0,_xlfn.MAXIFS(N$2:N156,A$2:A156,A156,B$2:B156,B156))</f>
        <v>727171</v>
      </c>
      <c r="P156" s="11" t="n">
        <f aca="false">N156-O156</f>
        <v>-198332</v>
      </c>
    </row>
    <row r="157" customFormat="false" ht="15" hidden="false" customHeight="false" outlineLevel="0" collapsed="false">
      <c r="A157" s="8" t="s">
        <v>34</v>
      </c>
      <c r="B157" s="8" t="s">
        <v>26</v>
      </c>
      <c r="C157" s="8" t="s">
        <v>49</v>
      </c>
      <c r="D157" s="19" t="n">
        <v>45743.875</v>
      </c>
      <c r="E157" s="19" t="n">
        <v>45750.7520833333</v>
      </c>
      <c r="F157" s="20" t="n">
        <f aca="false">DATE(YEAR(E157),MONTH(E157),1)</f>
        <v>45748</v>
      </c>
      <c r="G157" s="21" t="n">
        <v>109040</v>
      </c>
      <c r="H157" s="8" t="s">
        <v>50</v>
      </c>
      <c r="I157" s="22" t="n">
        <v>1074.18</v>
      </c>
      <c r="J157" s="23" t="n">
        <f aca="false">Summary!$B$4</f>
        <v>1</v>
      </c>
      <c r="K157" s="11" t="n">
        <f aca="false">I157*J157*IF(A157="SILVER",Summary!$B$5,Summary!$B$6)</f>
        <v>107418</v>
      </c>
      <c r="L157" s="24" t="n">
        <v>0.873</v>
      </c>
      <c r="M157" s="25" t="n">
        <f aca="false">IF(K157&gt;0,1,0)</f>
        <v>1</v>
      </c>
      <c r="N157" s="11" t="n">
        <f aca="false">SUMIFS(K$2:K157,A$2:A157,A157,B$2:B157,B157)</f>
        <v>636257</v>
      </c>
      <c r="O157" s="11" t="n">
        <f aca="false">MAX(0,_xlfn.MAXIFS(N$2:N157,A$2:A157,A157,B$2:B157,B157))</f>
        <v>727171</v>
      </c>
      <c r="P157" s="11" t="n">
        <f aca="false">N157-O157</f>
        <v>-90914</v>
      </c>
    </row>
    <row r="158" customFormat="false" ht="15" hidden="false" customHeight="false" outlineLevel="0" collapsed="false">
      <c r="A158" s="8" t="s">
        <v>34</v>
      </c>
      <c r="B158" s="8" t="s">
        <v>26</v>
      </c>
      <c r="C158" s="8" t="s">
        <v>51</v>
      </c>
      <c r="D158" s="19" t="n">
        <v>45750.7520833333</v>
      </c>
      <c r="E158" s="19" t="n">
        <v>45756.7083333333</v>
      </c>
      <c r="F158" s="20" t="n">
        <f aca="false">DATE(YEAR(E158),MONTH(E158),1)</f>
        <v>45748</v>
      </c>
      <c r="G158" s="21" t="n">
        <v>110142</v>
      </c>
      <c r="H158" s="8" t="s">
        <v>50</v>
      </c>
      <c r="I158" s="22" t="n">
        <v>-1025.95</v>
      </c>
      <c r="J158" s="23" t="n">
        <f aca="false">Summary!$B$4</f>
        <v>1</v>
      </c>
      <c r="K158" s="11" t="n">
        <f aca="false">I158*J158*IF(A158="SILVER",Summary!$B$5,Summary!$B$6)</f>
        <v>-102595</v>
      </c>
      <c r="L158" s="24" t="n">
        <v>-0.57</v>
      </c>
      <c r="M158" s="25" t="n">
        <f aca="false">IF(K158&gt;0,1,0)</f>
        <v>0</v>
      </c>
      <c r="N158" s="11" t="n">
        <f aca="false">SUMIFS(K$2:K158,A$2:A158,A158,B$2:B158,B158)</f>
        <v>533662</v>
      </c>
      <c r="O158" s="11" t="n">
        <f aca="false">MAX(0,_xlfn.MAXIFS(N$2:N158,A$2:A158,A158,B$2:B158,B158))</f>
        <v>727171</v>
      </c>
      <c r="P158" s="11" t="n">
        <f aca="false">N158-O158</f>
        <v>-193509</v>
      </c>
    </row>
    <row r="159" customFormat="false" ht="15" hidden="false" customHeight="false" outlineLevel="0" collapsed="false">
      <c r="A159" s="8" t="s">
        <v>34</v>
      </c>
      <c r="B159" s="8" t="s">
        <v>26</v>
      </c>
      <c r="C159" s="8" t="s">
        <v>49</v>
      </c>
      <c r="D159" s="19" t="n">
        <v>45756.7083333333</v>
      </c>
      <c r="E159" s="19" t="n">
        <v>45770.4166666667</v>
      </c>
      <c r="F159" s="20" t="n">
        <f aca="false">DATE(YEAR(E159),MONTH(E159),1)</f>
        <v>45748</v>
      </c>
      <c r="G159" s="21" t="n">
        <v>111112</v>
      </c>
      <c r="H159" s="8" t="s">
        <v>50</v>
      </c>
      <c r="I159" s="22" t="n">
        <v>5836.42</v>
      </c>
      <c r="J159" s="23" t="n">
        <f aca="false">Summary!$B$4</f>
        <v>1</v>
      </c>
      <c r="K159" s="11" t="n">
        <f aca="false">I159*J159*IF(A159="SILVER",Summary!$B$5,Summary!$B$6)</f>
        <v>583642</v>
      </c>
      <c r="L159" s="24" t="n">
        <v>2.001</v>
      </c>
      <c r="M159" s="25" t="n">
        <f aca="false">IF(K159&gt;0,1,0)</f>
        <v>1</v>
      </c>
      <c r="N159" s="11" t="n">
        <f aca="false">SUMIFS(K$2:K159,A$2:A159,A159,B$2:B159,B159)</f>
        <v>1117304</v>
      </c>
      <c r="O159" s="11" t="n">
        <f aca="false">MAX(0,_xlfn.MAXIFS(N$2:N159,A$2:A159,A159,B$2:B159,B159))</f>
        <v>1117304</v>
      </c>
      <c r="P159" s="11" t="n">
        <f aca="false">N159-O159</f>
        <v>0</v>
      </c>
    </row>
    <row r="160" customFormat="false" ht="15" hidden="false" customHeight="false" outlineLevel="0" collapsed="false">
      <c r="A160" s="8" t="s">
        <v>34</v>
      </c>
      <c r="B160" s="8" t="s">
        <v>26</v>
      </c>
      <c r="C160" s="8" t="s">
        <v>51</v>
      </c>
      <c r="D160" s="19" t="n">
        <v>45770.4166666667</v>
      </c>
      <c r="E160" s="19" t="n">
        <v>45783.4166666667</v>
      </c>
      <c r="F160" s="20" t="n">
        <f aca="false">DATE(YEAR(E160),MONTH(E160),1)</f>
        <v>45778</v>
      </c>
      <c r="G160" s="21" t="n">
        <v>116977</v>
      </c>
      <c r="H160" s="8" t="s">
        <v>50</v>
      </c>
      <c r="I160" s="22" t="n">
        <v>-122.17</v>
      </c>
      <c r="J160" s="23" t="n">
        <f aca="false">Summary!$B$4</f>
        <v>1</v>
      </c>
      <c r="K160" s="11" t="n">
        <f aca="false">I160*J160*IF(A160="SILVER",Summary!$B$5,Summary!$B$6)</f>
        <v>-12217</v>
      </c>
      <c r="L160" s="24" t="n">
        <v>-0.033</v>
      </c>
      <c r="M160" s="25" t="n">
        <f aca="false">IF(K160&gt;0,1,0)</f>
        <v>0</v>
      </c>
      <c r="N160" s="11" t="n">
        <f aca="false">SUMIFS(K$2:K160,A$2:A160,A160,B$2:B160,B160)</f>
        <v>1105087</v>
      </c>
      <c r="O160" s="11" t="n">
        <f aca="false">MAX(0,_xlfn.MAXIFS(N$2:N160,A$2:A160,A160,B$2:B160,B160))</f>
        <v>1117304</v>
      </c>
      <c r="P160" s="11" t="n">
        <f aca="false">N160-O160</f>
        <v>-12217</v>
      </c>
    </row>
    <row r="161" customFormat="false" ht="15" hidden="false" customHeight="false" outlineLevel="0" collapsed="false">
      <c r="A161" s="8" t="s">
        <v>34</v>
      </c>
      <c r="B161" s="8" t="s">
        <v>26</v>
      </c>
      <c r="C161" s="8" t="s">
        <v>49</v>
      </c>
      <c r="D161" s="19" t="n">
        <v>45783.4166666667</v>
      </c>
      <c r="E161" s="19" t="n">
        <v>45789.4166666667</v>
      </c>
      <c r="F161" s="20" t="n">
        <f aca="false">DATE(YEAR(E161),MONTH(E161),1)</f>
        <v>45778</v>
      </c>
      <c r="G161" s="21" t="n">
        <v>117070</v>
      </c>
      <c r="H161" s="8" t="s">
        <v>50</v>
      </c>
      <c r="I161" s="22" t="n">
        <v>-1924.99</v>
      </c>
      <c r="J161" s="23" t="n">
        <f aca="false">Summary!$B$4</f>
        <v>1</v>
      </c>
      <c r="K161" s="11" t="n">
        <f aca="false">I161*J161*IF(A161="SILVER",Summary!$B$5,Summary!$B$6)</f>
        <v>-192499</v>
      </c>
      <c r="L161" s="24" t="n">
        <v>-0.71</v>
      </c>
      <c r="M161" s="25" t="n">
        <f aca="false">IF(K161&gt;0,1,0)</f>
        <v>0</v>
      </c>
      <c r="N161" s="11" t="n">
        <f aca="false">SUMIFS(K$2:K161,A$2:A161,A161,B$2:B161,B161)</f>
        <v>912588</v>
      </c>
      <c r="O161" s="11" t="n">
        <f aca="false">MAX(0,_xlfn.MAXIFS(N$2:N161,A$2:A161,A161,B$2:B161,B161))</f>
        <v>1117304</v>
      </c>
      <c r="P161" s="11" t="n">
        <f aca="false">N161-O161</f>
        <v>-204716</v>
      </c>
    </row>
    <row r="162" customFormat="false" ht="15" hidden="false" customHeight="false" outlineLevel="0" collapsed="false">
      <c r="A162" s="8" t="s">
        <v>34</v>
      </c>
      <c r="B162" s="8" t="s">
        <v>26</v>
      </c>
      <c r="C162" s="8" t="s">
        <v>51</v>
      </c>
      <c r="D162" s="19" t="n">
        <v>45789.4166666667</v>
      </c>
      <c r="E162" s="19" t="n">
        <v>45796.5833333333</v>
      </c>
      <c r="F162" s="20" t="n">
        <f aca="false">DATE(YEAR(E162),MONTH(E162),1)</f>
        <v>45778</v>
      </c>
      <c r="G162" s="21" t="n">
        <v>115174</v>
      </c>
      <c r="H162" s="8" t="s">
        <v>50</v>
      </c>
      <c r="I162" s="22" t="n">
        <v>432.24</v>
      </c>
      <c r="J162" s="23" t="n">
        <f aca="false">Summary!$B$4</f>
        <v>1</v>
      </c>
      <c r="K162" s="11" t="n">
        <f aca="false">I162*J162*IF(A162="SILVER",Summary!$B$5,Summary!$B$6)</f>
        <v>43224</v>
      </c>
      <c r="L162" s="24" t="n">
        <v>0.125</v>
      </c>
      <c r="M162" s="25" t="n">
        <f aca="false">IF(K162&gt;0,1,0)</f>
        <v>1</v>
      </c>
      <c r="N162" s="11" t="n">
        <f aca="false">SUMIFS(K$2:K162,A$2:A162,A162,B$2:B162,B162)</f>
        <v>955812</v>
      </c>
      <c r="O162" s="11" t="n">
        <f aca="false">MAX(0,_xlfn.MAXIFS(N$2:N162,A$2:A162,A162,B$2:B162,B162))</f>
        <v>1117304</v>
      </c>
      <c r="P162" s="11" t="n">
        <f aca="false">N162-O162</f>
        <v>-161492</v>
      </c>
    </row>
    <row r="163" customFormat="false" ht="15" hidden="false" customHeight="false" outlineLevel="0" collapsed="false">
      <c r="A163" s="8" t="s">
        <v>34</v>
      </c>
      <c r="B163" s="8" t="s">
        <v>26</v>
      </c>
      <c r="C163" s="8" t="s">
        <v>49</v>
      </c>
      <c r="D163" s="19" t="n">
        <v>45796.5833333333</v>
      </c>
      <c r="E163" s="19" t="n">
        <v>45806.4173611111</v>
      </c>
      <c r="F163" s="20" t="n">
        <f aca="false">DATE(YEAR(E163),MONTH(E163),1)</f>
        <v>45778</v>
      </c>
      <c r="G163" s="21" t="n">
        <v>114713</v>
      </c>
      <c r="H163" s="8" t="s">
        <v>50</v>
      </c>
      <c r="I163" s="22" t="n">
        <v>1070.18</v>
      </c>
      <c r="J163" s="23" t="n">
        <f aca="false">Summary!$B$4</f>
        <v>1</v>
      </c>
      <c r="K163" s="11" t="n">
        <f aca="false">I163*J163*IF(A163="SILVER",Summary!$B$5,Summary!$B$6)</f>
        <v>107018</v>
      </c>
      <c r="L163" s="24" t="n">
        <v>0.429</v>
      </c>
      <c r="M163" s="25" t="n">
        <f aca="false">IF(K163&gt;0,1,0)</f>
        <v>1</v>
      </c>
      <c r="N163" s="11" t="n">
        <f aca="false">SUMIFS(K$2:K163,A$2:A163,A163,B$2:B163,B163)</f>
        <v>1062830</v>
      </c>
      <c r="O163" s="11" t="n">
        <f aca="false">MAX(0,_xlfn.MAXIFS(N$2:N163,A$2:A163,A163,B$2:B163,B163))</f>
        <v>1117304</v>
      </c>
      <c r="P163" s="11" t="n">
        <f aca="false">N163-O163</f>
        <v>-54474</v>
      </c>
    </row>
    <row r="164" customFormat="false" ht="15" hidden="false" customHeight="false" outlineLevel="0" collapsed="false">
      <c r="A164" s="8" t="s">
        <v>34</v>
      </c>
      <c r="B164" s="8" t="s">
        <v>26</v>
      </c>
      <c r="C164" s="8" t="s">
        <v>51</v>
      </c>
      <c r="D164" s="19" t="n">
        <v>45806.4173611111</v>
      </c>
      <c r="E164" s="19" t="n">
        <v>45810.6118055556</v>
      </c>
      <c r="F164" s="20" t="n">
        <f aca="false">DATE(YEAR(E164),MONTH(E164),1)</f>
        <v>45809</v>
      </c>
      <c r="G164" s="21" t="n">
        <v>115812</v>
      </c>
      <c r="H164" s="8" t="s">
        <v>50</v>
      </c>
      <c r="I164" s="22" t="n">
        <v>-1659.1</v>
      </c>
      <c r="J164" s="23" t="n">
        <f aca="false">Summary!$B$4</f>
        <v>1</v>
      </c>
      <c r="K164" s="11" t="n">
        <f aca="false">I164*J164*IF(A164="SILVER",Summary!$B$5,Summary!$B$6)</f>
        <v>-165910</v>
      </c>
      <c r="L164" s="24" t="n">
        <v>-1.06</v>
      </c>
      <c r="M164" s="25" t="n">
        <f aca="false">IF(K164&gt;0,1,0)</f>
        <v>0</v>
      </c>
      <c r="N164" s="11" t="n">
        <f aca="false">SUMIFS(K$2:K164,A$2:A164,A164,B$2:B164,B164)</f>
        <v>896920</v>
      </c>
      <c r="O164" s="11" t="n">
        <f aca="false">MAX(0,_xlfn.MAXIFS(N$2:N164,A$2:A164,A164,B$2:B164,B164))</f>
        <v>1117304</v>
      </c>
      <c r="P164" s="11" t="n">
        <f aca="false">N164-O164</f>
        <v>-220384</v>
      </c>
    </row>
    <row r="165" customFormat="false" ht="15" hidden="false" customHeight="false" outlineLevel="0" collapsed="false">
      <c r="A165" s="8" t="s">
        <v>34</v>
      </c>
      <c r="B165" s="8" t="s">
        <v>26</v>
      </c>
      <c r="C165" s="8" t="s">
        <v>49</v>
      </c>
      <c r="D165" s="19" t="n">
        <v>45810.6118055556</v>
      </c>
      <c r="E165" s="19" t="n">
        <v>45814.7916666667</v>
      </c>
      <c r="F165" s="20" t="n">
        <f aca="false">DATE(YEAR(E165),MONTH(E165),1)</f>
        <v>45809</v>
      </c>
      <c r="G165" s="21" t="n">
        <v>117442</v>
      </c>
      <c r="H165" s="8" t="s">
        <v>50</v>
      </c>
      <c r="I165" s="22" t="n">
        <v>172.04</v>
      </c>
      <c r="J165" s="23" t="n">
        <f aca="false">Summary!$B$4</f>
        <v>1</v>
      </c>
      <c r="K165" s="11" t="n">
        <f aca="false">I165*J165*IF(A165="SILVER",Summary!$B$5,Summary!$B$6)</f>
        <v>17204</v>
      </c>
      <c r="L165" s="24" t="n">
        <v>0.092</v>
      </c>
      <c r="M165" s="25" t="n">
        <f aca="false">IF(K165&gt;0,1,0)</f>
        <v>1</v>
      </c>
      <c r="N165" s="11" t="n">
        <f aca="false">SUMIFS(K$2:K165,A$2:A165,A165,B$2:B165,B165)</f>
        <v>914124</v>
      </c>
      <c r="O165" s="11" t="n">
        <f aca="false">MAX(0,_xlfn.MAXIFS(N$2:N165,A$2:A165,A165,B$2:B165,B165))</f>
        <v>1117304</v>
      </c>
      <c r="P165" s="11" t="n">
        <f aca="false">N165-O165</f>
        <v>-203180</v>
      </c>
    </row>
    <row r="166" customFormat="false" ht="15" hidden="false" customHeight="false" outlineLevel="0" collapsed="false">
      <c r="A166" s="8" t="s">
        <v>34</v>
      </c>
      <c r="B166" s="8" t="s">
        <v>26</v>
      </c>
      <c r="C166" s="8" t="s">
        <v>51</v>
      </c>
      <c r="D166" s="19" t="n">
        <v>45814.7916666667</v>
      </c>
      <c r="E166" s="19" t="n">
        <v>45820.6666666667</v>
      </c>
      <c r="F166" s="20" t="n">
        <f aca="false">DATE(YEAR(E166),MONTH(E166),1)</f>
        <v>45809</v>
      </c>
      <c r="G166" s="21" t="n">
        <v>117673</v>
      </c>
      <c r="H166" s="8" t="s">
        <v>50</v>
      </c>
      <c r="I166" s="22" t="n">
        <v>-489.6</v>
      </c>
      <c r="J166" s="23" t="n">
        <f aca="false">Summary!$B$4</f>
        <v>1</v>
      </c>
      <c r="K166" s="11" t="n">
        <f aca="false">I166*J166*IF(A166="SILVER",Summary!$B$5,Summary!$B$6)</f>
        <v>-48960</v>
      </c>
      <c r="L166" s="24" t="n">
        <v>-0.288</v>
      </c>
      <c r="M166" s="25" t="n">
        <f aca="false">IF(K166&gt;0,1,0)</f>
        <v>0</v>
      </c>
      <c r="N166" s="11" t="n">
        <f aca="false">SUMIFS(K$2:K166,A$2:A166,A166,B$2:B166,B166)</f>
        <v>865164</v>
      </c>
      <c r="O166" s="11" t="n">
        <f aca="false">MAX(0,_xlfn.MAXIFS(N$2:N166,A$2:A166,A166,B$2:B166,B166))</f>
        <v>1117304</v>
      </c>
      <c r="P166" s="11" t="n">
        <f aca="false">N166-O166</f>
        <v>-252140</v>
      </c>
    </row>
    <row r="167" customFormat="false" ht="15" hidden="false" customHeight="false" outlineLevel="0" collapsed="false">
      <c r="A167" s="8" t="s">
        <v>34</v>
      </c>
      <c r="B167" s="8" t="s">
        <v>26</v>
      </c>
      <c r="C167" s="8" t="s">
        <v>49</v>
      </c>
      <c r="D167" s="19" t="n">
        <v>45820.6666666667</v>
      </c>
      <c r="E167" s="19" t="n">
        <v>45832.4166666667</v>
      </c>
      <c r="F167" s="20" t="n">
        <f aca="false">DATE(YEAR(E167),MONTH(E167),1)</f>
        <v>45809</v>
      </c>
      <c r="G167" s="21" t="n">
        <v>118133</v>
      </c>
      <c r="H167" s="8" t="s">
        <v>50</v>
      </c>
      <c r="I167" s="22" t="n">
        <v>-85.64</v>
      </c>
      <c r="J167" s="23" t="n">
        <f aca="false">Summary!$B$4</f>
        <v>1</v>
      </c>
      <c r="K167" s="11" t="n">
        <f aca="false">I167*J167*IF(A167="SILVER",Summary!$B$5,Summary!$B$6)</f>
        <v>-8564</v>
      </c>
      <c r="L167" s="24" t="n">
        <v>-0.042</v>
      </c>
      <c r="M167" s="25" t="n">
        <f aca="false">IF(K167&gt;0,1,0)</f>
        <v>0</v>
      </c>
      <c r="N167" s="11" t="n">
        <f aca="false">SUMIFS(K$2:K167,A$2:A167,A167,B$2:B167,B167)</f>
        <v>856600</v>
      </c>
      <c r="O167" s="11" t="n">
        <f aca="false">MAX(0,_xlfn.MAXIFS(N$2:N167,A$2:A167,A167,B$2:B167,B167))</f>
        <v>1117304</v>
      </c>
      <c r="P167" s="11" t="n">
        <f aca="false">N167-O167</f>
        <v>-260704</v>
      </c>
    </row>
    <row r="168" customFormat="false" ht="15" hidden="false" customHeight="false" outlineLevel="0" collapsed="false">
      <c r="A168" s="8" t="s">
        <v>34</v>
      </c>
      <c r="B168" s="8" t="s">
        <v>26</v>
      </c>
      <c r="C168" s="8" t="s">
        <v>51</v>
      </c>
      <c r="D168" s="19" t="n">
        <v>45832.4166666667</v>
      </c>
      <c r="E168" s="19" t="n">
        <v>45839.5416666667</v>
      </c>
      <c r="F168" s="20" t="n">
        <f aca="false">DATE(YEAR(E168),MONTH(E168),1)</f>
        <v>45839</v>
      </c>
      <c r="G168" s="21" t="n">
        <v>118077</v>
      </c>
      <c r="H168" s="8" t="s">
        <v>50</v>
      </c>
      <c r="I168" s="22" t="n">
        <v>964.46</v>
      </c>
      <c r="J168" s="23" t="n">
        <f aca="false">Summary!$B$4</f>
        <v>1</v>
      </c>
      <c r="K168" s="11" t="n">
        <f aca="false">I168*J168*IF(A168="SILVER",Summary!$B$5,Summary!$B$6)</f>
        <v>96446</v>
      </c>
      <c r="L168" s="24" t="n">
        <v>0.52</v>
      </c>
      <c r="M168" s="25" t="n">
        <f aca="false">IF(K168&gt;0,1,0)</f>
        <v>1</v>
      </c>
      <c r="N168" s="11" t="n">
        <f aca="false">SUMIFS(K$2:K168,A$2:A168,A168,B$2:B168,B168)</f>
        <v>953046</v>
      </c>
      <c r="O168" s="11" t="n">
        <f aca="false">MAX(0,_xlfn.MAXIFS(N$2:N168,A$2:A168,A168,B$2:B168,B168))</f>
        <v>1117304</v>
      </c>
      <c r="P168" s="11" t="n">
        <f aca="false">N168-O168</f>
        <v>-164258</v>
      </c>
    </row>
    <row r="169" customFormat="false" ht="15" hidden="false" customHeight="false" outlineLevel="0" collapsed="false">
      <c r="A169" s="8" t="s">
        <v>34</v>
      </c>
      <c r="B169" s="8" t="s">
        <v>26</v>
      </c>
      <c r="C169" s="8" t="s">
        <v>49</v>
      </c>
      <c r="D169" s="19" t="n">
        <v>45839.5416666667</v>
      </c>
      <c r="E169" s="19" t="n">
        <v>45845.4166666667</v>
      </c>
      <c r="F169" s="20" t="n">
        <f aca="false">DATE(YEAR(E169),MONTH(E169),1)</f>
        <v>45839</v>
      </c>
      <c r="G169" s="21" t="n">
        <v>117083</v>
      </c>
      <c r="H169" s="8" t="s">
        <v>50</v>
      </c>
      <c r="I169" s="22" t="n">
        <v>-766.36</v>
      </c>
      <c r="J169" s="23" t="n">
        <f aca="false">Summary!$B$4</f>
        <v>1</v>
      </c>
      <c r="K169" s="11" t="n">
        <f aca="false">I169*J169*IF(A169="SILVER",Summary!$B$5,Summary!$B$6)</f>
        <v>-76636</v>
      </c>
      <c r="L169" s="24" t="n">
        <v>-0.449</v>
      </c>
      <c r="M169" s="25" t="n">
        <f aca="false">IF(K169&gt;0,1,0)</f>
        <v>0</v>
      </c>
      <c r="N169" s="11" t="n">
        <f aca="false">SUMIFS(K$2:K169,A$2:A169,A169,B$2:B169,B169)</f>
        <v>876410</v>
      </c>
      <c r="O169" s="11" t="n">
        <f aca="false">MAX(0,_xlfn.MAXIFS(N$2:N169,A$2:A169,A169,B$2:B169,B169))</f>
        <v>1117304</v>
      </c>
      <c r="P169" s="11" t="n">
        <f aca="false">N169-O169</f>
        <v>-240894</v>
      </c>
    </row>
    <row r="170" customFormat="false" ht="15" hidden="false" customHeight="false" outlineLevel="0" collapsed="false">
      <c r="A170" s="8" t="s">
        <v>34</v>
      </c>
      <c r="B170" s="8" t="s">
        <v>26</v>
      </c>
      <c r="C170" s="8" t="s">
        <v>51</v>
      </c>
      <c r="D170" s="19" t="n">
        <v>45845.4166666667</v>
      </c>
      <c r="E170" s="19" t="n">
        <v>45849.4166666667</v>
      </c>
      <c r="F170" s="20" t="n">
        <f aca="false">DATE(YEAR(E170),MONTH(E170),1)</f>
        <v>45839</v>
      </c>
      <c r="G170" s="21" t="n">
        <v>116346</v>
      </c>
      <c r="H170" s="8" t="s">
        <v>50</v>
      </c>
      <c r="I170" s="22" t="n">
        <v>-837.37</v>
      </c>
      <c r="J170" s="23" t="n">
        <f aca="false">Summary!$B$4</f>
        <v>1</v>
      </c>
      <c r="K170" s="11" t="n">
        <f aca="false">I170*J170*IF(A170="SILVER",Summary!$B$5,Summary!$B$6)</f>
        <v>-83737</v>
      </c>
      <c r="L170" s="24" t="n">
        <v>-0.709</v>
      </c>
      <c r="M170" s="25" t="n">
        <f aca="false">IF(K170&gt;0,1,0)</f>
        <v>0</v>
      </c>
      <c r="N170" s="11" t="n">
        <f aca="false">SUMIFS(K$2:K170,A$2:A170,A170,B$2:B170,B170)</f>
        <v>792673</v>
      </c>
      <c r="O170" s="11" t="n">
        <f aca="false">MAX(0,_xlfn.MAXIFS(N$2:N170,A$2:A170,A170,B$2:B170,B170))</f>
        <v>1117304</v>
      </c>
      <c r="P170" s="11" t="n">
        <f aca="false">N170-O170</f>
        <v>-324631</v>
      </c>
    </row>
    <row r="171" customFormat="false" ht="15" hidden="false" customHeight="false" outlineLevel="0" collapsed="false">
      <c r="A171" s="8" t="s">
        <v>34</v>
      </c>
      <c r="B171" s="8" t="s">
        <v>26</v>
      </c>
      <c r="C171" s="8" t="s">
        <v>49</v>
      </c>
      <c r="D171" s="19" t="n">
        <v>45849.4166666667</v>
      </c>
      <c r="E171" s="19" t="n">
        <v>45855.7916666667</v>
      </c>
      <c r="F171" s="20" t="n">
        <f aca="false">DATE(YEAR(E171),MONTH(E171),1)</f>
        <v>45839</v>
      </c>
      <c r="G171" s="21" t="n">
        <v>117154</v>
      </c>
      <c r="H171" s="8" t="s">
        <v>50</v>
      </c>
      <c r="I171" s="22" t="n">
        <v>-280.43</v>
      </c>
      <c r="J171" s="23" t="n">
        <f aca="false">Summary!$B$4</f>
        <v>1</v>
      </c>
      <c r="K171" s="11" t="n">
        <f aca="false">I171*J171*IF(A171="SILVER",Summary!$B$5,Summary!$B$6)</f>
        <v>-28043</v>
      </c>
      <c r="L171" s="24" t="n">
        <v>-0.216</v>
      </c>
      <c r="M171" s="25" t="n">
        <f aca="false">IF(K171&gt;0,1,0)</f>
        <v>0</v>
      </c>
      <c r="N171" s="11" t="n">
        <f aca="false">SUMIFS(K$2:K171,A$2:A171,A171,B$2:B171,B171)</f>
        <v>764630</v>
      </c>
      <c r="O171" s="11" t="n">
        <f aca="false">MAX(0,_xlfn.MAXIFS(N$2:N171,A$2:A171,A171,B$2:B171,B171))</f>
        <v>1117304</v>
      </c>
      <c r="P171" s="11" t="n">
        <f aca="false">N171-O171</f>
        <v>-352674</v>
      </c>
    </row>
    <row r="172" customFormat="false" ht="15" hidden="false" customHeight="false" outlineLevel="0" collapsed="false">
      <c r="A172" s="8" t="s">
        <v>34</v>
      </c>
      <c r="B172" s="8" t="s">
        <v>26</v>
      </c>
      <c r="C172" s="8" t="s">
        <v>51</v>
      </c>
      <c r="D172" s="19" t="n">
        <v>45855.7916666667</v>
      </c>
      <c r="E172" s="19" t="n">
        <v>45859.4583333333</v>
      </c>
      <c r="F172" s="20" t="n">
        <f aca="false">DATE(YEAR(E172),MONTH(E172),1)</f>
        <v>45839</v>
      </c>
      <c r="G172" s="21" t="n">
        <v>116903</v>
      </c>
      <c r="H172" s="8" t="s">
        <v>50</v>
      </c>
      <c r="I172" s="22" t="n">
        <v>-1495.55</v>
      </c>
      <c r="J172" s="23" t="n">
        <f aca="false">Summary!$B$4</f>
        <v>1</v>
      </c>
      <c r="K172" s="11" t="n">
        <f aca="false">I172*J172*IF(A172="SILVER",Summary!$B$5,Summary!$B$6)</f>
        <v>-149555</v>
      </c>
      <c r="L172" s="24" t="n">
        <v>-1.019</v>
      </c>
      <c r="M172" s="25" t="n">
        <f aca="false">IF(K172&gt;0,1,0)</f>
        <v>0</v>
      </c>
      <c r="N172" s="11" t="n">
        <f aca="false">SUMIFS(K$2:K172,A$2:A172,A172,B$2:B172,B172)</f>
        <v>615075</v>
      </c>
      <c r="O172" s="11" t="n">
        <f aca="false">MAX(0,_xlfn.MAXIFS(N$2:N172,A$2:A172,A172,B$2:B172,B172))</f>
        <v>1117304</v>
      </c>
      <c r="P172" s="11" t="n">
        <f aca="false">N172-O172</f>
        <v>-502229</v>
      </c>
    </row>
    <row r="173" customFormat="false" ht="15" hidden="false" customHeight="false" outlineLevel="0" collapsed="false">
      <c r="A173" s="8" t="s">
        <v>34</v>
      </c>
      <c r="B173" s="8" t="s">
        <v>26</v>
      </c>
      <c r="C173" s="8" t="s">
        <v>49</v>
      </c>
      <c r="D173" s="19" t="n">
        <v>45859.4583333333</v>
      </c>
      <c r="E173" s="19" t="n">
        <v>45862.4166666667</v>
      </c>
      <c r="F173" s="20" t="n">
        <f aca="false">DATE(YEAR(E173),MONTH(E173),1)</f>
        <v>45839</v>
      </c>
      <c r="G173" s="21" t="n">
        <v>118369</v>
      </c>
      <c r="H173" s="8" t="s">
        <v>50</v>
      </c>
      <c r="I173" s="22" t="n">
        <v>529.25</v>
      </c>
      <c r="J173" s="23" t="n">
        <f aca="false">Summary!$B$4</f>
        <v>1</v>
      </c>
      <c r="K173" s="11" t="n">
        <f aca="false">I173*J173*IF(A173="SILVER",Summary!$B$5,Summary!$B$6)</f>
        <v>52925</v>
      </c>
      <c r="L173" s="24" t="n">
        <v>0.416</v>
      </c>
      <c r="M173" s="25" t="n">
        <f aca="false">IF(K173&gt;0,1,0)</f>
        <v>1</v>
      </c>
      <c r="N173" s="11" t="n">
        <f aca="false">SUMIFS(K$2:K173,A$2:A173,A173,B$2:B173,B173)</f>
        <v>668000</v>
      </c>
      <c r="O173" s="11" t="n">
        <f aca="false">MAX(0,_xlfn.MAXIFS(N$2:N173,A$2:A173,A173,B$2:B173,B173))</f>
        <v>1117304</v>
      </c>
      <c r="P173" s="11" t="n">
        <f aca="false">N173-O173</f>
        <v>-449304</v>
      </c>
    </row>
    <row r="174" customFormat="false" ht="15" hidden="false" customHeight="false" outlineLevel="0" collapsed="false">
      <c r="A174" s="8" t="s">
        <v>34</v>
      </c>
      <c r="B174" s="8" t="s">
        <v>26</v>
      </c>
      <c r="C174" s="8" t="s">
        <v>51</v>
      </c>
      <c r="D174" s="19" t="n">
        <v>45862.4166666667</v>
      </c>
      <c r="E174" s="19" t="n">
        <v>45868.5854166667</v>
      </c>
      <c r="F174" s="20" t="n">
        <f aca="false">DATE(YEAR(E174),MONTH(E174),1)</f>
        <v>45839</v>
      </c>
      <c r="G174" s="21" t="n">
        <v>118928</v>
      </c>
      <c r="H174" s="8" t="s">
        <v>50</v>
      </c>
      <c r="I174" s="22" t="n">
        <v>330.23</v>
      </c>
      <c r="J174" s="23" t="n">
        <f aca="false">Summary!$B$4</f>
        <v>1</v>
      </c>
      <c r="K174" s="11" t="n">
        <f aca="false">I174*J174*IF(A174="SILVER",Summary!$B$5,Summary!$B$6)</f>
        <v>33023</v>
      </c>
      <c r="L174" s="24" t="n">
        <v>0.205</v>
      </c>
      <c r="M174" s="25" t="n">
        <f aca="false">IF(K174&gt;0,1,0)</f>
        <v>1</v>
      </c>
      <c r="N174" s="11" t="n">
        <f aca="false">SUMIFS(K$2:K174,A$2:A174,A174,B$2:B174,B174)</f>
        <v>701023</v>
      </c>
      <c r="O174" s="11" t="n">
        <f aca="false">MAX(0,_xlfn.MAXIFS(N$2:N174,A$2:A174,A174,B$2:B174,B174))</f>
        <v>1117304</v>
      </c>
      <c r="P174" s="11" t="n">
        <f aca="false">N174-O174</f>
        <v>-416281</v>
      </c>
    </row>
    <row r="175" customFormat="false" ht="15" hidden="false" customHeight="false" outlineLevel="0" collapsed="false">
      <c r="A175" s="8" t="s">
        <v>34</v>
      </c>
      <c r="B175" s="8" t="s">
        <v>26</v>
      </c>
      <c r="C175" s="8" t="s">
        <v>49</v>
      </c>
      <c r="D175" s="19" t="n">
        <v>45868.5854166667</v>
      </c>
      <c r="E175" s="19" t="n">
        <v>45880.75</v>
      </c>
      <c r="F175" s="20" t="n">
        <f aca="false">DATE(YEAR(E175),MONTH(E175),1)</f>
        <v>45870</v>
      </c>
      <c r="G175" s="21" t="n">
        <v>118568</v>
      </c>
      <c r="H175" s="8" t="s">
        <v>50</v>
      </c>
      <c r="I175" s="22" t="n">
        <v>1574.1</v>
      </c>
      <c r="J175" s="23" t="n">
        <f aca="false">Summary!$B$4</f>
        <v>1</v>
      </c>
      <c r="K175" s="11" t="n">
        <f aca="false">I175*J175*IF(A175="SILVER",Summary!$B$5,Summary!$B$6)</f>
        <v>157410</v>
      </c>
      <c r="L175" s="24" t="n">
        <v>1.269</v>
      </c>
      <c r="M175" s="25" t="n">
        <f aca="false">IF(K175&gt;0,1,0)</f>
        <v>1</v>
      </c>
      <c r="N175" s="11" t="n">
        <f aca="false">SUMIFS(K$2:K175,A$2:A175,A175,B$2:B175,B175)</f>
        <v>858433</v>
      </c>
      <c r="O175" s="11" t="n">
        <f aca="false">MAX(0,_xlfn.MAXIFS(N$2:N175,A$2:A175,A175,B$2:B175,B175))</f>
        <v>1117304</v>
      </c>
      <c r="P175" s="11" t="n">
        <f aca="false">N175-O175</f>
        <v>-258871</v>
      </c>
    </row>
    <row r="176" customFormat="false" ht="15" hidden="false" customHeight="false" outlineLevel="0" collapsed="false">
      <c r="A176" s="8" t="s">
        <v>34</v>
      </c>
      <c r="B176" s="8" t="s">
        <v>26</v>
      </c>
      <c r="C176" s="8" t="s">
        <v>51</v>
      </c>
      <c r="D176" s="19" t="n">
        <v>45880.75</v>
      </c>
      <c r="E176" s="19" t="n">
        <v>45891.8333333333</v>
      </c>
      <c r="F176" s="20" t="n">
        <f aca="false">DATE(YEAR(E176),MONTH(E176),1)</f>
        <v>45870</v>
      </c>
      <c r="G176" s="21" t="n">
        <v>120172</v>
      </c>
      <c r="H176" s="8" t="s">
        <v>50</v>
      </c>
      <c r="I176" s="22" t="n">
        <v>265.95</v>
      </c>
      <c r="J176" s="23" t="n">
        <f aca="false">Summary!$B$4</f>
        <v>1</v>
      </c>
      <c r="K176" s="11" t="n">
        <f aca="false">I176*J176*IF(A176="SILVER",Summary!$B$5,Summary!$B$6)</f>
        <v>26595</v>
      </c>
      <c r="L176" s="24" t="n">
        <v>0.136</v>
      </c>
      <c r="M176" s="25" t="n">
        <f aca="false">IF(K176&gt;0,1,0)</f>
        <v>1</v>
      </c>
      <c r="N176" s="11" t="n">
        <f aca="false">SUMIFS(K$2:K176,A$2:A176,A176,B$2:B176,B176)</f>
        <v>885028</v>
      </c>
      <c r="O176" s="11" t="n">
        <f aca="false">MAX(0,_xlfn.MAXIFS(N$2:N176,A$2:A176,A176,B$2:B176,B176))</f>
        <v>1117304</v>
      </c>
      <c r="P176" s="11" t="n">
        <f aca="false">N176-O176</f>
        <v>-232276</v>
      </c>
    </row>
    <row r="177" customFormat="false" ht="15" hidden="false" customHeight="false" outlineLevel="0" collapsed="false">
      <c r="A177" s="8" t="s">
        <v>34</v>
      </c>
      <c r="B177" s="8" t="s">
        <v>26</v>
      </c>
      <c r="C177" s="8" t="s">
        <v>49</v>
      </c>
      <c r="D177" s="19" t="n">
        <v>45891.8333333333</v>
      </c>
      <c r="E177" s="19" t="n">
        <v>45918.5</v>
      </c>
      <c r="F177" s="20" t="n">
        <f aca="false">DATE(YEAR(E177),MONTH(E177),1)</f>
        <v>45901</v>
      </c>
      <c r="G177" s="21" t="n">
        <v>119846</v>
      </c>
      <c r="H177" s="8" t="s">
        <v>50</v>
      </c>
      <c r="I177" s="22" t="n">
        <v>8702.11</v>
      </c>
      <c r="J177" s="23" t="n">
        <f aca="false">Summary!$B$4</f>
        <v>1</v>
      </c>
      <c r="K177" s="11" t="n">
        <f aca="false">I177*J177*IF(A177="SILVER",Summary!$B$5,Summary!$B$6)</f>
        <v>870211</v>
      </c>
      <c r="L177" s="24" t="n">
        <v>5.412</v>
      </c>
      <c r="M177" s="25" t="n">
        <f aca="false">IF(K177&gt;0,1,0)</f>
        <v>1</v>
      </c>
      <c r="N177" s="11" t="n">
        <f aca="false">SUMIFS(K$2:K177,A$2:A177,A177,B$2:B177,B177)</f>
        <v>1755239</v>
      </c>
      <c r="O177" s="11" t="n">
        <f aca="false">MAX(0,_xlfn.MAXIFS(N$2:N177,A$2:A177,A177,B$2:B177,B177))</f>
        <v>1755239</v>
      </c>
      <c r="P177" s="11" t="n">
        <f aca="false">N177-O177</f>
        <v>0</v>
      </c>
    </row>
    <row r="178" customFormat="false" ht="15" hidden="false" customHeight="false" outlineLevel="0" collapsed="false">
      <c r="A178" s="8" t="s">
        <v>34</v>
      </c>
      <c r="B178" s="8" t="s">
        <v>26</v>
      </c>
      <c r="C178" s="8" t="s">
        <v>51</v>
      </c>
      <c r="D178" s="19" t="n">
        <v>45918.5</v>
      </c>
      <c r="E178" s="19" t="n">
        <v>45922.4583333333</v>
      </c>
      <c r="F178" s="20" t="n">
        <f aca="false">DATE(YEAR(E178),MONTH(E178),1)</f>
        <v>45901</v>
      </c>
      <c r="G178" s="21" t="n">
        <v>128579</v>
      </c>
      <c r="H178" s="8" t="s">
        <v>50</v>
      </c>
      <c r="I178" s="22" t="n">
        <v>-1773.94</v>
      </c>
      <c r="J178" s="23" t="n">
        <f aca="false">Summary!$B$4</f>
        <v>1</v>
      </c>
      <c r="K178" s="11" t="n">
        <f aca="false">I178*J178*IF(A178="SILVER",Summary!$B$5,Summary!$B$6)</f>
        <v>-177394</v>
      </c>
      <c r="L178" s="24" t="n">
        <v>-1.001</v>
      </c>
      <c r="M178" s="25" t="n">
        <f aca="false">IF(K178&gt;0,1,0)</f>
        <v>0</v>
      </c>
      <c r="N178" s="11" t="n">
        <f aca="false">SUMIFS(K$2:K178,A$2:A178,A178,B$2:B178,B178)</f>
        <v>1577845</v>
      </c>
      <c r="O178" s="11" t="n">
        <f aca="false">MAX(0,_xlfn.MAXIFS(N$2:N178,A$2:A178,A178,B$2:B178,B178))</f>
        <v>1755239</v>
      </c>
      <c r="P178" s="11" t="n">
        <f aca="false">N178-O178</f>
        <v>-177394</v>
      </c>
    </row>
    <row r="179" customFormat="false" ht="15" hidden="false" customHeight="false" outlineLevel="0" collapsed="false">
      <c r="A179" s="8" t="s">
        <v>34</v>
      </c>
      <c r="B179" s="8" t="s">
        <v>26</v>
      </c>
      <c r="C179" s="8" t="s">
        <v>49</v>
      </c>
      <c r="D179" s="19" t="n">
        <v>45922.4583333333</v>
      </c>
      <c r="E179" s="19" t="n">
        <v>45939.9583333333</v>
      </c>
      <c r="F179" s="20" t="n">
        <f aca="false">DATE(YEAR(E179),MONTH(E179),1)</f>
        <v>45931</v>
      </c>
      <c r="G179" s="21" t="n">
        <v>130321</v>
      </c>
      <c r="H179" s="8" t="s">
        <v>50</v>
      </c>
      <c r="I179" s="22" t="n">
        <v>8552.75</v>
      </c>
      <c r="J179" s="23" t="n">
        <f aca="false">Summary!$B$4</f>
        <v>1</v>
      </c>
      <c r="K179" s="11" t="n">
        <f aca="false">I179*J179*IF(A179="SILVER",Summary!$B$5,Summary!$B$6)</f>
        <v>855275</v>
      </c>
      <c r="L179" s="24" t="n">
        <v>5.253</v>
      </c>
      <c r="M179" s="25" t="n">
        <f aca="false">IF(K179&gt;0,1,0)</f>
        <v>1</v>
      </c>
      <c r="N179" s="11" t="n">
        <f aca="false">SUMIFS(K$2:K179,A$2:A179,A179,B$2:B179,B179)</f>
        <v>2433120</v>
      </c>
      <c r="O179" s="11" t="n">
        <f aca="false">MAX(0,_xlfn.MAXIFS(N$2:N179,A$2:A179,A179,B$2:B179,B179))</f>
        <v>2433120</v>
      </c>
      <c r="P179" s="11" t="n">
        <f aca="false">N179-O179</f>
        <v>0</v>
      </c>
    </row>
    <row r="180" customFormat="false" ht="15" hidden="false" customHeight="false" outlineLevel="0" collapsed="false">
      <c r="A180" s="8" t="s">
        <v>34</v>
      </c>
      <c r="B180" s="8" t="s">
        <v>26</v>
      </c>
      <c r="C180" s="8" t="s">
        <v>51</v>
      </c>
      <c r="D180" s="19" t="n">
        <v>45939.9583333333</v>
      </c>
      <c r="E180" s="19" t="n">
        <v>45943.4583333333</v>
      </c>
      <c r="F180" s="20" t="n">
        <f aca="false">DATE(YEAR(E180),MONTH(E180),1)</f>
        <v>45931</v>
      </c>
      <c r="G180" s="21" t="n">
        <v>138941</v>
      </c>
      <c r="H180" s="8" t="s">
        <v>50</v>
      </c>
      <c r="I180" s="22" t="n">
        <v>-3158.44</v>
      </c>
      <c r="J180" s="23" t="n">
        <f aca="false">Summary!$B$4</f>
        <v>1</v>
      </c>
      <c r="K180" s="11" t="n">
        <f aca="false">I180*J180*IF(A180="SILVER",Summary!$B$5,Summary!$B$6)</f>
        <v>-315844</v>
      </c>
      <c r="L180" s="24" t="n">
        <v>-0.824</v>
      </c>
      <c r="M180" s="25" t="n">
        <f aca="false">IF(K180&gt;0,1,0)</f>
        <v>0</v>
      </c>
      <c r="N180" s="11" t="n">
        <f aca="false">SUMIFS(K$2:K180,A$2:A180,A180,B$2:B180,B180)</f>
        <v>2117276</v>
      </c>
      <c r="O180" s="11" t="n">
        <f aca="false">MAX(0,_xlfn.MAXIFS(N$2:N180,A$2:A180,A180,B$2:B180,B180))</f>
        <v>2433120</v>
      </c>
      <c r="P180" s="11" t="n">
        <f aca="false">N180-O180</f>
        <v>-315844</v>
      </c>
    </row>
    <row r="181" customFormat="false" ht="15" hidden="false" customHeight="false" outlineLevel="0" collapsed="false">
      <c r="A181" s="8" t="s">
        <v>34</v>
      </c>
      <c r="B181" s="8" t="s">
        <v>26</v>
      </c>
      <c r="C181" s="8" t="s">
        <v>49</v>
      </c>
      <c r="D181" s="19" t="n">
        <v>45943.4583333333</v>
      </c>
      <c r="E181" s="19" t="n">
        <v>45947.8333333333</v>
      </c>
      <c r="F181" s="20" t="n">
        <f aca="false">DATE(YEAR(E181),MONTH(E181),1)</f>
        <v>45931</v>
      </c>
      <c r="G181" s="21" t="n">
        <v>142065</v>
      </c>
      <c r="H181" s="8" t="s">
        <v>50</v>
      </c>
      <c r="I181" s="22" t="n">
        <v>4430.8</v>
      </c>
      <c r="J181" s="23" t="n">
        <f aca="false">Summary!$B$4</f>
        <v>1</v>
      </c>
      <c r="K181" s="11" t="n">
        <f aca="false">I181*J181*IF(A181="SILVER",Summary!$B$5,Summary!$B$6)</f>
        <v>443080</v>
      </c>
      <c r="L181" s="24" t="n">
        <v>1.032</v>
      </c>
      <c r="M181" s="25" t="n">
        <f aca="false">IF(K181&gt;0,1,0)</f>
        <v>1</v>
      </c>
      <c r="N181" s="11" t="n">
        <f aca="false">SUMIFS(K$2:K181,A$2:A181,A181,B$2:B181,B181)</f>
        <v>2560356</v>
      </c>
      <c r="O181" s="11" t="n">
        <f aca="false">MAX(0,_xlfn.MAXIFS(N$2:N181,A$2:A181,A181,B$2:B181,B181))</f>
        <v>2560356</v>
      </c>
      <c r="P181" s="11" t="n">
        <f aca="false">N181-O181</f>
        <v>0</v>
      </c>
    </row>
    <row r="182" customFormat="false" ht="15" hidden="false" customHeight="false" outlineLevel="0" collapsed="false">
      <c r="A182" s="8" t="s">
        <v>34</v>
      </c>
      <c r="B182" s="8" t="s">
        <v>26</v>
      </c>
      <c r="C182" s="8" t="s">
        <v>51</v>
      </c>
      <c r="D182" s="19" t="n">
        <v>45947.8333333333</v>
      </c>
      <c r="E182" s="19" t="n">
        <v>45971.5</v>
      </c>
      <c r="F182" s="20" t="n">
        <f aca="false">DATE(YEAR(E182),MONTH(E182),1)</f>
        <v>45962</v>
      </c>
      <c r="G182" s="21" t="n">
        <v>146531</v>
      </c>
      <c r="H182" s="8" t="s">
        <v>50</v>
      </c>
      <c r="I182" s="22" t="n">
        <v>5195.88</v>
      </c>
      <c r="J182" s="23" t="n">
        <f aca="false">Summary!$B$4</f>
        <v>1</v>
      </c>
      <c r="K182" s="11" t="n">
        <f aca="false">I182*J182*IF(A182="SILVER",Summary!$B$5,Summary!$B$6)</f>
        <v>519588</v>
      </c>
      <c r="L182" s="24" t="n">
        <v>0.938</v>
      </c>
      <c r="M182" s="25" t="n">
        <f aca="false">IF(K182&gt;0,1,0)</f>
        <v>1</v>
      </c>
      <c r="N182" s="11" t="n">
        <f aca="false">SUMIFS(K$2:K182,A$2:A182,A182,B$2:B182,B182)</f>
        <v>3079944</v>
      </c>
      <c r="O182" s="11" t="n">
        <f aca="false">MAX(0,_xlfn.MAXIFS(N$2:N182,A$2:A182,A182,B$2:B182,B182))</f>
        <v>3079944</v>
      </c>
      <c r="P182" s="11" t="n">
        <f aca="false">N182-O182</f>
        <v>0</v>
      </c>
    </row>
    <row r="183" customFormat="false" ht="15" hidden="false" customHeight="false" outlineLevel="0" collapsed="false">
      <c r="A183" s="8" t="s">
        <v>34</v>
      </c>
      <c r="B183" s="8" t="s">
        <v>26</v>
      </c>
      <c r="C183" s="8" t="s">
        <v>49</v>
      </c>
      <c r="D183" s="19" t="n">
        <v>45971.5</v>
      </c>
      <c r="E183" s="19" t="n">
        <v>45975.75</v>
      </c>
      <c r="F183" s="20" t="n">
        <f aca="false">DATE(YEAR(E183),MONTH(E183),1)</f>
        <v>45962</v>
      </c>
      <c r="G183" s="21" t="n">
        <v>141300</v>
      </c>
      <c r="H183" s="8" t="s">
        <v>50</v>
      </c>
      <c r="I183" s="22" t="n">
        <v>1088.29</v>
      </c>
      <c r="J183" s="23" t="n">
        <f aca="false">Summary!$B$4</f>
        <v>1</v>
      </c>
      <c r="K183" s="11" t="n">
        <f aca="false">I183*J183*IF(A183="SILVER",Summary!$B$5,Summary!$B$6)</f>
        <v>108829</v>
      </c>
      <c r="L183" s="24" t="n">
        <v>0.38</v>
      </c>
      <c r="M183" s="25" t="n">
        <f aca="false">IF(K183&gt;0,1,0)</f>
        <v>1</v>
      </c>
      <c r="N183" s="11" t="n">
        <f aca="false">SUMIFS(K$2:K183,A$2:A183,A183,B$2:B183,B183)</f>
        <v>3188773</v>
      </c>
      <c r="O183" s="11" t="n">
        <f aca="false">MAX(0,_xlfn.MAXIFS(N$2:N183,A$2:A183,A183,B$2:B183,B183))</f>
        <v>3188773</v>
      </c>
      <c r="P183" s="11" t="n">
        <f aca="false">N183-O183</f>
        <v>0</v>
      </c>
    </row>
    <row r="184" customFormat="false" ht="15" hidden="false" customHeight="false" outlineLevel="0" collapsed="false">
      <c r="A184" s="8" t="s">
        <v>34</v>
      </c>
      <c r="B184" s="8" t="s">
        <v>26</v>
      </c>
      <c r="C184" s="8" t="s">
        <v>51</v>
      </c>
      <c r="D184" s="19" t="n">
        <v>45975.75</v>
      </c>
      <c r="E184" s="19" t="n">
        <v>45986.4166666667</v>
      </c>
      <c r="F184" s="20" t="n">
        <f aca="false">DATE(YEAR(E184),MONTH(E184),1)</f>
        <v>45962</v>
      </c>
      <c r="G184" s="21" t="n">
        <v>142423</v>
      </c>
      <c r="H184" s="8" t="s">
        <v>50</v>
      </c>
      <c r="I184" s="22" t="n">
        <v>-1179.94</v>
      </c>
      <c r="J184" s="23" t="n">
        <f aca="false">Summary!$B$4</f>
        <v>1</v>
      </c>
      <c r="K184" s="11" t="n">
        <f aca="false">I184*J184*IF(A184="SILVER",Summary!$B$5,Summary!$B$6)</f>
        <v>-117994</v>
      </c>
      <c r="L184" s="24" t="n">
        <v>-0.284</v>
      </c>
      <c r="M184" s="25" t="n">
        <f aca="false">IF(K184&gt;0,1,0)</f>
        <v>0</v>
      </c>
      <c r="N184" s="11" t="n">
        <f aca="false">SUMIFS(K$2:K184,A$2:A184,A184,B$2:B184,B184)</f>
        <v>3070779</v>
      </c>
      <c r="O184" s="11" t="n">
        <f aca="false">MAX(0,_xlfn.MAXIFS(N$2:N184,A$2:A184,A184,B$2:B184,B184))</f>
        <v>3188773</v>
      </c>
      <c r="P184" s="11" t="n">
        <f aca="false">N184-O184</f>
        <v>-117994</v>
      </c>
    </row>
    <row r="185" customFormat="false" ht="15" hidden="false" customHeight="false" outlineLevel="0" collapsed="false">
      <c r="A185" s="8" t="s">
        <v>34</v>
      </c>
      <c r="B185" s="8" t="s">
        <v>26</v>
      </c>
      <c r="C185" s="8" t="s">
        <v>49</v>
      </c>
      <c r="D185" s="19" t="n">
        <v>45986.4166666667</v>
      </c>
      <c r="E185" s="19" t="n">
        <v>46020.8333333333</v>
      </c>
      <c r="F185" s="20" t="n">
        <f aca="false">DATE(YEAR(E185),MONTH(E185),1)</f>
        <v>45992</v>
      </c>
      <c r="G185" s="21" t="n">
        <v>143568</v>
      </c>
      <c r="H185" s="8" t="s">
        <v>50</v>
      </c>
      <c r="I185" s="22" t="n">
        <v>9680.52</v>
      </c>
      <c r="J185" s="23" t="n">
        <f aca="false">Summary!$B$4</f>
        <v>1</v>
      </c>
      <c r="K185" s="11" t="n">
        <f aca="false">I185*J185*IF(A185="SILVER",Summary!$B$5,Summary!$B$6)</f>
        <v>968052</v>
      </c>
      <c r="L185" s="24" t="n">
        <v>2.94</v>
      </c>
      <c r="M185" s="25" t="n">
        <f aca="false">IF(K185&gt;0,1,0)</f>
        <v>1</v>
      </c>
      <c r="N185" s="11" t="n">
        <f aca="false">SUMIFS(K$2:K185,A$2:A185,A185,B$2:B185,B185)</f>
        <v>4038831</v>
      </c>
      <c r="O185" s="11" t="n">
        <f aca="false">MAX(0,_xlfn.MAXIFS(N$2:N185,A$2:A185,A185,B$2:B185,B185))</f>
        <v>4038831</v>
      </c>
      <c r="P185" s="11" t="n">
        <f aca="false">N185-O185</f>
        <v>0</v>
      </c>
    </row>
    <row r="186" customFormat="false" ht="15" hidden="false" customHeight="false" outlineLevel="0" collapsed="false">
      <c r="A186" s="8" t="s">
        <v>34</v>
      </c>
      <c r="B186" s="8" t="s">
        <v>26</v>
      </c>
      <c r="C186" s="8" t="s">
        <v>51</v>
      </c>
      <c r="D186" s="19" t="n">
        <v>46020.8333333333</v>
      </c>
      <c r="E186" s="19" t="n">
        <v>46028.4166666667</v>
      </c>
      <c r="F186" s="20" t="n">
        <f aca="false">DATE(YEAR(E186),MONTH(E186),1)</f>
        <v>46023</v>
      </c>
      <c r="G186" s="21" t="n">
        <v>153322</v>
      </c>
      <c r="H186" s="8" t="s">
        <v>50</v>
      </c>
      <c r="I186" s="22" t="n">
        <v>-2160.5</v>
      </c>
      <c r="J186" s="23" t="n">
        <f aca="false">Summary!$B$4</f>
        <v>1</v>
      </c>
      <c r="K186" s="11" t="n">
        <f aca="false">I186*J186*IF(A186="SILVER",Summary!$B$5,Summary!$B$6)</f>
        <v>-216050</v>
      </c>
      <c r="L186" s="24" t="n">
        <v>-0.491</v>
      </c>
      <c r="M186" s="25" t="n">
        <f aca="false">IF(K186&gt;0,1,0)</f>
        <v>0</v>
      </c>
      <c r="N186" s="11" t="n">
        <f aca="false">SUMIFS(K$2:K186,A$2:A186,A186,B$2:B186,B186)</f>
        <v>3822781</v>
      </c>
      <c r="O186" s="11" t="n">
        <f aca="false">MAX(0,_xlfn.MAXIFS(N$2:N186,A$2:A186,A186,B$2:B186,B186))</f>
        <v>4038831</v>
      </c>
      <c r="P186" s="11" t="n">
        <f aca="false">N186-O186</f>
        <v>-216050</v>
      </c>
    </row>
    <row r="187" customFormat="false" ht="15" hidden="false" customHeight="false" outlineLevel="0" collapsed="false">
      <c r="A187" s="8" t="s">
        <v>34</v>
      </c>
      <c r="B187" s="8" t="s">
        <v>26</v>
      </c>
      <c r="C187" s="8" t="s">
        <v>49</v>
      </c>
      <c r="D187" s="19" t="n">
        <v>46028.4166666667</v>
      </c>
      <c r="E187" s="19" t="n">
        <v>46044.4166666667</v>
      </c>
      <c r="F187" s="20" t="n">
        <f aca="false">DATE(YEAR(E187),MONTH(E187),1)</f>
        <v>46023</v>
      </c>
      <c r="G187" s="21" t="n">
        <v>155445</v>
      </c>
      <c r="H187" s="8" t="s">
        <v>50</v>
      </c>
      <c r="I187" s="22" t="n">
        <v>11104.18</v>
      </c>
      <c r="J187" s="23" t="n">
        <f aca="false">Summary!$B$4</f>
        <v>1</v>
      </c>
      <c r="K187" s="11" t="n">
        <f aca="false">I187*J187*IF(A187="SILVER",Summary!$B$5,Summary!$B$6)</f>
        <v>1110418</v>
      </c>
      <c r="L187" s="24" t="n">
        <v>3.772</v>
      </c>
      <c r="M187" s="25" t="n">
        <f aca="false">IF(K187&gt;0,1,0)</f>
        <v>1</v>
      </c>
      <c r="N187" s="11" t="n">
        <f aca="false">SUMIFS(K$2:K187,A$2:A187,A187,B$2:B187,B187)</f>
        <v>4933199</v>
      </c>
      <c r="O187" s="11" t="n">
        <f aca="false">MAX(0,_xlfn.MAXIFS(N$2:N187,A$2:A187,A187,B$2:B187,B187))</f>
        <v>4933199</v>
      </c>
      <c r="P187" s="11" t="n">
        <f aca="false">N187-O187</f>
        <v>0</v>
      </c>
    </row>
    <row r="188" customFormat="false" ht="15" hidden="false" customHeight="false" outlineLevel="0" collapsed="false">
      <c r="A188" s="8" t="s">
        <v>34</v>
      </c>
      <c r="B188" s="8" t="s">
        <v>26</v>
      </c>
      <c r="C188" s="8" t="s">
        <v>51</v>
      </c>
      <c r="D188" s="19" t="n">
        <v>46044.4166666667</v>
      </c>
      <c r="E188" s="19" t="n">
        <v>46049.4166666667</v>
      </c>
      <c r="F188" s="20" t="n">
        <f aca="false">DATE(YEAR(E188),MONTH(E188),1)</f>
        <v>46023</v>
      </c>
      <c r="G188" s="21" t="n">
        <v>166588</v>
      </c>
      <c r="H188" s="8" t="s">
        <v>50</v>
      </c>
      <c r="I188" s="22" t="n">
        <v>-8802.81</v>
      </c>
      <c r="J188" s="23" t="n">
        <f aca="false">Summary!$B$4</f>
        <v>1</v>
      </c>
      <c r="K188" s="11" t="n">
        <f aca="false">I188*J188*IF(A188="SILVER",Summary!$B$5,Summary!$B$6)</f>
        <v>-880281</v>
      </c>
      <c r="L188" s="24" t="n">
        <v>-0.842</v>
      </c>
      <c r="M188" s="25" t="n">
        <f aca="false">IF(K188&gt;0,1,0)</f>
        <v>0</v>
      </c>
      <c r="N188" s="11" t="n">
        <f aca="false">SUMIFS(K$2:K188,A$2:A188,A188,B$2:B188,B188)</f>
        <v>4052918</v>
      </c>
      <c r="O188" s="11" t="n">
        <f aca="false">MAX(0,_xlfn.MAXIFS(N$2:N188,A$2:A188,A188,B$2:B188,B188))</f>
        <v>4933199</v>
      </c>
      <c r="P188" s="11" t="n">
        <f aca="false">N188-O188</f>
        <v>-880281</v>
      </c>
    </row>
    <row r="189" customFormat="false" ht="15" hidden="false" customHeight="false" outlineLevel="0" collapsed="false">
      <c r="A189" s="8" t="s">
        <v>34</v>
      </c>
      <c r="B189" s="8" t="s">
        <v>26</v>
      </c>
      <c r="C189" s="8" t="s">
        <v>49</v>
      </c>
      <c r="D189" s="19" t="n">
        <v>46049.4166666667</v>
      </c>
      <c r="E189" s="19" t="n">
        <v>46051.875</v>
      </c>
      <c r="F189" s="20" t="n">
        <f aca="false">DATE(YEAR(E189),MONTH(E189),1)</f>
        <v>46023</v>
      </c>
      <c r="G189" s="21" t="n">
        <v>175350</v>
      </c>
      <c r="H189" s="8" t="s">
        <v>50</v>
      </c>
      <c r="I189" s="22" t="n">
        <v>832.09</v>
      </c>
      <c r="J189" s="23" t="n">
        <f aca="false">Summary!$B$4</f>
        <v>1</v>
      </c>
      <c r="K189" s="11" t="n">
        <f aca="false">I189*J189*IF(A189="SILVER",Summary!$B$5,Summary!$B$6)</f>
        <v>83209</v>
      </c>
      <c r="L189" s="24" t="n">
        <v>0.102</v>
      </c>
      <c r="M189" s="25" t="n">
        <f aca="false">IF(K189&gt;0,1,0)</f>
        <v>1</v>
      </c>
      <c r="N189" s="11" t="n">
        <f aca="false">SUMIFS(K$2:K189,A$2:A189,A189,B$2:B189,B189)</f>
        <v>4136127</v>
      </c>
      <c r="O189" s="11" t="n">
        <f aca="false">MAX(0,_xlfn.MAXIFS(N$2:N189,A$2:A189,A189,B$2:B189,B189))</f>
        <v>4933199</v>
      </c>
      <c r="P189" s="11" t="n">
        <f aca="false">N189-O189</f>
        <v>-797072</v>
      </c>
    </row>
    <row r="190" customFormat="false" ht="15" hidden="false" customHeight="false" outlineLevel="0" collapsed="false">
      <c r="A190" s="8" t="s">
        <v>34</v>
      </c>
      <c r="B190" s="8" t="s">
        <v>26</v>
      </c>
      <c r="C190" s="8" t="s">
        <v>51</v>
      </c>
      <c r="D190" s="19" t="n">
        <v>46051.875</v>
      </c>
      <c r="E190" s="19" t="n">
        <v>46072.5416666667</v>
      </c>
      <c r="F190" s="20" t="n">
        <f aca="false">DATE(YEAR(E190),MONTH(E190),1)</f>
        <v>46054</v>
      </c>
      <c r="G190" s="21" t="n">
        <v>176224</v>
      </c>
      <c r="H190" s="8" t="s">
        <v>50</v>
      </c>
      <c r="I190" s="22" t="n">
        <v>11684.83</v>
      </c>
      <c r="J190" s="23" t="n">
        <f aca="false">Summary!$B$4</f>
        <v>1</v>
      </c>
      <c r="K190" s="11" t="n">
        <f aca="false">I190*J190*IF(A190="SILVER",Summary!$B$5,Summary!$B$6)</f>
        <v>1168483</v>
      </c>
      <c r="L190" s="24" t="n">
        <v>0.471</v>
      </c>
      <c r="M190" s="25" t="n">
        <f aca="false">IF(K190&gt;0,1,0)</f>
        <v>1</v>
      </c>
      <c r="N190" s="11" t="n">
        <f aca="false">SUMIFS(K$2:K190,A$2:A190,A190,B$2:B190,B190)</f>
        <v>5304610</v>
      </c>
      <c r="O190" s="11" t="n">
        <f aca="false">MAX(0,_xlfn.MAXIFS(N$2:N190,A$2:A190,A190,B$2:B190,B190))</f>
        <v>5304610</v>
      </c>
      <c r="P190" s="11" t="n">
        <f aca="false">N190-O190</f>
        <v>0</v>
      </c>
    </row>
    <row r="191" customFormat="false" ht="15" hidden="false" customHeight="false" outlineLevel="0" collapsed="false">
      <c r="A191" s="8" t="s">
        <v>34</v>
      </c>
      <c r="B191" s="8" t="s">
        <v>26</v>
      </c>
      <c r="C191" s="8" t="s">
        <v>49</v>
      </c>
      <c r="D191" s="19" t="n">
        <v>46072.5416666667</v>
      </c>
      <c r="E191" s="19" t="n">
        <v>46084.75</v>
      </c>
      <c r="F191" s="20" t="n">
        <f aca="false">DATE(YEAR(E191),MONTH(E191),1)</f>
        <v>46082</v>
      </c>
      <c r="G191" s="21" t="n">
        <v>164456</v>
      </c>
      <c r="H191" s="8" t="s">
        <v>50</v>
      </c>
      <c r="I191" s="22" t="n">
        <v>7282.87</v>
      </c>
      <c r="J191" s="23" t="n">
        <f aca="false">Summary!$B$4</f>
        <v>1</v>
      </c>
      <c r="K191" s="11" t="n">
        <f aca="false">I191*J191*IF(A191="SILVER",Summary!$B$5,Summary!$B$6)</f>
        <v>728287</v>
      </c>
      <c r="L191" s="24" t="n">
        <v>1.479</v>
      </c>
      <c r="M191" s="25" t="n">
        <f aca="false">IF(K191&gt;0,1,0)</f>
        <v>1</v>
      </c>
      <c r="N191" s="11" t="n">
        <f aca="false">SUMIFS(K$2:K191,A$2:A191,A191,B$2:B191,B191)</f>
        <v>6032897</v>
      </c>
      <c r="O191" s="11" t="n">
        <f aca="false">MAX(0,_xlfn.MAXIFS(N$2:N191,A$2:A191,A191,B$2:B191,B191))</f>
        <v>6032897</v>
      </c>
      <c r="P191" s="11" t="n">
        <f aca="false">N191-O191</f>
        <v>0</v>
      </c>
    </row>
    <row r="192" customFormat="false" ht="15" hidden="false" customHeight="false" outlineLevel="0" collapsed="false">
      <c r="A192" s="8" t="s">
        <v>34</v>
      </c>
      <c r="B192" s="8" t="s">
        <v>26</v>
      </c>
      <c r="C192" s="8" t="s">
        <v>51</v>
      </c>
      <c r="D192" s="19" t="n">
        <v>46084.75</v>
      </c>
      <c r="E192" s="19" t="n">
        <v>46106.4166666667</v>
      </c>
      <c r="F192" s="20" t="n">
        <f aca="false">DATE(YEAR(E192),MONTH(E192),1)</f>
        <v>46082</v>
      </c>
      <c r="G192" s="21" t="n">
        <v>171781</v>
      </c>
      <c r="H192" s="8" t="s">
        <v>50</v>
      </c>
      <c r="I192" s="22" t="n">
        <v>19952.14</v>
      </c>
      <c r="J192" s="23" t="n">
        <f aca="false">Summary!$B$4</f>
        <v>1</v>
      </c>
      <c r="K192" s="11" t="n">
        <f aca="false">I192*J192*IF(A192="SILVER",Summary!$B$5,Summary!$B$6)</f>
        <v>1995214</v>
      </c>
      <c r="L192" s="24" t="n">
        <v>3.432</v>
      </c>
      <c r="M192" s="25" t="n">
        <f aca="false">IF(K192&gt;0,1,0)</f>
        <v>1</v>
      </c>
      <c r="N192" s="11" t="n">
        <f aca="false">SUMIFS(K$2:K192,A$2:A192,A192,B$2:B192,B192)</f>
        <v>8028111</v>
      </c>
      <c r="O192" s="11" t="n">
        <f aca="false">MAX(0,_xlfn.MAXIFS(N$2:N192,A$2:A192,A192,B$2:B192,B192))</f>
        <v>8028111</v>
      </c>
      <c r="P192" s="11" t="n">
        <f aca="false">N192-O192</f>
        <v>0</v>
      </c>
    </row>
    <row r="193" customFormat="false" ht="15" hidden="false" customHeight="false" outlineLevel="0" collapsed="false">
      <c r="A193" s="8" t="s">
        <v>34</v>
      </c>
      <c r="B193" s="8" t="s">
        <v>26</v>
      </c>
      <c r="C193" s="8" t="s">
        <v>49</v>
      </c>
      <c r="D193" s="19" t="n">
        <v>46106.4166666667</v>
      </c>
      <c r="E193" s="19" t="n">
        <v>46118.375</v>
      </c>
      <c r="F193" s="20" t="n">
        <f aca="false">DATE(YEAR(E193),MONTH(E193),1)</f>
        <v>46113</v>
      </c>
      <c r="G193" s="21" t="n">
        <v>151788</v>
      </c>
      <c r="H193" s="8" t="s">
        <v>50</v>
      </c>
      <c r="I193" s="22" t="n">
        <v>1235.88</v>
      </c>
      <c r="J193" s="23" t="n">
        <f aca="false">Summary!$B$4</f>
        <v>1</v>
      </c>
      <c r="K193" s="11" t="n">
        <f aca="false">I193*J193*IF(A193="SILVER",Summary!$B$5,Summary!$B$6)</f>
        <v>123588</v>
      </c>
      <c r="L193" s="24" t="n">
        <v>0.101</v>
      </c>
      <c r="M193" s="25" t="n">
        <f aca="false">IF(K193&gt;0,1,0)</f>
        <v>1</v>
      </c>
      <c r="N193" s="11" t="n">
        <f aca="false">SUMIFS(K$2:K193,A$2:A193,A193,B$2:B193,B193)</f>
        <v>8151699</v>
      </c>
      <c r="O193" s="11" t="n">
        <f aca="false">MAX(0,_xlfn.MAXIFS(N$2:N193,A$2:A193,A193,B$2:B193,B193))</f>
        <v>8151699</v>
      </c>
      <c r="P193" s="11" t="n">
        <f aca="false">N193-O193</f>
        <v>0</v>
      </c>
    </row>
    <row r="194" customFormat="false" ht="15" hidden="false" customHeight="false" outlineLevel="0" collapsed="false">
      <c r="A194" s="8" t="s">
        <v>34</v>
      </c>
      <c r="B194" s="8" t="s">
        <v>26</v>
      </c>
      <c r="C194" s="8" t="s">
        <v>51</v>
      </c>
      <c r="D194" s="19" t="n">
        <v>46118.375</v>
      </c>
      <c r="E194" s="19" t="n">
        <v>46126.9583333333</v>
      </c>
      <c r="F194" s="20" t="n">
        <f aca="false">DATE(YEAR(E194),MONTH(E194),1)</f>
        <v>46113</v>
      </c>
      <c r="G194" s="21" t="n">
        <v>153102</v>
      </c>
      <c r="H194" s="8" t="s">
        <v>50</v>
      </c>
      <c r="I194" s="22" t="n">
        <v>-5751.02</v>
      </c>
      <c r="J194" s="23" t="n">
        <f aca="false">Summary!$B$4</f>
        <v>1</v>
      </c>
      <c r="K194" s="11" t="n">
        <f aca="false">I194*J194*IF(A194="SILVER",Summary!$B$5,Summary!$B$6)</f>
        <v>-575102</v>
      </c>
      <c r="L194" s="24" t="n">
        <v>-0.758</v>
      </c>
      <c r="M194" s="25" t="n">
        <f aca="false">IF(K194&gt;0,1,0)</f>
        <v>0</v>
      </c>
      <c r="N194" s="11" t="n">
        <f aca="false">SUMIFS(K$2:K194,A$2:A194,A194,B$2:B194,B194)</f>
        <v>7576597</v>
      </c>
      <c r="O194" s="11" t="n">
        <f aca="false">MAX(0,_xlfn.MAXIFS(N$2:N194,A$2:A194,A194,B$2:B194,B194))</f>
        <v>8151699</v>
      </c>
      <c r="P194" s="11" t="n">
        <f aca="false">N194-O194</f>
        <v>-575102</v>
      </c>
    </row>
    <row r="195" customFormat="false" ht="15" hidden="false" customHeight="false" outlineLevel="0" collapsed="false">
      <c r="A195" s="8" t="s">
        <v>34</v>
      </c>
      <c r="B195" s="8" t="s">
        <v>26</v>
      </c>
      <c r="C195" s="8" t="s">
        <v>49</v>
      </c>
      <c r="D195" s="19" t="n">
        <v>46126.9583333333</v>
      </c>
      <c r="E195" s="19" t="n">
        <v>46133.9583333333</v>
      </c>
      <c r="F195" s="20" t="n">
        <f aca="false">DATE(YEAR(E195),MONTH(E195),1)</f>
        <v>46113</v>
      </c>
      <c r="G195" s="21" t="n">
        <v>158813</v>
      </c>
      <c r="H195" s="8" t="s">
        <v>50</v>
      </c>
      <c r="I195" s="22" t="n">
        <v>-3105.61</v>
      </c>
      <c r="J195" s="23" t="n">
        <f aca="false">Summary!$B$4</f>
        <v>1</v>
      </c>
      <c r="K195" s="11" t="n">
        <f aca="false">I195*J195*IF(A195="SILVER",Summary!$B$5,Summary!$B$6)</f>
        <v>-310561</v>
      </c>
      <c r="L195" s="24" t="n">
        <v>-0.809</v>
      </c>
      <c r="M195" s="25" t="n">
        <f aca="false">IF(K195&gt;0,1,0)</f>
        <v>0</v>
      </c>
      <c r="N195" s="11" t="n">
        <f aca="false">SUMIFS(K$2:K195,A$2:A195,A195,B$2:B195,B195)</f>
        <v>7266036</v>
      </c>
      <c r="O195" s="11" t="n">
        <f aca="false">MAX(0,_xlfn.MAXIFS(N$2:N195,A$2:A195,A195,B$2:B195,B195))</f>
        <v>8151699</v>
      </c>
      <c r="P195" s="11" t="n">
        <f aca="false">N195-O195</f>
        <v>-885663</v>
      </c>
    </row>
    <row r="196" customFormat="false" ht="15" hidden="false" customHeight="false" outlineLevel="0" collapsed="false">
      <c r="A196" s="8" t="s">
        <v>34</v>
      </c>
      <c r="B196" s="8" t="s">
        <v>26</v>
      </c>
      <c r="C196" s="8" t="s">
        <v>51</v>
      </c>
      <c r="D196" s="19" t="n">
        <v>46133.9583333333</v>
      </c>
      <c r="E196" s="19" t="n">
        <v>46142.6666666667</v>
      </c>
      <c r="F196" s="20" t="n">
        <f aca="false">DATE(YEAR(E196),MONTH(E196),1)</f>
        <v>46113</v>
      </c>
      <c r="G196" s="21" t="n">
        <v>155748</v>
      </c>
      <c r="H196" s="8" t="s">
        <v>50</v>
      </c>
      <c r="I196" s="22" t="n">
        <v>-303.32</v>
      </c>
      <c r="J196" s="23" t="n">
        <f aca="false">Summary!$B$4</f>
        <v>1</v>
      </c>
      <c r="K196" s="11" t="n">
        <f aca="false">I196*J196*IF(A196="SILVER",Summary!$B$5,Summary!$B$6)</f>
        <v>-30332</v>
      </c>
      <c r="L196" s="24" t="n">
        <v>-0.086</v>
      </c>
      <c r="M196" s="25" t="n">
        <f aca="false">IF(K196&gt;0,1,0)</f>
        <v>0</v>
      </c>
      <c r="N196" s="11" t="n">
        <f aca="false">SUMIFS(K$2:K196,A$2:A196,A196,B$2:B196,B196)</f>
        <v>7235704</v>
      </c>
      <c r="O196" s="11" t="n">
        <f aca="false">MAX(0,_xlfn.MAXIFS(N$2:N196,A$2:A196,A196,B$2:B196,B196))</f>
        <v>8151699</v>
      </c>
      <c r="P196" s="11" t="n">
        <f aca="false">N196-O196</f>
        <v>-915995</v>
      </c>
    </row>
    <row r="197" customFormat="false" ht="15" hidden="false" customHeight="false" outlineLevel="0" collapsed="false">
      <c r="A197" s="8" t="s">
        <v>34</v>
      </c>
      <c r="B197" s="8" t="s">
        <v>26</v>
      </c>
      <c r="C197" s="8" t="s">
        <v>49</v>
      </c>
      <c r="D197" s="19" t="n">
        <v>46142.6666666667</v>
      </c>
      <c r="E197" s="19" t="n">
        <v>46162.4166666667</v>
      </c>
      <c r="F197" s="20" t="n">
        <f aca="false">DATE(YEAR(E197),MONTH(E197),1)</f>
        <v>46143</v>
      </c>
      <c r="G197" s="21" t="n">
        <v>156011</v>
      </c>
      <c r="H197" s="8" t="s">
        <v>50</v>
      </c>
      <c r="I197" s="22" t="n">
        <v>6583</v>
      </c>
      <c r="J197" s="23" t="n">
        <f aca="false">Summary!$B$4</f>
        <v>1</v>
      </c>
      <c r="K197" s="11" t="n">
        <f aca="false">I197*J197*IF(A197="SILVER",Summary!$B$5,Summary!$B$6)</f>
        <v>658300</v>
      </c>
      <c r="L197" s="24" t="n">
        <v>1.853</v>
      </c>
      <c r="M197" s="25" t="n">
        <f aca="false">IF(K197&gt;0,1,0)</f>
        <v>1</v>
      </c>
      <c r="N197" s="11" t="n">
        <f aca="false">SUMIFS(K$2:K197,A$2:A197,A197,B$2:B197,B197)</f>
        <v>7894004</v>
      </c>
      <c r="O197" s="11" t="n">
        <f aca="false">MAX(0,_xlfn.MAXIFS(N$2:N197,A$2:A197,A197,B$2:B197,B197))</f>
        <v>8151699</v>
      </c>
      <c r="P197" s="11" t="n">
        <f aca="false">N197-O197</f>
        <v>-257695</v>
      </c>
    </row>
    <row r="198" customFormat="false" ht="15" hidden="false" customHeight="false" outlineLevel="0" collapsed="false">
      <c r="A198" s="8" t="s">
        <v>34</v>
      </c>
      <c r="B198" s="8" t="s">
        <v>26</v>
      </c>
      <c r="C198" s="8" t="s">
        <v>51</v>
      </c>
      <c r="D198" s="19" t="n">
        <v>46162.4166666667</v>
      </c>
      <c r="E198" s="19" t="n">
        <v>46188.4166666667</v>
      </c>
      <c r="F198" s="20" t="n">
        <f aca="false">DATE(YEAR(E198),MONTH(E198),1)</f>
        <v>46174</v>
      </c>
      <c r="G198" s="21" t="n">
        <v>162635</v>
      </c>
      <c r="H198" s="8" t="s">
        <v>50</v>
      </c>
      <c r="I198" s="22" t="n">
        <v>6748.23</v>
      </c>
      <c r="J198" s="23" t="n">
        <f aca="false">Summary!$B$4</f>
        <v>1</v>
      </c>
      <c r="K198" s="11" t="n">
        <f aca="false">I198*J198*IF(A198="SILVER",Summary!$B$5,Summary!$B$6)</f>
        <v>674823</v>
      </c>
      <c r="L198" s="24" t="n">
        <v>1.787</v>
      </c>
      <c r="M198" s="25" t="n">
        <f aca="false">IF(K198&gt;0,1,0)</f>
        <v>1</v>
      </c>
      <c r="N198" s="11" t="n">
        <f aca="false">SUMIFS(K$2:K198,A$2:A198,A198,B$2:B198,B198)</f>
        <v>8568827</v>
      </c>
      <c r="O198" s="11" t="n">
        <f aca="false">MAX(0,_xlfn.MAXIFS(N$2:N198,A$2:A198,A198,B$2:B198,B198))</f>
        <v>8568827</v>
      </c>
      <c r="P198" s="11" t="n">
        <f aca="false">N198-O198</f>
        <v>0</v>
      </c>
    </row>
    <row r="199" customFormat="false" ht="15" hidden="false" customHeight="false" outlineLevel="0" collapsed="false">
      <c r="A199" s="8" t="s">
        <v>34</v>
      </c>
      <c r="B199" s="8" t="s">
        <v>26</v>
      </c>
      <c r="C199" s="8" t="s">
        <v>49</v>
      </c>
      <c r="D199" s="19" t="n">
        <v>46188.4166666667</v>
      </c>
      <c r="E199" s="19" t="n">
        <v>46191.5833333333</v>
      </c>
      <c r="F199" s="20" t="n">
        <f aca="false">DATE(YEAR(E199),MONTH(E199),1)</f>
        <v>46174</v>
      </c>
      <c r="G199" s="21" t="n">
        <v>155805</v>
      </c>
      <c r="H199" s="8" t="s">
        <v>50</v>
      </c>
      <c r="I199" s="22" t="n">
        <v>-2321.4</v>
      </c>
      <c r="J199" s="23" t="n">
        <f aca="false">Summary!$B$4</f>
        <v>1</v>
      </c>
      <c r="K199" s="11" t="n">
        <f aca="false">I199*J199*IF(A199="SILVER",Summary!$B$5,Summary!$B$6)</f>
        <v>-232140</v>
      </c>
      <c r="L199" s="24" t="n">
        <v>-0.487</v>
      </c>
      <c r="M199" s="25" t="n">
        <f aca="false">IF(K199&gt;0,1,0)</f>
        <v>0</v>
      </c>
      <c r="N199" s="11" t="n">
        <f aca="false">SUMIFS(K$2:K199,A$2:A199,A199,B$2:B199,B199)</f>
        <v>8336687</v>
      </c>
      <c r="O199" s="11" t="n">
        <f aca="false">MAX(0,_xlfn.MAXIFS(N$2:N199,A$2:A199,A199,B$2:B199,B199))</f>
        <v>8568827</v>
      </c>
      <c r="P199" s="11" t="n">
        <f aca="false">N199-O199</f>
        <v>-232140</v>
      </c>
    </row>
    <row r="200" customFormat="false" ht="15" hidden="false" customHeight="false" outlineLevel="0" collapsed="false">
      <c r="A200" s="8" t="s">
        <v>34</v>
      </c>
      <c r="B200" s="8" t="s">
        <v>26</v>
      </c>
      <c r="C200" s="8" t="s">
        <v>51</v>
      </c>
      <c r="D200" s="19" t="n">
        <v>46191.5833333333</v>
      </c>
      <c r="E200" s="19" t="n">
        <v>46204.8333333333</v>
      </c>
      <c r="F200" s="20" t="n">
        <f aca="false">DATE(YEAR(E200),MONTH(E200),1)</f>
        <v>46204</v>
      </c>
      <c r="G200" s="21" t="n">
        <v>153524</v>
      </c>
      <c r="H200" s="8" t="s">
        <v>50</v>
      </c>
      <c r="I200" s="22" t="n">
        <v>5817.41</v>
      </c>
      <c r="J200" s="23" t="n">
        <f aca="false">Summary!$B$4</f>
        <v>1</v>
      </c>
      <c r="K200" s="11" t="n">
        <f aca="false">I200*J200*IF(A200="SILVER",Summary!$B$5,Summary!$B$6)</f>
        <v>581741</v>
      </c>
      <c r="L200" s="24" t="n">
        <v>1.534</v>
      </c>
      <c r="M200" s="25" t="n">
        <f aca="false">IF(K200&gt;0,1,0)</f>
        <v>1</v>
      </c>
      <c r="N200" s="11" t="n">
        <f aca="false">SUMIFS(K$2:K200,A$2:A200,A200,B$2:B200,B200)</f>
        <v>8918428</v>
      </c>
      <c r="O200" s="11" t="n">
        <f aca="false">MAX(0,_xlfn.MAXIFS(N$2:N200,A$2:A200,A200,B$2:B200,B200))</f>
        <v>8918428</v>
      </c>
      <c r="P200" s="11" t="n">
        <f aca="false">N200-O200</f>
        <v>0</v>
      </c>
    </row>
    <row r="201" customFormat="false" ht="15" hidden="false" customHeight="false" outlineLevel="0" collapsed="false">
      <c r="A201" s="8" t="s">
        <v>34</v>
      </c>
      <c r="B201" s="8" t="s">
        <v>26</v>
      </c>
      <c r="C201" s="8" t="s">
        <v>49</v>
      </c>
      <c r="D201" s="19" t="n">
        <v>46204.8333333333</v>
      </c>
      <c r="E201" s="19" t="n">
        <v>46211.625</v>
      </c>
      <c r="F201" s="20" t="n">
        <f aca="false">DATE(YEAR(E201),MONTH(E201),1)</f>
        <v>46204</v>
      </c>
      <c r="G201" s="21" t="n">
        <v>147667</v>
      </c>
      <c r="H201" s="8" t="s">
        <v>50</v>
      </c>
      <c r="I201" s="22" t="n">
        <v>-1821.83</v>
      </c>
      <c r="J201" s="23" t="n">
        <f aca="false">Summary!$B$4</f>
        <v>1</v>
      </c>
      <c r="K201" s="11" t="n">
        <f aca="false">I201*J201*IF(A201="SILVER",Summary!$B$5,Summary!$B$6)</f>
        <v>-182183</v>
      </c>
      <c r="L201" s="24" t="n">
        <v>-0.353</v>
      </c>
      <c r="M201" s="25" t="n">
        <f aca="false">IF(K201&gt;0,1,0)</f>
        <v>0</v>
      </c>
      <c r="N201" s="11" t="n">
        <f aca="false">SUMIFS(K$2:K201,A$2:A201,A201,B$2:B201,B201)</f>
        <v>8736245</v>
      </c>
      <c r="O201" s="11" t="n">
        <f aca="false">MAX(0,_xlfn.MAXIFS(N$2:N201,A$2:A201,A201,B$2:B201,B201))</f>
        <v>8918428</v>
      </c>
      <c r="P201" s="11" t="n">
        <f aca="false">N201-O201</f>
        <v>-182183</v>
      </c>
    </row>
    <row r="202" customFormat="false" ht="15" hidden="false" customHeight="false" outlineLevel="0" collapsed="false">
      <c r="A202" s="8" t="s">
        <v>34</v>
      </c>
      <c r="B202" s="8" t="s">
        <v>26</v>
      </c>
      <c r="C202" s="8" t="s">
        <v>51</v>
      </c>
      <c r="D202" s="19" t="n">
        <v>46211.625</v>
      </c>
      <c r="E202" s="19" t="n">
        <v>46224.875</v>
      </c>
      <c r="F202" s="20" t="n">
        <f aca="false">DATE(YEAR(E202),MONTH(E202),1)</f>
        <v>46204</v>
      </c>
      <c r="G202" s="21" t="n">
        <v>145884</v>
      </c>
      <c r="H202" s="8" t="s">
        <v>50</v>
      </c>
      <c r="I202" s="22" t="n">
        <v>226.37</v>
      </c>
      <c r="J202" s="23" t="n">
        <f aca="false">Summary!$B$4</f>
        <v>1</v>
      </c>
      <c r="K202" s="11" t="n">
        <f aca="false">I202*J202*IF(A202="SILVER",Summary!$B$5,Summary!$B$6)</f>
        <v>22637</v>
      </c>
      <c r="L202" s="24" t="n">
        <v>0.061</v>
      </c>
      <c r="M202" s="25" t="n">
        <f aca="false">IF(K202&gt;0,1,0)</f>
        <v>1</v>
      </c>
      <c r="N202" s="11" t="n">
        <f aca="false">SUMIFS(K$2:K202,A$2:A202,A202,B$2:B202,B202)</f>
        <v>8758882</v>
      </c>
      <c r="O202" s="11" t="n">
        <f aca="false">MAX(0,_xlfn.MAXIFS(N$2:N202,A$2:A202,A202,B$2:B202,B202))</f>
        <v>8918428</v>
      </c>
      <c r="P202" s="11" t="n">
        <f aca="false">N202-O202</f>
        <v>-159546</v>
      </c>
    </row>
    <row r="203" customFormat="false" ht="15" hidden="false" customHeight="false" outlineLevel="0" collapsed="false">
      <c r="A203" s="8" t="s">
        <v>34</v>
      </c>
      <c r="B203" s="8" t="s">
        <v>26</v>
      </c>
      <c r="C203" s="8" t="s">
        <v>49</v>
      </c>
      <c r="D203" s="19" t="n">
        <v>46224.875</v>
      </c>
      <c r="E203" s="19" t="n">
        <v>46226.7916666667</v>
      </c>
      <c r="F203" s="20" t="n">
        <f aca="false">DATE(YEAR(E203),MONTH(E203),1)</f>
        <v>46204</v>
      </c>
      <c r="G203" s="21" t="n">
        <v>145619</v>
      </c>
      <c r="H203" s="8" t="s">
        <v>50</v>
      </c>
      <c r="I203" s="22" t="n">
        <v>260.38</v>
      </c>
      <c r="J203" s="23" t="n">
        <f aca="false">Summary!$B$4</f>
        <v>1</v>
      </c>
      <c r="K203" s="11" t="n">
        <f aca="false">I203*J203*IF(A203="SILVER",Summary!$B$5,Summary!$B$6)</f>
        <v>26038</v>
      </c>
      <c r="L203" s="24" t="n">
        <v>0.103</v>
      </c>
      <c r="M203" s="25" t="n">
        <f aca="false">IF(K203&gt;0,1,0)</f>
        <v>1</v>
      </c>
      <c r="N203" s="11" t="n">
        <f aca="false">SUMIFS(K$2:K203,A$2:A203,A203,B$2:B203,B203)</f>
        <v>8784920</v>
      </c>
      <c r="O203" s="11" t="n">
        <f aca="false">MAX(0,_xlfn.MAXIFS(N$2:N203,A$2:A203,A203,B$2:B203,B203))</f>
        <v>8918428</v>
      </c>
      <c r="P203" s="11" t="n">
        <f aca="false">N203-O203</f>
        <v>-133508</v>
      </c>
    </row>
    <row r="204" customFormat="false" ht="15" hidden="false" customHeight="false" outlineLevel="0" collapsed="false">
      <c r="A204" s="8" t="s">
        <v>34</v>
      </c>
      <c r="B204" s="8" t="s">
        <v>26</v>
      </c>
      <c r="C204" s="8" t="s">
        <v>51</v>
      </c>
      <c r="D204" s="19" t="n">
        <v>46226.7916666667</v>
      </c>
      <c r="E204" s="19" t="n">
        <v>46233.9166666667</v>
      </c>
      <c r="F204" s="20" t="n">
        <f aca="false">DATE(YEAR(E204),MONTH(E204),1)</f>
        <v>46204</v>
      </c>
      <c r="G204" s="21" t="n">
        <v>145918</v>
      </c>
      <c r="H204" s="8" t="s">
        <v>50</v>
      </c>
      <c r="I204" s="22" t="n">
        <v>-89.66</v>
      </c>
      <c r="J204" s="23" t="n">
        <f aca="false">Summary!$B$4</f>
        <v>1</v>
      </c>
      <c r="K204" s="11" t="n">
        <f aca="false">I204*J204*IF(A204="SILVER",Summary!$B$5,Summary!$B$6)</f>
        <v>-8966</v>
      </c>
      <c r="L204" s="24" t="n">
        <v>-0.035</v>
      </c>
      <c r="M204" s="25" t="n">
        <f aca="false">IF(K204&gt;0,1,0)</f>
        <v>0</v>
      </c>
      <c r="N204" s="11" t="n">
        <f aca="false">SUMIFS(K$2:K204,A$2:A204,A204,B$2:B204,B204)</f>
        <v>8775954</v>
      </c>
      <c r="O204" s="11" t="n">
        <f aca="false">MAX(0,_xlfn.MAXIFS(N$2:N204,A$2:A204,A204,B$2:B204,B204))</f>
        <v>8918428</v>
      </c>
      <c r="P204" s="11" t="n">
        <f aca="false">N204-O204</f>
        <v>-142474</v>
      </c>
    </row>
    <row r="205" customFormat="false" ht="15" hidden="false" customHeight="false" outlineLevel="0" collapsed="false">
      <c r="A205" s="8" t="s">
        <v>34</v>
      </c>
      <c r="B205" s="8" t="s">
        <v>26</v>
      </c>
      <c r="C205" s="8" t="s">
        <v>49</v>
      </c>
      <c r="D205" s="19" t="n">
        <v>46233.9166666667</v>
      </c>
      <c r="E205" s="19" t="n">
        <v>46260.9583333333</v>
      </c>
      <c r="F205" s="20" t="n">
        <f aca="false">DATE(YEAR(E205),MONTH(E205),1)</f>
        <v>46235</v>
      </c>
      <c r="G205" s="21" t="n">
        <v>145969</v>
      </c>
      <c r="H205" s="8" t="s">
        <v>50</v>
      </c>
      <c r="I205" s="22" t="n">
        <v>14218.58</v>
      </c>
      <c r="J205" s="23" t="n">
        <f aca="false">Summary!$B$4</f>
        <v>1</v>
      </c>
      <c r="K205" s="11" t="n">
        <f aca="false">I205*J205*IF(A205="SILVER",Summary!$B$5,Summary!$B$6)</f>
        <v>1421858</v>
      </c>
      <c r="L205" s="24" t="n">
        <v>4.952</v>
      </c>
      <c r="M205" s="25" t="n">
        <f aca="false">IF(K205&gt;0,1,0)</f>
        <v>1</v>
      </c>
      <c r="N205" s="11" t="n">
        <f aca="false">SUMIFS(K$2:K205,A$2:A205,A205,B$2:B205,B205)</f>
        <v>10197812</v>
      </c>
      <c r="O205" s="11" t="n">
        <f aca="false">MAX(0,_xlfn.MAXIFS(N$2:N205,A$2:A205,A205,B$2:B205,B205))</f>
        <v>10197812</v>
      </c>
      <c r="P205" s="11" t="n">
        <f aca="false">N205-O205</f>
        <v>0</v>
      </c>
    </row>
    <row r="206" customFormat="false" ht="15" hidden="false" customHeight="false" outlineLevel="0" collapsed="false">
      <c r="A206" s="8" t="s">
        <v>34</v>
      </c>
      <c r="B206" s="8" t="s">
        <v>26</v>
      </c>
      <c r="C206" s="8" t="s">
        <v>51</v>
      </c>
      <c r="D206" s="19" t="n">
        <v>46260.9583333333</v>
      </c>
      <c r="E206" s="19" t="n">
        <v>46268.7916666667</v>
      </c>
      <c r="F206" s="20" t="n">
        <f aca="false">DATE(YEAR(E206),MONTH(E206),1)</f>
        <v>46266</v>
      </c>
      <c r="G206" s="21" t="n">
        <v>160270</v>
      </c>
      <c r="H206" s="8" t="s">
        <v>50</v>
      </c>
      <c r="I206" s="22" t="n">
        <v>4794.43</v>
      </c>
      <c r="J206" s="23" t="n">
        <f aca="false">Summary!$B$4</f>
        <v>1</v>
      </c>
      <c r="K206" s="11" t="n">
        <f aca="false">I206*J206*IF(A206="SILVER",Summary!$B$5,Summary!$B$6)</f>
        <v>479443</v>
      </c>
      <c r="L206" s="24" t="n">
        <v>1.14</v>
      </c>
      <c r="M206" s="25" t="n">
        <f aca="false">IF(K206&gt;0,1,0)</f>
        <v>1</v>
      </c>
      <c r="N206" s="11" t="n">
        <f aca="false">SUMIFS(K$2:K206,A$2:A206,A206,B$2:B206,B206)</f>
        <v>10677255</v>
      </c>
      <c r="O206" s="11" t="n">
        <f aca="false">MAX(0,_xlfn.MAXIFS(N$2:N206,A$2:A206,A206,B$2:B206,B206))</f>
        <v>10677255</v>
      </c>
      <c r="P206" s="11" t="n">
        <f aca="false">N206-O206</f>
        <v>0</v>
      </c>
    </row>
    <row r="207" customFormat="false" ht="15" hidden="false" customHeight="false" outlineLevel="0" collapsed="false">
      <c r="A207" s="8" t="s">
        <v>34</v>
      </c>
      <c r="B207" s="8" t="s">
        <v>26</v>
      </c>
      <c r="C207" s="8" t="s">
        <v>49</v>
      </c>
      <c r="D207" s="19" t="n">
        <v>46268.7916666667</v>
      </c>
      <c r="E207" s="19" t="n">
        <v>46279.75</v>
      </c>
      <c r="F207" s="20" t="n">
        <f aca="false">DATE(YEAR(E207),MONTH(E207),1)</f>
        <v>46266</v>
      </c>
      <c r="G207" s="21" t="n">
        <v>155434</v>
      </c>
      <c r="H207" s="8" t="s">
        <v>50</v>
      </c>
      <c r="I207" s="22" t="n">
        <v>-4899.6</v>
      </c>
      <c r="J207" s="23" t="n">
        <f aca="false">Summary!$B$4</f>
        <v>1</v>
      </c>
      <c r="K207" s="11" t="n">
        <f aca="false">I207*J207*IF(A207="SILVER",Summary!$B$5,Summary!$B$6)</f>
        <v>-489960</v>
      </c>
      <c r="L207" s="24" t="n">
        <v>-1.073</v>
      </c>
      <c r="M207" s="25" t="n">
        <f aca="false">IF(K207&gt;0,1,0)</f>
        <v>0</v>
      </c>
      <c r="N207" s="11" t="n">
        <f aca="false">SUMIFS(K$2:K207,A$2:A207,A207,B$2:B207,B207)</f>
        <v>10187295</v>
      </c>
      <c r="O207" s="11" t="n">
        <f aca="false">MAX(0,_xlfn.MAXIFS(N$2:N207,A$2:A207,A207,B$2:B207,B207))</f>
        <v>10677255</v>
      </c>
      <c r="P207" s="11" t="n">
        <f aca="false">N207-O207</f>
        <v>-489960</v>
      </c>
    </row>
    <row r="208" customFormat="false" ht="15" hidden="false" customHeight="false" outlineLevel="0" collapsed="false">
      <c r="A208" s="8" t="s">
        <v>34</v>
      </c>
      <c r="B208" s="8" t="s">
        <v>26</v>
      </c>
      <c r="C208" s="8" t="s">
        <v>51</v>
      </c>
      <c r="D208" s="19" t="n">
        <v>46279.75</v>
      </c>
      <c r="E208" s="19" t="n">
        <v>46283.5</v>
      </c>
      <c r="F208" s="20" t="n">
        <f aca="false">DATE(YEAR(E208),MONTH(E208),1)</f>
        <v>46266</v>
      </c>
      <c r="G208" s="21" t="n">
        <v>150575</v>
      </c>
      <c r="H208" s="8" t="s">
        <v>50</v>
      </c>
      <c r="I208" s="22" t="n">
        <v>-3505.46</v>
      </c>
      <c r="J208" s="23" t="n">
        <f aca="false">Summary!$B$4</f>
        <v>1</v>
      </c>
      <c r="K208" s="11" t="n">
        <f aca="false">I208*J208*IF(A208="SILVER",Summary!$B$5,Summary!$B$6)</f>
        <v>-350546</v>
      </c>
      <c r="L208" s="24" t="n">
        <v>-0.805</v>
      </c>
      <c r="M208" s="25" t="n">
        <f aca="false">IF(K208&gt;0,1,0)</f>
        <v>0</v>
      </c>
      <c r="N208" s="11" t="n">
        <f aca="false">SUMIFS(K$2:K208,A$2:A208,A208,B$2:B208,B208)</f>
        <v>9836749</v>
      </c>
      <c r="O208" s="11" t="n">
        <f aca="false">MAX(0,_xlfn.MAXIFS(N$2:N208,A$2:A208,A208,B$2:B208,B208))</f>
        <v>10677255</v>
      </c>
      <c r="P208" s="11" t="n">
        <f aca="false">N208-O208</f>
        <v>-840506</v>
      </c>
    </row>
    <row r="209" customFormat="false" ht="15" hidden="false" customHeight="false" outlineLevel="0" collapsed="false">
      <c r="A209" s="8" t="s">
        <v>34</v>
      </c>
      <c r="B209" s="8" t="s">
        <v>26</v>
      </c>
      <c r="C209" s="8" t="s">
        <v>49</v>
      </c>
      <c r="D209" s="19" t="n">
        <v>46283.5</v>
      </c>
      <c r="E209" s="19" t="n">
        <v>46288.9784722222</v>
      </c>
      <c r="F209" s="20" t="n">
        <f aca="false">DATE(YEAR(E209),MONTH(E209),1)</f>
        <v>46266</v>
      </c>
      <c r="G209" s="21" t="n">
        <v>154040</v>
      </c>
      <c r="H209" s="8" t="s">
        <v>52</v>
      </c>
      <c r="I209" s="22" t="n">
        <v>-2720.54</v>
      </c>
      <c r="J209" s="23" t="n">
        <f aca="false">Summary!$B$4</f>
        <v>1</v>
      </c>
      <c r="K209" s="11" t="n">
        <f aca="false">I209*J209*IF(A209="SILVER",Summary!$B$5,Summary!$B$6)</f>
        <v>-272054</v>
      </c>
      <c r="L209" s="24" t="n">
        <v>-0.667</v>
      </c>
      <c r="M209" s="25" t="n">
        <f aca="false">IF(K209&gt;0,1,0)</f>
        <v>0</v>
      </c>
      <c r="N209" s="11" t="n">
        <f aca="false">SUMIFS(K$2:K209,A$2:A209,A209,B$2:B209,B209)</f>
        <v>9564695</v>
      </c>
      <c r="O209" s="11" t="n">
        <f aca="false">MAX(0,_xlfn.MAXIFS(N$2:N209,A$2:A209,A209,B$2:B209,B209))</f>
        <v>10677255</v>
      </c>
      <c r="P209" s="11" t="n">
        <f aca="false">N209-O209</f>
        <v>-1112560</v>
      </c>
    </row>
    <row r="210" customFormat="false" ht="15" hidden="false" customHeight="false" outlineLevel="0" collapsed="false">
      <c r="A210" s="8" t="s">
        <v>34</v>
      </c>
      <c r="B210" s="8" t="s">
        <v>28</v>
      </c>
      <c r="C210" s="8" t="s">
        <v>49</v>
      </c>
      <c r="D210" s="19" t="n">
        <v>45707.5833333333</v>
      </c>
      <c r="E210" s="19" t="n">
        <v>45713.9166666667</v>
      </c>
      <c r="F210" s="20" t="n">
        <f aca="false">DATE(YEAR(E210),MONTH(E210),1)</f>
        <v>45689</v>
      </c>
      <c r="G210" s="21" t="n">
        <v>106912</v>
      </c>
      <c r="H210" s="8" t="s">
        <v>50</v>
      </c>
      <c r="I210" s="22" t="n">
        <v>-1045.17</v>
      </c>
      <c r="J210" s="23" t="n">
        <f aca="false">Summary!$B$4</f>
        <v>1</v>
      </c>
      <c r="K210" s="11" t="n">
        <f aca="false">I210*J210*IF(A210="SILVER",Summary!$B$5,Summary!$B$6)</f>
        <v>-104517</v>
      </c>
      <c r="L210" s="24" t="n">
        <v>-0.914</v>
      </c>
      <c r="M210" s="25" t="n">
        <f aca="false">IF(K210&gt;0,1,0)</f>
        <v>0</v>
      </c>
      <c r="N210" s="11" t="n">
        <f aca="false">SUMIFS(K$2:K210,A$2:A210,A210,B$2:B210,B210)</f>
        <v>-104517</v>
      </c>
      <c r="O210" s="11" t="n">
        <f aca="false">MAX(0,_xlfn.MAXIFS(N$2:N210,A$2:A210,A210,B$2:B210,B210))</f>
        <v>0</v>
      </c>
      <c r="P210" s="11" t="n">
        <f aca="false">N210-O210</f>
        <v>-104517</v>
      </c>
    </row>
    <row r="211" customFormat="false" ht="15" hidden="false" customHeight="false" outlineLevel="0" collapsed="false">
      <c r="A211" s="8" t="s">
        <v>34</v>
      </c>
      <c r="B211" s="8" t="s">
        <v>28</v>
      </c>
      <c r="C211" s="8" t="s">
        <v>49</v>
      </c>
      <c r="D211" s="19" t="n">
        <v>45720.5416666667</v>
      </c>
      <c r="E211" s="19" t="n">
        <v>45737.8333333333</v>
      </c>
      <c r="F211" s="20" t="n">
        <f aca="false">DATE(YEAR(E211),MONTH(E211),1)</f>
        <v>45717</v>
      </c>
      <c r="G211" s="21" t="n">
        <v>106237</v>
      </c>
      <c r="H211" s="8" t="s">
        <v>50</v>
      </c>
      <c r="I211" s="22" t="n">
        <v>1816.68</v>
      </c>
      <c r="J211" s="23" t="n">
        <f aca="false">Summary!$B$4</f>
        <v>1</v>
      </c>
      <c r="K211" s="11" t="n">
        <f aca="false">I211*J211*IF(A211="SILVER",Summary!$B$5,Summary!$B$6)</f>
        <v>181668</v>
      </c>
      <c r="L211" s="24" t="n">
        <v>1.27</v>
      </c>
      <c r="M211" s="25" t="n">
        <f aca="false">IF(K211&gt;0,1,0)</f>
        <v>1</v>
      </c>
      <c r="N211" s="11" t="n">
        <f aca="false">SUMIFS(K$2:K211,A$2:A211,A211,B$2:B211,B211)</f>
        <v>77151</v>
      </c>
      <c r="O211" s="11" t="n">
        <f aca="false">MAX(0,_xlfn.MAXIFS(N$2:N211,A$2:A211,A211,B$2:B211,B211))</f>
        <v>77151</v>
      </c>
      <c r="P211" s="11" t="n">
        <f aca="false">N211-O211</f>
        <v>0</v>
      </c>
    </row>
    <row r="212" customFormat="false" ht="15" hidden="false" customHeight="false" outlineLevel="0" collapsed="false">
      <c r="A212" s="8" t="s">
        <v>34</v>
      </c>
      <c r="B212" s="8" t="s">
        <v>28</v>
      </c>
      <c r="C212" s="8" t="s">
        <v>49</v>
      </c>
      <c r="D212" s="19" t="n">
        <v>45743.875</v>
      </c>
      <c r="E212" s="19" t="n">
        <v>45750.7520833333</v>
      </c>
      <c r="F212" s="20" t="n">
        <f aca="false">DATE(YEAR(E212),MONTH(E212),1)</f>
        <v>45748</v>
      </c>
      <c r="G212" s="21" t="n">
        <v>109040</v>
      </c>
      <c r="H212" s="8" t="s">
        <v>50</v>
      </c>
      <c r="I212" s="22" t="n">
        <v>1074.18</v>
      </c>
      <c r="J212" s="23" t="n">
        <f aca="false">Summary!$B$4</f>
        <v>1</v>
      </c>
      <c r="K212" s="11" t="n">
        <f aca="false">I212*J212*IF(A212="SILVER",Summary!$B$5,Summary!$B$6)</f>
        <v>107418</v>
      </c>
      <c r="L212" s="24" t="n">
        <v>0.873</v>
      </c>
      <c r="M212" s="25" t="n">
        <f aca="false">IF(K212&gt;0,1,0)</f>
        <v>1</v>
      </c>
      <c r="N212" s="11" t="n">
        <f aca="false">SUMIFS(K$2:K212,A$2:A212,A212,B$2:B212,B212)</f>
        <v>184569</v>
      </c>
      <c r="O212" s="11" t="n">
        <f aca="false">MAX(0,_xlfn.MAXIFS(N$2:N212,A$2:A212,A212,B$2:B212,B212))</f>
        <v>184569</v>
      </c>
      <c r="P212" s="11" t="n">
        <f aca="false">N212-O212</f>
        <v>0</v>
      </c>
    </row>
    <row r="213" customFormat="false" ht="15" hidden="false" customHeight="false" outlineLevel="0" collapsed="false">
      <c r="A213" s="8" t="s">
        <v>34</v>
      </c>
      <c r="B213" s="8" t="s">
        <v>28</v>
      </c>
      <c r="C213" s="8" t="s">
        <v>49</v>
      </c>
      <c r="D213" s="19" t="n">
        <v>45756.7083333333</v>
      </c>
      <c r="E213" s="19" t="n">
        <v>45770.4166666667</v>
      </c>
      <c r="F213" s="20" t="n">
        <f aca="false">DATE(YEAR(E213),MONTH(E213),1)</f>
        <v>45748</v>
      </c>
      <c r="G213" s="21" t="n">
        <v>111112</v>
      </c>
      <c r="H213" s="8" t="s">
        <v>50</v>
      </c>
      <c r="I213" s="22" t="n">
        <v>5836.42</v>
      </c>
      <c r="J213" s="23" t="n">
        <f aca="false">Summary!$B$4</f>
        <v>1</v>
      </c>
      <c r="K213" s="11" t="n">
        <f aca="false">I213*J213*IF(A213="SILVER",Summary!$B$5,Summary!$B$6)</f>
        <v>583642</v>
      </c>
      <c r="L213" s="24" t="n">
        <v>2.001</v>
      </c>
      <c r="M213" s="25" t="n">
        <f aca="false">IF(K213&gt;0,1,0)</f>
        <v>1</v>
      </c>
      <c r="N213" s="11" t="n">
        <f aca="false">SUMIFS(K$2:K213,A$2:A213,A213,B$2:B213,B213)</f>
        <v>768211</v>
      </c>
      <c r="O213" s="11" t="n">
        <f aca="false">MAX(0,_xlfn.MAXIFS(N$2:N213,A$2:A213,A213,B$2:B213,B213))</f>
        <v>768211</v>
      </c>
      <c r="P213" s="11" t="n">
        <f aca="false">N213-O213</f>
        <v>0</v>
      </c>
    </row>
    <row r="214" customFormat="false" ht="15" hidden="false" customHeight="false" outlineLevel="0" collapsed="false">
      <c r="A214" s="8" t="s">
        <v>34</v>
      </c>
      <c r="B214" s="8" t="s">
        <v>28</v>
      </c>
      <c r="C214" s="8" t="s">
        <v>49</v>
      </c>
      <c r="D214" s="19" t="n">
        <v>45783.4166666667</v>
      </c>
      <c r="E214" s="19" t="n">
        <v>45789.4166666667</v>
      </c>
      <c r="F214" s="20" t="n">
        <f aca="false">DATE(YEAR(E214),MONTH(E214),1)</f>
        <v>45778</v>
      </c>
      <c r="G214" s="21" t="n">
        <v>117070</v>
      </c>
      <c r="H214" s="8" t="s">
        <v>50</v>
      </c>
      <c r="I214" s="22" t="n">
        <v>-1924.99</v>
      </c>
      <c r="J214" s="23" t="n">
        <f aca="false">Summary!$B$4</f>
        <v>1</v>
      </c>
      <c r="K214" s="11" t="n">
        <f aca="false">I214*J214*IF(A214="SILVER",Summary!$B$5,Summary!$B$6)</f>
        <v>-192499</v>
      </c>
      <c r="L214" s="24" t="n">
        <v>-0.71</v>
      </c>
      <c r="M214" s="25" t="n">
        <f aca="false">IF(K214&gt;0,1,0)</f>
        <v>0</v>
      </c>
      <c r="N214" s="11" t="n">
        <f aca="false">SUMIFS(K$2:K214,A$2:A214,A214,B$2:B214,B214)</f>
        <v>575712</v>
      </c>
      <c r="O214" s="11" t="n">
        <f aca="false">MAX(0,_xlfn.MAXIFS(N$2:N214,A$2:A214,A214,B$2:B214,B214))</f>
        <v>768211</v>
      </c>
      <c r="P214" s="11" t="n">
        <f aca="false">N214-O214</f>
        <v>-192499</v>
      </c>
    </row>
    <row r="215" customFormat="false" ht="15" hidden="false" customHeight="false" outlineLevel="0" collapsed="false">
      <c r="A215" s="8" t="s">
        <v>34</v>
      </c>
      <c r="B215" s="8" t="s">
        <v>28</v>
      </c>
      <c r="C215" s="8" t="s">
        <v>49</v>
      </c>
      <c r="D215" s="19" t="n">
        <v>45796.5833333333</v>
      </c>
      <c r="E215" s="19" t="n">
        <v>45806.4173611111</v>
      </c>
      <c r="F215" s="20" t="n">
        <f aca="false">DATE(YEAR(E215),MONTH(E215),1)</f>
        <v>45778</v>
      </c>
      <c r="G215" s="21" t="n">
        <v>114713</v>
      </c>
      <c r="H215" s="8" t="s">
        <v>50</v>
      </c>
      <c r="I215" s="22" t="n">
        <v>1070.18</v>
      </c>
      <c r="J215" s="23" t="n">
        <f aca="false">Summary!$B$4</f>
        <v>1</v>
      </c>
      <c r="K215" s="11" t="n">
        <f aca="false">I215*J215*IF(A215="SILVER",Summary!$B$5,Summary!$B$6)</f>
        <v>107018</v>
      </c>
      <c r="L215" s="24" t="n">
        <v>0.429</v>
      </c>
      <c r="M215" s="25" t="n">
        <f aca="false">IF(K215&gt;0,1,0)</f>
        <v>1</v>
      </c>
      <c r="N215" s="11" t="n">
        <f aca="false">SUMIFS(K$2:K215,A$2:A215,A215,B$2:B215,B215)</f>
        <v>682730</v>
      </c>
      <c r="O215" s="11" t="n">
        <f aca="false">MAX(0,_xlfn.MAXIFS(N$2:N215,A$2:A215,A215,B$2:B215,B215))</f>
        <v>768211</v>
      </c>
      <c r="P215" s="11" t="n">
        <f aca="false">N215-O215</f>
        <v>-85481</v>
      </c>
    </row>
    <row r="216" customFormat="false" ht="15" hidden="false" customHeight="false" outlineLevel="0" collapsed="false">
      <c r="A216" s="8" t="s">
        <v>34</v>
      </c>
      <c r="B216" s="8" t="s">
        <v>28</v>
      </c>
      <c r="C216" s="8" t="s">
        <v>49</v>
      </c>
      <c r="D216" s="19" t="n">
        <v>45810.6118055556</v>
      </c>
      <c r="E216" s="19" t="n">
        <v>45814.7916666667</v>
      </c>
      <c r="F216" s="20" t="n">
        <f aca="false">DATE(YEAR(E216),MONTH(E216),1)</f>
        <v>45809</v>
      </c>
      <c r="G216" s="21" t="n">
        <v>117442</v>
      </c>
      <c r="H216" s="8" t="s">
        <v>50</v>
      </c>
      <c r="I216" s="22" t="n">
        <v>172.04</v>
      </c>
      <c r="J216" s="23" t="n">
        <f aca="false">Summary!$B$4</f>
        <v>1</v>
      </c>
      <c r="K216" s="11" t="n">
        <f aca="false">I216*J216*IF(A216="SILVER",Summary!$B$5,Summary!$B$6)</f>
        <v>17204</v>
      </c>
      <c r="L216" s="24" t="n">
        <v>0.092</v>
      </c>
      <c r="M216" s="25" t="n">
        <f aca="false">IF(K216&gt;0,1,0)</f>
        <v>1</v>
      </c>
      <c r="N216" s="11" t="n">
        <f aca="false">SUMIFS(K$2:K216,A$2:A216,A216,B$2:B216,B216)</f>
        <v>699934</v>
      </c>
      <c r="O216" s="11" t="n">
        <f aca="false">MAX(0,_xlfn.MAXIFS(N$2:N216,A$2:A216,A216,B$2:B216,B216))</f>
        <v>768211</v>
      </c>
      <c r="P216" s="11" t="n">
        <f aca="false">N216-O216</f>
        <v>-68277</v>
      </c>
    </row>
    <row r="217" customFormat="false" ht="15" hidden="false" customHeight="false" outlineLevel="0" collapsed="false">
      <c r="A217" s="8" t="s">
        <v>34</v>
      </c>
      <c r="B217" s="8" t="s">
        <v>28</v>
      </c>
      <c r="C217" s="8" t="s">
        <v>49</v>
      </c>
      <c r="D217" s="19" t="n">
        <v>45820.6666666667</v>
      </c>
      <c r="E217" s="19" t="n">
        <v>45832.4166666667</v>
      </c>
      <c r="F217" s="20" t="n">
        <f aca="false">DATE(YEAR(E217),MONTH(E217),1)</f>
        <v>45809</v>
      </c>
      <c r="G217" s="21" t="n">
        <v>118133</v>
      </c>
      <c r="H217" s="8" t="s">
        <v>50</v>
      </c>
      <c r="I217" s="22" t="n">
        <v>-85.64</v>
      </c>
      <c r="J217" s="23" t="n">
        <f aca="false">Summary!$B$4</f>
        <v>1</v>
      </c>
      <c r="K217" s="11" t="n">
        <f aca="false">I217*J217*IF(A217="SILVER",Summary!$B$5,Summary!$B$6)</f>
        <v>-8564</v>
      </c>
      <c r="L217" s="24" t="n">
        <v>-0.042</v>
      </c>
      <c r="M217" s="25" t="n">
        <f aca="false">IF(K217&gt;0,1,0)</f>
        <v>0</v>
      </c>
      <c r="N217" s="11" t="n">
        <f aca="false">SUMIFS(K$2:K217,A$2:A217,A217,B$2:B217,B217)</f>
        <v>691370</v>
      </c>
      <c r="O217" s="11" t="n">
        <f aca="false">MAX(0,_xlfn.MAXIFS(N$2:N217,A$2:A217,A217,B$2:B217,B217))</f>
        <v>768211</v>
      </c>
      <c r="P217" s="11" t="n">
        <f aca="false">N217-O217</f>
        <v>-76841</v>
      </c>
    </row>
    <row r="218" customFormat="false" ht="15" hidden="false" customHeight="false" outlineLevel="0" collapsed="false">
      <c r="A218" s="8" t="s">
        <v>34</v>
      </c>
      <c r="B218" s="8" t="s">
        <v>28</v>
      </c>
      <c r="C218" s="8" t="s">
        <v>49</v>
      </c>
      <c r="D218" s="19" t="n">
        <v>45839.5416666667</v>
      </c>
      <c r="E218" s="19" t="n">
        <v>45845.4166666667</v>
      </c>
      <c r="F218" s="20" t="n">
        <f aca="false">DATE(YEAR(E218),MONTH(E218),1)</f>
        <v>45839</v>
      </c>
      <c r="G218" s="21" t="n">
        <v>117083</v>
      </c>
      <c r="H218" s="8" t="s">
        <v>50</v>
      </c>
      <c r="I218" s="22" t="n">
        <v>-766.36</v>
      </c>
      <c r="J218" s="23" t="n">
        <f aca="false">Summary!$B$4</f>
        <v>1</v>
      </c>
      <c r="K218" s="11" t="n">
        <f aca="false">I218*J218*IF(A218="SILVER",Summary!$B$5,Summary!$B$6)</f>
        <v>-76636</v>
      </c>
      <c r="L218" s="24" t="n">
        <v>-0.449</v>
      </c>
      <c r="M218" s="25" t="n">
        <f aca="false">IF(K218&gt;0,1,0)</f>
        <v>0</v>
      </c>
      <c r="N218" s="11" t="n">
        <f aca="false">SUMIFS(K$2:K218,A$2:A218,A218,B$2:B218,B218)</f>
        <v>614734</v>
      </c>
      <c r="O218" s="11" t="n">
        <f aca="false">MAX(0,_xlfn.MAXIFS(N$2:N218,A$2:A218,A218,B$2:B218,B218))</f>
        <v>768211</v>
      </c>
      <c r="P218" s="11" t="n">
        <f aca="false">N218-O218</f>
        <v>-153477</v>
      </c>
    </row>
    <row r="219" customFormat="false" ht="15" hidden="false" customHeight="false" outlineLevel="0" collapsed="false">
      <c r="A219" s="8" t="s">
        <v>34</v>
      </c>
      <c r="B219" s="8" t="s">
        <v>28</v>
      </c>
      <c r="C219" s="8" t="s">
        <v>49</v>
      </c>
      <c r="D219" s="19" t="n">
        <v>45849.4166666667</v>
      </c>
      <c r="E219" s="19" t="n">
        <v>45855.7916666667</v>
      </c>
      <c r="F219" s="20" t="n">
        <f aca="false">DATE(YEAR(E219),MONTH(E219),1)</f>
        <v>45839</v>
      </c>
      <c r="G219" s="21" t="n">
        <v>117154</v>
      </c>
      <c r="H219" s="8" t="s">
        <v>50</v>
      </c>
      <c r="I219" s="22" t="n">
        <v>-280.43</v>
      </c>
      <c r="J219" s="23" t="n">
        <f aca="false">Summary!$B$4</f>
        <v>1</v>
      </c>
      <c r="K219" s="11" t="n">
        <f aca="false">I219*J219*IF(A219="SILVER",Summary!$B$5,Summary!$B$6)</f>
        <v>-28043</v>
      </c>
      <c r="L219" s="24" t="n">
        <v>-0.216</v>
      </c>
      <c r="M219" s="25" t="n">
        <f aca="false">IF(K219&gt;0,1,0)</f>
        <v>0</v>
      </c>
      <c r="N219" s="11" t="n">
        <f aca="false">SUMIFS(K$2:K219,A$2:A219,A219,B$2:B219,B219)</f>
        <v>586691</v>
      </c>
      <c r="O219" s="11" t="n">
        <f aca="false">MAX(0,_xlfn.MAXIFS(N$2:N219,A$2:A219,A219,B$2:B219,B219))</f>
        <v>768211</v>
      </c>
      <c r="P219" s="11" t="n">
        <f aca="false">N219-O219</f>
        <v>-181520</v>
      </c>
    </row>
    <row r="220" customFormat="false" ht="15" hidden="false" customHeight="false" outlineLevel="0" collapsed="false">
      <c r="A220" s="8" t="s">
        <v>34</v>
      </c>
      <c r="B220" s="8" t="s">
        <v>28</v>
      </c>
      <c r="C220" s="8" t="s">
        <v>49</v>
      </c>
      <c r="D220" s="19" t="n">
        <v>45859.4583333333</v>
      </c>
      <c r="E220" s="19" t="n">
        <v>45862.4166666667</v>
      </c>
      <c r="F220" s="20" t="n">
        <f aca="false">DATE(YEAR(E220),MONTH(E220),1)</f>
        <v>45839</v>
      </c>
      <c r="G220" s="21" t="n">
        <v>118369</v>
      </c>
      <c r="H220" s="8" t="s">
        <v>50</v>
      </c>
      <c r="I220" s="22" t="n">
        <v>529.25</v>
      </c>
      <c r="J220" s="23" t="n">
        <f aca="false">Summary!$B$4</f>
        <v>1</v>
      </c>
      <c r="K220" s="11" t="n">
        <f aca="false">I220*J220*IF(A220="SILVER",Summary!$B$5,Summary!$B$6)</f>
        <v>52925</v>
      </c>
      <c r="L220" s="24" t="n">
        <v>0.416</v>
      </c>
      <c r="M220" s="25" t="n">
        <f aca="false">IF(K220&gt;0,1,0)</f>
        <v>1</v>
      </c>
      <c r="N220" s="11" t="n">
        <f aca="false">SUMIFS(K$2:K220,A$2:A220,A220,B$2:B220,B220)</f>
        <v>639616</v>
      </c>
      <c r="O220" s="11" t="n">
        <f aca="false">MAX(0,_xlfn.MAXIFS(N$2:N220,A$2:A220,A220,B$2:B220,B220))</f>
        <v>768211</v>
      </c>
      <c r="P220" s="11" t="n">
        <f aca="false">N220-O220</f>
        <v>-128595</v>
      </c>
    </row>
    <row r="221" customFormat="false" ht="15" hidden="false" customHeight="false" outlineLevel="0" collapsed="false">
      <c r="A221" s="8" t="s">
        <v>34</v>
      </c>
      <c r="B221" s="8" t="s">
        <v>28</v>
      </c>
      <c r="C221" s="8" t="s">
        <v>49</v>
      </c>
      <c r="D221" s="19" t="n">
        <v>45868.5854166667</v>
      </c>
      <c r="E221" s="19" t="n">
        <v>45880.75</v>
      </c>
      <c r="F221" s="20" t="n">
        <f aca="false">DATE(YEAR(E221),MONTH(E221),1)</f>
        <v>45870</v>
      </c>
      <c r="G221" s="21" t="n">
        <v>118568</v>
      </c>
      <c r="H221" s="8" t="s">
        <v>50</v>
      </c>
      <c r="I221" s="22" t="n">
        <v>1574.1</v>
      </c>
      <c r="J221" s="23" t="n">
        <f aca="false">Summary!$B$4</f>
        <v>1</v>
      </c>
      <c r="K221" s="11" t="n">
        <f aca="false">I221*J221*IF(A221="SILVER",Summary!$B$5,Summary!$B$6)</f>
        <v>157410</v>
      </c>
      <c r="L221" s="24" t="n">
        <v>1.269</v>
      </c>
      <c r="M221" s="25" t="n">
        <f aca="false">IF(K221&gt;0,1,0)</f>
        <v>1</v>
      </c>
      <c r="N221" s="11" t="n">
        <f aca="false">SUMIFS(K$2:K221,A$2:A221,A221,B$2:B221,B221)</f>
        <v>797026</v>
      </c>
      <c r="O221" s="11" t="n">
        <f aca="false">MAX(0,_xlfn.MAXIFS(N$2:N221,A$2:A221,A221,B$2:B221,B221))</f>
        <v>797026</v>
      </c>
      <c r="P221" s="11" t="n">
        <f aca="false">N221-O221</f>
        <v>0</v>
      </c>
    </row>
    <row r="222" customFormat="false" ht="15" hidden="false" customHeight="false" outlineLevel="0" collapsed="false">
      <c r="A222" s="8" t="s">
        <v>34</v>
      </c>
      <c r="B222" s="8" t="s">
        <v>28</v>
      </c>
      <c r="C222" s="8" t="s">
        <v>49</v>
      </c>
      <c r="D222" s="19" t="n">
        <v>45891.8333333333</v>
      </c>
      <c r="E222" s="19" t="n">
        <v>45918.5</v>
      </c>
      <c r="F222" s="20" t="n">
        <f aca="false">DATE(YEAR(E222),MONTH(E222),1)</f>
        <v>45901</v>
      </c>
      <c r="G222" s="21" t="n">
        <v>119846</v>
      </c>
      <c r="H222" s="8" t="s">
        <v>50</v>
      </c>
      <c r="I222" s="22" t="n">
        <v>8702.11</v>
      </c>
      <c r="J222" s="23" t="n">
        <f aca="false">Summary!$B$4</f>
        <v>1</v>
      </c>
      <c r="K222" s="11" t="n">
        <f aca="false">I222*J222*IF(A222="SILVER",Summary!$B$5,Summary!$B$6)</f>
        <v>870211</v>
      </c>
      <c r="L222" s="24" t="n">
        <v>5.412</v>
      </c>
      <c r="M222" s="25" t="n">
        <f aca="false">IF(K222&gt;0,1,0)</f>
        <v>1</v>
      </c>
      <c r="N222" s="11" t="n">
        <f aca="false">SUMIFS(K$2:K222,A$2:A222,A222,B$2:B222,B222)</f>
        <v>1667237</v>
      </c>
      <c r="O222" s="11" t="n">
        <f aca="false">MAX(0,_xlfn.MAXIFS(N$2:N222,A$2:A222,A222,B$2:B222,B222))</f>
        <v>1667237</v>
      </c>
      <c r="P222" s="11" t="n">
        <f aca="false">N222-O222</f>
        <v>0</v>
      </c>
    </row>
    <row r="223" customFormat="false" ht="15" hidden="false" customHeight="false" outlineLevel="0" collapsed="false">
      <c r="A223" s="8" t="s">
        <v>34</v>
      </c>
      <c r="B223" s="8" t="s">
        <v>28</v>
      </c>
      <c r="C223" s="8" t="s">
        <v>49</v>
      </c>
      <c r="D223" s="19" t="n">
        <v>45922.4583333333</v>
      </c>
      <c r="E223" s="19" t="n">
        <v>45939.9583333333</v>
      </c>
      <c r="F223" s="20" t="n">
        <f aca="false">DATE(YEAR(E223),MONTH(E223),1)</f>
        <v>45931</v>
      </c>
      <c r="G223" s="21" t="n">
        <v>130321</v>
      </c>
      <c r="H223" s="8" t="s">
        <v>50</v>
      </c>
      <c r="I223" s="22" t="n">
        <v>8552.75</v>
      </c>
      <c r="J223" s="23" t="n">
        <f aca="false">Summary!$B$4</f>
        <v>1</v>
      </c>
      <c r="K223" s="11" t="n">
        <f aca="false">I223*J223*IF(A223="SILVER",Summary!$B$5,Summary!$B$6)</f>
        <v>855275</v>
      </c>
      <c r="L223" s="24" t="n">
        <v>5.253</v>
      </c>
      <c r="M223" s="25" t="n">
        <f aca="false">IF(K223&gt;0,1,0)</f>
        <v>1</v>
      </c>
      <c r="N223" s="11" t="n">
        <f aca="false">SUMIFS(K$2:K223,A$2:A223,A223,B$2:B223,B223)</f>
        <v>2522512</v>
      </c>
      <c r="O223" s="11" t="n">
        <f aca="false">MAX(0,_xlfn.MAXIFS(N$2:N223,A$2:A223,A223,B$2:B223,B223))</f>
        <v>2522512</v>
      </c>
      <c r="P223" s="11" t="n">
        <f aca="false">N223-O223</f>
        <v>0</v>
      </c>
    </row>
    <row r="224" customFormat="false" ht="15" hidden="false" customHeight="false" outlineLevel="0" collapsed="false">
      <c r="A224" s="8" t="s">
        <v>34</v>
      </c>
      <c r="B224" s="8" t="s">
        <v>28</v>
      </c>
      <c r="C224" s="8" t="s">
        <v>49</v>
      </c>
      <c r="D224" s="19" t="n">
        <v>45943.4583333333</v>
      </c>
      <c r="E224" s="19" t="n">
        <v>45947.8333333333</v>
      </c>
      <c r="F224" s="20" t="n">
        <f aca="false">DATE(YEAR(E224),MONTH(E224),1)</f>
        <v>45931</v>
      </c>
      <c r="G224" s="21" t="n">
        <v>142065</v>
      </c>
      <c r="H224" s="8" t="s">
        <v>50</v>
      </c>
      <c r="I224" s="22" t="n">
        <v>4430.8</v>
      </c>
      <c r="J224" s="23" t="n">
        <f aca="false">Summary!$B$4</f>
        <v>1</v>
      </c>
      <c r="K224" s="11" t="n">
        <f aca="false">I224*J224*IF(A224="SILVER",Summary!$B$5,Summary!$B$6)</f>
        <v>443080</v>
      </c>
      <c r="L224" s="24" t="n">
        <v>1.032</v>
      </c>
      <c r="M224" s="25" t="n">
        <f aca="false">IF(K224&gt;0,1,0)</f>
        <v>1</v>
      </c>
      <c r="N224" s="11" t="n">
        <f aca="false">SUMIFS(K$2:K224,A$2:A224,A224,B$2:B224,B224)</f>
        <v>2965592</v>
      </c>
      <c r="O224" s="11" t="n">
        <f aca="false">MAX(0,_xlfn.MAXIFS(N$2:N224,A$2:A224,A224,B$2:B224,B224))</f>
        <v>2965592</v>
      </c>
      <c r="P224" s="11" t="n">
        <f aca="false">N224-O224</f>
        <v>0</v>
      </c>
    </row>
    <row r="225" customFormat="false" ht="15" hidden="false" customHeight="false" outlineLevel="0" collapsed="false">
      <c r="A225" s="8" t="s">
        <v>34</v>
      </c>
      <c r="B225" s="8" t="s">
        <v>28</v>
      </c>
      <c r="C225" s="8" t="s">
        <v>49</v>
      </c>
      <c r="D225" s="19" t="n">
        <v>45971.5</v>
      </c>
      <c r="E225" s="19" t="n">
        <v>45975.75</v>
      </c>
      <c r="F225" s="20" t="n">
        <f aca="false">DATE(YEAR(E225),MONTH(E225),1)</f>
        <v>45962</v>
      </c>
      <c r="G225" s="21" t="n">
        <v>141300</v>
      </c>
      <c r="H225" s="8" t="s">
        <v>50</v>
      </c>
      <c r="I225" s="22" t="n">
        <v>1088.29</v>
      </c>
      <c r="J225" s="23" t="n">
        <f aca="false">Summary!$B$4</f>
        <v>1</v>
      </c>
      <c r="K225" s="11" t="n">
        <f aca="false">I225*J225*IF(A225="SILVER",Summary!$B$5,Summary!$B$6)</f>
        <v>108829</v>
      </c>
      <c r="L225" s="24" t="n">
        <v>0.38</v>
      </c>
      <c r="M225" s="25" t="n">
        <f aca="false">IF(K225&gt;0,1,0)</f>
        <v>1</v>
      </c>
      <c r="N225" s="11" t="n">
        <f aca="false">SUMIFS(K$2:K225,A$2:A225,A225,B$2:B225,B225)</f>
        <v>3074421</v>
      </c>
      <c r="O225" s="11" t="n">
        <f aca="false">MAX(0,_xlfn.MAXIFS(N$2:N225,A$2:A225,A225,B$2:B225,B225))</f>
        <v>3074421</v>
      </c>
      <c r="P225" s="11" t="n">
        <f aca="false">N225-O225</f>
        <v>0</v>
      </c>
    </row>
    <row r="226" customFormat="false" ht="15" hidden="false" customHeight="false" outlineLevel="0" collapsed="false">
      <c r="A226" s="8" t="s">
        <v>34</v>
      </c>
      <c r="B226" s="8" t="s">
        <v>28</v>
      </c>
      <c r="C226" s="8" t="s">
        <v>49</v>
      </c>
      <c r="D226" s="19" t="n">
        <v>45986.4166666667</v>
      </c>
      <c r="E226" s="19" t="n">
        <v>46020.8333333333</v>
      </c>
      <c r="F226" s="20" t="n">
        <f aca="false">DATE(YEAR(E226),MONTH(E226),1)</f>
        <v>45992</v>
      </c>
      <c r="G226" s="21" t="n">
        <v>143568</v>
      </c>
      <c r="H226" s="8" t="s">
        <v>50</v>
      </c>
      <c r="I226" s="22" t="n">
        <v>9680.52</v>
      </c>
      <c r="J226" s="23" t="n">
        <f aca="false">Summary!$B$4</f>
        <v>1</v>
      </c>
      <c r="K226" s="11" t="n">
        <f aca="false">I226*J226*IF(A226="SILVER",Summary!$B$5,Summary!$B$6)</f>
        <v>968052</v>
      </c>
      <c r="L226" s="24" t="n">
        <v>2.94</v>
      </c>
      <c r="M226" s="25" t="n">
        <f aca="false">IF(K226&gt;0,1,0)</f>
        <v>1</v>
      </c>
      <c r="N226" s="11" t="n">
        <f aca="false">SUMIFS(K$2:K226,A$2:A226,A226,B$2:B226,B226)</f>
        <v>4042473</v>
      </c>
      <c r="O226" s="11" t="n">
        <f aca="false">MAX(0,_xlfn.MAXIFS(N$2:N226,A$2:A226,A226,B$2:B226,B226))</f>
        <v>4042473</v>
      </c>
      <c r="P226" s="11" t="n">
        <f aca="false">N226-O226</f>
        <v>0</v>
      </c>
    </row>
    <row r="227" customFormat="false" ht="15" hidden="false" customHeight="false" outlineLevel="0" collapsed="false">
      <c r="A227" s="8" t="s">
        <v>34</v>
      </c>
      <c r="B227" s="8" t="s">
        <v>28</v>
      </c>
      <c r="C227" s="8" t="s">
        <v>49</v>
      </c>
      <c r="D227" s="19" t="n">
        <v>46028.4166666667</v>
      </c>
      <c r="E227" s="19" t="n">
        <v>46044.4166666667</v>
      </c>
      <c r="F227" s="20" t="n">
        <f aca="false">DATE(YEAR(E227),MONTH(E227),1)</f>
        <v>46023</v>
      </c>
      <c r="G227" s="21" t="n">
        <v>155445</v>
      </c>
      <c r="H227" s="8" t="s">
        <v>50</v>
      </c>
      <c r="I227" s="22" t="n">
        <v>11104.18</v>
      </c>
      <c r="J227" s="23" t="n">
        <f aca="false">Summary!$B$4</f>
        <v>1</v>
      </c>
      <c r="K227" s="11" t="n">
        <f aca="false">I227*J227*IF(A227="SILVER",Summary!$B$5,Summary!$B$6)</f>
        <v>1110418</v>
      </c>
      <c r="L227" s="24" t="n">
        <v>3.772</v>
      </c>
      <c r="M227" s="25" t="n">
        <f aca="false">IF(K227&gt;0,1,0)</f>
        <v>1</v>
      </c>
      <c r="N227" s="11" t="n">
        <f aca="false">SUMIFS(K$2:K227,A$2:A227,A227,B$2:B227,B227)</f>
        <v>5152891</v>
      </c>
      <c r="O227" s="11" t="n">
        <f aca="false">MAX(0,_xlfn.MAXIFS(N$2:N227,A$2:A227,A227,B$2:B227,B227))</f>
        <v>5152891</v>
      </c>
      <c r="P227" s="11" t="n">
        <f aca="false">N227-O227</f>
        <v>0</v>
      </c>
    </row>
    <row r="228" customFormat="false" ht="15" hidden="false" customHeight="false" outlineLevel="0" collapsed="false">
      <c r="A228" s="8" t="s">
        <v>34</v>
      </c>
      <c r="B228" s="8" t="s">
        <v>28</v>
      </c>
      <c r="C228" s="8" t="s">
        <v>49</v>
      </c>
      <c r="D228" s="19" t="n">
        <v>46049.4166666667</v>
      </c>
      <c r="E228" s="19" t="n">
        <v>46051.875</v>
      </c>
      <c r="F228" s="20" t="n">
        <f aca="false">DATE(YEAR(E228),MONTH(E228),1)</f>
        <v>46023</v>
      </c>
      <c r="G228" s="21" t="n">
        <v>175350</v>
      </c>
      <c r="H228" s="8" t="s">
        <v>50</v>
      </c>
      <c r="I228" s="22" t="n">
        <v>832.09</v>
      </c>
      <c r="J228" s="23" t="n">
        <f aca="false">Summary!$B$4</f>
        <v>1</v>
      </c>
      <c r="K228" s="11" t="n">
        <f aca="false">I228*J228*IF(A228="SILVER",Summary!$B$5,Summary!$B$6)</f>
        <v>83209</v>
      </c>
      <c r="L228" s="24" t="n">
        <v>0.102</v>
      </c>
      <c r="M228" s="25" t="n">
        <f aca="false">IF(K228&gt;0,1,0)</f>
        <v>1</v>
      </c>
      <c r="N228" s="11" t="n">
        <f aca="false">SUMIFS(K$2:K228,A$2:A228,A228,B$2:B228,B228)</f>
        <v>5236100</v>
      </c>
      <c r="O228" s="11" t="n">
        <f aca="false">MAX(0,_xlfn.MAXIFS(N$2:N228,A$2:A228,A228,B$2:B228,B228))</f>
        <v>5236100</v>
      </c>
      <c r="P228" s="11" t="n">
        <f aca="false">N228-O228</f>
        <v>0</v>
      </c>
    </row>
    <row r="229" customFormat="false" ht="15" hidden="false" customHeight="false" outlineLevel="0" collapsed="false">
      <c r="A229" s="8" t="s">
        <v>34</v>
      </c>
      <c r="B229" s="8" t="s">
        <v>28</v>
      </c>
      <c r="C229" s="8" t="s">
        <v>51</v>
      </c>
      <c r="D229" s="19" t="n">
        <v>46084.75</v>
      </c>
      <c r="E229" s="19" t="n">
        <v>46106.4166666667</v>
      </c>
      <c r="F229" s="20" t="n">
        <f aca="false">DATE(YEAR(E229),MONTH(E229),1)</f>
        <v>46082</v>
      </c>
      <c r="G229" s="21" t="n">
        <v>171781</v>
      </c>
      <c r="H229" s="8" t="s">
        <v>50</v>
      </c>
      <c r="I229" s="22" t="n">
        <v>19952.14</v>
      </c>
      <c r="J229" s="23" t="n">
        <f aca="false">Summary!$B$4</f>
        <v>1</v>
      </c>
      <c r="K229" s="11" t="n">
        <f aca="false">I229*J229*IF(A229="SILVER",Summary!$B$5,Summary!$B$6)</f>
        <v>1995214</v>
      </c>
      <c r="L229" s="24" t="n">
        <v>3.432</v>
      </c>
      <c r="M229" s="25" t="n">
        <f aca="false">IF(K229&gt;0,1,0)</f>
        <v>1</v>
      </c>
      <c r="N229" s="11" t="n">
        <f aca="false">SUMIFS(K$2:K229,A$2:A229,A229,B$2:B229,B229)</f>
        <v>7231314</v>
      </c>
      <c r="O229" s="11" t="n">
        <f aca="false">MAX(0,_xlfn.MAXIFS(N$2:N229,A$2:A229,A229,B$2:B229,B229))</f>
        <v>7231314</v>
      </c>
      <c r="P229" s="11" t="n">
        <f aca="false">N229-O229</f>
        <v>0</v>
      </c>
    </row>
    <row r="230" customFormat="false" ht="15" hidden="false" customHeight="false" outlineLevel="0" collapsed="false">
      <c r="A230" s="8" t="s">
        <v>34</v>
      </c>
      <c r="B230" s="8" t="s">
        <v>28</v>
      </c>
      <c r="C230" s="8" t="s">
        <v>51</v>
      </c>
      <c r="D230" s="19" t="n">
        <v>46118.375</v>
      </c>
      <c r="E230" s="19" t="n">
        <v>46126.9583333333</v>
      </c>
      <c r="F230" s="20" t="n">
        <f aca="false">DATE(YEAR(E230),MONTH(E230),1)</f>
        <v>46113</v>
      </c>
      <c r="G230" s="21" t="n">
        <v>153102</v>
      </c>
      <c r="H230" s="8" t="s">
        <v>50</v>
      </c>
      <c r="I230" s="22" t="n">
        <v>-5751.02</v>
      </c>
      <c r="J230" s="23" t="n">
        <f aca="false">Summary!$B$4</f>
        <v>1</v>
      </c>
      <c r="K230" s="11" t="n">
        <f aca="false">I230*J230*IF(A230="SILVER",Summary!$B$5,Summary!$B$6)</f>
        <v>-575102</v>
      </c>
      <c r="L230" s="24" t="n">
        <v>-0.758</v>
      </c>
      <c r="M230" s="25" t="n">
        <f aca="false">IF(K230&gt;0,1,0)</f>
        <v>0</v>
      </c>
      <c r="N230" s="11" t="n">
        <f aca="false">SUMIFS(K$2:K230,A$2:A230,A230,B$2:B230,B230)</f>
        <v>6656212</v>
      </c>
      <c r="O230" s="11" t="n">
        <f aca="false">MAX(0,_xlfn.MAXIFS(N$2:N230,A$2:A230,A230,B$2:B230,B230))</f>
        <v>7231314</v>
      </c>
      <c r="P230" s="11" t="n">
        <f aca="false">N230-O230</f>
        <v>-575102</v>
      </c>
    </row>
    <row r="231" customFormat="false" ht="15" hidden="false" customHeight="false" outlineLevel="0" collapsed="false">
      <c r="A231" s="8" t="s">
        <v>34</v>
      </c>
      <c r="B231" s="8" t="s">
        <v>28</v>
      </c>
      <c r="C231" s="8" t="s">
        <v>51</v>
      </c>
      <c r="D231" s="19" t="n">
        <v>46133.9583333333</v>
      </c>
      <c r="E231" s="19" t="n">
        <v>46142.6666666667</v>
      </c>
      <c r="F231" s="20" t="n">
        <f aca="false">DATE(YEAR(E231),MONTH(E231),1)</f>
        <v>46113</v>
      </c>
      <c r="G231" s="21" t="n">
        <v>155748</v>
      </c>
      <c r="H231" s="8" t="s">
        <v>50</v>
      </c>
      <c r="I231" s="22" t="n">
        <v>-303.32</v>
      </c>
      <c r="J231" s="23" t="n">
        <f aca="false">Summary!$B$4</f>
        <v>1</v>
      </c>
      <c r="K231" s="11" t="n">
        <f aca="false">I231*J231*IF(A231="SILVER",Summary!$B$5,Summary!$B$6)</f>
        <v>-30332</v>
      </c>
      <c r="L231" s="24" t="n">
        <v>-0.086</v>
      </c>
      <c r="M231" s="25" t="n">
        <f aca="false">IF(K231&gt;0,1,0)</f>
        <v>0</v>
      </c>
      <c r="N231" s="11" t="n">
        <f aca="false">SUMIFS(K$2:K231,A$2:A231,A231,B$2:B231,B231)</f>
        <v>6625880</v>
      </c>
      <c r="O231" s="11" t="n">
        <f aca="false">MAX(0,_xlfn.MAXIFS(N$2:N231,A$2:A231,A231,B$2:B231,B231))</f>
        <v>7231314</v>
      </c>
      <c r="P231" s="11" t="n">
        <f aca="false">N231-O231</f>
        <v>-605434</v>
      </c>
    </row>
    <row r="232" customFormat="false" ht="15" hidden="false" customHeight="false" outlineLevel="0" collapsed="false">
      <c r="A232" s="8" t="s">
        <v>34</v>
      </c>
      <c r="B232" s="8" t="s">
        <v>28</v>
      </c>
      <c r="C232" s="8" t="s">
        <v>51</v>
      </c>
      <c r="D232" s="19" t="n">
        <v>46162.4166666667</v>
      </c>
      <c r="E232" s="19" t="n">
        <v>46188.4166666667</v>
      </c>
      <c r="F232" s="20" t="n">
        <f aca="false">DATE(YEAR(E232),MONTH(E232),1)</f>
        <v>46174</v>
      </c>
      <c r="G232" s="21" t="n">
        <v>162635</v>
      </c>
      <c r="H232" s="8" t="s">
        <v>50</v>
      </c>
      <c r="I232" s="22" t="n">
        <v>6748.23</v>
      </c>
      <c r="J232" s="23" t="n">
        <f aca="false">Summary!$B$4</f>
        <v>1</v>
      </c>
      <c r="K232" s="11" t="n">
        <f aca="false">I232*J232*IF(A232="SILVER",Summary!$B$5,Summary!$B$6)</f>
        <v>674823</v>
      </c>
      <c r="L232" s="24" t="n">
        <v>1.787</v>
      </c>
      <c r="M232" s="25" t="n">
        <f aca="false">IF(K232&gt;0,1,0)</f>
        <v>1</v>
      </c>
      <c r="N232" s="11" t="n">
        <f aca="false">SUMIFS(K$2:K232,A$2:A232,A232,B$2:B232,B232)</f>
        <v>7300703</v>
      </c>
      <c r="O232" s="11" t="n">
        <f aca="false">MAX(0,_xlfn.MAXIFS(N$2:N232,A$2:A232,A232,B$2:B232,B232))</f>
        <v>7300703</v>
      </c>
      <c r="P232" s="11" t="n">
        <f aca="false">N232-O232</f>
        <v>0</v>
      </c>
    </row>
    <row r="233" customFormat="false" ht="15" hidden="false" customHeight="false" outlineLevel="0" collapsed="false">
      <c r="A233" s="8" t="s">
        <v>34</v>
      </c>
      <c r="B233" s="8" t="s">
        <v>28</v>
      </c>
      <c r="C233" s="8" t="s">
        <v>51</v>
      </c>
      <c r="D233" s="19" t="n">
        <v>46191.5833333333</v>
      </c>
      <c r="E233" s="19" t="n">
        <v>46204.8333333333</v>
      </c>
      <c r="F233" s="20" t="n">
        <f aca="false">DATE(YEAR(E233),MONTH(E233),1)</f>
        <v>46204</v>
      </c>
      <c r="G233" s="21" t="n">
        <v>153524</v>
      </c>
      <c r="H233" s="8" t="s">
        <v>50</v>
      </c>
      <c r="I233" s="22" t="n">
        <v>5817.41</v>
      </c>
      <c r="J233" s="23" t="n">
        <f aca="false">Summary!$B$4</f>
        <v>1</v>
      </c>
      <c r="K233" s="11" t="n">
        <f aca="false">I233*J233*IF(A233="SILVER",Summary!$B$5,Summary!$B$6)</f>
        <v>581741</v>
      </c>
      <c r="L233" s="24" t="n">
        <v>1.534</v>
      </c>
      <c r="M233" s="25" t="n">
        <f aca="false">IF(K233&gt;0,1,0)</f>
        <v>1</v>
      </c>
      <c r="N233" s="11" t="n">
        <f aca="false">SUMIFS(K$2:K233,A$2:A233,A233,B$2:B233,B233)</f>
        <v>7882444</v>
      </c>
      <c r="O233" s="11" t="n">
        <f aca="false">MAX(0,_xlfn.MAXIFS(N$2:N233,A$2:A233,A233,B$2:B233,B233))</f>
        <v>7882444</v>
      </c>
      <c r="P233" s="11" t="n">
        <f aca="false">N233-O233</f>
        <v>0</v>
      </c>
    </row>
    <row r="234" customFormat="false" ht="15" hidden="false" customHeight="false" outlineLevel="0" collapsed="false">
      <c r="A234" s="8" t="s">
        <v>34</v>
      </c>
      <c r="B234" s="8" t="s">
        <v>28</v>
      </c>
      <c r="C234" s="8" t="s">
        <v>51</v>
      </c>
      <c r="D234" s="19" t="n">
        <v>46211.625</v>
      </c>
      <c r="E234" s="19" t="n">
        <v>46224.875</v>
      </c>
      <c r="F234" s="20" t="n">
        <f aca="false">DATE(YEAR(E234),MONTH(E234),1)</f>
        <v>46204</v>
      </c>
      <c r="G234" s="21" t="n">
        <v>145884</v>
      </c>
      <c r="H234" s="8" t="s">
        <v>50</v>
      </c>
      <c r="I234" s="22" t="n">
        <v>226.37</v>
      </c>
      <c r="J234" s="23" t="n">
        <f aca="false">Summary!$B$4</f>
        <v>1</v>
      </c>
      <c r="K234" s="11" t="n">
        <f aca="false">I234*J234*IF(A234="SILVER",Summary!$B$5,Summary!$B$6)</f>
        <v>22637</v>
      </c>
      <c r="L234" s="24" t="n">
        <v>0.061</v>
      </c>
      <c r="M234" s="25" t="n">
        <f aca="false">IF(K234&gt;0,1,0)</f>
        <v>1</v>
      </c>
      <c r="N234" s="11" t="n">
        <f aca="false">SUMIFS(K$2:K234,A$2:A234,A234,B$2:B234,B234)</f>
        <v>7905081</v>
      </c>
      <c r="O234" s="11" t="n">
        <f aca="false">MAX(0,_xlfn.MAXIFS(N$2:N234,A$2:A234,A234,B$2:B234,B234))</f>
        <v>7905081</v>
      </c>
      <c r="P234" s="11" t="n">
        <f aca="false">N234-O234</f>
        <v>0</v>
      </c>
    </row>
    <row r="235" customFormat="false" ht="15" hidden="false" customHeight="false" outlineLevel="0" collapsed="false">
      <c r="A235" s="8" t="s">
        <v>34</v>
      </c>
      <c r="B235" s="8" t="s">
        <v>28</v>
      </c>
      <c r="C235" s="8" t="s">
        <v>51</v>
      </c>
      <c r="D235" s="19" t="n">
        <v>46226.7916666667</v>
      </c>
      <c r="E235" s="19" t="n">
        <v>46233.9166666667</v>
      </c>
      <c r="F235" s="20" t="n">
        <f aca="false">DATE(YEAR(E235),MONTH(E235),1)</f>
        <v>46204</v>
      </c>
      <c r="G235" s="21" t="n">
        <v>145918</v>
      </c>
      <c r="H235" s="8" t="s">
        <v>50</v>
      </c>
      <c r="I235" s="22" t="n">
        <v>-89.66</v>
      </c>
      <c r="J235" s="23" t="n">
        <f aca="false">Summary!$B$4</f>
        <v>1</v>
      </c>
      <c r="K235" s="11" t="n">
        <f aca="false">I235*J235*IF(A235="SILVER",Summary!$B$5,Summary!$B$6)</f>
        <v>-8966</v>
      </c>
      <c r="L235" s="24" t="n">
        <v>-0.035</v>
      </c>
      <c r="M235" s="25" t="n">
        <f aca="false">IF(K235&gt;0,1,0)</f>
        <v>0</v>
      </c>
      <c r="N235" s="11" t="n">
        <f aca="false">SUMIFS(K$2:K235,A$2:A235,A235,B$2:B235,B235)</f>
        <v>7896115</v>
      </c>
      <c r="O235" s="11" t="n">
        <f aca="false">MAX(0,_xlfn.MAXIFS(N$2:N235,A$2:A235,A235,B$2:B235,B235))</f>
        <v>7905081</v>
      </c>
      <c r="P235" s="11" t="n">
        <f aca="false">N235-O235</f>
        <v>-8966</v>
      </c>
    </row>
    <row r="236" customFormat="false" ht="15" hidden="false" customHeight="false" outlineLevel="0" collapsed="false">
      <c r="A236" s="8" t="s">
        <v>34</v>
      </c>
      <c r="B236" s="8" t="s">
        <v>28</v>
      </c>
      <c r="C236" s="8" t="s">
        <v>49</v>
      </c>
      <c r="D236" s="19" t="n">
        <v>46268.7916666667</v>
      </c>
      <c r="E236" s="19" t="n">
        <v>46279.75</v>
      </c>
      <c r="F236" s="20" t="n">
        <f aca="false">DATE(YEAR(E236),MONTH(E236),1)</f>
        <v>46266</v>
      </c>
      <c r="G236" s="21" t="n">
        <v>155434</v>
      </c>
      <c r="H236" s="8" t="s">
        <v>50</v>
      </c>
      <c r="I236" s="22" t="n">
        <v>-4899.6</v>
      </c>
      <c r="J236" s="23" t="n">
        <f aca="false">Summary!$B$4</f>
        <v>1</v>
      </c>
      <c r="K236" s="11" t="n">
        <f aca="false">I236*J236*IF(A236="SILVER",Summary!$B$5,Summary!$B$6)</f>
        <v>-489960</v>
      </c>
      <c r="L236" s="24" t="n">
        <v>-1.073</v>
      </c>
      <c r="M236" s="25" t="n">
        <f aca="false">IF(K236&gt;0,1,0)</f>
        <v>0</v>
      </c>
      <c r="N236" s="11" t="n">
        <f aca="false">SUMIFS(K$2:K236,A$2:A236,A236,B$2:B236,B236)</f>
        <v>7406155</v>
      </c>
      <c r="O236" s="11" t="n">
        <f aca="false">MAX(0,_xlfn.MAXIFS(N$2:N236,A$2:A236,A236,B$2:B236,B236))</f>
        <v>7905081</v>
      </c>
      <c r="P236" s="11" t="n">
        <f aca="false">N236-O236</f>
        <v>-498926</v>
      </c>
    </row>
    <row r="237" customFormat="false" ht="15" hidden="false" customHeight="false" outlineLevel="0" collapsed="false">
      <c r="A237" s="8" t="s">
        <v>34</v>
      </c>
      <c r="B237" s="8" t="s">
        <v>28</v>
      </c>
      <c r="C237" s="8" t="s">
        <v>49</v>
      </c>
      <c r="D237" s="19" t="n">
        <v>46283.5</v>
      </c>
      <c r="E237" s="19" t="n">
        <v>46288.9784722222</v>
      </c>
      <c r="F237" s="20" t="n">
        <f aca="false">DATE(YEAR(E237),MONTH(E237),1)</f>
        <v>46266</v>
      </c>
      <c r="G237" s="21" t="n">
        <v>154040</v>
      </c>
      <c r="H237" s="8" t="s">
        <v>52</v>
      </c>
      <c r="I237" s="22" t="n">
        <v>-2720.54</v>
      </c>
      <c r="J237" s="23" t="n">
        <f aca="false">Summary!$B$4</f>
        <v>1</v>
      </c>
      <c r="K237" s="11" t="n">
        <f aca="false">I237*J237*IF(A237="SILVER",Summary!$B$5,Summary!$B$6)</f>
        <v>-272054</v>
      </c>
      <c r="L237" s="24" t="n">
        <v>-0.667</v>
      </c>
      <c r="M237" s="25" t="n">
        <f aca="false">IF(K237&gt;0,1,0)</f>
        <v>0</v>
      </c>
      <c r="N237" s="11" t="n">
        <f aca="false">SUMIFS(K$2:K237,A$2:A237,A237,B$2:B237,B237)</f>
        <v>7134101</v>
      </c>
      <c r="O237" s="11" t="n">
        <f aca="false">MAX(0,_xlfn.MAXIFS(N$2:N237,A$2:A237,A237,B$2:B237,B237))</f>
        <v>7905081</v>
      </c>
      <c r="P237" s="11" t="n">
        <f aca="false">N237-O237</f>
        <v>-770980</v>
      </c>
    </row>
    <row r="238" customFormat="false" ht="15" hidden="false" customHeight="false" outlineLevel="0" collapsed="false">
      <c r="A238" s="8" t="s">
        <v>34</v>
      </c>
      <c r="B238" s="8" t="s">
        <v>30</v>
      </c>
      <c r="C238" s="8" t="s">
        <v>49</v>
      </c>
      <c r="D238" s="19" t="n">
        <v>45707.5833333333</v>
      </c>
      <c r="E238" s="19" t="n">
        <v>45713.9166666667</v>
      </c>
      <c r="F238" s="20" t="n">
        <f aca="false">DATE(YEAR(E238),MONTH(E238),1)</f>
        <v>45689</v>
      </c>
      <c r="G238" s="21" t="n">
        <v>106912</v>
      </c>
      <c r="H238" s="8" t="s">
        <v>50</v>
      </c>
      <c r="I238" s="22" t="n">
        <v>-1045.17</v>
      </c>
      <c r="J238" s="23" t="n">
        <f aca="false">Summary!$B$4</f>
        <v>1</v>
      </c>
      <c r="K238" s="11" t="n">
        <f aca="false">I238*J238*IF(A238="SILVER",Summary!$B$5,Summary!$B$6)</f>
        <v>-104517</v>
      </c>
      <c r="L238" s="24" t="n">
        <v>-0.914</v>
      </c>
      <c r="M238" s="25" t="n">
        <f aca="false">IF(K238&gt;0,1,0)</f>
        <v>0</v>
      </c>
      <c r="N238" s="11" t="n">
        <f aca="false">SUMIFS(K$2:K238,A$2:A238,A238,B$2:B238,B238)</f>
        <v>-104517</v>
      </c>
      <c r="O238" s="11" t="n">
        <f aca="false">MAX(0,_xlfn.MAXIFS(N$2:N238,A$2:A238,A238,B$2:B238,B238))</f>
        <v>0</v>
      </c>
      <c r="P238" s="11" t="n">
        <f aca="false">N238-O238</f>
        <v>-104517</v>
      </c>
    </row>
    <row r="239" customFormat="false" ht="15" hidden="false" customHeight="false" outlineLevel="0" collapsed="false">
      <c r="A239" s="8" t="s">
        <v>34</v>
      </c>
      <c r="B239" s="8" t="s">
        <v>30</v>
      </c>
      <c r="C239" s="8" t="s">
        <v>49</v>
      </c>
      <c r="D239" s="19" t="n">
        <v>45720.5416666667</v>
      </c>
      <c r="E239" s="19" t="n">
        <v>45737.8333333333</v>
      </c>
      <c r="F239" s="20" t="n">
        <f aca="false">DATE(YEAR(E239),MONTH(E239),1)</f>
        <v>45717</v>
      </c>
      <c r="G239" s="21" t="n">
        <v>106237</v>
      </c>
      <c r="H239" s="8" t="s">
        <v>50</v>
      </c>
      <c r="I239" s="22" t="n">
        <v>1816.68</v>
      </c>
      <c r="J239" s="23" t="n">
        <f aca="false">Summary!$B$4</f>
        <v>1</v>
      </c>
      <c r="K239" s="11" t="n">
        <f aca="false">I239*J239*IF(A239="SILVER",Summary!$B$5,Summary!$B$6)</f>
        <v>181668</v>
      </c>
      <c r="L239" s="24" t="n">
        <v>1.27</v>
      </c>
      <c r="M239" s="25" t="n">
        <f aca="false">IF(K239&gt;0,1,0)</f>
        <v>1</v>
      </c>
      <c r="N239" s="11" t="n">
        <f aca="false">SUMIFS(K$2:K239,A$2:A239,A239,B$2:B239,B239)</f>
        <v>77151</v>
      </c>
      <c r="O239" s="11" t="n">
        <f aca="false">MAX(0,_xlfn.MAXIFS(N$2:N239,A$2:A239,A239,B$2:B239,B239))</f>
        <v>77151</v>
      </c>
      <c r="P239" s="11" t="n">
        <f aca="false">N239-O239</f>
        <v>0</v>
      </c>
    </row>
    <row r="240" customFormat="false" ht="15" hidden="false" customHeight="false" outlineLevel="0" collapsed="false">
      <c r="A240" s="8" t="s">
        <v>34</v>
      </c>
      <c r="B240" s="8" t="s">
        <v>30</v>
      </c>
      <c r="C240" s="8" t="s">
        <v>49</v>
      </c>
      <c r="D240" s="19" t="n">
        <v>45743.875</v>
      </c>
      <c r="E240" s="19" t="n">
        <v>45750.7520833333</v>
      </c>
      <c r="F240" s="20" t="n">
        <f aca="false">DATE(YEAR(E240),MONTH(E240),1)</f>
        <v>45748</v>
      </c>
      <c r="G240" s="21" t="n">
        <v>109040</v>
      </c>
      <c r="H240" s="8" t="s">
        <v>50</v>
      </c>
      <c r="I240" s="22" t="n">
        <v>1074.18</v>
      </c>
      <c r="J240" s="23" t="n">
        <f aca="false">Summary!$B$4</f>
        <v>1</v>
      </c>
      <c r="K240" s="11" t="n">
        <f aca="false">I240*J240*IF(A240="SILVER",Summary!$B$5,Summary!$B$6)</f>
        <v>107418</v>
      </c>
      <c r="L240" s="24" t="n">
        <v>0.873</v>
      </c>
      <c r="M240" s="25" t="n">
        <f aca="false">IF(K240&gt;0,1,0)</f>
        <v>1</v>
      </c>
      <c r="N240" s="11" t="n">
        <f aca="false">SUMIFS(K$2:K240,A$2:A240,A240,B$2:B240,B240)</f>
        <v>184569</v>
      </c>
      <c r="O240" s="11" t="n">
        <f aca="false">MAX(0,_xlfn.MAXIFS(N$2:N240,A$2:A240,A240,B$2:B240,B240))</f>
        <v>184569</v>
      </c>
      <c r="P240" s="11" t="n">
        <f aca="false">N240-O240</f>
        <v>0</v>
      </c>
    </row>
    <row r="241" customFormat="false" ht="15" hidden="false" customHeight="false" outlineLevel="0" collapsed="false">
      <c r="A241" s="8" t="s">
        <v>34</v>
      </c>
      <c r="B241" s="8" t="s">
        <v>30</v>
      </c>
      <c r="C241" s="8" t="s">
        <v>49</v>
      </c>
      <c r="D241" s="19" t="n">
        <v>45756.7083333333</v>
      </c>
      <c r="E241" s="19" t="n">
        <v>45770.4166666667</v>
      </c>
      <c r="F241" s="20" t="n">
        <f aca="false">DATE(YEAR(E241),MONTH(E241),1)</f>
        <v>45748</v>
      </c>
      <c r="G241" s="21" t="n">
        <v>111112</v>
      </c>
      <c r="H241" s="8" t="s">
        <v>50</v>
      </c>
      <c r="I241" s="22" t="n">
        <v>5836.42</v>
      </c>
      <c r="J241" s="23" t="n">
        <f aca="false">Summary!$B$4</f>
        <v>1</v>
      </c>
      <c r="K241" s="11" t="n">
        <f aca="false">I241*J241*IF(A241="SILVER",Summary!$B$5,Summary!$B$6)</f>
        <v>583642</v>
      </c>
      <c r="L241" s="24" t="n">
        <v>2.001</v>
      </c>
      <c r="M241" s="25" t="n">
        <f aca="false">IF(K241&gt;0,1,0)</f>
        <v>1</v>
      </c>
      <c r="N241" s="11" t="n">
        <f aca="false">SUMIFS(K$2:K241,A$2:A241,A241,B$2:B241,B241)</f>
        <v>768211</v>
      </c>
      <c r="O241" s="11" t="n">
        <f aca="false">MAX(0,_xlfn.MAXIFS(N$2:N241,A$2:A241,A241,B$2:B241,B241))</f>
        <v>768211</v>
      </c>
      <c r="P241" s="11" t="n">
        <f aca="false">N241-O241</f>
        <v>0</v>
      </c>
    </row>
    <row r="242" customFormat="false" ht="15" hidden="false" customHeight="false" outlineLevel="0" collapsed="false">
      <c r="A242" s="8" t="s">
        <v>34</v>
      </c>
      <c r="B242" s="8" t="s">
        <v>30</v>
      </c>
      <c r="C242" s="8" t="s">
        <v>49</v>
      </c>
      <c r="D242" s="19" t="n">
        <v>45783.4166666667</v>
      </c>
      <c r="E242" s="19" t="n">
        <v>45785.4791666667</v>
      </c>
      <c r="F242" s="20" t="n">
        <f aca="false">DATE(YEAR(E242),MONTH(E242),1)</f>
        <v>45778</v>
      </c>
      <c r="G242" s="21" t="n">
        <v>117070</v>
      </c>
      <c r="H242" s="8" t="s">
        <v>53</v>
      </c>
      <c r="I242" s="22" t="n">
        <v>191.82</v>
      </c>
      <c r="J242" s="23" t="n">
        <f aca="false">Summary!$B$4</f>
        <v>1</v>
      </c>
      <c r="K242" s="11" t="n">
        <f aca="false">I242*J242*IF(A242="SILVER",Summary!$B$5,Summary!$B$6)</f>
        <v>19182</v>
      </c>
      <c r="L242" s="24" t="n">
        <v>0.071</v>
      </c>
      <c r="M242" s="25" t="n">
        <f aca="false">IF(K242&gt;0,1,0)</f>
        <v>1</v>
      </c>
      <c r="N242" s="11" t="n">
        <f aca="false">SUMIFS(K$2:K242,A$2:A242,A242,B$2:B242,B242)</f>
        <v>787393</v>
      </c>
      <c r="O242" s="11" t="n">
        <f aca="false">MAX(0,_xlfn.MAXIFS(N$2:N242,A$2:A242,A242,B$2:B242,B242))</f>
        <v>787393</v>
      </c>
      <c r="P242" s="11" t="n">
        <f aca="false">N242-O242</f>
        <v>0</v>
      </c>
    </row>
    <row r="243" customFormat="false" ht="15" hidden="false" customHeight="false" outlineLevel="0" collapsed="false">
      <c r="A243" s="8" t="s">
        <v>34</v>
      </c>
      <c r="B243" s="8" t="s">
        <v>30</v>
      </c>
      <c r="C243" s="8" t="s">
        <v>49</v>
      </c>
      <c r="D243" s="19" t="n">
        <v>45796.5833333333</v>
      </c>
      <c r="E243" s="19" t="n">
        <v>45806.4173611111</v>
      </c>
      <c r="F243" s="20" t="n">
        <f aca="false">DATE(YEAR(E243),MONTH(E243),1)</f>
        <v>45778</v>
      </c>
      <c r="G243" s="21" t="n">
        <v>114713</v>
      </c>
      <c r="H243" s="8" t="s">
        <v>50</v>
      </c>
      <c r="I243" s="22" t="n">
        <v>1070.18</v>
      </c>
      <c r="J243" s="23" t="n">
        <f aca="false">Summary!$B$4</f>
        <v>1</v>
      </c>
      <c r="K243" s="11" t="n">
        <f aca="false">I243*J243*IF(A243="SILVER",Summary!$B$5,Summary!$B$6)</f>
        <v>107018</v>
      </c>
      <c r="L243" s="24" t="n">
        <v>0.429</v>
      </c>
      <c r="M243" s="25" t="n">
        <f aca="false">IF(K243&gt;0,1,0)</f>
        <v>1</v>
      </c>
      <c r="N243" s="11" t="n">
        <f aca="false">SUMIFS(K$2:K243,A$2:A243,A243,B$2:B243,B243)</f>
        <v>894411</v>
      </c>
      <c r="O243" s="11" t="n">
        <f aca="false">MAX(0,_xlfn.MAXIFS(N$2:N243,A$2:A243,A243,B$2:B243,B243))</f>
        <v>894411</v>
      </c>
      <c r="P243" s="11" t="n">
        <f aca="false">N243-O243</f>
        <v>0</v>
      </c>
    </row>
    <row r="244" customFormat="false" ht="15" hidden="false" customHeight="false" outlineLevel="0" collapsed="false">
      <c r="A244" s="8" t="s">
        <v>34</v>
      </c>
      <c r="B244" s="8" t="s">
        <v>30</v>
      </c>
      <c r="C244" s="8" t="s">
        <v>49</v>
      </c>
      <c r="D244" s="19" t="n">
        <v>45810.6118055556</v>
      </c>
      <c r="E244" s="19" t="n">
        <v>45814.75625</v>
      </c>
      <c r="F244" s="20" t="n">
        <f aca="false">DATE(YEAR(E244),MONTH(E244),1)</f>
        <v>45809</v>
      </c>
      <c r="G244" s="21" t="n">
        <v>117442</v>
      </c>
      <c r="H244" s="8" t="s">
        <v>53</v>
      </c>
      <c r="I244" s="22" t="n">
        <v>128.12</v>
      </c>
      <c r="J244" s="23" t="n">
        <f aca="false">Summary!$B$4</f>
        <v>1</v>
      </c>
      <c r="K244" s="11" t="n">
        <f aca="false">I244*J244*IF(A244="SILVER",Summary!$B$5,Summary!$B$6)</f>
        <v>12812</v>
      </c>
      <c r="L244" s="24" t="n">
        <v>0.068</v>
      </c>
      <c r="M244" s="25" t="n">
        <f aca="false">IF(K244&gt;0,1,0)</f>
        <v>1</v>
      </c>
      <c r="N244" s="11" t="n">
        <f aca="false">SUMIFS(K$2:K244,A$2:A244,A244,B$2:B244,B244)</f>
        <v>907223</v>
      </c>
      <c r="O244" s="11" t="n">
        <f aca="false">MAX(0,_xlfn.MAXIFS(N$2:N244,A$2:A244,A244,B$2:B244,B244))</f>
        <v>907223</v>
      </c>
      <c r="P244" s="11" t="n">
        <f aca="false">N244-O244</f>
        <v>0</v>
      </c>
    </row>
    <row r="245" customFormat="false" ht="15" hidden="false" customHeight="false" outlineLevel="0" collapsed="false">
      <c r="A245" s="8" t="s">
        <v>34</v>
      </c>
      <c r="B245" s="8" t="s">
        <v>30</v>
      </c>
      <c r="C245" s="8" t="s">
        <v>49</v>
      </c>
      <c r="D245" s="19" t="n">
        <v>45820.6666666667</v>
      </c>
      <c r="E245" s="19" t="n">
        <v>45828.5090277778</v>
      </c>
      <c r="F245" s="20" t="n">
        <f aca="false">DATE(YEAR(E245),MONTH(E245),1)</f>
        <v>45809</v>
      </c>
      <c r="G245" s="21" t="n">
        <v>118133</v>
      </c>
      <c r="H245" s="8" t="s">
        <v>53</v>
      </c>
      <c r="I245" s="22" t="n">
        <v>172.14</v>
      </c>
      <c r="J245" s="23" t="n">
        <f aca="false">Summary!$B$4</f>
        <v>1</v>
      </c>
      <c r="K245" s="11" t="n">
        <f aca="false">I245*J245*IF(A245="SILVER",Summary!$B$5,Summary!$B$6)</f>
        <v>17214</v>
      </c>
      <c r="L245" s="24" t="n">
        <v>0.085</v>
      </c>
      <c r="M245" s="25" t="n">
        <f aca="false">IF(K245&gt;0,1,0)</f>
        <v>1</v>
      </c>
      <c r="N245" s="11" t="n">
        <f aca="false">SUMIFS(K$2:K245,A$2:A245,A245,B$2:B245,B245)</f>
        <v>924437</v>
      </c>
      <c r="O245" s="11" t="n">
        <f aca="false">MAX(0,_xlfn.MAXIFS(N$2:N245,A$2:A245,A245,B$2:B245,B245))</f>
        <v>924437</v>
      </c>
      <c r="P245" s="11" t="n">
        <f aca="false">N245-O245</f>
        <v>0</v>
      </c>
    </row>
    <row r="246" customFormat="false" ht="15" hidden="false" customHeight="false" outlineLevel="0" collapsed="false">
      <c r="A246" s="8" t="s">
        <v>34</v>
      </c>
      <c r="B246" s="8" t="s">
        <v>30</v>
      </c>
      <c r="C246" s="8" t="s">
        <v>49</v>
      </c>
      <c r="D246" s="19" t="n">
        <v>45839.5416666667</v>
      </c>
      <c r="E246" s="19" t="n">
        <v>45845.4166666667</v>
      </c>
      <c r="F246" s="20" t="n">
        <f aca="false">DATE(YEAR(E246),MONTH(E246),1)</f>
        <v>45839</v>
      </c>
      <c r="G246" s="21" t="n">
        <v>117083</v>
      </c>
      <c r="H246" s="8" t="s">
        <v>50</v>
      </c>
      <c r="I246" s="22" t="n">
        <v>-766.36</v>
      </c>
      <c r="J246" s="23" t="n">
        <f aca="false">Summary!$B$4</f>
        <v>1</v>
      </c>
      <c r="K246" s="11" t="n">
        <f aca="false">I246*J246*IF(A246="SILVER",Summary!$B$5,Summary!$B$6)</f>
        <v>-76636</v>
      </c>
      <c r="L246" s="24" t="n">
        <v>-0.449</v>
      </c>
      <c r="M246" s="25" t="n">
        <f aca="false">IF(K246&gt;0,1,0)</f>
        <v>0</v>
      </c>
      <c r="N246" s="11" t="n">
        <f aca="false">SUMIFS(K$2:K246,A$2:A246,A246,B$2:B246,B246)</f>
        <v>847801</v>
      </c>
      <c r="O246" s="11" t="n">
        <f aca="false">MAX(0,_xlfn.MAXIFS(N$2:N246,A$2:A246,A246,B$2:B246,B246))</f>
        <v>924437</v>
      </c>
      <c r="P246" s="11" t="n">
        <f aca="false">N246-O246</f>
        <v>-76636</v>
      </c>
    </row>
    <row r="247" customFormat="false" ht="15" hidden="false" customHeight="false" outlineLevel="0" collapsed="false">
      <c r="A247" s="8" t="s">
        <v>34</v>
      </c>
      <c r="B247" s="8" t="s">
        <v>30</v>
      </c>
      <c r="C247" s="8" t="s">
        <v>49</v>
      </c>
      <c r="D247" s="19" t="n">
        <v>45849.4166666667</v>
      </c>
      <c r="E247" s="19" t="n">
        <v>45853.7888888889</v>
      </c>
      <c r="F247" s="20" t="n">
        <f aca="false">DATE(YEAR(E247),MONTH(E247),1)</f>
        <v>45839</v>
      </c>
      <c r="G247" s="21" t="n">
        <v>117154</v>
      </c>
      <c r="H247" s="8" t="s">
        <v>53</v>
      </c>
      <c r="I247" s="22" t="n">
        <v>100.5</v>
      </c>
      <c r="J247" s="23" t="n">
        <f aca="false">Summary!$B$4</f>
        <v>1</v>
      </c>
      <c r="K247" s="11" t="n">
        <f aca="false">I247*J247*IF(A247="SILVER",Summary!$B$5,Summary!$B$6)</f>
        <v>10050</v>
      </c>
      <c r="L247" s="24" t="n">
        <v>0.077</v>
      </c>
      <c r="M247" s="25" t="n">
        <f aca="false">IF(K247&gt;0,1,0)</f>
        <v>1</v>
      </c>
      <c r="N247" s="11" t="n">
        <f aca="false">SUMIFS(K$2:K247,A$2:A247,A247,B$2:B247,B247)</f>
        <v>857851</v>
      </c>
      <c r="O247" s="11" t="n">
        <f aca="false">MAX(0,_xlfn.MAXIFS(N$2:N247,A$2:A247,A247,B$2:B247,B247))</f>
        <v>924437</v>
      </c>
      <c r="P247" s="11" t="n">
        <f aca="false">N247-O247</f>
        <v>-66586</v>
      </c>
    </row>
    <row r="248" customFormat="false" ht="15" hidden="false" customHeight="false" outlineLevel="0" collapsed="false">
      <c r="A248" s="8" t="s">
        <v>34</v>
      </c>
      <c r="B248" s="8" t="s">
        <v>30</v>
      </c>
      <c r="C248" s="8" t="s">
        <v>49</v>
      </c>
      <c r="D248" s="19" t="n">
        <v>45859.4583333333</v>
      </c>
      <c r="E248" s="19" t="n">
        <v>45862.4166666667</v>
      </c>
      <c r="F248" s="20" t="n">
        <f aca="false">DATE(YEAR(E248),MONTH(E248),1)</f>
        <v>45839</v>
      </c>
      <c r="G248" s="21" t="n">
        <v>118369</v>
      </c>
      <c r="H248" s="8" t="s">
        <v>50</v>
      </c>
      <c r="I248" s="22" t="n">
        <v>529.25</v>
      </c>
      <c r="J248" s="23" t="n">
        <f aca="false">Summary!$B$4</f>
        <v>1</v>
      </c>
      <c r="K248" s="11" t="n">
        <f aca="false">I248*J248*IF(A248="SILVER",Summary!$B$5,Summary!$B$6)</f>
        <v>52925</v>
      </c>
      <c r="L248" s="24" t="n">
        <v>0.416</v>
      </c>
      <c r="M248" s="25" t="n">
        <f aca="false">IF(K248&gt;0,1,0)</f>
        <v>1</v>
      </c>
      <c r="N248" s="11" t="n">
        <f aca="false">SUMIFS(K$2:K248,A$2:A248,A248,B$2:B248,B248)</f>
        <v>910776</v>
      </c>
      <c r="O248" s="11" t="n">
        <f aca="false">MAX(0,_xlfn.MAXIFS(N$2:N248,A$2:A248,A248,B$2:B248,B248))</f>
        <v>924437</v>
      </c>
      <c r="P248" s="11" t="n">
        <f aca="false">N248-O248</f>
        <v>-13661</v>
      </c>
    </row>
    <row r="249" customFormat="false" ht="15" hidden="false" customHeight="false" outlineLevel="0" collapsed="false">
      <c r="A249" s="8" t="s">
        <v>34</v>
      </c>
      <c r="B249" s="8" t="s">
        <v>30</v>
      </c>
      <c r="C249" s="8" t="s">
        <v>49</v>
      </c>
      <c r="D249" s="19" t="n">
        <v>45868.5854166667</v>
      </c>
      <c r="E249" s="19" t="n">
        <v>45880.75</v>
      </c>
      <c r="F249" s="20" t="n">
        <f aca="false">DATE(YEAR(E249),MONTH(E249),1)</f>
        <v>45870</v>
      </c>
      <c r="G249" s="21" t="n">
        <v>118568</v>
      </c>
      <c r="H249" s="8" t="s">
        <v>50</v>
      </c>
      <c r="I249" s="22" t="n">
        <v>1574.1</v>
      </c>
      <c r="J249" s="23" t="n">
        <f aca="false">Summary!$B$4</f>
        <v>1</v>
      </c>
      <c r="K249" s="11" t="n">
        <f aca="false">I249*J249*IF(A249="SILVER",Summary!$B$5,Summary!$B$6)</f>
        <v>157410</v>
      </c>
      <c r="L249" s="24" t="n">
        <v>1.269</v>
      </c>
      <c r="M249" s="25" t="n">
        <f aca="false">IF(K249&gt;0,1,0)</f>
        <v>1</v>
      </c>
      <c r="N249" s="11" t="n">
        <f aca="false">SUMIFS(K$2:K249,A$2:A249,A249,B$2:B249,B249)</f>
        <v>1068186</v>
      </c>
      <c r="O249" s="11" t="n">
        <f aca="false">MAX(0,_xlfn.MAXIFS(N$2:N249,A$2:A249,A249,B$2:B249,B249))</f>
        <v>1068186</v>
      </c>
      <c r="P249" s="11" t="n">
        <f aca="false">N249-O249</f>
        <v>0</v>
      </c>
    </row>
    <row r="250" customFormat="false" ht="15" hidden="false" customHeight="false" outlineLevel="0" collapsed="false">
      <c r="A250" s="8" t="s">
        <v>34</v>
      </c>
      <c r="B250" s="8" t="s">
        <v>30</v>
      </c>
      <c r="C250" s="8" t="s">
        <v>49</v>
      </c>
      <c r="D250" s="19" t="n">
        <v>45891.8333333333</v>
      </c>
      <c r="E250" s="19" t="n">
        <v>45918.5</v>
      </c>
      <c r="F250" s="20" t="n">
        <f aca="false">DATE(YEAR(E250),MONTH(E250),1)</f>
        <v>45901</v>
      </c>
      <c r="G250" s="21" t="n">
        <v>119846</v>
      </c>
      <c r="H250" s="8" t="s">
        <v>50</v>
      </c>
      <c r="I250" s="22" t="n">
        <v>8702.11</v>
      </c>
      <c r="J250" s="23" t="n">
        <f aca="false">Summary!$B$4</f>
        <v>1</v>
      </c>
      <c r="K250" s="11" t="n">
        <f aca="false">I250*J250*IF(A250="SILVER",Summary!$B$5,Summary!$B$6)</f>
        <v>870211</v>
      </c>
      <c r="L250" s="24" t="n">
        <v>5.412</v>
      </c>
      <c r="M250" s="25" t="n">
        <f aca="false">IF(K250&gt;0,1,0)</f>
        <v>1</v>
      </c>
      <c r="N250" s="11" t="n">
        <f aca="false">SUMIFS(K$2:K250,A$2:A250,A250,B$2:B250,B250)</f>
        <v>1938397</v>
      </c>
      <c r="O250" s="11" t="n">
        <f aca="false">MAX(0,_xlfn.MAXIFS(N$2:N250,A$2:A250,A250,B$2:B250,B250))</f>
        <v>1938397</v>
      </c>
      <c r="P250" s="11" t="n">
        <f aca="false">N250-O250</f>
        <v>0</v>
      </c>
    </row>
    <row r="251" customFormat="false" ht="15" hidden="false" customHeight="false" outlineLevel="0" collapsed="false">
      <c r="A251" s="8" t="s">
        <v>34</v>
      </c>
      <c r="B251" s="8" t="s">
        <v>30</v>
      </c>
      <c r="C251" s="8" t="s">
        <v>49</v>
      </c>
      <c r="D251" s="19" t="n">
        <v>45922.4583333333</v>
      </c>
      <c r="E251" s="19" t="n">
        <v>45939.9583333333</v>
      </c>
      <c r="F251" s="20" t="n">
        <f aca="false">DATE(YEAR(E251),MONTH(E251),1)</f>
        <v>45931</v>
      </c>
      <c r="G251" s="21" t="n">
        <v>130321</v>
      </c>
      <c r="H251" s="8" t="s">
        <v>50</v>
      </c>
      <c r="I251" s="22" t="n">
        <v>8552.75</v>
      </c>
      <c r="J251" s="23" t="n">
        <f aca="false">Summary!$B$4</f>
        <v>1</v>
      </c>
      <c r="K251" s="11" t="n">
        <f aca="false">I251*J251*IF(A251="SILVER",Summary!$B$5,Summary!$B$6)</f>
        <v>855275</v>
      </c>
      <c r="L251" s="24" t="n">
        <v>5.253</v>
      </c>
      <c r="M251" s="25" t="n">
        <f aca="false">IF(K251&gt;0,1,0)</f>
        <v>1</v>
      </c>
      <c r="N251" s="11" t="n">
        <f aca="false">SUMIFS(K$2:K251,A$2:A251,A251,B$2:B251,B251)</f>
        <v>2793672</v>
      </c>
      <c r="O251" s="11" t="n">
        <f aca="false">MAX(0,_xlfn.MAXIFS(N$2:N251,A$2:A251,A251,B$2:B251,B251))</f>
        <v>2793672</v>
      </c>
      <c r="P251" s="11" t="n">
        <f aca="false">N251-O251</f>
        <v>0</v>
      </c>
    </row>
    <row r="252" customFormat="false" ht="15" hidden="false" customHeight="false" outlineLevel="0" collapsed="false">
      <c r="A252" s="8" t="s">
        <v>34</v>
      </c>
      <c r="B252" s="8" t="s">
        <v>30</v>
      </c>
      <c r="C252" s="8" t="s">
        <v>49</v>
      </c>
      <c r="D252" s="19" t="n">
        <v>45943.4583333333</v>
      </c>
      <c r="E252" s="19" t="n">
        <v>45947.8333333333</v>
      </c>
      <c r="F252" s="20" t="n">
        <f aca="false">DATE(YEAR(E252),MONTH(E252),1)</f>
        <v>45931</v>
      </c>
      <c r="G252" s="21" t="n">
        <v>142065</v>
      </c>
      <c r="H252" s="8" t="s">
        <v>50</v>
      </c>
      <c r="I252" s="22" t="n">
        <v>4430.8</v>
      </c>
      <c r="J252" s="23" t="n">
        <f aca="false">Summary!$B$4</f>
        <v>1</v>
      </c>
      <c r="K252" s="11" t="n">
        <f aca="false">I252*J252*IF(A252="SILVER",Summary!$B$5,Summary!$B$6)</f>
        <v>443080</v>
      </c>
      <c r="L252" s="24" t="n">
        <v>1.032</v>
      </c>
      <c r="M252" s="25" t="n">
        <f aca="false">IF(K252&gt;0,1,0)</f>
        <v>1</v>
      </c>
      <c r="N252" s="11" t="n">
        <f aca="false">SUMIFS(K$2:K252,A$2:A252,A252,B$2:B252,B252)</f>
        <v>3236752</v>
      </c>
      <c r="O252" s="11" t="n">
        <f aca="false">MAX(0,_xlfn.MAXIFS(N$2:N252,A$2:A252,A252,B$2:B252,B252))</f>
        <v>3236752</v>
      </c>
      <c r="P252" s="11" t="n">
        <f aca="false">N252-O252</f>
        <v>0</v>
      </c>
    </row>
    <row r="253" customFormat="false" ht="15" hidden="false" customHeight="false" outlineLevel="0" collapsed="false">
      <c r="A253" s="8" t="s">
        <v>34</v>
      </c>
      <c r="B253" s="8" t="s">
        <v>30</v>
      </c>
      <c r="C253" s="8" t="s">
        <v>49</v>
      </c>
      <c r="D253" s="19" t="n">
        <v>45971.5</v>
      </c>
      <c r="E253" s="19" t="n">
        <v>45975.75</v>
      </c>
      <c r="F253" s="20" t="n">
        <f aca="false">DATE(YEAR(E253),MONTH(E253),1)</f>
        <v>45962</v>
      </c>
      <c r="G253" s="21" t="n">
        <v>141300</v>
      </c>
      <c r="H253" s="8" t="s">
        <v>50</v>
      </c>
      <c r="I253" s="22" t="n">
        <v>1088.29</v>
      </c>
      <c r="J253" s="23" t="n">
        <f aca="false">Summary!$B$4</f>
        <v>1</v>
      </c>
      <c r="K253" s="11" t="n">
        <f aca="false">I253*J253*IF(A253="SILVER",Summary!$B$5,Summary!$B$6)</f>
        <v>108829</v>
      </c>
      <c r="L253" s="24" t="n">
        <v>0.38</v>
      </c>
      <c r="M253" s="25" t="n">
        <f aca="false">IF(K253&gt;0,1,0)</f>
        <v>1</v>
      </c>
      <c r="N253" s="11" t="n">
        <f aca="false">SUMIFS(K$2:K253,A$2:A253,A253,B$2:B253,B253)</f>
        <v>3345581</v>
      </c>
      <c r="O253" s="11" t="n">
        <f aca="false">MAX(0,_xlfn.MAXIFS(N$2:N253,A$2:A253,A253,B$2:B253,B253))</f>
        <v>3345581</v>
      </c>
      <c r="P253" s="11" t="n">
        <f aca="false">N253-O253</f>
        <v>0</v>
      </c>
    </row>
    <row r="254" customFormat="false" ht="15" hidden="false" customHeight="false" outlineLevel="0" collapsed="false">
      <c r="A254" s="8" t="s">
        <v>34</v>
      </c>
      <c r="B254" s="8" t="s">
        <v>30</v>
      </c>
      <c r="C254" s="8" t="s">
        <v>49</v>
      </c>
      <c r="D254" s="19" t="n">
        <v>45986.4166666667</v>
      </c>
      <c r="E254" s="19" t="n">
        <v>46020.8333333333</v>
      </c>
      <c r="F254" s="20" t="n">
        <f aca="false">DATE(YEAR(E254),MONTH(E254),1)</f>
        <v>45992</v>
      </c>
      <c r="G254" s="21" t="n">
        <v>143568</v>
      </c>
      <c r="H254" s="8" t="s">
        <v>50</v>
      </c>
      <c r="I254" s="22" t="n">
        <v>9680.52</v>
      </c>
      <c r="J254" s="23" t="n">
        <f aca="false">Summary!$B$4</f>
        <v>1</v>
      </c>
      <c r="K254" s="11" t="n">
        <f aca="false">I254*J254*IF(A254="SILVER",Summary!$B$5,Summary!$B$6)</f>
        <v>968052</v>
      </c>
      <c r="L254" s="24" t="n">
        <v>2.94</v>
      </c>
      <c r="M254" s="25" t="n">
        <f aca="false">IF(K254&gt;0,1,0)</f>
        <v>1</v>
      </c>
      <c r="N254" s="11" t="n">
        <f aca="false">SUMIFS(K$2:K254,A$2:A254,A254,B$2:B254,B254)</f>
        <v>4313633</v>
      </c>
      <c r="O254" s="11" t="n">
        <f aca="false">MAX(0,_xlfn.MAXIFS(N$2:N254,A$2:A254,A254,B$2:B254,B254))</f>
        <v>4313633</v>
      </c>
      <c r="P254" s="11" t="n">
        <f aca="false">N254-O254</f>
        <v>0</v>
      </c>
    </row>
    <row r="255" customFormat="false" ht="15" hidden="false" customHeight="false" outlineLevel="0" collapsed="false">
      <c r="A255" s="8" t="s">
        <v>34</v>
      </c>
      <c r="B255" s="8" t="s">
        <v>30</v>
      </c>
      <c r="C255" s="8" t="s">
        <v>49</v>
      </c>
      <c r="D255" s="19" t="n">
        <v>46028.4166666667</v>
      </c>
      <c r="E255" s="19" t="n">
        <v>46044.4166666667</v>
      </c>
      <c r="F255" s="20" t="n">
        <f aca="false">DATE(YEAR(E255),MONTH(E255),1)</f>
        <v>46023</v>
      </c>
      <c r="G255" s="21" t="n">
        <v>155445</v>
      </c>
      <c r="H255" s="8" t="s">
        <v>50</v>
      </c>
      <c r="I255" s="22" t="n">
        <v>11104.18</v>
      </c>
      <c r="J255" s="23" t="n">
        <f aca="false">Summary!$B$4</f>
        <v>1</v>
      </c>
      <c r="K255" s="11" t="n">
        <f aca="false">I255*J255*IF(A255="SILVER",Summary!$B$5,Summary!$B$6)</f>
        <v>1110418</v>
      </c>
      <c r="L255" s="24" t="n">
        <v>3.772</v>
      </c>
      <c r="M255" s="25" t="n">
        <f aca="false">IF(K255&gt;0,1,0)</f>
        <v>1</v>
      </c>
      <c r="N255" s="11" t="n">
        <f aca="false">SUMIFS(K$2:K255,A$2:A255,A255,B$2:B255,B255)</f>
        <v>5424051</v>
      </c>
      <c r="O255" s="11" t="n">
        <f aca="false">MAX(0,_xlfn.MAXIFS(N$2:N255,A$2:A255,A255,B$2:B255,B255))</f>
        <v>5424051</v>
      </c>
      <c r="P255" s="11" t="n">
        <f aca="false">N255-O255</f>
        <v>0</v>
      </c>
    </row>
    <row r="256" customFormat="false" ht="15" hidden="false" customHeight="false" outlineLevel="0" collapsed="false">
      <c r="A256" s="8" t="s">
        <v>34</v>
      </c>
      <c r="B256" s="8" t="s">
        <v>30</v>
      </c>
      <c r="C256" s="8" t="s">
        <v>49</v>
      </c>
      <c r="D256" s="19" t="n">
        <v>46049.4166666667</v>
      </c>
      <c r="E256" s="19" t="n">
        <v>46051.8659722222</v>
      </c>
      <c r="F256" s="20" t="n">
        <f aca="false">DATE(YEAR(E256),MONTH(E256),1)</f>
        <v>46023</v>
      </c>
      <c r="G256" s="21" t="n">
        <v>175350</v>
      </c>
      <c r="H256" s="8" t="s">
        <v>53</v>
      </c>
      <c r="I256" s="22" t="n">
        <v>773.19</v>
      </c>
      <c r="J256" s="23" t="n">
        <f aca="false">Summary!$B$4</f>
        <v>1</v>
      </c>
      <c r="K256" s="11" t="n">
        <f aca="false">I256*J256*IF(A256="SILVER",Summary!$B$5,Summary!$B$6)</f>
        <v>77319</v>
      </c>
      <c r="L256" s="24" t="n">
        <v>0.095</v>
      </c>
      <c r="M256" s="25" t="n">
        <f aca="false">IF(K256&gt;0,1,0)</f>
        <v>1</v>
      </c>
      <c r="N256" s="11" t="n">
        <f aca="false">SUMIFS(K$2:K256,A$2:A256,A256,B$2:B256,B256)</f>
        <v>5501370</v>
      </c>
      <c r="O256" s="11" t="n">
        <f aca="false">MAX(0,_xlfn.MAXIFS(N$2:N256,A$2:A256,A256,B$2:B256,B256))</f>
        <v>5501370</v>
      </c>
      <c r="P256" s="11" t="n">
        <f aca="false">N256-O256</f>
        <v>0</v>
      </c>
    </row>
    <row r="257" customFormat="false" ht="15" hidden="false" customHeight="false" outlineLevel="0" collapsed="false">
      <c r="A257" s="8" t="s">
        <v>34</v>
      </c>
      <c r="B257" s="8" t="s">
        <v>30</v>
      </c>
      <c r="C257" s="8" t="s">
        <v>51</v>
      </c>
      <c r="D257" s="19" t="n">
        <v>46084.75</v>
      </c>
      <c r="E257" s="19" t="n">
        <v>46085.3909722222</v>
      </c>
      <c r="F257" s="20" t="n">
        <f aca="false">DATE(YEAR(E257),MONTH(E257),1)</f>
        <v>46082</v>
      </c>
      <c r="G257" s="21" t="n">
        <v>171781</v>
      </c>
      <c r="H257" s="8" t="s">
        <v>53</v>
      </c>
      <c r="I257" s="22" t="n">
        <v>538.57</v>
      </c>
      <c r="J257" s="23" t="n">
        <f aca="false">Summary!$B$4</f>
        <v>1</v>
      </c>
      <c r="K257" s="11" t="n">
        <f aca="false">I257*J257*IF(A257="SILVER",Summary!$B$5,Summary!$B$6)</f>
        <v>53857</v>
      </c>
      <c r="L257" s="24" t="n">
        <v>0.093</v>
      </c>
      <c r="M257" s="25" t="n">
        <f aca="false">IF(K257&gt;0,1,0)</f>
        <v>1</v>
      </c>
      <c r="N257" s="11" t="n">
        <f aca="false">SUMIFS(K$2:K257,A$2:A257,A257,B$2:B257,B257)</f>
        <v>5555227</v>
      </c>
      <c r="O257" s="11" t="n">
        <f aca="false">MAX(0,_xlfn.MAXIFS(N$2:N257,A$2:A257,A257,B$2:B257,B257))</f>
        <v>5555227</v>
      </c>
      <c r="P257" s="11" t="n">
        <f aca="false">N257-O257</f>
        <v>0</v>
      </c>
    </row>
    <row r="258" customFormat="false" ht="15" hidden="false" customHeight="false" outlineLevel="0" collapsed="false">
      <c r="A258" s="8" t="s">
        <v>34</v>
      </c>
      <c r="B258" s="8" t="s">
        <v>30</v>
      </c>
      <c r="C258" s="8" t="s">
        <v>51</v>
      </c>
      <c r="D258" s="19" t="n">
        <v>46118.375</v>
      </c>
      <c r="E258" s="19" t="n">
        <v>46126.9583333333</v>
      </c>
      <c r="F258" s="20" t="n">
        <f aca="false">DATE(YEAR(E258),MONTH(E258),1)</f>
        <v>46113</v>
      </c>
      <c r="G258" s="21" t="n">
        <v>153102</v>
      </c>
      <c r="H258" s="8" t="s">
        <v>50</v>
      </c>
      <c r="I258" s="22" t="n">
        <v>-5751.02</v>
      </c>
      <c r="J258" s="23" t="n">
        <f aca="false">Summary!$B$4</f>
        <v>1</v>
      </c>
      <c r="K258" s="11" t="n">
        <f aca="false">I258*J258*IF(A258="SILVER",Summary!$B$5,Summary!$B$6)</f>
        <v>-575102</v>
      </c>
      <c r="L258" s="24" t="n">
        <v>-0.758</v>
      </c>
      <c r="M258" s="25" t="n">
        <f aca="false">IF(K258&gt;0,1,0)</f>
        <v>0</v>
      </c>
      <c r="N258" s="11" t="n">
        <f aca="false">SUMIFS(K$2:K258,A$2:A258,A258,B$2:B258,B258)</f>
        <v>4980125</v>
      </c>
      <c r="O258" s="11" t="n">
        <f aca="false">MAX(0,_xlfn.MAXIFS(N$2:N258,A$2:A258,A258,B$2:B258,B258))</f>
        <v>5555227</v>
      </c>
      <c r="P258" s="11" t="n">
        <f aca="false">N258-O258</f>
        <v>-575102</v>
      </c>
    </row>
    <row r="259" customFormat="false" ht="15" hidden="false" customHeight="false" outlineLevel="0" collapsed="false">
      <c r="A259" s="8" t="s">
        <v>34</v>
      </c>
      <c r="B259" s="8" t="s">
        <v>30</v>
      </c>
      <c r="C259" s="8" t="s">
        <v>51</v>
      </c>
      <c r="D259" s="19" t="n">
        <v>46133.9583333333</v>
      </c>
      <c r="E259" s="19" t="n">
        <v>46141.375</v>
      </c>
      <c r="F259" s="20" t="n">
        <f aca="false">DATE(YEAR(E259),MONTH(E259),1)</f>
        <v>46113</v>
      </c>
      <c r="G259" s="21" t="n">
        <v>155748</v>
      </c>
      <c r="H259" s="8" t="s">
        <v>53</v>
      </c>
      <c r="I259" s="22" t="n">
        <v>310.82</v>
      </c>
      <c r="J259" s="23" t="n">
        <f aca="false">Summary!$B$4</f>
        <v>1</v>
      </c>
      <c r="K259" s="11" t="n">
        <f aca="false">I259*J259*IF(A259="SILVER",Summary!$B$5,Summary!$B$6)</f>
        <v>31082</v>
      </c>
      <c r="L259" s="24" t="n">
        <v>0.089</v>
      </c>
      <c r="M259" s="25" t="n">
        <f aca="false">IF(K259&gt;0,1,0)</f>
        <v>1</v>
      </c>
      <c r="N259" s="11" t="n">
        <f aca="false">SUMIFS(K$2:K259,A$2:A259,A259,B$2:B259,B259)</f>
        <v>5011207</v>
      </c>
      <c r="O259" s="11" t="n">
        <f aca="false">MAX(0,_xlfn.MAXIFS(N$2:N259,A$2:A259,A259,B$2:B259,B259))</f>
        <v>5555227</v>
      </c>
      <c r="P259" s="11" t="n">
        <f aca="false">N259-O259</f>
        <v>-544020</v>
      </c>
    </row>
    <row r="260" customFormat="false" ht="15" hidden="false" customHeight="false" outlineLevel="0" collapsed="false">
      <c r="A260" s="8" t="s">
        <v>34</v>
      </c>
      <c r="B260" s="8" t="s">
        <v>30</v>
      </c>
      <c r="C260" s="8" t="s">
        <v>51</v>
      </c>
      <c r="D260" s="19" t="n">
        <v>46162.4166666667</v>
      </c>
      <c r="E260" s="19" t="n">
        <v>46188.4166666667</v>
      </c>
      <c r="F260" s="20" t="n">
        <f aca="false">DATE(YEAR(E260),MONTH(E260),1)</f>
        <v>46174</v>
      </c>
      <c r="G260" s="21" t="n">
        <v>162635</v>
      </c>
      <c r="H260" s="8" t="s">
        <v>50</v>
      </c>
      <c r="I260" s="22" t="n">
        <v>6748.23</v>
      </c>
      <c r="J260" s="23" t="n">
        <f aca="false">Summary!$B$4</f>
        <v>1</v>
      </c>
      <c r="K260" s="11" t="n">
        <f aca="false">I260*J260*IF(A260="SILVER",Summary!$B$5,Summary!$B$6)</f>
        <v>674823</v>
      </c>
      <c r="L260" s="24" t="n">
        <v>1.787</v>
      </c>
      <c r="M260" s="25" t="n">
        <f aca="false">IF(K260&gt;0,1,0)</f>
        <v>1</v>
      </c>
      <c r="N260" s="11" t="n">
        <f aca="false">SUMIFS(K$2:K260,A$2:A260,A260,B$2:B260,B260)</f>
        <v>5686030</v>
      </c>
      <c r="O260" s="11" t="n">
        <f aca="false">MAX(0,_xlfn.MAXIFS(N$2:N260,A$2:A260,A260,B$2:B260,B260))</f>
        <v>5686030</v>
      </c>
      <c r="P260" s="11" t="n">
        <f aca="false">N260-O260</f>
        <v>0</v>
      </c>
    </row>
    <row r="261" customFormat="false" ht="15" hidden="false" customHeight="false" outlineLevel="0" collapsed="false">
      <c r="A261" s="8" t="s">
        <v>34</v>
      </c>
      <c r="B261" s="8" t="s">
        <v>30</v>
      </c>
      <c r="C261" s="8" t="s">
        <v>51</v>
      </c>
      <c r="D261" s="19" t="n">
        <v>46191.5833333333</v>
      </c>
      <c r="E261" s="19" t="n">
        <v>46204.8333333333</v>
      </c>
      <c r="F261" s="20" t="n">
        <f aca="false">DATE(YEAR(E261),MONTH(E261),1)</f>
        <v>46204</v>
      </c>
      <c r="G261" s="21" t="n">
        <v>153524</v>
      </c>
      <c r="H261" s="8" t="s">
        <v>50</v>
      </c>
      <c r="I261" s="22" t="n">
        <v>5817.41</v>
      </c>
      <c r="J261" s="23" t="n">
        <f aca="false">Summary!$B$4</f>
        <v>1</v>
      </c>
      <c r="K261" s="11" t="n">
        <f aca="false">I261*J261*IF(A261="SILVER",Summary!$B$5,Summary!$B$6)</f>
        <v>581741</v>
      </c>
      <c r="L261" s="24" t="n">
        <v>1.534</v>
      </c>
      <c r="M261" s="25" t="n">
        <f aca="false">IF(K261&gt;0,1,0)</f>
        <v>1</v>
      </c>
      <c r="N261" s="11" t="n">
        <f aca="false">SUMIFS(K$2:K261,A$2:A261,A261,B$2:B261,B261)</f>
        <v>6267771</v>
      </c>
      <c r="O261" s="11" t="n">
        <f aca="false">MAX(0,_xlfn.MAXIFS(N$2:N261,A$2:A261,A261,B$2:B261,B261))</f>
        <v>6267771</v>
      </c>
      <c r="P261" s="11" t="n">
        <f aca="false">N261-O261</f>
        <v>0</v>
      </c>
    </row>
    <row r="262" customFormat="false" ht="15" hidden="false" customHeight="false" outlineLevel="0" collapsed="false">
      <c r="A262" s="8" t="s">
        <v>34</v>
      </c>
      <c r="B262" s="8" t="s">
        <v>30</v>
      </c>
      <c r="C262" s="8" t="s">
        <v>51</v>
      </c>
      <c r="D262" s="19" t="n">
        <v>46211.625</v>
      </c>
      <c r="E262" s="19" t="n">
        <v>46217.7506944445</v>
      </c>
      <c r="F262" s="20" t="n">
        <f aca="false">DATE(YEAR(E262),MONTH(E262),1)</f>
        <v>46204</v>
      </c>
      <c r="G262" s="21" t="n">
        <v>145884</v>
      </c>
      <c r="H262" s="8" t="s">
        <v>53</v>
      </c>
      <c r="I262" s="22" t="n">
        <v>331.37</v>
      </c>
      <c r="J262" s="23" t="n">
        <f aca="false">Summary!$B$4</f>
        <v>1</v>
      </c>
      <c r="K262" s="11" t="n">
        <f aca="false">I262*J262*IF(A262="SILVER",Summary!$B$5,Summary!$B$6)</f>
        <v>33137</v>
      </c>
      <c r="L262" s="24" t="n">
        <v>0.09</v>
      </c>
      <c r="M262" s="25" t="n">
        <f aca="false">IF(K262&gt;0,1,0)</f>
        <v>1</v>
      </c>
      <c r="N262" s="11" t="n">
        <f aca="false">SUMIFS(K$2:K262,A$2:A262,A262,B$2:B262,B262)</f>
        <v>6300908</v>
      </c>
      <c r="O262" s="11" t="n">
        <f aca="false">MAX(0,_xlfn.MAXIFS(N$2:N262,A$2:A262,A262,B$2:B262,B262))</f>
        <v>6300908</v>
      </c>
      <c r="P262" s="11" t="n">
        <f aca="false">N262-O262</f>
        <v>0</v>
      </c>
    </row>
    <row r="263" customFormat="false" ht="15" hidden="false" customHeight="false" outlineLevel="0" collapsed="false">
      <c r="A263" s="8" t="s">
        <v>34</v>
      </c>
      <c r="B263" s="8" t="s">
        <v>30</v>
      </c>
      <c r="C263" s="8" t="s">
        <v>51</v>
      </c>
      <c r="D263" s="19" t="n">
        <v>46226.7916666667</v>
      </c>
      <c r="E263" s="19" t="n">
        <v>46227.5916666667</v>
      </c>
      <c r="F263" s="20" t="n">
        <f aca="false">DATE(YEAR(E263),MONTH(E263),1)</f>
        <v>46204</v>
      </c>
      <c r="G263" s="21" t="n">
        <v>145918</v>
      </c>
      <c r="H263" s="8" t="s">
        <v>53</v>
      </c>
      <c r="I263" s="22" t="n">
        <v>220.67</v>
      </c>
      <c r="J263" s="23" t="n">
        <f aca="false">Summary!$B$4</f>
        <v>1</v>
      </c>
      <c r="K263" s="11" t="n">
        <f aca="false">I263*J263*IF(A263="SILVER",Summary!$B$5,Summary!$B$6)</f>
        <v>22067</v>
      </c>
      <c r="L263" s="24" t="n">
        <v>0.085</v>
      </c>
      <c r="M263" s="25" t="n">
        <f aca="false">IF(K263&gt;0,1,0)</f>
        <v>1</v>
      </c>
      <c r="N263" s="11" t="n">
        <f aca="false">SUMIFS(K$2:K263,A$2:A263,A263,B$2:B263,B263)</f>
        <v>6322975</v>
      </c>
      <c r="O263" s="11" t="n">
        <f aca="false">MAX(0,_xlfn.MAXIFS(N$2:N263,A$2:A263,A263,B$2:B263,B263))</f>
        <v>6322975</v>
      </c>
      <c r="P263" s="11" t="n">
        <f aca="false">N263-O263</f>
        <v>0</v>
      </c>
    </row>
    <row r="264" customFormat="false" ht="15" hidden="false" customHeight="false" outlineLevel="0" collapsed="false">
      <c r="A264" s="8" t="s">
        <v>34</v>
      </c>
      <c r="B264" s="8" t="s">
        <v>30</v>
      </c>
      <c r="C264" s="8" t="s">
        <v>49</v>
      </c>
      <c r="D264" s="19" t="n">
        <v>46268.7916666667</v>
      </c>
      <c r="E264" s="19" t="n">
        <v>46279.75</v>
      </c>
      <c r="F264" s="20" t="n">
        <f aca="false">DATE(YEAR(E264),MONTH(E264),1)</f>
        <v>46266</v>
      </c>
      <c r="G264" s="21" t="n">
        <v>155434</v>
      </c>
      <c r="H264" s="8" t="s">
        <v>50</v>
      </c>
      <c r="I264" s="22" t="n">
        <v>-4899.6</v>
      </c>
      <c r="J264" s="23" t="n">
        <f aca="false">Summary!$B$4</f>
        <v>1</v>
      </c>
      <c r="K264" s="11" t="n">
        <f aca="false">I264*J264*IF(A264="SILVER",Summary!$B$5,Summary!$B$6)</f>
        <v>-489960</v>
      </c>
      <c r="L264" s="24" t="n">
        <v>-1.073</v>
      </c>
      <c r="M264" s="25" t="n">
        <f aca="false">IF(K264&gt;0,1,0)</f>
        <v>0</v>
      </c>
      <c r="N264" s="11" t="n">
        <f aca="false">SUMIFS(K$2:K264,A$2:A264,A264,B$2:B264,B264)</f>
        <v>5833015</v>
      </c>
      <c r="O264" s="11" t="n">
        <f aca="false">MAX(0,_xlfn.MAXIFS(N$2:N264,A$2:A264,A264,B$2:B264,B264))</f>
        <v>6322975</v>
      </c>
      <c r="P264" s="11" t="n">
        <f aca="false">N264-O264</f>
        <v>-489960</v>
      </c>
    </row>
    <row r="265" customFormat="false" ht="15" hidden="false" customHeight="false" outlineLevel="0" collapsed="false">
      <c r="A265" s="8" t="s">
        <v>34</v>
      </c>
      <c r="B265" s="8" t="s">
        <v>30</v>
      </c>
      <c r="C265" s="8" t="s">
        <v>49</v>
      </c>
      <c r="D265" s="19" t="n">
        <v>46283.5</v>
      </c>
      <c r="E265" s="19" t="n">
        <v>46288.9784722222</v>
      </c>
      <c r="F265" s="20" t="n">
        <f aca="false">DATE(YEAR(E265),MONTH(E265),1)</f>
        <v>46266</v>
      </c>
      <c r="G265" s="21" t="n">
        <v>154040</v>
      </c>
      <c r="H265" s="8" t="s">
        <v>52</v>
      </c>
      <c r="I265" s="22" t="n">
        <v>-2720.54</v>
      </c>
      <c r="J265" s="23" t="n">
        <f aca="false">Summary!$B$4</f>
        <v>1</v>
      </c>
      <c r="K265" s="11" t="n">
        <f aca="false">I265*J265*IF(A265="SILVER",Summary!$B$5,Summary!$B$6)</f>
        <v>-272054</v>
      </c>
      <c r="L265" s="24" t="n">
        <v>-0.667</v>
      </c>
      <c r="M265" s="25" t="n">
        <f aca="false">IF(K265&gt;0,1,0)</f>
        <v>0</v>
      </c>
      <c r="N265" s="11" t="n">
        <f aca="false">SUMIFS(K$2:K265,A$2:A265,A265,B$2:B265,B265)</f>
        <v>5560961</v>
      </c>
      <c r="O265" s="11" t="n">
        <f aca="false">MAX(0,_xlfn.MAXIFS(N$2:N265,A$2:A265,A265,B$2:B265,B265))</f>
        <v>6322975</v>
      </c>
      <c r="P265" s="11" t="n">
        <f aca="false">N265-O265</f>
        <v>-762014</v>
      </c>
    </row>
    <row r="266" customFormat="false" ht="15" hidden="false" customHeight="false" outlineLevel="0" collapsed="false">
      <c r="A266" s="8" t="s">
        <v>34</v>
      </c>
      <c r="B266" s="8" t="s">
        <v>32</v>
      </c>
      <c r="C266" s="8" t="s">
        <v>49</v>
      </c>
      <c r="D266" s="19" t="n">
        <v>45707.625</v>
      </c>
      <c r="E266" s="19" t="n">
        <v>45713.9166666667</v>
      </c>
      <c r="F266" s="20" t="n">
        <f aca="false">DATE(YEAR(E266),MONTH(E266),1)</f>
        <v>45689</v>
      </c>
      <c r="G266" s="21" t="n">
        <v>107037</v>
      </c>
      <c r="H266" s="8" t="s">
        <v>50</v>
      </c>
      <c r="I266" s="22" t="n">
        <v>-1170.18</v>
      </c>
      <c r="J266" s="23" t="n">
        <f aca="false">Summary!$B$4</f>
        <v>1</v>
      </c>
      <c r="K266" s="11" t="n">
        <f aca="false">I266*J266*IF(A266="SILVER",Summary!$B$5,Summary!$B$6)</f>
        <v>-117018</v>
      </c>
      <c r="L266" s="24" t="n">
        <v>-1.003</v>
      </c>
      <c r="M266" s="25" t="n">
        <f aca="false">IF(K266&gt;0,1,0)</f>
        <v>0</v>
      </c>
      <c r="N266" s="11" t="n">
        <f aca="false">SUMIFS(K$2:K266,A$2:A266,A266,B$2:B266,B266)</f>
        <v>-117018</v>
      </c>
      <c r="O266" s="11" t="n">
        <f aca="false">MAX(0,_xlfn.MAXIFS(N$2:N266,A$2:A266,A266,B$2:B266,B266))</f>
        <v>0</v>
      </c>
      <c r="P266" s="11" t="n">
        <f aca="false">N266-O266</f>
        <v>-117018</v>
      </c>
    </row>
    <row r="267" customFormat="false" ht="15" hidden="false" customHeight="false" outlineLevel="0" collapsed="false">
      <c r="A267" s="8" t="s">
        <v>34</v>
      </c>
      <c r="B267" s="8" t="s">
        <v>32</v>
      </c>
      <c r="C267" s="8" t="s">
        <v>49</v>
      </c>
      <c r="D267" s="19" t="n">
        <v>45720.5833333333</v>
      </c>
      <c r="E267" s="19" t="n">
        <v>45737.8333333333</v>
      </c>
      <c r="F267" s="20" t="n">
        <f aca="false">DATE(YEAR(E267),MONTH(E267),1)</f>
        <v>45717</v>
      </c>
      <c r="G267" s="21" t="n">
        <v>106664</v>
      </c>
      <c r="H267" s="8" t="s">
        <v>50</v>
      </c>
      <c r="I267" s="22" t="n">
        <v>1389.64</v>
      </c>
      <c r="J267" s="23" t="n">
        <f aca="false">Summary!$B$4</f>
        <v>1</v>
      </c>
      <c r="K267" s="11" t="n">
        <f aca="false">I267*J267*IF(A267="SILVER",Summary!$B$5,Summary!$B$6)</f>
        <v>138964</v>
      </c>
      <c r="L267" s="24" t="n">
        <v>0.867</v>
      </c>
      <c r="M267" s="25" t="n">
        <f aca="false">IF(K267&gt;0,1,0)</f>
        <v>1</v>
      </c>
      <c r="N267" s="11" t="n">
        <f aca="false">SUMIFS(K$2:K267,A$2:A267,A267,B$2:B267,B267)</f>
        <v>21946</v>
      </c>
      <c r="O267" s="11" t="n">
        <f aca="false">MAX(0,_xlfn.MAXIFS(N$2:N267,A$2:A267,A267,B$2:B267,B267))</f>
        <v>21946</v>
      </c>
      <c r="P267" s="11" t="n">
        <f aca="false">N267-O267</f>
        <v>0</v>
      </c>
    </row>
    <row r="268" customFormat="false" ht="15" hidden="false" customHeight="false" outlineLevel="0" collapsed="false">
      <c r="A268" s="8" t="s">
        <v>34</v>
      </c>
      <c r="B268" s="8" t="s">
        <v>32</v>
      </c>
      <c r="C268" s="8" t="s">
        <v>49</v>
      </c>
      <c r="D268" s="19" t="n">
        <v>45783.4583333333</v>
      </c>
      <c r="E268" s="19" t="n">
        <v>45785.4784722222</v>
      </c>
      <c r="F268" s="20" t="n">
        <f aca="false">DATE(YEAR(E268),MONTH(E268),1)</f>
        <v>45778</v>
      </c>
      <c r="G268" s="21" t="n">
        <v>117143</v>
      </c>
      <c r="H268" s="8" t="s">
        <v>53</v>
      </c>
      <c r="I268" s="22" t="n">
        <v>207.41</v>
      </c>
      <c r="J268" s="23" t="n">
        <f aca="false">Summary!$B$4</f>
        <v>1</v>
      </c>
      <c r="K268" s="11" t="n">
        <f aca="false">I268*J268*IF(A268="SILVER",Summary!$B$5,Summary!$B$6)</f>
        <v>20741</v>
      </c>
      <c r="L268" s="24" t="n">
        <v>0.088</v>
      </c>
      <c r="M268" s="25" t="n">
        <f aca="false">IF(K268&gt;0,1,0)</f>
        <v>1</v>
      </c>
      <c r="N268" s="11" t="n">
        <f aca="false">SUMIFS(K$2:K268,A$2:A268,A268,B$2:B268,B268)</f>
        <v>42687</v>
      </c>
      <c r="O268" s="11" t="n">
        <f aca="false">MAX(0,_xlfn.MAXIFS(N$2:N268,A$2:A268,A268,B$2:B268,B268))</f>
        <v>42687</v>
      </c>
      <c r="P268" s="11" t="n">
        <f aca="false">N268-O268</f>
        <v>0</v>
      </c>
    </row>
    <row r="269" customFormat="false" ht="15" hidden="false" customHeight="false" outlineLevel="0" collapsed="false">
      <c r="A269" s="8" t="s">
        <v>34</v>
      </c>
      <c r="B269" s="8" t="s">
        <v>32</v>
      </c>
      <c r="C269" s="8" t="s">
        <v>49</v>
      </c>
      <c r="D269" s="19" t="n">
        <v>45796.625</v>
      </c>
      <c r="E269" s="19" t="n">
        <v>45806.4173611111</v>
      </c>
      <c r="F269" s="20" t="n">
        <f aca="false">DATE(YEAR(E269),MONTH(E269),1)</f>
        <v>45778</v>
      </c>
      <c r="G269" s="21" t="n">
        <v>114770</v>
      </c>
      <c r="H269" s="8" t="s">
        <v>50</v>
      </c>
      <c r="I269" s="22" t="n">
        <v>1013.18</v>
      </c>
      <c r="J269" s="23" t="n">
        <f aca="false">Summary!$B$4</f>
        <v>1</v>
      </c>
      <c r="K269" s="11" t="n">
        <f aca="false">I269*J269*IF(A269="SILVER",Summary!$B$5,Summary!$B$6)</f>
        <v>101318</v>
      </c>
      <c r="L269" s="24" t="n">
        <v>0.423</v>
      </c>
      <c r="M269" s="25" t="n">
        <f aca="false">IF(K269&gt;0,1,0)</f>
        <v>1</v>
      </c>
      <c r="N269" s="11" t="n">
        <f aca="false">SUMIFS(K$2:K269,A$2:A269,A269,B$2:B269,B269)</f>
        <v>144005</v>
      </c>
      <c r="O269" s="11" t="n">
        <f aca="false">MAX(0,_xlfn.MAXIFS(N$2:N269,A$2:A269,A269,B$2:B269,B269))</f>
        <v>144005</v>
      </c>
      <c r="P269" s="11" t="n">
        <f aca="false">N269-O269</f>
        <v>0</v>
      </c>
    </row>
    <row r="270" customFormat="false" ht="15" hidden="false" customHeight="false" outlineLevel="0" collapsed="false">
      <c r="A270" s="8" t="s">
        <v>34</v>
      </c>
      <c r="B270" s="8" t="s">
        <v>32</v>
      </c>
      <c r="C270" s="8" t="s">
        <v>49</v>
      </c>
      <c r="D270" s="19" t="n">
        <v>45820.7083333333</v>
      </c>
      <c r="E270" s="19" t="n">
        <v>45828.5090277778</v>
      </c>
      <c r="F270" s="20" t="n">
        <f aca="false">DATE(YEAR(E270),MONTH(E270),1)</f>
        <v>45809</v>
      </c>
      <c r="G270" s="21" t="n">
        <v>118168</v>
      </c>
      <c r="H270" s="8" t="s">
        <v>53</v>
      </c>
      <c r="I270" s="22" t="n">
        <v>157.54</v>
      </c>
      <c r="J270" s="23" t="n">
        <f aca="false">Summary!$B$4</f>
        <v>1</v>
      </c>
      <c r="K270" s="11" t="n">
        <f aca="false">I270*J270*IF(A270="SILVER",Summary!$B$5,Summary!$B$6)</f>
        <v>15754</v>
      </c>
      <c r="L270" s="24" t="n">
        <v>0.084</v>
      </c>
      <c r="M270" s="25" t="n">
        <f aca="false">IF(K270&gt;0,1,0)</f>
        <v>1</v>
      </c>
      <c r="N270" s="11" t="n">
        <f aca="false">SUMIFS(K$2:K270,A$2:A270,A270,B$2:B270,B270)</f>
        <v>159759</v>
      </c>
      <c r="O270" s="11" t="n">
        <f aca="false">MAX(0,_xlfn.MAXIFS(N$2:N270,A$2:A270,A270,B$2:B270,B270))</f>
        <v>159759</v>
      </c>
      <c r="P270" s="11" t="n">
        <f aca="false">N270-O270</f>
        <v>0</v>
      </c>
    </row>
    <row r="271" customFormat="false" ht="15" hidden="false" customHeight="false" outlineLevel="0" collapsed="false">
      <c r="A271" s="8" t="s">
        <v>34</v>
      </c>
      <c r="B271" s="8" t="s">
        <v>32</v>
      </c>
      <c r="C271" s="8" t="s">
        <v>49</v>
      </c>
      <c r="D271" s="19" t="n">
        <v>45849.4583333333</v>
      </c>
      <c r="E271" s="19" t="n">
        <v>45852.8402777778</v>
      </c>
      <c r="F271" s="20" t="n">
        <f aca="false">DATE(YEAR(E271),MONTH(E271),1)</f>
        <v>45839</v>
      </c>
      <c r="G271" s="21" t="n">
        <v>117411</v>
      </c>
      <c r="H271" s="8" t="s">
        <v>53</v>
      </c>
      <c r="I271" s="22" t="n">
        <v>118.06</v>
      </c>
      <c r="J271" s="23" t="n">
        <f aca="false">Summary!$B$4</f>
        <v>1</v>
      </c>
      <c r="K271" s="11" t="n">
        <f aca="false">I271*J271*IF(A271="SILVER",Summary!$B$5,Summary!$B$6)</f>
        <v>11806</v>
      </c>
      <c r="L271" s="24" t="n">
        <v>0.08</v>
      </c>
      <c r="M271" s="25" t="n">
        <f aca="false">IF(K271&gt;0,1,0)</f>
        <v>1</v>
      </c>
      <c r="N271" s="11" t="n">
        <f aca="false">SUMIFS(K$2:K271,A$2:A271,A271,B$2:B271,B271)</f>
        <v>171565</v>
      </c>
      <c r="O271" s="11" t="n">
        <f aca="false">MAX(0,_xlfn.MAXIFS(N$2:N271,A$2:A271,A271,B$2:B271,B271))</f>
        <v>171565</v>
      </c>
      <c r="P271" s="11" t="n">
        <f aca="false">N271-O271</f>
        <v>0</v>
      </c>
    </row>
    <row r="272" customFormat="false" ht="15" hidden="false" customHeight="false" outlineLevel="0" collapsed="false">
      <c r="A272" s="8" t="s">
        <v>34</v>
      </c>
      <c r="B272" s="8" t="s">
        <v>32</v>
      </c>
      <c r="C272" s="8" t="s">
        <v>49</v>
      </c>
      <c r="D272" s="19" t="n">
        <v>45859.5</v>
      </c>
      <c r="E272" s="19" t="n">
        <v>45862.4166666667</v>
      </c>
      <c r="F272" s="20" t="n">
        <f aca="false">DATE(YEAR(E272),MONTH(E272),1)</f>
        <v>45839</v>
      </c>
      <c r="G272" s="21" t="n">
        <v>118432</v>
      </c>
      <c r="H272" s="8" t="s">
        <v>50</v>
      </c>
      <c r="I272" s="22" t="n">
        <v>466.25</v>
      </c>
      <c r="J272" s="23" t="n">
        <f aca="false">Summary!$B$4</f>
        <v>1</v>
      </c>
      <c r="K272" s="11" t="n">
        <f aca="false">I272*J272*IF(A272="SILVER",Summary!$B$5,Summary!$B$6)</f>
        <v>46625</v>
      </c>
      <c r="L272" s="24" t="n">
        <v>0.403</v>
      </c>
      <c r="M272" s="25" t="n">
        <f aca="false">IF(K272&gt;0,1,0)</f>
        <v>1</v>
      </c>
      <c r="N272" s="11" t="n">
        <f aca="false">SUMIFS(K$2:K272,A$2:A272,A272,B$2:B272,B272)</f>
        <v>218190</v>
      </c>
      <c r="O272" s="11" t="n">
        <f aca="false">MAX(0,_xlfn.MAXIFS(N$2:N272,A$2:A272,A272,B$2:B272,B272))</f>
        <v>218190</v>
      </c>
      <c r="P272" s="11" t="n">
        <f aca="false">N272-O272</f>
        <v>0</v>
      </c>
    </row>
    <row r="273" customFormat="false" ht="15" hidden="false" customHeight="false" outlineLevel="0" collapsed="false">
      <c r="A273" s="8" t="s">
        <v>34</v>
      </c>
      <c r="B273" s="8" t="s">
        <v>32</v>
      </c>
      <c r="C273" s="8" t="s">
        <v>49</v>
      </c>
      <c r="D273" s="19" t="n">
        <v>45868.625</v>
      </c>
      <c r="E273" s="19" t="n">
        <v>45880.75</v>
      </c>
      <c r="F273" s="20" t="n">
        <f aca="false">DATE(YEAR(E273),MONTH(E273),1)</f>
        <v>45870</v>
      </c>
      <c r="G273" s="21" t="n">
        <v>118663</v>
      </c>
      <c r="H273" s="8" t="s">
        <v>50</v>
      </c>
      <c r="I273" s="22" t="n">
        <v>1479.09</v>
      </c>
      <c r="J273" s="23" t="n">
        <f aca="false">Summary!$B$4</f>
        <v>1</v>
      </c>
      <c r="K273" s="11" t="n">
        <f aca="false">I273*J273*IF(A273="SILVER",Summary!$B$5,Summary!$B$6)</f>
        <v>147909</v>
      </c>
      <c r="L273" s="24" t="n">
        <v>1.108</v>
      </c>
      <c r="M273" s="25" t="n">
        <f aca="false">IF(K273&gt;0,1,0)</f>
        <v>1</v>
      </c>
      <c r="N273" s="11" t="n">
        <f aca="false">SUMIFS(K$2:K273,A$2:A273,A273,B$2:B273,B273)</f>
        <v>366099</v>
      </c>
      <c r="O273" s="11" t="n">
        <f aca="false">MAX(0,_xlfn.MAXIFS(N$2:N273,A$2:A273,A273,B$2:B273,B273))</f>
        <v>366099</v>
      </c>
      <c r="P273" s="11" t="n">
        <f aca="false">N273-O273</f>
        <v>0</v>
      </c>
    </row>
    <row r="274" customFormat="false" ht="15" hidden="false" customHeight="false" outlineLevel="0" collapsed="false">
      <c r="A274" s="8" t="s">
        <v>34</v>
      </c>
      <c r="B274" s="8" t="s">
        <v>32</v>
      </c>
      <c r="C274" s="8" t="s">
        <v>49</v>
      </c>
      <c r="D274" s="19" t="n">
        <v>45891.875</v>
      </c>
      <c r="E274" s="19" t="n">
        <v>45918.5</v>
      </c>
      <c r="F274" s="20" t="n">
        <f aca="false">DATE(YEAR(E274),MONTH(E274),1)</f>
        <v>45901</v>
      </c>
      <c r="G274" s="21" t="n">
        <v>120164</v>
      </c>
      <c r="H274" s="8" t="s">
        <v>50</v>
      </c>
      <c r="I274" s="22" t="n">
        <v>8384.08</v>
      </c>
      <c r="J274" s="23" t="n">
        <f aca="false">Summary!$B$4</f>
        <v>1</v>
      </c>
      <c r="K274" s="11" t="n">
        <f aca="false">I274*J274*IF(A274="SILVER",Summary!$B$5,Summary!$B$6)</f>
        <v>838408</v>
      </c>
      <c r="L274" s="24" t="n">
        <v>5.983</v>
      </c>
      <c r="M274" s="25" t="n">
        <f aca="false">IF(K274&gt;0,1,0)</f>
        <v>1</v>
      </c>
      <c r="N274" s="11" t="n">
        <f aca="false">SUMIFS(K$2:K274,A$2:A274,A274,B$2:B274,B274)</f>
        <v>1204507</v>
      </c>
      <c r="O274" s="11" t="n">
        <f aca="false">MAX(0,_xlfn.MAXIFS(N$2:N274,A$2:A274,A274,B$2:B274,B274))</f>
        <v>1204507</v>
      </c>
      <c r="P274" s="11" t="n">
        <f aca="false">N274-O274</f>
        <v>0</v>
      </c>
    </row>
    <row r="275" customFormat="false" ht="15" hidden="false" customHeight="false" outlineLevel="0" collapsed="false">
      <c r="A275" s="8" t="s">
        <v>34</v>
      </c>
      <c r="B275" s="8" t="s">
        <v>32</v>
      </c>
      <c r="C275" s="8" t="s">
        <v>49</v>
      </c>
      <c r="D275" s="19" t="n">
        <v>45922.5</v>
      </c>
      <c r="E275" s="19" t="n">
        <v>45939.9583333333</v>
      </c>
      <c r="F275" s="20" t="n">
        <f aca="false">DATE(YEAR(E275),MONTH(E275),1)</f>
        <v>45931</v>
      </c>
      <c r="G275" s="21" t="n">
        <v>130596</v>
      </c>
      <c r="H275" s="8" t="s">
        <v>50</v>
      </c>
      <c r="I275" s="22" t="n">
        <v>8277.72</v>
      </c>
      <c r="J275" s="23" t="n">
        <f aca="false">Summary!$B$4</f>
        <v>1</v>
      </c>
      <c r="K275" s="11" t="n">
        <f aca="false">I275*J275*IF(A275="SILVER",Summary!$B$5,Summary!$B$6)</f>
        <v>827772</v>
      </c>
      <c r="L275" s="24" t="n">
        <v>4.689</v>
      </c>
      <c r="M275" s="25" t="n">
        <f aca="false">IF(K275&gt;0,1,0)</f>
        <v>1</v>
      </c>
      <c r="N275" s="11" t="n">
        <f aca="false">SUMIFS(K$2:K275,A$2:A275,A275,B$2:B275,B275)</f>
        <v>2032279</v>
      </c>
      <c r="O275" s="11" t="n">
        <f aca="false">MAX(0,_xlfn.MAXIFS(N$2:N275,A$2:A275,A275,B$2:B275,B275))</f>
        <v>2032279</v>
      </c>
      <c r="P275" s="11" t="n">
        <f aca="false">N275-O275</f>
        <v>0</v>
      </c>
    </row>
    <row r="276" customFormat="false" ht="15" hidden="false" customHeight="false" outlineLevel="0" collapsed="false">
      <c r="A276" s="8" t="s">
        <v>34</v>
      </c>
      <c r="B276" s="8" t="s">
        <v>32</v>
      </c>
      <c r="C276" s="8" t="s">
        <v>49</v>
      </c>
      <c r="D276" s="19" t="n">
        <v>45971.5416666667</v>
      </c>
      <c r="E276" s="19" t="n">
        <v>45975.75</v>
      </c>
      <c r="F276" s="20" t="n">
        <f aca="false">DATE(YEAR(E276),MONTH(E276),1)</f>
        <v>45962</v>
      </c>
      <c r="G276" s="21" t="n">
        <v>141355</v>
      </c>
      <c r="H276" s="8" t="s">
        <v>50</v>
      </c>
      <c r="I276" s="22" t="n">
        <v>1033.28</v>
      </c>
      <c r="J276" s="23" t="n">
        <f aca="false">Summary!$B$4</f>
        <v>1</v>
      </c>
      <c r="K276" s="11" t="n">
        <f aca="false">I276*J276*IF(A276="SILVER",Summary!$B$5,Summary!$B$6)</f>
        <v>103328</v>
      </c>
      <c r="L276" s="24" t="n">
        <v>0.394</v>
      </c>
      <c r="M276" s="25" t="n">
        <f aca="false">IF(K276&gt;0,1,0)</f>
        <v>1</v>
      </c>
      <c r="N276" s="11" t="n">
        <f aca="false">SUMIFS(K$2:K276,A$2:A276,A276,B$2:B276,B276)</f>
        <v>2135607</v>
      </c>
      <c r="O276" s="11" t="n">
        <f aca="false">MAX(0,_xlfn.MAXIFS(N$2:N276,A$2:A276,A276,B$2:B276,B276))</f>
        <v>2135607</v>
      </c>
      <c r="P276" s="11" t="n">
        <f aca="false">N276-O276</f>
        <v>0</v>
      </c>
    </row>
    <row r="277" customFormat="false" ht="15" hidden="false" customHeight="false" outlineLevel="0" collapsed="false">
      <c r="A277" s="8" t="s">
        <v>34</v>
      </c>
      <c r="B277" s="8" t="s">
        <v>32</v>
      </c>
      <c r="C277" s="8" t="s">
        <v>49</v>
      </c>
      <c r="D277" s="19" t="n">
        <v>46028.4583333333</v>
      </c>
      <c r="E277" s="19" t="n">
        <v>46044.4166666667</v>
      </c>
      <c r="F277" s="20" t="n">
        <f aca="false">DATE(YEAR(E277),MONTH(E277),1)</f>
        <v>46023</v>
      </c>
      <c r="G277" s="21" t="n">
        <v>155576</v>
      </c>
      <c r="H277" s="8" t="s">
        <v>50</v>
      </c>
      <c r="I277" s="22" t="n">
        <v>10973.17</v>
      </c>
      <c r="J277" s="23" t="n">
        <f aca="false">Summary!$B$4</f>
        <v>1</v>
      </c>
      <c r="K277" s="11" t="n">
        <f aca="false">I277*J277*IF(A277="SILVER",Summary!$B$5,Summary!$B$6)</f>
        <v>1097317</v>
      </c>
      <c r="L277" s="24" t="n">
        <v>3.612</v>
      </c>
      <c r="M277" s="25" t="n">
        <f aca="false">IF(K277&gt;0,1,0)</f>
        <v>1</v>
      </c>
      <c r="N277" s="11" t="n">
        <f aca="false">SUMIFS(K$2:K277,A$2:A277,A277,B$2:B277,B277)</f>
        <v>3232924</v>
      </c>
      <c r="O277" s="11" t="n">
        <f aca="false">MAX(0,_xlfn.MAXIFS(N$2:N277,A$2:A277,A277,B$2:B277,B277))</f>
        <v>3232924</v>
      </c>
      <c r="P277" s="11" t="n">
        <f aca="false">N277-O277</f>
        <v>0</v>
      </c>
    </row>
    <row r="278" customFormat="false" ht="15" hidden="false" customHeight="false" outlineLevel="0" collapsed="false">
      <c r="A278" s="8" t="s">
        <v>34</v>
      </c>
      <c r="B278" s="8" t="s">
        <v>32</v>
      </c>
      <c r="C278" s="8" t="s">
        <v>51</v>
      </c>
      <c r="D278" s="19" t="n">
        <v>46084.7916666667</v>
      </c>
      <c r="E278" s="19" t="n">
        <v>46085.375</v>
      </c>
      <c r="F278" s="20" t="n">
        <f aca="false">DATE(YEAR(E278),MONTH(E278),1)</f>
        <v>46082</v>
      </c>
      <c r="G278" s="21" t="n">
        <v>171063</v>
      </c>
      <c r="H278" s="8" t="s">
        <v>53</v>
      </c>
      <c r="I278" s="22" t="n">
        <v>254.3</v>
      </c>
      <c r="J278" s="23" t="n">
        <f aca="false">Summary!$B$4</f>
        <v>1</v>
      </c>
      <c r="K278" s="11" t="n">
        <f aca="false">I278*J278*IF(A278="SILVER",Summary!$B$5,Summary!$B$6)</f>
        <v>25430</v>
      </c>
      <c r="L278" s="24" t="n">
        <v>0.039</v>
      </c>
      <c r="M278" s="25" t="n">
        <f aca="false">IF(K278&gt;0,1,0)</f>
        <v>1</v>
      </c>
      <c r="N278" s="11" t="n">
        <f aca="false">SUMIFS(K$2:K278,A$2:A278,A278,B$2:B278,B278)</f>
        <v>3258354</v>
      </c>
      <c r="O278" s="11" t="n">
        <f aca="false">MAX(0,_xlfn.MAXIFS(N$2:N278,A$2:A278,A278,B$2:B278,B278))</f>
        <v>3258354</v>
      </c>
      <c r="P278" s="11" t="n">
        <f aca="false">N278-O278</f>
        <v>0</v>
      </c>
    </row>
    <row r="279" customFormat="false" ht="15" hidden="false" customHeight="false" outlineLevel="0" collapsed="false">
      <c r="A279" s="8" t="s">
        <v>34</v>
      </c>
      <c r="B279" s="8" t="s">
        <v>32</v>
      </c>
      <c r="C279" s="8" t="s">
        <v>51</v>
      </c>
      <c r="D279" s="19" t="n">
        <v>46162.4583333333</v>
      </c>
      <c r="E279" s="19" t="n">
        <v>46188.4166666667</v>
      </c>
      <c r="F279" s="20" t="n">
        <f aca="false">DATE(YEAR(E279),MONTH(E279),1)</f>
        <v>46174</v>
      </c>
      <c r="G279" s="21" t="n">
        <v>162620</v>
      </c>
      <c r="H279" s="8" t="s">
        <v>50</v>
      </c>
      <c r="I279" s="22" t="n">
        <v>6733.23</v>
      </c>
      <c r="J279" s="23" t="n">
        <f aca="false">Summary!$B$4</f>
        <v>1</v>
      </c>
      <c r="K279" s="11" t="n">
        <f aca="false">I279*J279*IF(A279="SILVER",Summary!$B$5,Summary!$B$6)</f>
        <v>673323</v>
      </c>
      <c r="L279" s="24" t="n">
        <v>1.908</v>
      </c>
      <c r="M279" s="25" t="n">
        <f aca="false">IF(K279&gt;0,1,0)</f>
        <v>1</v>
      </c>
      <c r="N279" s="11" t="n">
        <f aca="false">SUMIFS(K$2:K279,A$2:A279,A279,B$2:B279,B279)</f>
        <v>3931677</v>
      </c>
      <c r="O279" s="11" t="n">
        <f aca="false">MAX(0,_xlfn.MAXIFS(N$2:N279,A$2:A279,A279,B$2:B279,B279))</f>
        <v>3931677</v>
      </c>
      <c r="P279" s="11" t="n">
        <f aca="false">N279-O279</f>
        <v>0</v>
      </c>
    </row>
    <row r="280" customFormat="false" ht="15" hidden="false" customHeight="false" outlineLevel="0" collapsed="false">
      <c r="A280" s="8" t="s">
        <v>34</v>
      </c>
      <c r="B280" s="8" t="s">
        <v>32</v>
      </c>
      <c r="C280" s="8" t="s">
        <v>51</v>
      </c>
      <c r="D280" s="19" t="n">
        <v>46191.625</v>
      </c>
      <c r="E280" s="19" t="n">
        <v>46204.8333333333</v>
      </c>
      <c r="F280" s="20" t="n">
        <f aca="false">DATE(YEAR(E280),MONTH(E280),1)</f>
        <v>46204</v>
      </c>
      <c r="G280" s="21" t="n">
        <v>153156</v>
      </c>
      <c r="H280" s="8" t="s">
        <v>50</v>
      </c>
      <c r="I280" s="22" t="n">
        <v>5449.44</v>
      </c>
      <c r="J280" s="23" t="n">
        <f aca="false">Summary!$B$4</f>
        <v>1</v>
      </c>
      <c r="K280" s="11" t="n">
        <f aca="false">I280*J280*IF(A280="SILVER",Summary!$B$5,Summary!$B$6)</f>
        <v>544944</v>
      </c>
      <c r="L280" s="24" t="n">
        <v>1.516</v>
      </c>
      <c r="M280" s="25" t="n">
        <f aca="false">IF(K280&gt;0,1,0)</f>
        <v>1</v>
      </c>
      <c r="N280" s="11" t="n">
        <f aca="false">SUMIFS(K$2:K280,A$2:A280,A280,B$2:B280,B280)</f>
        <v>4476621</v>
      </c>
      <c r="O280" s="11" t="n">
        <f aca="false">MAX(0,_xlfn.MAXIFS(N$2:N280,A$2:A280,A280,B$2:B280,B280))</f>
        <v>4476621</v>
      </c>
      <c r="P280" s="11" t="n">
        <f aca="false">N280-O280</f>
        <v>0</v>
      </c>
    </row>
    <row r="281" customFormat="false" ht="15" hidden="false" customHeight="false" outlineLevel="0" collapsed="false">
      <c r="A281" s="8" t="s">
        <v>34</v>
      </c>
      <c r="B281" s="8" t="s">
        <v>32</v>
      </c>
      <c r="C281" s="8" t="s">
        <v>51</v>
      </c>
      <c r="D281" s="19" t="n">
        <v>46211.6673611111</v>
      </c>
      <c r="E281" s="19" t="n">
        <v>46217.7506944445</v>
      </c>
      <c r="F281" s="20" t="n">
        <f aca="false">DATE(YEAR(E281),MONTH(E281),1)</f>
        <v>46204</v>
      </c>
      <c r="G281" s="21" t="n">
        <v>145784</v>
      </c>
      <c r="H281" s="8" t="s">
        <v>53</v>
      </c>
      <c r="I281" s="22" t="n">
        <v>292.37</v>
      </c>
      <c r="J281" s="23" t="n">
        <f aca="false">Summary!$B$4</f>
        <v>1</v>
      </c>
      <c r="K281" s="11" t="n">
        <f aca="false">I281*J281*IF(A281="SILVER",Summary!$B$5,Summary!$B$6)</f>
        <v>29237</v>
      </c>
      <c r="L281" s="24" t="n">
        <v>0.088</v>
      </c>
      <c r="M281" s="25" t="n">
        <f aca="false">IF(K281&gt;0,1,0)</f>
        <v>1</v>
      </c>
      <c r="N281" s="11" t="n">
        <f aca="false">SUMIFS(K$2:K281,A$2:A281,A281,B$2:B281,B281)</f>
        <v>4505858</v>
      </c>
      <c r="O281" s="11" t="n">
        <f aca="false">MAX(0,_xlfn.MAXIFS(N$2:N281,A$2:A281,A281,B$2:B281,B281))</f>
        <v>4505858</v>
      </c>
      <c r="P281" s="11" t="n">
        <f aca="false">N281-O281</f>
        <v>0</v>
      </c>
    </row>
    <row r="282" customFormat="false" ht="15" hidden="false" customHeight="false" outlineLevel="0" collapsed="false">
      <c r="A282" s="8" t="s">
        <v>34</v>
      </c>
      <c r="B282" s="8" t="s">
        <v>32</v>
      </c>
      <c r="C282" s="8" t="s">
        <v>51</v>
      </c>
      <c r="D282" s="19" t="n">
        <v>46226.8333333333</v>
      </c>
      <c r="E282" s="19" t="n">
        <v>46233.6645833333</v>
      </c>
      <c r="F282" s="20" t="n">
        <f aca="false">DATE(YEAR(E282),MONTH(E282),1)</f>
        <v>46204</v>
      </c>
      <c r="G282" s="21" t="n">
        <v>145671</v>
      </c>
      <c r="H282" s="8" t="s">
        <v>53</v>
      </c>
      <c r="I282" s="22" t="n">
        <v>237.7</v>
      </c>
      <c r="J282" s="23" t="n">
        <f aca="false">Summary!$B$4</f>
        <v>1</v>
      </c>
      <c r="K282" s="11" t="n">
        <f aca="false">I282*J282*IF(A282="SILVER",Summary!$B$5,Summary!$B$6)</f>
        <v>23770</v>
      </c>
      <c r="L282" s="24" t="n">
        <v>0.086</v>
      </c>
      <c r="M282" s="25" t="n">
        <f aca="false">IF(K282&gt;0,1,0)</f>
        <v>1</v>
      </c>
      <c r="N282" s="11" t="n">
        <f aca="false">SUMIFS(K$2:K282,A$2:A282,A282,B$2:B282,B282)</f>
        <v>4529628</v>
      </c>
      <c r="O282" s="11" t="n">
        <f aca="false">MAX(0,_xlfn.MAXIFS(N$2:N282,A$2:A282,A282,B$2:B282,B282))</f>
        <v>4529628</v>
      </c>
      <c r="P282" s="11" t="n">
        <f aca="false">N282-O282</f>
        <v>0</v>
      </c>
    </row>
    <row r="283" customFormat="false" ht="15" hidden="false" customHeight="false" outlineLevel="0" collapsed="false">
      <c r="A283" s="8" t="s">
        <v>34</v>
      </c>
      <c r="B283" s="8" t="s">
        <v>32</v>
      </c>
      <c r="C283" s="8" t="s">
        <v>49</v>
      </c>
      <c r="D283" s="19" t="n">
        <v>46283.5416666667</v>
      </c>
      <c r="E283" s="19" t="n">
        <v>46288.9784722222</v>
      </c>
      <c r="F283" s="20" t="n">
        <f aca="false">DATE(YEAR(E283),MONTH(E283),1)</f>
        <v>46266</v>
      </c>
      <c r="G283" s="21" t="n">
        <v>154270</v>
      </c>
      <c r="H283" s="8" t="s">
        <v>52</v>
      </c>
      <c r="I283" s="22" t="n">
        <v>-2950.56</v>
      </c>
      <c r="J283" s="23" t="n">
        <f aca="false">Summary!$B$4</f>
        <v>1</v>
      </c>
      <c r="K283" s="11" t="n">
        <f aca="false">I283*J283*IF(A283="SILVER",Summary!$B$5,Summary!$B$6)</f>
        <v>-295056</v>
      </c>
      <c r="L283" s="24" t="n">
        <v>-0.791</v>
      </c>
      <c r="M283" s="25" t="n">
        <f aca="false">IF(K283&gt;0,1,0)</f>
        <v>0</v>
      </c>
      <c r="N283" s="11" t="n">
        <f aca="false">SUMIFS(K$2:K283,A$2:A283,A283,B$2:B283,B283)</f>
        <v>4234572</v>
      </c>
      <c r="O283" s="11" t="n">
        <f aca="false">MAX(0,_xlfn.MAXIFS(N$2:N283,A$2:A283,A283,B$2:B283,B283))</f>
        <v>4529628</v>
      </c>
      <c r="P283" s="11" t="n">
        <f aca="false">N283-O283</f>
        <v>-295056</v>
      </c>
    </row>
  </sheetData>
  <autoFilter ref="A1:P28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7" min="2" style="0" width="13"/>
  </cols>
  <sheetData>
    <row r="1" customFormat="false" ht="17.35" hidden="false" customHeight="false" outlineLevel="0" collapsed="false">
      <c r="A1" s="1" t="s">
        <v>54</v>
      </c>
    </row>
    <row r="2" customFormat="false" ht="15" hidden="false" customHeight="false" outlineLevel="0" collapsed="false">
      <c r="A2" s="5" t="s">
        <v>55</v>
      </c>
    </row>
    <row r="3" customFormat="false" ht="30" hidden="false" customHeight="true" outlineLevel="0" collapsed="false">
      <c r="A3" s="6" t="s">
        <v>56</v>
      </c>
      <c r="B3" s="6" t="s">
        <v>57</v>
      </c>
      <c r="C3" s="6"/>
      <c r="D3" s="6"/>
      <c r="E3" s="6"/>
      <c r="F3" s="6" t="s">
        <v>58</v>
      </c>
      <c r="G3" s="6"/>
      <c r="H3" s="6"/>
      <c r="I3" s="6"/>
      <c r="J3" s="6" t="s">
        <v>59</v>
      </c>
      <c r="K3" s="6"/>
      <c r="L3" s="6"/>
      <c r="M3" s="6"/>
      <c r="N3" s="6" t="s">
        <v>60</v>
      </c>
      <c r="O3" s="6"/>
      <c r="P3" s="6"/>
      <c r="Q3" s="6"/>
    </row>
    <row r="4" customFormat="false" ht="15" hidden="false" customHeight="false" outlineLevel="0" collapsed="false">
      <c r="A4" s="6"/>
      <c r="B4" s="26" t="s">
        <v>12</v>
      </c>
      <c r="C4" s="26" t="s">
        <v>14</v>
      </c>
      <c r="D4" s="26" t="s">
        <v>15</v>
      </c>
      <c r="E4" s="26" t="s">
        <v>61</v>
      </c>
      <c r="F4" s="26" t="s">
        <v>12</v>
      </c>
      <c r="G4" s="26" t="s">
        <v>14</v>
      </c>
      <c r="H4" s="26" t="s">
        <v>15</v>
      </c>
      <c r="I4" s="26" t="s">
        <v>61</v>
      </c>
      <c r="J4" s="26" t="s">
        <v>12</v>
      </c>
      <c r="K4" s="26" t="s">
        <v>14</v>
      </c>
      <c r="L4" s="26" t="s">
        <v>15</v>
      </c>
      <c r="M4" s="26" t="s">
        <v>61</v>
      </c>
      <c r="N4" s="26" t="s">
        <v>12</v>
      </c>
      <c r="O4" s="26" t="s">
        <v>14</v>
      </c>
      <c r="P4" s="26" t="s">
        <v>15</v>
      </c>
      <c r="Q4" s="26" t="s">
        <v>61</v>
      </c>
    </row>
    <row r="5" customFormat="false" ht="15" hidden="false" customHeight="false" outlineLevel="0" collapsed="false">
      <c r="A5" s="27" t="n">
        <v>45658</v>
      </c>
      <c r="B5" s="9" t="n">
        <f aca="false">COUNTIFS(Trades!$A$2:$A$283,"SILVER",Trades!$B$2:$B$283,"V0",Trades!$F$2:$F$283,$A5)</f>
        <v>2</v>
      </c>
      <c r="C5" s="10" t="n">
        <f aca="false">IF(B5=0,"",COUNTIFS(Trades!$A$2:$A$283,"SILVER",Trades!$B$2:$B$283,"V0",Trades!$F$2:$F$283,$A5,Trades!$M$2:$M$283,1)/B5)</f>
        <v>0</v>
      </c>
      <c r="D5" s="11" t="n">
        <f aca="false">SUMIFS(Trades!$K$2:$K$283,Trades!$A$2:$A$283,"SILVER",Trades!$B$2:$B$283,"V0",Trades!$F$2:$F$283,$A5)</f>
        <v>-79423.2</v>
      </c>
      <c r="E5" s="11" t="n">
        <f aca="false">D5</f>
        <v>-79423.2</v>
      </c>
      <c r="F5" s="9" t="n">
        <f aca="false">COUNTIFS(Trades!$A$2:$A$283,"SILVER",Trades!$B$2:$B$283,"V1",Trades!$F$2:$F$283,$A5)</f>
        <v>0</v>
      </c>
      <c r="G5" s="10" t="str">
        <f aca="false">IF(F5=0,"",COUNTIFS(Trades!$A$2:$A$283,"SILVER",Trades!$B$2:$B$283,"V1",Trades!$F$2:$F$283,$A5,Trades!$M$2:$M$283,1)/F5)</f>
        <v/>
      </c>
      <c r="H5" s="11" t="n">
        <f aca="false">SUMIFS(Trades!$K$2:$K$283,Trades!$A$2:$A$283,"SILVER",Trades!$B$2:$B$283,"V1",Trades!$F$2:$F$283,$A5)</f>
        <v>0</v>
      </c>
      <c r="I5" s="11" t="n">
        <f aca="false">H5</f>
        <v>0</v>
      </c>
      <c r="J5" s="9" t="n">
        <f aca="false">COUNTIFS(Trades!$A$2:$A$283,"SILVER",Trades!$B$2:$B$283,"W8",Trades!$F$2:$F$283,$A5)</f>
        <v>0</v>
      </c>
      <c r="K5" s="10" t="str">
        <f aca="false">IF(J5=0,"",COUNTIFS(Trades!$A$2:$A$283,"SILVER",Trades!$B$2:$B$283,"W8",Trades!$F$2:$F$283,$A5,Trades!$M$2:$M$283,1)/J5)</f>
        <v/>
      </c>
      <c r="L5" s="11" t="n">
        <f aca="false">SUMIFS(Trades!$K$2:$K$283,Trades!$A$2:$A$283,"SILVER",Trades!$B$2:$B$283,"W8",Trades!$F$2:$F$283,$A5)</f>
        <v>0</v>
      </c>
      <c r="M5" s="11" t="n">
        <f aca="false">L5</f>
        <v>0</v>
      </c>
      <c r="N5" s="9" t="n">
        <f aca="false">COUNTIFS(Trades!$A$2:$A$283,"SILVER",Trades!$B$2:$B$283,"W8C",Trades!$F$2:$F$283,$A5)</f>
        <v>0</v>
      </c>
      <c r="O5" s="10" t="str">
        <f aca="false">IF(N5=0,"",COUNTIFS(Trades!$A$2:$A$283,"SILVER",Trades!$B$2:$B$283,"W8C",Trades!$F$2:$F$283,$A5,Trades!$M$2:$M$283,1)/N5)</f>
        <v/>
      </c>
      <c r="P5" s="11" t="n">
        <f aca="false">SUMIFS(Trades!$K$2:$K$283,Trades!$A$2:$A$283,"SILVER",Trades!$B$2:$B$283,"W8C",Trades!$F$2:$F$283,$A5)</f>
        <v>0</v>
      </c>
      <c r="Q5" s="11" t="n">
        <f aca="false">P5</f>
        <v>0</v>
      </c>
    </row>
    <row r="6" customFormat="false" ht="15" hidden="false" customHeight="false" outlineLevel="0" collapsed="false">
      <c r="A6" s="27" t="n">
        <v>45689</v>
      </c>
      <c r="B6" s="9" t="n">
        <f aca="false">COUNTIFS(Trades!$A$2:$A$283,"SILVER",Trades!$B$2:$B$283,"V0",Trades!$F$2:$F$283,$A6)</f>
        <v>3</v>
      </c>
      <c r="C6" s="10" t="n">
        <f aca="false">IF(B6=0,"",COUNTIFS(Trades!$A$2:$A$283,"SILVER",Trades!$B$2:$B$283,"V0",Trades!$F$2:$F$283,$A6,Trades!$M$2:$M$283,1)/B6)</f>
        <v>0.333333333333333</v>
      </c>
      <c r="D6" s="11" t="n">
        <f aca="false">SUMIFS(Trades!$K$2:$K$283,Trades!$A$2:$A$283,"SILVER",Trades!$B$2:$B$283,"V0",Trades!$F$2:$F$283,$A6)</f>
        <v>-93862.8</v>
      </c>
      <c r="E6" s="11" t="n">
        <f aca="false">E5+D6</f>
        <v>-173286</v>
      </c>
      <c r="F6" s="9" t="n">
        <f aca="false">COUNTIFS(Trades!$A$2:$A$283,"SILVER",Trades!$B$2:$B$283,"V1",Trades!$F$2:$F$283,$A6)</f>
        <v>1</v>
      </c>
      <c r="G6" s="10" t="n">
        <f aca="false">IF(F6=0,"",COUNTIFS(Trades!$A$2:$A$283,"SILVER",Trades!$B$2:$B$283,"V1",Trades!$F$2:$F$283,$A6,Trades!$M$2:$M$283,1)/F6)</f>
        <v>0</v>
      </c>
      <c r="H6" s="11" t="n">
        <f aca="false">SUMIFS(Trades!$K$2:$K$283,Trades!$A$2:$A$283,"SILVER",Trades!$B$2:$B$283,"V1",Trades!$F$2:$F$283,$A6)</f>
        <v>-92219.1</v>
      </c>
      <c r="I6" s="11" t="n">
        <f aca="false">I5+H6</f>
        <v>-92219.1</v>
      </c>
      <c r="J6" s="9" t="n">
        <f aca="false">COUNTIFS(Trades!$A$2:$A$283,"SILVER",Trades!$B$2:$B$283,"W8",Trades!$F$2:$F$283,$A6)</f>
        <v>1</v>
      </c>
      <c r="K6" s="10" t="n">
        <f aca="false">IF(J6=0,"",COUNTIFS(Trades!$A$2:$A$283,"SILVER",Trades!$B$2:$B$283,"W8",Trades!$F$2:$F$283,$A6,Trades!$M$2:$M$283,1)/J6)</f>
        <v>0</v>
      </c>
      <c r="L6" s="11" t="n">
        <f aca="false">SUMIFS(Trades!$K$2:$K$283,Trades!$A$2:$A$283,"SILVER",Trades!$B$2:$B$283,"W8",Trades!$F$2:$F$283,$A6)</f>
        <v>-92219.1</v>
      </c>
      <c r="M6" s="11" t="n">
        <f aca="false">M5+L6</f>
        <v>-92219.1</v>
      </c>
      <c r="N6" s="9" t="n">
        <f aca="false">COUNTIFS(Trades!$A$2:$A$283,"SILVER",Trades!$B$2:$B$283,"W8C",Trades!$F$2:$F$283,$A6)</f>
        <v>0</v>
      </c>
      <c r="O6" s="10" t="str">
        <f aca="false">IF(N6=0,"",COUNTIFS(Trades!$A$2:$A$283,"SILVER",Trades!$B$2:$B$283,"W8C",Trades!$F$2:$F$283,$A6,Trades!$M$2:$M$283,1)/N6)</f>
        <v/>
      </c>
      <c r="P6" s="11" t="n">
        <f aca="false">SUMIFS(Trades!$K$2:$K$283,Trades!$A$2:$A$283,"SILVER",Trades!$B$2:$B$283,"W8C",Trades!$F$2:$F$283,$A6)</f>
        <v>0</v>
      </c>
      <c r="Q6" s="11" t="n">
        <f aca="false">Q5+P6</f>
        <v>0</v>
      </c>
    </row>
    <row r="7" customFormat="false" ht="15" hidden="false" customHeight="false" outlineLevel="0" collapsed="false">
      <c r="A7" s="27" t="n">
        <v>45717</v>
      </c>
      <c r="B7" s="9" t="n">
        <f aca="false">COUNTIFS(Trades!$A$2:$A$283,"SILVER",Trades!$B$2:$B$283,"V0",Trades!$F$2:$F$283,$A7)</f>
        <v>3</v>
      </c>
      <c r="C7" s="10" t="n">
        <f aca="false">IF(B7=0,"",COUNTIFS(Trades!$A$2:$A$283,"SILVER",Trades!$B$2:$B$283,"V0",Trades!$F$2:$F$283,$A7,Trades!$M$2:$M$283,1)/B7)</f>
        <v>0.666666666666667</v>
      </c>
      <c r="D7" s="11" t="n">
        <f aca="false">SUMIFS(Trades!$K$2:$K$283,Trades!$A$2:$A$283,"SILVER",Trades!$B$2:$B$283,"V0",Trades!$F$2:$F$283,$A7)</f>
        <v>42534.6</v>
      </c>
      <c r="E7" s="11" t="n">
        <f aca="false">E6+D7</f>
        <v>-130751.4</v>
      </c>
      <c r="F7" s="9" t="n">
        <f aca="false">COUNTIFS(Trades!$A$2:$A$283,"SILVER",Trades!$B$2:$B$283,"V1",Trades!$F$2:$F$283,$A7)</f>
        <v>2</v>
      </c>
      <c r="G7" s="10" t="n">
        <f aca="false">IF(F7=0,"",COUNTIFS(Trades!$A$2:$A$283,"SILVER",Trades!$B$2:$B$283,"V1",Trades!$F$2:$F$283,$A7,Trades!$M$2:$M$283,1)/F7)</f>
        <v>0.5</v>
      </c>
      <c r="H7" s="11" t="n">
        <f aca="false">SUMIFS(Trades!$K$2:$K$283,Trades!$A$2:$A$283,"SILVER",Trades!$B$2:$B$283,"V1",Trades!$F$2:$F$283,$A7)</f>
        <v>-9058.5</v>
      </c>
      <c r="I7" s="11" t="n">
        <f aca="false">I6+H7</f>
        <v>-101277.6</v>
      </c>
      <c r="J7" s="9" t="n">
        <f aca="false">COUNTIFS(Trades!$A$2:$A$283,"SILVER",Trades!$B$2:$B$283,"W8",Trades!$F$2:$F$283,$A7)</f>
        <v>2</v>
      </c>
      <c r="K7" s="10" t="n">
        <f aca="false">IF(J7=0,"",COUNTIFS(Trades!$A$2:$A$283,"SILVER",Trades!$B$2:$B$283,"W8",Trades!$F$2:$F$283,$A7,Trades!$M$2:$M$283,1)/J7)</f>
        <v>1</v>
      </c>
      <c r="L7" s="11" t="n">
        <f aca="false">SUMIFS(Trades!$K$2:$K$283,Trades!$A$2:$A$283,"SILVER",Trades!$B$2:$B$283,"W8",Trades!$F$2:$F$283,$A7)</f>
        <v>21321.3</v>
      </c>
      <c r="M7" s="11" t="n">
        <f aca="false">M6+L7</f>
        <v>-70897.8</v>
      </c>
      <c r="N7" s="9" t="n">
        <f aca="false">COUNTIFS(Trades!$A$2:$A$283,"SILVER",Trades!$B$2:$B$283,"W8C",Trades!$F$2:$F$283,$A7)</f>
        <v>2</v>
      </c>
      <c r="O7" s="10" t="n">
        <f aca="false">IF(N7=0,"",COUNTIFS(Trades!$A$2:$A$283,"SILVER",Trades!$B$2:$B$283,"W8C",Trades!$F$2:$F$283,$A7,Trades!$M$2:$M$283,1)/N7)</f>
        <v>1</v>
      </c>
      <c r="P7" s="11" t="n">
        <f aca="false">SUMIFS(Trades!$K$2:$K$283,Trades!$A$2:$A$283,"SILVER",Trades!$B$2:$B$283,"W8C",Trades!$F$2:$F$283,$A7)</f>
        <v>15062.4</v>
      </c>
      <c r="Q7" s="11" t="n">
        <f aca="false">Q6+P7</f>
        <v>15062.4</v>
      </c>
    </row>
    <row r="8" customFormat="false" ht="15" hidden="false" customHeight="false" outlineLevel="0" collapsed="false">
      <c r="A8" s="27" t="n">
        <v>45748</v>
      </c>
      <c r="B8" s="9" t="n">
        <f aca="false">COUNTIFS(Trades!$A$2:$A$283,"SILVER",Trades!$B$2:$B$283,"V0",Trades!$F$2:$F$283,$A8)</f>
        <v>3</v>
      </c>
      <c r="C8" s="10" t="n">
        <f aca="false">IF(B8=0,"",COUNTIFS(Trades!$A$2:$A$283,"SILVER",Trades!$B$2:$B$283,"V0",Trades!$F$2:$F$283,$A8,Trades!$M$2:$M$283,1)/B8)</f>
        <v>0.666666666666667</v>
      </c>
      <c r="D8" s="11" t="n">
        <f aca="false">SUMIFS(Trades!$K$2:$K$283,Trades!$A$2:$A$283,"SILVER",Trades!$B$2:$B$283,"V0",Trades!$F$2:$F$283,$A8)</f>
        <v>224826.3</v>
      </c>
      <c r="E8" s="11" t="n">
        <f aca="false">E7+D8</f>
        <v>94074.9</v>
      </c>
      <c r="F8" s="9" t="n">
        <f aca="false">COUNTIFS(Trades!$A$2:$A$283,"SILVER",Trades!$B$2:$B$283,"V1",Trades!$F$2:$F$283,$A8)</f>
        <v>1</v>
      </c>
      <c r="G8" s="10" t="n">
        <f aca="false">IF(F8=0,"",COUNTIFS(Trades!$A$2:$A$283,"SILVER",Trades!$B$2:$B$283,"V1",Trades!$F$2:$F$283,$A8,Trades!$M$2:$M$283,1)/F8)</f>
        <v>1</v>
      </c>
      <c r="H8" s="11" t="n">
        <f aca="false">SUMIFS(Trades!$K$2:$K$283,Trades!$A$2:$A$283,"SILVER",Trades!$B$2:$B$283,"V1",Trades!$F$2:$F$283,$A8)</f>
        <v>194663.7</v>
      </c>
      <c r="I8" s="11" t="n">
        <f aca="false">I7+H8</f>
        <v>93386.1</v>
      </c>
      <c r="J8" s="9" t="n">
        <f aca="false">COUNTIFS(Trades!$A$2:$A$283,"SILVER",Trades!$B$2:$B$283,"W8",Trades!$F$2:$F$283,$A8)</f>
        <v>1</v>
      </c>
      <c r="K8" s="10" t="n">
        <f aca="false">IF(J8=0,"",COUNTIFS(Trades!$A$2:$A$283,"SILVER",Trades!$B$2:$B$283,"W8",Trades!$F$2:$F$283,$A8,Trades!$M$2:$M$283,1)/J8)</f>
        <v>1</v>
      </c>
      <c r="L8" s="11" t="n">
        <f aca="false">SUMIFS(Trades!$K$2:$K$283,Trades!$A$2:$A$283,"SILVER",Trades!$B$2:$B$283,"W8",Trades!$F$2:$F$283,$A8)</f>
        <v>194663.7</v>
      </c>
      <c r="M8" s="11" t="n">
        <f aca="false">M7+L8</f>
        <v>123765.9</v>
      </c>
      <c r="N8" s="9" t="n">
        <f aca="false">COUNTIFS(Trades!$A$2:$A$283,"SILVER",Trades!$B$2:$B$283,"W8C",Trades!$F$2:$F$283,$A8)</f>
        <v>0</v>
      </c>
      <c r="O8" s="10" t="str">
        <f aca="false">IF(N8=0,"",COUNTIFS(Trades!$A$2:$A$283,"SILVER",Trades!$B$2:$B$283,"W8C",Trades!$F$2:$F$283,$A8,Trades!$M$2:$M$283,1)/N8)</f>
        <v/>
      </c>
      <c r="P8" s="11" t="n">
        <f aca="false">SUMIFS(Trades!$K$2:$K$283,Trades!$A$2:$A$283,"SILVER",Trades!$B$2:$B$283,"W8C",Trades!$F$2:$F$283,$A8)</f>
        <v>0</v>
      </c>
      <c r="Q8" s="11" t="n">
        <f aca="false">Q7+P8</f>
        <v>15062.4</v>
      </c>
    </row>
    <row r="9" customFormat="false" ht="15" hidden="false" customHeight="false" outlineLevel="0" collapsed="false">
      <c r="A9" s="27" t="n">
        <v>45778</v>
      </c>
      <c r="B9" s="9" t="n">
        <f aca="false">COUNTIFS(Trades!$A$2:$A$283,"SILVER",Trades!$B$2:$B$283,"V0",Trades!$F$2:$F$283,$A9)</f>
        <v>4</v>
      </c>
      <c r="C9" s="10" t="n">
        <f aca="false">IF(B9=0,"",COUNTIFS(Trades!$A$2:$A$283,"SILVER",Trades!$B$2:$B$283,"V0",Trades!$F$2:$F$283,$A9,Trades!$M$2:$M$283,1)/B9)</f>
        <v>0</v>
      </c>
      <c r="D9" s="11" t="n">
        <f aca="false">SUMIFS(Trades!$K$2:$K$283,Trades!$A$2:$A$283,"SILVER",Trades!$B$2:$B$283,"V0",Trades!$F$2:$F$283,$A9)</f>
        <v>-238361.4</v>
      </c>
      <c r="E9" s="11" t="n">
        <f aca="false">E8+D9</f>
        <v>-144286.5</v>
      </c>
      <c r="F9" s="9" t="n">
        <f aca="false">COUNTIFS(Trades!$A$2:$A$283,"SILVER",Trades!$B$2:$B$283,"V1",Trades!$F$2:$F$283,$A9)</f>
        <v>2</v>
      </c>
      <c r="G9" s="10" t="n">
        <f aca="false">IF(F9=0,"",COUNTIFS(Trades!$A$2:$A$283,"SILVER",Trades!$B$2:$B$283,"V1",Trades!$F$2:$F$283,$A9,Trades!$M$2:$M$283,1)/F9)</f>
        <v>0</v>
      </c>
      <c r="H9" s="11" t="n">
        <f aca="false">SUMIFS(Trades!$K$2:$K$283,Trades!$A$2:$A$283,"SILVER",Trades!$B$2:$B$283,"V1",Trades!$F$2:$F$283,$A9)</f>
        <v>-127134.3</v>
      </c>
      <c r="I9" s="11" t="n">
        <f aca="false">I8+H9</f>
        <v>-33748.2</v>
      </c>
      <c r="J9" s="9" t="n">
        <f aca="false">COUNTIFS(Trades!$A$2:$A$283,"SILVER",Trades!$B$2:$B$283,"W8",Trades!$F$2:$F$283,$A9)</f>
        <v>2</v>
      </c>
      <c r="K9" s="10" t="n">
        <f aca="false">IF(J9=0,"",COUNTIFS(Trades!$A$2:$A$283,"SILVER",Trades!$B$2:$B$283,"W8",Trades!$F$2:$F$283,$A9,Trades!$M$2:$M$283,1)/J9)</f>
        <v>0.5</v>
      </c>
      <c r="L9" s="11" t="n">
        <f aca="false">SUMIFS(Trades!$K$2:$K$283,Trades!$A$2:$A$283,"SILVER",Trades!$B$2:$B$283,"W8",Trades!$F$2:$F$283,$A9)</f>
        <v>-79947.9</v>
      </c>
      <c r="M9" s="11" t="n">
        <f aca="false">M8+L9</f>
        <v>43818</v>
      </c>
      <c r="N9" s="9" t="n">
        <f aca="false">COUNTIFS(Trades!$A$2:$A$283,"SILVER",Trades!$B$2:$B$283,"W8C",Trades!$F$2:$F$283,$A9)</f>
        <v>1</v>
      </c>
      <c r="O9" s="10" t="n">
        <f aca="false">IF(N9=0,"",COUNTIFS(Trades!$A$2:$A$283,"SILVER",Trades!$B$2:$B$283,"W8C",Trades!$F$2:$F$283,$A9,Trades!$M$2:$M$283,1)/N9)</f>
        <v>1</v>
      </c>
      <c r="P9" s="11" t="n">
        <f aca="false">SUMIFS(Trades!$K$2:$K$283,Trades!$A$2:$A$283,"SILVER",Trades!$B$2:$B$283,"W8C",Trades!$F$2:$F$283,$A9)</f>
        <v>7236</v>
      </c>
      <c r="Q9" s="11" t="n">
        <f aca="false">Q8+P9</f>
        <v>22298.4</v>
      </c>
    </row>
    <row r="10" customFormat="false" ht="15" hidden="false" customHeight="false" outlineLevel="0" collapsed="false">
      <c r="A10" s="27" t="n">
        <v>45809</v>
      </c>
      <c r="B10" s="9" t="n">
        <f aca="false">COUNTIFS(Trades!$A$2:$A$283,"SILVER",Trades!$B$2:$B$283,"V0",Trades!$F$2:$F$283,$A10)</f>
        <v>2</v>
      </c>
      <c r="C10" s="10" t="n">
        <f aca="false">IF(B10=0,"",COUNTIFS(Trades!$A$2:$A$283,"SILVER",Trades!$B$2:$B$283,"V0",Trades!$F$2:$F$283,$A10,Trades!$M$2:$M$283,1)/B10)</f>
        <v>0.5</v>
      </c>
      <c r="D10" s="11" t="n">
        <f aca="false">SUMIFS(Trades!$K$2:$K$283,Trades!$A$2:$A$283,"SILVER",Trades!$B$2:$B$283,"V0",Trades!$F$2:$F$283,$A10)</f>
        <v>108684.9</v>
      </c>
      <c r="E10" s="11" t="n">
        <f aca="false">E9+D10</f>
        <v>-35601.6</v>
      </c>
      <c r="F10" s="9" t="n">
        <f aca="false">COUNTIFS(Trades!$A$2:$A$283,"SILVER",Trades!$B$2:$B$283,"V1",Trades!$F$2:$F$283,$A10)</f>
        <v>1</v>
      </c>
      <c r="G10" s="10" t="n">
        <f aca="false">IF(F10=0,"",COUNTIFS(Trades!$A$2:$A$283,"SILVER",Trades!$B$2:$B$283,"V1",Trades!$F$2:$F$283,$A10,Trades!$M$2:$M$283,1)/F10)</f>
        <v>0</v>
      </c>
      <c r="H10" s="11" t="n">
        <f aca="false">SUMIFS(Trades!$K$2:$K$283,Trades!$A$2:$A$283,"SILVER",Trades!$B$2:$B$283,"V1",Trades!$F$2:$F$283,$A10)</f>
        <v>-80329.2</v>
      </c>
      <c r="I10" s="11" t="n">
        <f aca="false">I9+H10</f>
        <v>-114077.4</v>
      </c>
      <c r="J10" s="9" t="n">
        <f aca="false">COUNTIFS(Trades!$A$2:$A$283,"SILVER",Trades!$B$2:$B$283,"W8",Trades!$F$2:$F$283,$A10)</f>
        <v>1</v>
      </c>
      <c r="K10" s="10" t="n">
        <f aca="false">IF(J10=0,"",COUNTIFS(Trades!$A$2:$A$283,"SILVER",Trades!$B$2:$B$283,"W8",Trades!$F$2:$F$283,$A10,Trades!$M$2:$M$283,1)/J10)</f>
        <v>0</v>
      </c>
      <c r="L10" s="11" t="n">
        <f aca="false">SUMIFS(Trades!$K$2:$K$283,Trades!$A$2:$A$283,"SILVER",Trades!$B$2:$B$283,"W8",Trades!$F$2:$F$283,$A10)</f>
        <v>-80329.2</v>
      </c>
      <c r="M10" s="11" t="n">
        <f aca="false">M9+L10</f>
        <v>-36511.2</v>
      </c>
      <c r="N10" s="9" t="n">
        <f aca="false">COUNTIFS(Trades!$A$2:$A$283,"SILVER",Trades!$B$2:$B$283,"W8C",Trades!$F$2:$F$283,$A10)</f>
        <v>0</v>
      </c>
      <c r="O10" s="10" t="str">
        <f aca="false">IF(N10=0,"",COUNTIFS(Trades!$A$2:$A$283,"SILVER",Trades!$B$2:$B$283,"W8C",Trades!$F$2:$F$283,$A10,Trades!$M$2:$M$283,1)/N10)</f>
        <v/>
      </c>
      <c r="P10" s="11" t="n">
        <f aca="false">SUMIFS(Trades!$K$2:$K$283,Trades!$A$2:$A$283,"SILVER",Trades!$B$2:$B$283,"W8C",Trades!$F$2:$F$283,$A10)</f>
        <v>0</v>
      </c>
      <c r="Q10" s="11" t="n">
        <f aca="false">Q9+P10</f>
        <v>22298.4</v>
      </c>
    </row>
    <row r="11" customFormat="false" ht="15" hidden="false" customHeight="false" outlineLevel="0" collapsed="false">
      <c r="A11" s="27" t="n">
        <v>45839</v>
      </c>
      <c r="B11" s="9" t="n">
        <f aca="false">COUNTIFS(Trades!$A$2:$A$283,"SILVER",Trades!$B$2:$B$283,"V0",Trades!$F$2:$F$283,$A11)</f>
        <v>4</v>
      </c>
      <c r="C11" s="10" t="n">
        <f aca="false">IF(B11=0,"",COUNTIFS(Trades!$A$2:$A$283,"SILVER",Trades!$B$2:$B$283,"V0",Trades!$F$2:$F$283,$A11,Trades!$M$2:$M$283,1)/B11)</f>
        <v>0.25</v>
      </c>
      <c r="D11" s="11" t="n">
        <f aca="false">SUMIFS(Trades!$K$2:$K$283,Trades!$A$2:$A$283,"SILVER",Trades!$B$2:$B$283,"V0",Trades!$F$2:$F$283,$A11)</f>
        <v>-46191.6</v>
      </c>
      <c r="E11" s="11" t="n">
        <f aca="false">E10+D11</f>
        <v>-81793.2</v>
      </c>
      <c r="F11" s="9" t="n">
        <f aca="false">COUNTIFS(Trades!$A$2:$A$283,"SILVER",Trades!$B$2:$B$283,"V1",Trades!$F$2:$F$283,$A11)</f>
        <v>2</v>
      </c>
      <c r="G11" s="10" t="n">
        <f aca="false">IF(F11=0,"",COUNTIFS(Trades!$A$2:$A$283,"SILVER",Trades!$B$2:$B$283,"V1",Trades!$F$2:$F$283,$A11,Trades!$M$2:$M$283,1)/F11)</f>
        <v>0.5</v>
      </c>
      <c r="H11" s="11" t="n">
        <f aca="false">SUMIFS(Trades!$K$2:$K$283,Trades!$A$2:$A$283,"SILVER",Trades!$B$2:$B$283,"V1",Trades!$F$2:$F$283,$A11)</f>
        <v>78843.9</v>
      </c>
      <c r="I11" s="11" t="n">
        <f aca="false">I10+H11</f>
        <v>-35233.5</v>
      </c>
      <c r="J11" s="9" t="n">
        <f aca="false">COUNTIFS(Trades!$A$2:$A$283,"SILVER",Trades!$B$2:$B$283,"W8",Trades!$F$2:$F$283,$A11)</f>
        <v>2</v>
      </c>
      <c r="K11" s="10" t="n">
        <f aca="false">IF(J11=0,"",COUNTIFS(Trades!$A$2:$A$283,"SILVER",Trades!$B$2:$B$283,"W8",Trades!$F$2:$F$283,$A11,Trades!$M$2:$M$283,1)/J11)</f>
        <v>1</v>
      </c>
      <c r="L11" s="11" t="n">
        <f aca="false">SUMIFS(Trades!$K$2:$K$283,Trades!$A$2:$A$283,"SILVER",Trades!$B$2:$B$283,"W8",Trades!$F$2:$F$283,$A11)</f>
        <v>111582</v>
      </c>
      <c r="M11" s="11" t="n">
        <f aca="false">M10+L11</f>
        <v>75070.8000000001</v>
      </c>
      <c r="N11" s="9" t="n">
        <f aca="false">COUNTIFS(Trades!$A$2:$A$283,"SILVER",Trades!$B$2:$B$283,"W8C",Trades!$F$2:$F$283,$A11)</f>
        <v>1</v>
      </c>
      <c r="O11" s="10" t="n">
        <f aca="false">IF(N11=0,"",COUNTIFS(Trades!$A$2:$A$283,"SILVER",Trades!$B$2:$B$283,"W8C",Trades!$F$2:$F$283,$A11,Trades!$M$2:$M$283,1)/N11)</f>
        <v>1</v>
      </c>
      <c r="P11" s="11" t="n">
        <f aca="false">SUMIFS(Trades!$K$2:$K$283,Trades!$A$2:$A$283,"SILVER",Trades!$B$2:$B$283,"W8C",Trades!$F$2:$F$283,$A11)</f>
        <v>5556</v>
      </c>
      <c r="Q11" s="11" t="n">
        <f aca="false">Q10+P11</f>
        <v>27854.4</v>
      </c>
    </row>
    <row r="12" customFormat="false" ht="15" hidden="false" customHeight="false" outlineLevel="0" collapsed="false">
      <c r="A12" s="27" t="n">
        <v>45870</v>
      </c>
      <c r="B12" s="9" t="n">
        <f aca="false">COUNTIFS(Trades!$A$2:$A$283,"SILVER",Trades!$B$2:$B$283,"V0",Trades!$F$2:$F$283,$A12)</f>
        <v>3</v>
      </c>
      <c r="C12" s="10" t="n">
        <f aca="false">IF(B12=0,"",COUNTIFS(Trades!$A$2:$A$283,"SILVER",Trades!$B$2:$B$283,"V0",Trades!$F$2:$F$283,$A12,Trades!$M$2:$M$283,1)/B12)</f>
        <v>1</v>
      </c>
      <c r="D12" s="11" t="n">
        <f aca="false">SUMIFS(Trades!$K$2:$K$283,Trades!$A$2:$A$283,"SILVER",Trades!$B$2:$B$283,"V0",Trades!$F$2:$F$283,$A12)</f>
        <v>61602.3</v>
      </c>
      <c r="E12" s="11" t="n">
        <f aca="false">E11+D12</f>
        <v>-20190.9</v>
      </c>
      <c r="F12" s="9" t="n">
        <f aca="false">COUNTIFS(Trades!$A$2:$A$283,"SILVER",Trades!$B$2:$B$283,"V1",Trades!$F$2:$F$283,$A12)</f>
        <v>1</v>
      </c>
      <c r="G12" s="10" t="n">
        <f aca="false">IF(F12=0,"",COUNTIFS(Trades!$A$2:$A$283,"SILVER",Trades!$B$2:$B$283,"V1",Trades!$F$2:$F$283,$A12,Trades!$M$2:$M$283,1)/F12)</f>
        <v>1</v>
      </c>
      <c r="H12" s="11" t="n">
        <f aca="false">SUMIFS(Trades!$K$2:$K$283,Trades!$A$2:$A$283,"SILVER",Trades!$B$2:$B$283,"V1",Trades!$F$2:$F$283,$A12)</f>
        <v>25665</v>
      </c>
      <c r="I12" s="11" t="n">
        <f aca="false">I11+H12</f>
        <v>-9568.49999999996</v>
      </c>
      <c r="J12" s="9" t="n">
        <f aca="false">COUNTIFS(Trades!$A$2:$A$283,"SILVER",Trades!$B$2:$B$283,"W8",Trades!$F$2:$F$283,$A12)</f>
        <v>1</v>
      </c>
      <c r="K12" s="10" t="n">
        <f aca="false">IF(J12=0,"",COUNTIFS(Trades!$A$2:$A$283,"SILVER",Trades!$B$2:$B$283,"W8",Trades!$F$2:$F$283,$A12,Trades!$M$2:$M$283,1)/J12)</f>
        <v>1</v>
      </c>
      <c r="L12" s="11" t="n">
        <f aca="false">SUMIFS(Trades!$K$2:$K$283,Trades!$A$2:$A$283,"SILVER",Trades!$B$2:$B$283,"W8",Trades!$F$2:$F$283,$A12)</f>
        <v>25665</v>
      </c>
      <c r="M12" s="11" t="n">
        <f aca="false">M11+L12</f>
        <v>100735.8</v>
      </c>
      <c r="N12" s="9" t="n">
        <f aca="false">COUNTIFS(Trades!$A$2:$A$283,"SILVER",Trades!$B$2:$B$283,"W8C",Trades!$F$2:$F$283,$A12)</f>
        <v>0</v>
      </c>
      <c r="O12" s="10" t="str">
        <f aca="false">IF(N12=0,"",COUNTIFS(Trades!$A$2:$A$283,"SILVER",Trades!$B$2:$B$283,"W8C",Trades!$F$2:$F$283,$A12,Trades!$M$2:$M$283,1)/N12)</f>
        <v/>
      </c>
      <c r="P12" s="11" t="n">
        <f aca="false">SUMIFS(Trades!$K$2:$K$283,Trades!$A$2:$A$283,"SILVER",Trades!$B$2:$B$283,"W8C",Trades!$F$2:$F$283,$A12)</f>
        <v>0</v>
      </c>
      <c r="Q12" s="11" t="n">
        <f aca="false">Q11+P12</f>
        <v>27854.4</v>
      </c>
    </row>
    <row r="13" customFormat="false" ht="15" hidden="false" customHeight="false" outlineLevel="0" collapsed="false">
      <c r="A13" s="27" t="n">
        <v>45901</v>
      </c>
      <c r="B13" s="9" t="n">
        <f aca="false">COUNTIFS(Trades!$A$2:$A$283,"SILVER",Trades!$B$2:$B$283,"V0",Trades!$F$2:$F$283,$A13)</f>
        <v>4</v>
      </c>
      <c r="C13" s="10" t="n">
        <f aca="false">IF(B13=0,"",COUNTIFS(Trades!$A$2:$A$283,"SILVER",Trades!$B$2:$B$283,"V0",Trades!$F$2:$F$283,$A13,Trades!$M$2:$M$283,1)/B13)</f>
        <v>0.25</v>
      </c>
      <c r="D13" s="11" t="n">
        <f aca="false">SUMIFS(Trades!$K$2:$K$283,Trades!$A$2:$A$283,"SILVER",Trades!$B$2:$B$283,"V0",Trades!$F$2:$F$283,$A13)</f>
        <v>4593.60000000001</v>
      </c>
      <c r="E13" s="11" t="n">
        <f aca="false">E12+D13</f>
        <v>-15597.2999999999</v>
      </c>
      <c r="F13" s="9" t="n">
        <f aca="false">COUNTIFS(Trades!$A$2:$A$283,"SILVER",Trades!$B$2:$B$283,"V1",Trades!$F$2:$F$283,$A13)</f>
        <v>2</v>
      </c>
      <c r="G13" s="10" t="n">
        <f aca="false">IF(F13=0,"",COUNTIFS(Trades!$A$2:$A$283,"SILVER",Trades!$B$2:$B$283,"V1",Trades!$F$2:$F$283,$A13,Trades!$M$2:$M$283,1)/F13)</f>
        <v>0.5</v>
      </c>
      <c r="H13" s="11" t="n">
        <f aca="false">SUMIFS(Trades!$K$2:$K$283,Trades!$A$2:$A$283,"SILVER",Trades!$B$2:$B$283,"V1",Trades!$F$2:$F$283,$A13)</f>
        <v>207210.6</v>
      </c>
      <c r="I13" s="11" t="n">
        <f aca="false">I12+H13</f>
        <v>197642.1</v>
      </c>
      <c r="J13" s="9" t="n">
        <f aca="false">COUNTIFS(Trades!$A$2:$A$283,"SILVER",Trades!$B$2:$B$283,"W8",Trades!$F$2:$F$283,$A13)</f>
        <v>2</v>
      </c>
      <c r="K13" s="10" t="n">
        <f aca="false">IF(J13=0,"",COUNTIFS(Trades!$A$2:$A$283,"SILVER",Trades!$B$2:$B$283,"W8",Trades!$F$2:$F$283,$A13,Trades!$M$2:$M$283,1)/J13)</f>
        <v>1</v>
      </c>
      <c r="L13" s="11" t="n">
        <f aca="false">SUMIFS(Trades!$K$2:$K$283,Trades!$A$2:$A$283,"SILVER",Trades!$B$2:$B$283,"W8",Trades!$F$2:$F$283,$A13)</f>
        <v>247830.6</v>
      </c>
      <c r="M13" s="11" t="n">
        <f aca="false">M12+L13</f>
        <v>348566.4</v>
      </c>
      <c r="N13" s="9" t="n">
        <f aca="false">COUNTIFS(Trades!$A$2:$A$283,"SILVER",Trades!$B$2:$B$283,"W8C",Trades!$F$2:$F$283,$A13)</f>
        <v>2</v>
      </c>
      <c r="O13" s="10" t="n">
        <f aca="false">IF(N13=0,"",COUNTIFS(Trades!$A$2:$A$283,"SILVER",Trades!$B$2:$B$283,"W8C",Trades!$F$2:$F$283,$A13,Trades!$M$2:$M$283,1)/N13)</f>
        <v>1</v>
      </c>
      <c r="P13" s="11" t="n">
        <f aca="false">SUMIFS(Trades!$K$2:$K$283,Trades!$A$2:$A$283,"SILVER",Trades!$B$2:$B$283,"W8C",Trades!$F$2:$F$283,$A13)</f>
        <v>245173.8</v>
      </c>
      <c r="Q13" s="11" t="n">
        <f aca="false">Q12+P13</f>
        <v>273028.2</v>
      </c>
    </row>
    <row r="14" customFormat="false" ht="15" hidden="false" customHeight="false" outlineLevel="0" collapsed="false">
      <c r="A14" s="27" t="n">
        <v>45931</v>
      </c>
      <c r="B14" s="9" t="n">
        <f aca="false">COUNTIFS(Trades!$A$2:$A$283,"SILVER",Trades!$B$2:$B$283,"V0",Trades!$F$2:$F$283,$A14)</f>
        <v>4</v>
      </c>
      <c r="C14" s="10" t="n">
        <f aca="false">IF(B14=0,"",COUNTIFS(Trades!$A$2:$A$283,"SILVER",Trades!$B$2:$B$283,"V0",Trades!$F$2:$F$283,$A14,Trades!$M$2:$M$283,1)/B14)</f>
        <v>0.75</v>
      </c>
      <c r="D14" s="11" t="n">
        <f aca="false">SUMIFS(Trades!$K$2:$K$283,Trades!$A$2:$A$283,"SILVER",Trades!$B$2:$B$283,"V0",Trades!$F$2:$F$283,$A14)</f>
        <v>823170.3</v>
      </c>
      <c r="E14" s="11" t="n">
        <f aca="false">E13+D14</f>
        <v>807573</v>
      </c>
      <c r="F14" s="9" t="n">
        <f aca="false">COUNTIFS(Trades!$A$2:$A$283,"SILVER",Trades!$B$2:$B$283,"V1",Trades!$F$2:$F$283,$A14)</f>
        <v>2</v>
      </c>
      <c r="G14" s="10" t="n">
        <f aca="false">IF(F14=0,"",COUNTIFS(Trades!$A$2:$A$283,"SILVER",Trades!$B$2:$B$283,"V1",Trades!$F$2:$F$283,$A14,Trades!$M$2:$M$283,1)/F14)</f>
        <v>1</v>
      </c>
      <c r="H14" s="11" t="n">
        <f aca="false">SUMIFS(Trades!$K$2:$K$283,Trades!$A$2:$A$283,"SILVER",Trades!$B$2:$B$283,"V1",Trades!$F$2:$F$283,$A14)</f>
        <v>693718.2</v>
      </c>
      <c r="I14" s="11" t="n">
        <f aca="false">I13+H14</f>
        <v>891360.3</v>
      </c>
      <c r="J14" s="9" t="n">
        <f aca="false">COUNTIFS(Trades!$A$2:$A$283,"SILVER",Trades!$B$2:$B$283,"W8",Trades!$F$2:$F$283,$A14)</f>
        <v>2</v>
      </c>
      <c r="K14" s="10" t="n">
        <f aca="false">IF(J14=0,"",COUNTIFS(Trades!$A$2:$A$283,"SILVER",Trades!$B$2:$B$283,"W8",Trades!$F$2:$F$283,$A14,Trades!$M$2:$M$283,1)/J14)</f>
        <v>1</v>
      </c>
      <c r="L14" s="11" t="n">
        <f aca="false">SUMIFS(Trades!$K$2:$K$283,Trades!$A$2:$A$283,"SILVER",Trades!$B$2:$B$283,"W8",Trades!$F$2:$F$283,$A14)</f>
        <v>502412.1</v>
      </c>
      <c r="M14" s="11" t="n">
        <f aca="false">M13+L14</f>
        <v>850978.5</v>
      </c>
      <c r="N14" s="9" t="n">
        <f aca="false">COUNTIFS(Trades!$A$2:$A$283,"SILVER",Trades!$B$2:$B$283,"W8C",Trades!$F$2:$F$283,$A14)</f>
        <v>0</v>
      </c>
      <c r="O14" s="10" t="str">
        <f aca="false">IF(N14=0,"",COUNTIFS(Trades!$A$2:$A$283,"SILVER",Trades!$B$2:$B$283,"W8C",Trades!$F$2:$F$283,$A14,Trades!$M$2:$M$283,1)/N14)</f>
        <v/>
      </c>
      <c r="P14" s="11" t="n">
        <f aca="false">SUMIFS(Trades!$K$2:$K$283,Trades!$A$2:$A$283,"SILVER",Trades!$B$2:$B$283,"W8C",Trades!$F$2:$F$283,$A14)</f>
        <v>0</v>
      </c>
      <c r="Q14" s="11" t="n">
        <f aca="false">Q13+P14</f>
        <v>273028.2</v>
      </c>
    </row>
    <row r="15" customFormat="false" ht="15" hidden="false" customHeight="false" outlineLevel="0" collapsed="false">
      <c r="A15" s="27" t="n">
        <v>45962</v>
      </c>
      <c r="B15" s="9" t="n">
        <f aca="false">COUNTIFS(Trades!$A$2:$A$283,"SILVER",Trades!$B$2:$B$283,"V0",Trades!$F$2:$F$283,$A15)</f>
        <v>2</v>
      </c>
      <c r="C15" s="10" t="n">
        <f aca="false">IF(B15=0,"",COUNTIFS(Trades!$A$2:$A$283,"SILVER",Trades!$B$2:$B$283,"V0",Trades!$F$2:$F$283,$A15,Trades!$M$2:$M$283,1)/B15)</f>
        <v>0.5</v>
      </c>
      <c r="D15" s="11" t="n">
        <f aca="false">SUMIFS(Trades!$K$2:$K$283,Trades!$A$2:$A$283,"SILVER",Trades!$B$2:$B$283,"V0",Trades!$F$2:$F$283,$A15)</f>
        <v>218063.4</v>
      </c>
      <c r="E15" s="11" t="n">
        <f aca="false">E14+D15</f>
        <v>1025636.4</v>
      </c>
      <c r="F15" s="9" t="n">
        <f aca="false">COUNTIFS(Trades!$A$2:$A$283,"SILVER",Trades!$B$2:$B$283,"V1",Trades!$F$2:$F$283,$A15)</f>
        <v>1</v>
      </c>
      <c r="G15" s="10" t="n">
        <f aca="false">IF(F15=0,"",COUNTIFS(Trades!$A$2:$A$283,"SILVER",Trades!$B$2:$B$283,"V1",Trades!$F$2:$F$283,$A15,Trades!$M$2:$M$283,1)/F15)</f>
        <v>1</v>
      </c>
      <c r="H15" s="11" t="n">
        <f aca="false">SUMIFS(Trades!$K$2:$K$283,Trades!$A$2:$A$283,"SILVER",Trades!$B$2:$B$283,"V1",Trades!$F$2:$F$283,$A15)</f>
        <v>271572.9</v>
      </c>
      <c r="I15" s="11" t="n">
        <f aca="false">I14+H15</f>
        <v>1162933.2</v>
      </c>
      <c r="J15" s="9" t="n">
        <f aca="false">COUNTIFS(Trades!$A$2:$A$283,"SILVER",Trades!$B$2:$B$283,"W8",Trades!$F$2:$F$283,$A15)</f>
        <v>1</v>
      </c>
      <c r="K15" s="10" t="n">
        <f aca="false">IF(J15=0,"",COUNTIFS(Trades!$A$2:$A$283,"SILVER",Trades!$B$2:$B$283,"W8",Trades!$F$2:$F$283,$A15,Trades!$M$2:$M$283,1)/J15)</f>
        <v>1</v>
      </c>
      <c r="L15" s="11" t="n">
        <f aca="false">SUMIFS(Trades!$K$2:$K$283,Trades!$A$2:$A$283,"SILVER",Trades!$B$2:$B$283,"W8",Trades!$F$2:$F$283,$A15)</f>
        <v>271572.9</v>
      </c>
      <c r="M15" s="11" t="n">
        <f aca="false">M14+L15</f>
        <v>1122551.4</v>
      </c>
      <c r="N15" s="9" t="n">
        <f aca="false">COUNTIFS(Trades!$A$2:$A$283,"SILVER",Trades!$B$2:$B$283,"W8C",Trades!$F$2:$F$283,$A15)</f>
        <v>1</v>
      </c>
      <c r="O15" s="10" t="n">
        <f aca="false">IF(N15=0,"",COUNTIFS(Trades!$A$2:$A$283,"SILVER",Trades!$B$2:$B$283,"W8C",Trades!$F$2:$F$283,$A15,Trades!$M$2:$M$283,1)/N15)</f>
        <v>1</v>
      </c>
      <c r="P15" s="11" t="n">
        <f aca="false">SUMIFS(Trades!$K$2:$K$283,Trades!$A$2:$A$283,"SILVER",Trades!$B$2:$B$283,"W8C",Trades!$F$2:$F$283,$A15)</f>
        <v>258881.7</v>
      </c>
      <c r="Q15" s="11" t="n">
        <f aca="false">Q14+P15</f>
        <v>531909.9</v>
      </c>
    </row>
    <row r="16" customFormat="false" ht="15" hidden="false" customHeight="false" outlineLevel="0" collapsed="false">
      <c r="A16" s="27" t="n">
        <v>45992</v>
      </c>
      <c r="B16" s="9" t="n">
        <f aca="false">COUNTIFS(Trades!$A$2:$A$283,"SILVER",Trades!$B$2:$B$283,"V0",Trades!$F$2:$F$283,$A16)</f>
        <v>4</v>
      </c>
      <c r="C16" s="10" t="n">
        <f aca="false">IF(B16=0,"",COUNTIFS(Trades!$A$2:$A$283,"SILVER",Trades!$B$2:$B$283,"V0",Trades!$F$2:$F$283,$A16,Trades!$M$2:$M$283,1)/B16)</f>
        <v>0.5</v>
      </c>
      <c r="D16" s="11" t="n">
        <f aca="false">SUMIFS(Trades!$K$2:$K$283,Trades!$A$2:$A$283,"SILVER",Trades!$B$2:$B$283,"V0",Trades!$F$2:$F$283,$A16)</f>
        <v>692823.3</v>
      </c>
      <c r="E16" s="11" t="n">
        <f aca="false">E15+D16</f>
        <v>1718459.7</v>
      </c>
      <c r="F16" s="9" t="n">
        <f aca="false">COUNTIFS(Trades!$A$2:$A$283,"SILVER",Trades!$B$2:$B$283,"V1",Trades!$F$2:$F$283,$A16)</f>
        <v>2</v>
      </c>
      <c r="G16" s="10" t="n">
        <f aca="false">IF(F16=0,"",COUNTIFS(Trades!$A$2:$A$283,"SILVER",Trades!$B$2:$B$283,"V1",Trades!$F$2:$F$283,$A16,Trades!$M$2:$M$283,1)/F16)</f>
        <v>1</v>
      </c>
      <c r="H16" s="11" t="n">
        <f aca="false">SUMIFS(Trades!$K$2:$K$283,Trades!$A$2:$A$283,"SILVER",Trades!$B$2:$B$283,"V1",Trades!$F$2:$F$283,$A16)</f>
        <v>1534785.9</v>
      </c>
      <c r="I16" s="11" t="n">
        <f aca="false">I15+H16</f>
        <v>2697719.1</v>
      </c>
      <c r="J16" s="9" t="n">
        <f aca="false">COUNTIFS(Trades!$A$2:$A$283,"SILVER",Trades!$B$2:$B$283,"W8",Trades!$F$2:$F$283,$A16)</f>
        <v>2</v>
      </c>
      <c r="K16" s="10" t="n">
        <f aca="false">IF(J16=0,"",COUNTIFS(Trades!$A$2:$A$283,"SILVER",Trades!$B$2:$B$283,"W8",Trades!$F$2:$F$283,$A16,Trades!$M$2:$M$283,1)/J16)</f>
        <v>1</v>
      </c>
      <c r="L16" s="11" t="n">
        <f aca="false">SUMIFS(Trades!$K$2:$K$283,Trades!$A$2:$A$283,"SILVER",Trades!$B$2:$B$283,"W8",Trades!$F$2:$F$283,$A16)</f>
        <v>1534785.9</v>
      </c>
      <c r="M16" s="11" t="n">
        <f aca="false">M15+L16</f>
        <v>2657337.3</v>
      </c>
      <c r="N16" s="9" t="n">
        <f aca="false">COUNTIFS(Trades!$A$2:$A$283,"SILVER",Trades!$B$2:$B$283,"W8C",Trades!$F$2:$F$283,$A16)</f>
        <v>1</v>
      </c>
      <c r="O16" s="10" t="n">
        <f aca="false">IF(N16=0,"",COUNTIFS(Trades!$A$2:$A$283,"SILVER",Trades!$B$2:$B$283,"W8C",Trades!$F$2:$F$283,$A16,Trades!$M$2:$M$283,1)/N16)</f>
        <v>1</v>
      </c>
      <c r="P16" s="11" t="n">
        <f aca="false">SUMIFS(Trades!$K$2:$K$283,Trades!$A$2:$A$283,"SILVER",Trades!$B$2:$B$283,"W8C",Trades!$F$2:$F$283,$A16)</f>
        <v>646464.9</v>
      </c>
      <c r="Q16" s="11" t="n">
        <f aca="false">Q15+P16</f>
        <v>1178374.8</v>
      </c>
    </row>
    <row r="17" customFormat="false" ht="15" hidden="false" customHeight="false" outlineLevel="0" collapsed="false">
      <c r="A17" s="27" t="n">
        <v>46023</v>
      </c>
      <c r="B17" s="9" t="n">
        <f aca="false">COUNTIFS(Trades!$A$2:$A$283,"SILVER",Trades!$B$2:$B$283,"V0",Trades!$F$2:$F$283,$A17)</f>
        <v>5</v>
      </c>
      <c r="C17" s="10" t="n">
        <f aca="false">IF(B17=0,"",COUNTIFS(Trades!$A$2:$A$283,"SILVER",Trades!$B$2:$B$283,"V0",Trades!$F$2:$F$283,$A17,Trades!$M$2:$M$283,1)/B17)</f>
        <v>0.6</v>
      </c>
      <c r="D17" s="11" t="n">
        <f aca="false">SUMIFS(Trades!$K$2:$K$283,Trades!$A$2:$A$283,"SILVER",Trades!$B$2:$B$283,"V0",Trades!$F$2:$F$283,$A17)</f>
        <v>-86237.6999999998</v>
      </c>
      <c r="E17" s="11" t="n">
        <f aca="false">E16+D17</f>
        <v>1632222</v>
      </c>
      <c r="F17" s="9" t="n">
        <f aca="false">COUNTIFS(Trades!$A$2:$A$283,"SILVER",Trades!$B$2:$B$283,"V1",Trades!$F$2:$F$283,$A17)</f>
        <v>3</v>
      </c>
      <c r="G17" s="10" t="n">
        <f aca="false">IF(F17=0,"",COUNTIFS(Trades!$A$2:$A$283,"SILVER",Trades!$B$2:$B$283,"V1",Trades!$F$2:$F$283,$A17,Trades!$M$2:$M$283,1)/F17)</f>
        <v>1</v>
      </c>
      <c r="H17" s="11" t="n">
        <f aca="false">SUMIFS(Trades!$K$2:$K$283,Trades!$A$2:$A$283,"SILVER",Trades!$B$2:$B$283,"V1",Trades!$F$2:$F$283,$A17)</f>
        <v>1803102.9</v>
      </c>
      <c r="I17" s="11" t="n">
        <f aca="false">I16+H17</f>
        <v>4500822</v>
      </c>
      <c r="J17" s="9" t="n">
        <f aca="false">COUNTIFS(Trades!$A$2:$A$283,"SILVER",Trades!$B$2:$B$283,"W8",Trades!$F$2:$F$283,$A17)</f>
        <v>3</v>
      </c>
      <c r="K17" s="10" t="n">
        <f aca="false">IF(J17=0,"",COUNTIFS(Trades!$A$2:$A$283,"SILVER",Trades!$B$2:$B$283,"W8",Trades!$F$2:$F$283,$A17,Trades!$M$2:$M$283,1)/J17)</f>
        <v>1</v>
      </c>
      <c r="L17" s="11" t="n">
        <f aca="false">SUMIFS(Trades!$K$2:$K$283,Trades!$A$2:$A$283,"SILVER",Trades!$B$2:$B$283,"W8",Trades!$F$2:$F$283,$A17)</f>
        <v>1691348.4</v>
      </c>
      <c r="M17" s="11" t="n">
        <f aca="false">M16+L17</f>
        <v>4348685.7</v>
      </c>
      <c r="N17" s="9" t="n">
        <f aca="false">COUNTIFS(Trades!$A$2:$A$283,"SILVER",Trades!$B$2:$B$283,"W8C",Trades!$F$2:$F$283,$A17)</f>
        <v>1</v>
      </c>
      <c r="O17" s="10" t="n">
        <f aca="false">IF(N17=0,"",COUNTIFS(Trades!$A$2:$A$283,"SILVER",Trades!$B$2:$B$283,"W8C",Trades!$F$2:$F$283,$A17,Trades!$M$2:$M$283,1)/N17)</f>
        <v>1</v>
      </c>
      <c r="P17" s="11" t="n">
        <f aca="false">SUMIFS(Trades!$K$2:$K$283,Trades!$A$2:$A$283,"SILVER",Trades!$B$2:$B$283,"W8C",Trades!$F$2:$F$283,$A17)</f>
        <v>1529008.2</v>
      </c>
      <c r="Q17" s="11" t="n">
        <f aca="false">Q16+P17</f>
        <v>2707383</v>
      </c>
    </row>
    <row r="18" customFormat="false" ht="15" hidden="false" customHeight="false" outlineLevel="0" collapsed="false">
      <c r="A18" s="27" t="n">
        <v>46054</v>
      </c>
      <c r="B18" s="9" t="n">
        <f aca="false">COUNTIFS(Trades!$A$2:$A$283,"SILVER",Trades!$B$2:$B$283,"V0",Trades!$F$2:$F$283,$A18)</f>
        <v>1</v>
      </c>
      <c r="C18" s="10" t="n">
        <f aca="false">IF(B18=0,"",COUNTIFS(Trades!$A$2:$A$283,"SILVER",Trades!$B$2:$B$283,"V0",Trades!$F$2:$F$283,$A18,Trades!$M$2:$M$283,1)/B18)</f>
        <v>1</v>
      </c>
      <c r="D18" s="11" t="n">
        <f aca="false">SUMIFS(Trades!$K$2:$K$283,Trades!$A$2:$A$283,"SILVER",Trades!$B$2:$B$283,"V0",Trades!$F$2:$F$283,$A18)</f>
        <v>3432137.1</v>
      </c>
      <c r="E18" s="11" t="n">
        <f aca="false">E17+D18</f>
        <v>5064359.1</v>
      </c>
      <c r="F18" s="9" t="n">
        <f aca="false">COUNTIFS(Trades!$A$2:$A$283,"SILVER",Trades!$B$2:$B$283,"V1",Trades!$F$2:$F$283,$A18)</f>
        <v>0</v>
      </c>
      <c r="G18" s="10" t="str">
        <f aca="false">IF(F18=0,"",COUNTIFS(Trades!$A$2:$A$283,"SILVER",Trades!$B$2:$B$283,"V1",Trades!$F$2:$F$283,$A18,Trades!$M$2:$M$283,1)/F18)</f>
        <v/>
      </c>
      <c r="H18" s="11" t="n">
        <f aca="false">SUMIFS(Trades!$K$2:$K$283,Trades!$A$2:$A$283,"SILVER",Trades!$B$2:$B$283,"V1",Trades!$F$2:$F$283,$A18)</f>
        <v>0</v>
      </c>
      <c r="I18" s="11" t="n">
        <f aca="false">I17+H18</f>
        <v>4500822</v>
      </c>
      <c r="J18" s="9" t="n">
        <f aca="false">COUNTIFS(Trades!$A$2:$A$283,"SILVER",Trades!$B$2:$B$283,"W8",Trades!$F$2:$F$283,$A18)</f>
        <v>0</v>
      </c>
      <c r="K18" s="10" t="str">
        <f aca="false">IF(J18=0,"",COUNTIFS(Trades!$A$2:$A$283,"SILVER",Trades!$B$2:$B$283,"W8",Trades!$F$2:$F$283,$A18,Trades!$M$2:$M$283,1)/J18)</f>
        <v/>
      </c>
      <c r="L18" s="11" t="n">
        <f aca="false">SUMIFS(Trades!$K$2:$K$283,Trades!$A$2:$A$283,"SILVER",Trades!$B$2:$B$283,"W8",Trades!$F$2:$F$283,$A18)</f>
        <v>0</v>
      </c>
      <c r="M18" s="11" t="n">
        <f aca="false">M17+L18</f>
        <v>4348685.7</v>
      </c>
      <c r="N18" s="9" t="n">
        <f aca="false">COUNTIFS(Trades!$A$2:$A$283,"SILVER",Trades!$B$2:$B$283,"W8C",Trades!$F$2:$F$283,$A18)</f>
        <v>0</v>
      </c>
      <c r="O18" s="10" t="str">
        <f aca="false">IF(N18=0,"",COUNTIFS(Trades!$A$2:$A$283,"SILVER",Trades!$B$2:$B$283,"W8C",Trades!$F$2:$F$283,$A18,Trades!$M$2:$M$283,1)/N18)</f>
        <v/>
      </c>
      <c r="P18" s="11" t="n">
        <f aca="false">SUMIFS(Trades!$K$2:$K$283,Trades!$A$2:$A$283,"SILVER",Trades!$B$2:$B$283,"W8C",Trades!$F$2:$F$283,$A18)</f>
        <v>0</v>
      </c>
      <c r="Q18" s="11" t="n">
        <f aca="false">Q17+P18</f>
        <v>2707383</v>
      </c>
    </row>
    <row r="19" customFormat="false" ht="15" hidden="false" customHeight="false" outlineLevel="0" collapsed="false">
      <c r="A19" s="27" t="n">
        <v>46082</v>
      </c>
      <c r="B19" s="9" t="n">
        <f aca="false">COUNTIFS(Trades!$A$2:$A$283,"SILVER",Trades!$B$2:$B$283,"V0",Trades!$F$2:$F$283,$A19)</f>
        <v>4</v>
      </c>
      <c r="C19" s="10" t="n">
        <f aca="false">IF(B19=0,"",COUNTIFS(Trades!$A$2:$A$283,"SILVER",Trades!$B$2:$B$283,"V0",Trades!$F$2:$F$283,$A19,Trades!$M$2:$M$283,1)/B19)</f>
        <v>0.75</v>
      </c>
      <c r="D19" s="11" t="n">
        <f aca="false">SUMIFS(Trades!$K$2:$K$283,Trades!$A$2:$A$283,"SILVER",Trades!$B$2:$B$283,"V0",Trades!$F$2:$F$283,$A19)</f>
        <v>983074.2</v>
      </c>
      <c r="E19" s="11" t="n">
        <f aca="false">E18+D19</f>
        <v>6047433.3</v>
      </c>
      <c r="F19" s="9" t="n">
        <f aca="false">COUNTIFS(Trades!$A$2:$A$283,"SILVER",Trades!$B$2:$B$283,"V1",Trades!$F$2:$F$283,$A19)</f>
        <v>2</v>
      </c>
      <c r="G19" s="10" t="n">
        <f aca="false">IF(F19=0,"",COUNTIFS(Trades!$A$2:$A$283,"SILVER",Trades!$B$2:$B$283,"V1",Trades!$F$2:$F$283,$A19,Trades!$M$2:$M$283,1)/F19)</f>
        <v>1</v>
      </c>
      <c r="H19" s="11" t="n">
        <f aca="false">SUMIFS(Trades!$K$2:$K$283,Trades!$A$2:$A$283,"SILVER",Trades!$B$2:$B$283,"V1",Trades!$F$2:$F$283,$A19)</f>
        <v>857501.4</v>
      </c>
      <c r="I19" s="11" t="n">
        <f aca="false">I18+H19</f>
        <v>5358323.4</v>
      </c>
      <c r="J19" s="9" t="n">
        <f aca="false">COUNTIFS(Trades!$A$2:$A$283,"SILVER",Trades!$B$2:$B$283,"W8",Trades!$F$2:$F$283,$A19)</f>
        <v>2</v>
      </c>
      <c r="K19" s="10" t="n">
        <f aca="false">IF(J19=0,"",COUNTIFS(Trades!$A$2:$A$283,"SILVER",Trades!$B$2:$B$283,"W8",Trades!$F$2:$F$283,$A19,Trades!$M$2:$M$283,1)/J19)</f>
        <v>1</v>
      </c>
      <c r="L19" s="11" t="n">
        <f aca="false">SUMIFS(Trades!$K$2:$K$283,Trades!$A$2:$A$283,"SILVER",Trades!$B$2:$B$283,"W8",Trades!$F$2:$F$283,$A19)</f>
        <v>106562.7</v>
      </c>
      <c r="M19" s="11" t="n">
        <f aca="false">M18+L19</f>
        <v>4455248.4</v>
      </c>
      <c r="N19" s="9" t="n">
        <f aca="false">COUNTIFS(Trades!$A$2:$A$283,"SILVER",Trades!$B$2:$B$283,"W8C",Trades!$F$2:$F$283,$A19)</f>
        <v>1</v>
      </c>
      <c r="O19" s="10" t="n">
        <f aca="false">IF(N19=0,"",COUNTIFS(Trades!$A$2:$A$283,"SILVER",Trades!$B$2:$B$283,"W8C",Trades!$F$2:$F$283,$A19,Trades!$M$2:$M$283,1)/N19)</f>
        <v>1</v>
      </c>
      <c r="P19" s="11" t="n">
        <f aca="false">SUMIFS(Trades!$K$2:$K$283,Trades!$A$2:$A$283,"SILVER",Trades!$B$2:$B$283,"W8C",Trades!$F$2:$F$283,$A19)</f>
        <v>14418.3</v>
      </c>
      <c r="Q19" s="11" t="n">
        <f aca="false">Q18+P19</f>
        <v>2721801.3</v>
      </c>
    </row>
    <row r="20" customFormat="false" ht="15" hidden="false" customHeight="false" outlineLevel="0" collapsed="false">
      <c r="A20" s="27" t="n">
        <v>46113</v>
      </c>
      <c r="B20" s="9" t="n">
        <f aca="false">COUNTIFS(Trades!$A$2:$A$283,"SILVER",Trades!$B$2:$B$283,"V0",Trades!$F$2:$F$283,$A20)</f>
        <v>3</v>
      </c>
      <c r="C20" s="10" t="n">
        <f aca="false">IF(B20=0,"",COUNTIFS(Trades!$A$2:$A$283,"SILVER",Trades!$B$2:$B$283,"V0",Trades!$F$2:$F$283,$A20,Trades!$M$2:$M$283,1)/B20)</f>
        <v>0.333333333333333</v>
      </c>
      <c r="D20" s="11" t="n">
        <f aca="false">SUMIFS(Trades!$K$2:$K$283,Trades!$A$2:$A$283,"SILVER",Trades!$B$2:$B$283,"V0",Trades!$F$2:$F$283,$A20)</f>
        <v>-795427.2</v>
      </c>
      <c r="E20" s="11" t="n">
        <f aca="false">E19+D20</f>
        <v>5252006.1</v>
      </c>
      <c r="F20" s="9" t="n">
        <f aca="false">COUNTIFS(Trades!$A$2:$A$283,"SILVER",Trades!$B$2:$B$283,"V1",Trades!$F$2:$F$283,$A20)</f>
        <v>1</v>
      </c>
      <c r="G20" s="10" t="n">
        <f aca="false">IF(F20=0,"",COUNTIFS(Trades!$A$2:$A$283,"SILVER",Trades!$B$2:$B$283,"V1",Trades!$F$2:$F$283,$A20,Trades!$M$2:$M$283,1)/F20)</f>
        <v>0</v>
      </c>
      <c r="H20" s="11" t="n">
        <f aca="false">SUMIFS(Trades!$K$2:$K$283,Trades!$A$2:$A$283,"SILVER",Trades!$B$2:$B$283,"V1",Trades!$F$2:$F$283,$A20)</f>
        <v>-528600.9</v>
      </c>
      <c r="I20" s="11" t="n">
        <f aca="false">I19+H20</f>
        <v>4829722.5</v>
      </c>
      <c r="J20" s="9" t="n">
        <f aca="false">COUNTIFS(Trades!$A$2:$A$283,"SILVER",Trades!$B$2:$B$283,"W8",Trades!$F$2:$F$283,$A20)</f>
        <v>2</v>
      </c>
      <c r="K20" s="10" t="n">
        <f aca="false">IF(J20=0,"",COUNTIFS(Trades!$A$2:$A$283,"SILVER",Trades!$B$2:$B$283,"W8",Trades!$F$2:$F$283,$A20,Trades!$M$2:$M$283,1)/J20)</f>
        <v>0.5</v>
      </c>
      <c r="L20" s="11" t="n">
        <f aca="false">SUMIFS(Trades!$K$2:$K$283,Trades!$A$2:$A$283,"SILVER",Trades!$B$2:$B$283,"W8",Trades!$F$2:$F$283,$A20)</f>
        <v>-493147.5</v>
      </c>
      <c r="M20" s="11" t="n">
        <f aca="false">M19+L20</f>
        <v>3962100.9</v>
      </c>
      <c r="N20" s="9" t="n">
        <f aca="false">COUNTIFS(Trades!$A$2:$A$283,"SILVER",Trades!$B$2:$B$283,"W8C",Trades!$F$2:$F$283,$A20)</f>
        <v>1</v>
      </c>
      <c r="O20" s="10" t="n">
        <f aca="false">IF(N20=0,"",COUNTIFS(Trades!$A$2:$A$283,"SILVER",Trades!$B$2:$B$283,"W8C",Trades!$F$2:$F$283,$A20,Trades!$M$2:$M$283,1)/N20)</f>
        <v>1</v>
      </c>
      <c r="P20" s="11" t="n">
        <f aca="false">SUMIFS(Trades!$K$2:$K$283,Trades!$A$2:$A$283,"SILVER",Trades!$B$2:$B$283,"W8C",Trades!$F$2:$F$283,$A20)</f>
        <v>32382</v>
      </c>
      <c r="Q20" s="11" t="n">
        <f aca="false">Q19+P20</f>
        <v>2754183.3</v>
      </c>
    </row>
    <row r="21" customFormat="false" ht="15" hidden="false" customHeight="false" outlineLevel="0" collapsed="false">
      <c r="A21" s="27" t="n">
        <v>46143</v>
      </c>
      <c r="B21" s="9" t="n">
        <f aca="false">COUNTIFS(Trades!$A$2:$A$283,"SILVER",Trades!$B$2:$B$283,"V0",Trades!$F$2:$F$283,$A21)</f>
        <v>4</v>
      </c>
      <c r="C21" s="10" t="n">
        <f aca="false">IF(B21=0,"",COUNTIFS(Trades!$A$2:$A$283,"SILVER",Trades!$B$2:$B$283,"V0",Trades!$F$2:$F$283,$A21,Trades!$M$2:$M$283,1)/B21)</f>
        <v>0.25</v>
      </c>
      <c r="D21" s="11" t="n">
        <f aca="false">SUMIFS(Trades!$K$2:$K$283,Trades!$A$2:$A$283,"SILVER",Trades!$B$2:$B$283,"V0",Trades!$F$2:$F$283,$A21)</f>
        <v>54006</v>
      </c>
      <c r="E21" s="11" t="n">
        <f aca="false">E20+D21</f>
        <v>5306012.1</v>
      </c>
      <c r="F21" s="9" t="n">
        <f aca="false">COUNTIFS(Trades!$A$2:$A$283,"SILVER",Trades!$B$2:$B$283,"V1",Trades!$F$2:$F$283,$A21)</f>
        <v>2</v>
      </c>
      <c r="G21" s="10" t="n">
        <f aca="false">IF(F21=0,"",COUNTIFS(Trades!$A$2:$A$283,"SILVER",Trades!$B$2:$B$283,"V1",Trades!$F$2:$F$283,$A21,Trades!$M$2:$M$283,1)/F21)</f>
        <v>0</v>
      </c>
      <c r="H21" s="11" t="n">
        <f aca="false">SUMIFS(Trades!$K$2:$K$283,Trades!$A$2:$A$283,"SILVER",Trades!$B$2:$B$283,"V1",Trades!$F$2:$F$283,$A21)</f>
        <v>-376413</v>
      </c>
      <c r="I21" s="11" t="n">
        <f aca="false">I20+H21</f>
        <v>4453309.5</v>
      </c>
      <c r="J21" s="9" t="n">
        <f aca="false">COUNTIFS(Trades!$A$2:$A$283,"SILVER",Trades!$B$2:$B$283,"W8",Trades!$F$2:$F$283,$A21)</f>
        <v>1</v>
      </c>
      <c r="K21" s="10" t="n">
        <f aca="false">IF(J21=0,"",COUNTIFS(Trades!$A$2:$A$283,"SILVER",Trades!$B$2:$B$283,"W8",Trades!$F$2:$F$283,$A21,Trades!$M$2:$M$283,1)/J21)</f>
        <v>0</v>
      </c>
      <c r="L21" s="11" t="n">
        <f aca="false">SUMIFS(Trades!$K$2:$K$283,Trades!$A$2:$A$283,"SILVER",Trades!$B$2:$B$283,"W8",Trades!$F$2:$F$283,$A21)</f>
        <v>-310073.7</v>
      </c>
      <c r="M21" s="11" t="n">
        <f aca="false">M20+L21</f>
        <v>3652027.2</v>
      </c>
      <c r="N21" s="9" t="n">
        <f aca="false">COUNTIFS(Trades!$A$2:$A$283,"SILVER",Trades!$B$2:$B$283,"W8C",Trades!$F$2:$F$283,$A21)</f>
        <v>1</v>
      </c>
      <c r="O21" s="10" t="n">
        <f aca="false">IF(N21=0,"",COUNTIFS(Trades!$A$2:$A$283,"SILVER",Trades!$B$2:$B$283,"W8C",Trades!$F$2:$F$283,$A21,Trades!$M$2:$M$283,1)/N21)</f>
        <v>1</v>
      </c>
      <c r="P21" s="11" t="n">
        <f aca="false">SUMIFS(Trades!$K$2:$K$283,Trades!$A$2:$A$283,"SILVER",Trades!$B$2:$B$283,"W8C",Trades!$F$2:$F$283,$A21)</f>
        <v>60112.8</v>
      </c>
      <c r="Q21" s="11" t="n">
        <f aca="false">Q20+P21</f>
        <v>2814296.1</v>
      </c>
    </row>
    <row r="22" customFormat="false" ht="15" hidden="false" customHeight="false" outlineLevel="0" collapsed="false">
      <c r="A22" s="27" t="n">
        <v>46174</v>
      </c>
      <c r="B22" s="9" t="n">
        <f aca="false">COUNTIFS(Trades!$A$2:$A$283,"SILVER",Trades!$B$2:$B$283,"V0",Trades!$F$2:$F$283,$A22)</f>
        <v>3</v>
      </c>
      <c r="C22" s="10" t="n">
        <f aca="false">IF(B22=0,"",COUNTIFS(Trades!$A$2:$A$283,"SILVER",Trades!$B$2:$B$283,"V0",Trades!$F$2:$F$283,$A22,Trades!$M$2:$M$283,1)/B22)</f>
        <v>0.666666666666667</v>
      </c>
      <c r="D22" s="11" t="n">
        <f aca="false">SUMIFS(Trades!$K$2:$K$283,Trades!$A$2:$A$283,"SILVER",Trades!$B$2:$B$283,"V0",Trades!$F$2:$F$283,$A22)</f>
        <v>1114066.8</v>
      </c>
      <c r="E22" s="11" t="n">
        <f aca="false">E21+D22</f>
        <v>6420078.9</v>
      </c>
      <c r="F22" s="9" t="n">
        <f aca="false">COUNTIFS(Trades!$A$2:$A$283,"SILVER",Trades!$B$2:$B$283,"V1",Trades!$F$2:$F$283,$A22)</f>
        <v>2</v>
      </c>
      <c r="G22" s="10" t="n">
        <f aca="false">IF(F22=0,"",COUNTIFS(Trades!$A$2:$A$283,"SILVER",Trades!$B$2:$B$283,"V1",Trades!$F$2:$F$283,$A22,Trades!$M$2:$M$283,1)/F22)</f>
        <v>1</v>
      </c>
      <c r="H22" s="11" t="n">
        <f aca="false">SUMIFS(Trades!$K$2:$K$283,Trades!$A$2:$A$283,"SILVER",Trades!$B$2:$B$283,"V1",Trades!$F$2:$F$283,$A22)</f>
        <v>1423870.2</v>
      </c>
      <c r="I22" s="11" t="n">
        <f aca="false">I21+H22</f>
        <v>5877179.7</v>
      </c>
      <c r="J22" s="9" t="n">
        <f aca="false">COUNTIFS(Trades!$A$2:$A$283,"SILVER",Trades!$B$2:$B$283,"W8",Trades!$F$2:$F$283,$A22)</f>
        <v>2</v>
      </c>
      <c r="K22" s="10" t="n">
        <f aca="false">IF(J22=0,"",COUNTIFS(Trades!$A$2:$A$283,"SILVER",Trades!$B$2:$B$283,"W8",Trades!$F$2:$F$283,$A22,Trades!$M$2:$M$283,1)/J22)</f>
        <v>1</v>
      </c>
      <c r="L22" s="11" t="n">
        <f aca="false">SUMIFS(Trades!$K$2:$K$283,Trades!$A$2:$A$283,"SILVER",Trades!$B$2:$B$283,"W8",Trades!$F$2:$F$283,$A22)</f>
        <v>1423870.2</v>
      </c>
      <c r="M22" s="11" t="n">
        <f aca="false">M21+L22</f>
        <v>5075897.4</v>
      </c>
      <c r="N22" s="9" t="n">
        <f aca="false">COUNTIFS(Trades!$A$2:$A$283,"SILVER",Trades!$B$2:$B$283,"W8C",Trades!$F$2:$F$283,$A22)</f>
        <v>1</v>
      </c>
      <c r="O22" s="10" t="n">
        <f aca="false">IF(N22=0,"",COUNTIFS(Trades!$A$2:$A$283,"SILVER",Trades!$B$2:$B$283,"W8C",Trades!$F$2:$F$283,$A22,Trades!$M$2:$M$283,1)/N22)</f>
        <v>1</v>
      </c>
      <c r="P22" s="11" t="n">
        <f aca="false">SUMIFS(Trades!$K$2:$K$283,Trades!$A$2:$A$283,"SILVER",Trades!$B$2:$B$283,"W8C",Trades!$F$2:$F$283,$A22)</f>
        <v>452472.3</v>
      </c>
      <c r="Q22" s="11" t="n">
        <f aca="false">Q21+P22</f>
        <v>3266768.4</v>
      </c>
    </row>
    <row r="23" customFormat="false" ht="15" hidden="false" customHeight="false" outlineLevel="0" collapsed="false">
      <c r="A23" s="27" t="n">
        <v>46204</v>
      </c>
      <c r="B23" s="9" t="n">
        <f aca="false">COUNTIFS(Trades!$A$2:$A$283,"SILVER",Trades!$B$2:$B$283,"V0",Trades!$F$2:$F$283,$A23)</f>
        <v>3</v>
      </c>
      <c r="C23" s="10" t="n">
        <f aca="false">IF(B23=0,"",COUNTIFS(Trades!$A$2:$A$283,"SILVER",Trades!$B$2:$B$283,"V0",Trades!$F$2:$F$283,$A23,Trades!$M$2:$M$283,1)/B23)</f>
        <v>0.666666666666667</v>
      </c>
      <c r="D23" s="11" t="n">
        <f aca="false">SUMIFS(Trades!$K$2:$K$283,Trades!$A$2:$A$283,"SILVER",Trades!$B$2:$B$283,"V0",Trades!$F$2:$F$283,$A23)</f>
        <v>205354.5</v>
      </c>
      <c r="E23" s="11" t="n">
        <f aca="false">E22+D23</f>
        <v>6625433.4</v>
      </c>
      <c r="F23" s="9" t="n">
        <f aca="false">COUNTIFS(Trades!$A$2:$A$283,"SILVER",Trades!$B$2:$B$283,"V1",Trades!$F$2:$F$283,$A23)</f>
        <v>1</v>
      </c>
      <c r="G23" s="10" t="n">
        <f aca="false">IF(F23=0,"",COUNTIFS(Trades!$A$2:$A$283,"SILVER",Trades!$B$2:$B$283,"V1",Trades!$F$2:$F$283,$A23,Trades!$M$2:$M$283,1)/F23)</f>
        <v>1</v>
      </c>
      <c r="H23" s="11" t="n">
        <f aca="false">SUMIFS(Trades!$K$2:$K$283,Trades!$A$2:$A$283,"SILVER",Trades!$B$2:$B$283,"V1",Trades!$F$2:$F$283,$A23)</f>
        <v>208014.6</v>
      </c>
      <c r="I23" s="11" t="n">
        <f aca="false">I22+H23</f>
        <v>6085194.3</v>
      </c>
      <c r="J23" s="9" t="n">
        <f aca="false">COUNTIFS(Trades!$A$2:$A$283,"SILVER",Trades!$B$2:$B$283,"W8",Trades!$F$2:$F$283,$A23)</f>
        <v>2</v>
      </c>
      <c r="K23" s="10" t="n">
        <f aca="false">IF(J23=0,"",COUNTIFS(Trades!$A$2:$A$283,"SILVER",Trades!$B$2:$B$283,"W8",Trades!$F$2:$F$283,$A23,Trades!$M$2:$M$283,1)/J23)</f>
        <v>1</v>
      </c>
      <c r="L23" s="11" t="n">
        <f aca="false">SUMIFS(Trades!$K$2:$K$283,Trades!$A$2:$A$283,"SILVER",Trades!$B$2:$B$283,"W8",Trades!$F$2:$F$283,$A23)</f>
        <v>228819.6</v>
      </c>
      <c r="M23" s="11" t="n">
        <f aca="false">M22+L23</f>
        <v>5304717</v>
      </c>
      <c r="N23" s="9" t="n">
        <f aca="false">COUNTIFS(Trades!$A$2:$A$283,"SILVER",Trades!$B$2:$B$283,"W8C",Trades!$F$2:$F$283,$A23)</f>
        <v>1</v>
      </c>
      <c r="O23" s="10" t="n">
        <f aca="false">IF(N23=0,"",COUNTIFS(Trades!$A$2:$A$283,"SILVER",Trades!$B$2:$B$283,"W8C",Trades!$F$2:$F$283,$A23,Trades!$M$2:$M$283,1)/N23)</f>
        <v>1</v>
      </c>
      <c r="P23" s="11" t="n">
        <f aca="false">SUMIFS(Trades!$K$2:$K$283,Trades!$A$2:$A$283,"SILVER",Trades!$B$2:$B$283,"W8C",Trades!$F$2:$F$283,$A23)</f>
        <v>198175.5</v>
      </c>
      <c r="Q23" s="11" t="n">
        <f aca="false">Q22+P23</f>
        <v>3464943.9</v>
      </c>
    </row>
    <row r="24" customFormat="false" ht="15" hidden="false" customHeight="false" outlineLevel="0" collapsed="false">
      <c r="A24" s="27" t="n">
        <v>46235</v>
      </c>
      <c r="B24" s="9" t="n">
        <f aca="false">COUNTIFS(Trades!$A$2:$A$283,"SILVER",Trades!$B$2:$B$283,"V0",Trades!$F$2:$F$283,$A24)</f>
        <v>4</v>
      </c>
      <c r="C24" s="10" t="n">
        <f aca="false">IF(B24=0,"",COUNTIFS(Trades!$A$2:$A$283,"SILVER",Trades!$B$2:$B$283,"V0",Trades!$F$2:$F$283,$A24,Trades!$M$2:$M$283,1)/B24)</f>
        <v>0.5</v>
      </c>
      <c r="D24" s="11" t="n">
        <f aca="false">SUMIFS(Trades!$K$2:$K$283,Trades!$A$2:$A$283,"SILVER",Trades!$B$2:$B$283,"V0",Trades!$F$2:$F$283,$A24)</f>
        <v>-6679.79999999999</v>
      </c>
      <c r="E24" s="11" t="n">
        <f aca="false">E23+D24</f>
        <v>6618753.6</v>
      </c>
      <c r="F24" s="9" t="n">
        <f aca="false">COUNTIFS(Trades!$A$2:$A$283,"SILVER",Trades!$B$2:$B$283,"V1",Trades!$F$2:$F$283,$A24)</f>
        <v>2</v>
      </c>
      <c r="G24" s="10" t="n">
        <f aca="false">IF(F24=0,"",COUNTIFS(Trades!$A$2:$A$283,"SILVER",Trades!$B$2:$B$283,"V1",Trades!$F$2:$F$283,$A24,Trades!$M$2:$M$283,1)/F24)</f>
        <v>0</v>
      </c>
      <c r="H24" s="11" t="n">
        <f aca="false">SUMIFS(Trades!$K$2:$K$283,Trades!$A$2:$A$283,"SILVER",Trades!$B$2:$B$283,"V1",Trades!$F$2:$F$283,$A24)</f>
        <v>-346046.4</v>
      </c>
      <c r="I24" s="11" t="n">
        <f aca="false">I23+H24</f>
        <v>5739147.9</v>
      </c>
      <c r="J24" s="9" t="n">
        <f aca="false">COUNTIFS(Trades!$A$2:$A$283,"SILVER",Trades!$B$2:$B$283,"W8",Trades!$F$2:$F$283,$A24)</f>
        <v>2</v>
      </c>
      <c r="K24" s="10" t="n">
        <f aca="false">IF(J24=0,"",COUNTIFS(Trades!$A$2:$A$283,"SILVER",Trades!$B$2:$B$283,"W8",Trades!$F$2:$F$283,$A24,Trades!$M$2:$M$283,1)/J24)</f>
        <v>0.5</v>
      </c>
      <c r="L24" s="11" t="n">
        <f aca="false">SUMIFS(Trades!$K$2:$K$283,Trades!$A$2:$A$283,"SILVER",Trades!$B$2:$B$283,"W8",Trades!$F$2:$F$283,$A24)</f>
        <v>-210161.4</v>
      </c>
      <c r="M24" s="11" t="n">
        <f aca="false">M23+L24</f>
        <v>5094555.6</v>
      </c>
      <c r="N24" s="9" t="n">
        <f aca="false">COUNTIFS(Trades!$A$2:$A$283,"SILVER",Trades!$B$2:$B$283,"W8C",Trades!$F$2:$F$283,$A24)</f>
        <v>0</v>
      </c>
      <c r="O24" s="10" t="str">
        <f aca="false">IF(N24=0,"",COUNTIFS(Trades!$A$2:$A$283,"SILVER",Trades!$B$2:$B$283,"W8C",Trades!$F$2:$F$283,$A24,Trades!$M$2:$M$283,1)/N24)</f>
        <v/>
      </c>
      <c r="P24" s="11" t="n">
        <f aca="false">SUMIFS(Trades!$K$2:$K$283,Trades!$A$2:$A$283,"SILVER",Trades!$B$2:$B$283,"W8C",Trades!$F$2:$F$283,$A24)</f>
        <v>0</v>
      </c>
      <c r="Q24" s="11" t="n">
        <f aca="false">Q23+P24</f>
        <v>3464943.9</v>
      </c>
    </row>
    <row r="25" customFormat="false" ht="15" hidden="false" customHeight="false" outlineLevel="0" collapsed="false">
      <c r="A25" s="27" t="n">
        <v>46266</v>
      </c>
      <c r="B25" s="9" t="n">
        <f aca="false">COUNTIFS(Trades!$A$2:$A$283,"SILVER",Trades!$B$2:$B$283,"V0",Trades!$F$2:$F$283,$A25)</f>
        <v>4</v>
      </c>
      <c r="C25" s="10" t="n">
        <f aca="false">IF(B25=0,"",COUNTIFS(Trades!$A$2:$A$283,"SILVER",Trades!$B$2:$B$283,"V0",Trades!$F$2:$F$283,$A25,Trades!$M$2:$M$283,1)/B25)</f>
        <v>0.25</v>
      </c>
      <c r="D25" s="11" t="n">
        <f aca="false">SUMIFS(Trades!$K$2:$K$283,Trades!$A$2:$A$283,"SILVER",Trades!$B$2:$B$283,"V0",Trades!$F$2:$F$283,$A25)</f>
        <v>-240175.5</v>
      </c>
      <c r="E25" s="11" t="n">
        <f aca="false">E24+D25</f>
        <v>6378578.1</v>
      </c>
      <c r="F25" s="9" t="n">
        <f aca="false">COUNTIFS(Trades!$A$2:$A$283,"SILVER",Trades!$B$2:$B$283,"V1",Trades!$F$2:$F$283,$A25)</f>
        <v>2</v>
      </c>
      <c r="G25" s="10" t="n">
        <f aca="false">IF(F25=0,"",COUNTIFS(Trades!$A$2:$A$283,"SILVER",Trades!$B$2:$B$283,"V1",Trades!$F$2:$F$283,$A25,Trades!$M$2:$M$283,1)/F25)</f>
        <v>0.5</v>
      </c>
      <c r="H25" s="11" t="n">
        <f aca="false">SUMIFS(Trades!$K$2:$K$283,Trades!$A$2:$A$283,"SILVER",Trades!$B$2:$B$283,"V1",Trades!$F$2:$F$283,$A25)</f>
        <v>54327.9</v>
      </c>
      <c r="I25" s="11" t="n">
        <f aca="false">I24+H25</f>
        <v>5793475.8</v>
      </c>
      <c r="J25" s="9" t="n">
        <f aca="false">COUNTIFS(Trades!$A$2:$A$283,"SILVER",Trades!$B$2:$B$283,"W8",Trades!$F$2:$F$283,$A25)</f>
        <v>1</v>
      </c>
      <c r="K25" s="10" t="n">
        <f aca="false">IF(J25=0,"",COUNTIFS(Trades!$A$2:$A$283,"SILVER",Trades!$B$2:$B$283,"W8",Trades!$F$2:$F$283,$A25,Trades!$M$2:$M$283,1)/J25)</f>
        <v>0</v>
      </c>
      <c r="L25" s="11" t="n">
        <f aca="false">SUMIFS(Trades!$K$2:$K$283,Trades!$A$2:$A$283,"SILVER",Trades!$B$2:$B$283,"W8",Trades!$F$2:$F$283,$A25)</f>
        <v>-21840.3</v>
      </c>
      <c r="M25" s="11" t="n">
        <f aca="false">M24+L25</f>
        <v>5072715.3</v>
      </c>
      <c r="N25" s="9" t="n">
        <f aca="false">COUNTIFS(Trades!$A$2:$A$283,"SILVER",Trades!$B$2:$B$283,"W8C",Trades!$F$2:$F$283,$A25)</f>
        <v>2</v>
      </c>
      <c r="O25" s="10" t="n">
        <f aca="false">IF(N25=0,"",COUNTIFS(Trades!$A$2:$A$283,"SILVER",Trades!$B$2:$B$283,"W8C",Trades!$F$2:$F$283,$A25,Trades!$M$2:$M$283,1)/N25)</f>
        <v>0.5</v>
      </c>
      <c r="P25" s="11" t="n">
        <f aca="false">SUMIFS(Trades!$K$2:$K$283,Trades!$A$2:$A$283,"SILVER",Trades!$B$2:$B$283,"W8C",Trades!$F$2:$F$283,$A25)</f>
        <v>-148735.5</v>
      </c>
      <c r="Q25" s="11" t="n">
        <f aca="false">Q24+P25</f>
        <v>3316208.4</v>
      </c>
    </row>
    <row r="27" customFormat="false" ht="15" hidden="false" customHeight="false" outlineLevel="0" collapsed="false">
      <c r="A27" s="28" t="s">
        <v>62</v>
      </c>
      <c r="B27" s="29" t="n">
        <f aca="false">SUMIFS(B$5:B$25,$A$5:$A$25,"&gt;="&amp;DATE(2025,1,1),$A$5:$A$25,"&lt;"&amp;DATE(2026,1,1))</f>
        <v>38</v>
      </c>
      <c r="C27" s="30" t="n">
        <f aca="false">IF(B27=0,"",COUNTIFS(Trades!$A$2:$A$283,"SILVER",Trades!$B$2:$B$283,"V0",Trades!$E$2:$E$283,"&gt;="&amp;DATE(2025,1,1),Trades!$E$2:$E$283,"&lt;"&amp;DATE(2026,1,1),Trades!$M$2:$M$283,1)/B27)</f>
        <v>0.447368421052632</v>
      </c>
      <c r="D27" s="31" t="n">
        <f aca="false">SUMIFS(D$5:D$25,$A$5:$A$25,"&gt;="&amp;DATE(2025,1,1),$A$5:$A$25,"&lt;"&amp;DATE(2026,1,1))</f>
        <v>1718459.7</v>
      </c>
      <c r="E27" s="31"/>
      <c r="F27" s="29" t="n">
        <f aca="false">SUMIFS(F$5:F$25,$A$5:$A$25,"&gt;="&amp;DATE(2025,1,1),$A$5:$A$25,"&lt;"&amp;DATE(2026,1,1))</f>
        <v>17</v>
      </c>
      <c r="G27" s="30" t="n">
        <f aca="false">IF(F27=0,"",COUNTIFS(Trades!$A$2:$A$283,"SILVER",Trades!$B$2:$B$283,"V1",Trades!$E$2:$E$283,"&gt;="&amp;DATE(2025,1,1),Trades!$E$2:$E$283,"&lt;"&amp;DATE(2026,1,1),Trades!$M$2:$M$283,1)/F27)</f>
        <v>0.588235294117647</v>
      </c>
      <c r="H27" s="31" t="n">
        <f aca="false">SUMIFS(H$5:H$25,$A$5:$A$25,"&gt;="&amp;DATE(2025,1,1),$A$5:$A$25,"&lt;"&amp;DATE(2026,1,1))</f>
        <v>2697719.1</v>
      </c>
      <c r="I27" s="31"/>
      <c r="J27" s="29" t="n">
        <f aca="false">SUMIFS(J$5:J$25,$A$5:$A$25,"&gt;="&amp;DATE(2025,1,1),$A$5:$A$25,"&lt;"&amp;DATE(2026,1,1))</f>
        <v>17</v>
      </c>
      <c r="K27" s="30" t="n">
        <f aca="false">IF(J27=0,"",COUNTIFS(Trades!$A$2:$A$283,"SILVER",Trades!$B$2:$B$283,"W8",Trades!$E$2:$E$283,"&gt;="&amp;DATE(2025,1,1),Trades!$E$2:$E$283,"&lt;"&amp;DATE(2026,1,1),Trades!$M$2:$M$283,1)/J27)</f>
        <v>0.823529411764706</v>
      </c>
      <c r="L27" s="31" t="n">
        <f aca="false">SUMIFS(L$5:L$25,$A$5:$A$25,"&gt;="&amp;DATE(2025,1,1),$A$5:$A$25,"&lt;"&amp;DATE(2026,1,1))</f>
        <v>2657337.3</v>
      </c>
      <c r="M27" s="31"/>
      <c r="N27" s="29" t="n">
        <f aca="false">SUMIFS(N$5:N$25,$A$5:$A$25,"&gt;="&amp;DATE(2025,1,1),$A$5:$A$25,"&lt;"&amp;DATE(2026,1,1))</f>
        <v>8</v>
      </c>
      <c r="O27" s="30" t="n">
        <f aca="false">IF(N27=0,"",COUNTIFS(Trades!$A$2:$A$283,"SILVER",Trades!$B$2:$B$283,"W8C",Trades!$E$2:$E$283,"&gt;="&amp;DATE(2025,1,1),Trades!$E$2:$E$283,"&lt;"&amp;DATE(2026,1,1),Trades!$M$2:$M$283,1)/N27)</f>
        <v>1</v>
      </c>
      <c r="P27" s="31" t="n">
        <f aca="false">SUMIFS(P$5:P$25,$A$5:$A$25,"&gt;="&amp;DATE(2025,1,1),$A$5:$A$25,"&lt;"&amp;DATE(2026,1,1))</f>
        <v>1178374.8</v>
      </c>
      <c r="Q27" s="31"/>
    </row>
    <row r="28" customFormat="false" ht="15" hidden="false" customHeight="false" outlineLevel="0" collapsed="false">
      <c r="A28" s="28" t="s">
        <v>63</v>
      </c>
      <c r="B28" s="29" t="n">
        <f aca="false">SUMIFS(B$5:B$25,$A$5:$A$25,"&gt;="&amp;DATE(2026,1,1),$A$5:$A$25,"&lt;"&amp;DATE(2027,1,1))</f>
        <v>31</v>
      </c>
      <c r="C28" s="30" t="n">
        <f aca="false">IF(B28=0,"",COUNTIFS(Trades!$A$2:$A$283,"SILVER",Trades!$B$2:$B$283,"V0",Trades!$E$2:$E$283,"&gt;="&amp;DATE(2026,1,1),Trades!$E$2:$E$283,"&lt;"&amp;DATE(2027,1,1),Trades!$M$2:$M$283,1)/B28)</f>
        <v>0.516129032258065</v>
      </c>
      <c r="D28" s="31" t="n">
        <f aca="false">SUMIFS(D$5:D$25,$A$5:$A$25,"&gt;="&amp;DATE(2026,1,1),$A$5:$A$25,"&lt;"&amp;DATE(2027,1,1))</f>
        <v>4660118.4</v>
      </c>
      <c r="E28" s="31"/>
      <c r="F28" s="29" t="n">
        <f aca="false">SUMIFS(F$5:F$25,$A$5:$A$25,"&gt;="&amp;DATE(2026,1,1),$A$5:$A$25,"&lt;"&amp;DATE(2027,1,1))</f>
        <v>15</v>
      </c>
      <c r="G28" s="30" t="n">
        <f aca="false">IF(F28=0,"",COUNTIFS(Trades!$A$2:$A$283,"SILVER",Trades!$B$2:$B$283,"V1",Trades!$E$2:$E$283,"&gt;="&amp;DATE(2026,1,1),Trades!$E$2:$E$283,"&lt;"&amp;DATE(2027,1,1),Trades!$M$2:$M$283,1)/F28)</f>
        <v>0.6</v>
      </c>
      <c r="H28" s="31" t="n">
        <f aca="false">SUMIFS(H$5:H$25,$A$5:$A$25,"&gt;="&amp;DATE(2026,1,1),$A$5:$A$25,"&lt;"&amp;DATE(2027,1,1))</f>
        <v>3095756.7</v>
      </c>
      <c r="I28" s="31"/>
      <c r="J28" s="29" t="n">
        <f aca="false">SUMIFS(J$5:J$25,$A$5:$A$25,"&gt;="&amp;DATE(2026,1,1),$A$5:$A$25,"&lt;"&amp;DATE(2027,1,1))</f>
        <v>15</v>
      </c>
      <c r="K28" s="30" t="n">
        <f aca="false">IF(J28=0,"",COUNTIFS(Trades!$A$2:$A$283,"SILVER",Trades!$B$2:$B$283,"W8",Trades!$E$2:$E$283,"&gt;="&amp;DATE(2026,1,1),Trades!$E$2:$E$283,"&lt;"&amp;DATE(2027,1,1),Trades!$M$2:$M$283,1)/J28)</f>
        <v>0.733333333333333</v>
      </c>
      <c r="L28" s="31" t="n">
        <f aca="false">SUMIFS(L$5:L$25,$A$5:$A$25,"&gt;="&amp;DATE(2026,1,1),$A$5:$A$25,"&lt;"&amp;DATE(2027,1,1))</f>
        <v>2415378</v>
      </c>
      <c r="M28" s="31"/>
      <c r="N28" s="29" t="n">
        <f aca="false">SUMIFS(N$5:N$25,$A$5:$A$25,"&gt;="&amp;DATE(2026,1,1),$A$5:$A$25,"&lt;"&amp;DATE(2027,1,1))</f>
        <v>8</v>
      </c>
      <c r="O28" s="30" t="n">
        <f aca="false">IF(N28=0,"",COUNTIFS(Trades!$A$2:$A$283,"SILVER",Trades!$B$2:$B$283,"W8C",Trades!$E$2:$E$283,"&gt;="&amp;DATE(2026,1,1),Trades!$E$2:$E$283,"&lt;"&amp;DATE(2027,1,1),Trades!$M$2:$M$283,1)/N28)</f>
        <v>0.875</v>
      </c>
      <c r="P28" s="31" t="n">
        <f aca="false">SUMIFS(P$5:P$25,$A$5:$A$25,"&gt;="&amp;DATE(2026,1,1),$A$5:$A$25,"&lt;"&amp;DATE(2027,1,1))</f>
        <v>2137833.6</v>
      </c>
      <c r="Q28" s="31"/>
    </row>
    <row r="29" customFormat="false" ht="15" hidden="false" customHeight="false" outlineLevel="0" collapsed="false">
      <c r="A29" s="28" t="s">
        <v>64</v>
      </c>
      <c r="B29" s="29" t="n">
        <f aca="false">SUMIFS(B$5:B$25,$A$5:$A$25,"&gt;="&amp;DATE(2025,1,1),$A$5:$A$25,"&lt;"&amp;DATE(2027,1,1))</f>
        <v>69</v>
      </c>
      <c r="C29" s="30" t="n">
        <f aca="false">IF(B29=0,"",COUNTIFS(Trades!$A$2:$A$283,"SILVER",Trades!$B$2:$B$283,"V0",Trades!$E$2:$E$283,"&gt;="&amp;DATE(2025,1,1),Trades!$E$2:$E$283,"&lt;"&amp;DATE(2027,1,1),Trades!$M$2:$M$283,1)/B29)</f>
        <v>0.478260869565217</v>
      </c>
      <c r="D29" s="31" t="n">
        <f aca="false">SUMIFS(D$5:D$25,$A$5:$A$25,"&gt;="&amp;DATE(2025,1,1),$A$5:$A$25,"&lt;"&amp;DATE(2027,1,1))</f>
        <v>6378578.1</v>
      </c>
      <c r="E29" s="31"/>
      <c r="F29" s="29" t="n">
        <f aca="false">SUMIFS(F$5:F$25,$A$5:$A$25,"&gt;="&amp;DATE(2025,1,1),$A$5:$A$25,"&lt;"&amp;DATE(2027,1,1))</f>
        <v>32</v>
      </c>
      <c r="G29" s="30" t="n">
        <f aca="false">IF(F29=0,"",COUNTIFS(Trades!$A$2:$A$283,"SILVER",Trades!$B$2:$B$283,"V1",Trades!$E$2:$E$283,"&gt;="&amp;DATE(2025,1,1),Trades!$E$2:$E$283,"&lt;"&amp;DATE(2027,1,1),Trades!$M$2:$M$283,1)/F29)</f>
        <v>0.59375</v>
      </c>
      <c r="H29" s="31" t="n">
        <f aca="false">SUMIFS(H$5:H$25,$A$5:$A$25,"&gt;="&amp;DATE(2025,1,1),$A$5:$A$25,"&lt;"&amp;DATE(2027,1,1))</f>
        <v>5793475.8</v>
      </c>
      <c r="I29" s="31"/>
      <c r="J29" s="29" t="n">
        <f aca="false">SUMIFS(J$5:J$25,$A$5:$A$25,"&gt;="&amp;DATE(2025,1,1),$A$5:$A$25,"&lt;"&amp;DATE(2027,1,1))</f>
        <v>32</v>
      </c>
      <c r="K29" s="30" t="n">
        <f aca="false">IF(J29=0,"",COUNTIFS(Trades!$A$2:$A$283,"SILVER",Trades!$B$2:$B$283,"W8",Trades!$E$2:$E$283,"&gt;="&amp;DATE(2025,1,1),Trades!$E$2:$E$283,"&lt;"&amp;DATE(2027,1,1),Trades!$M$2:$M$283,1)/J29)</f>
        <v>0.78125</v>
      </c>
      <c r="L29" s="31" t="n">
        <f aca="false">SUMIFS(L$5:L$25,$A$5:$A$25,"&gt;="&amp;DATE(2025,1,1),$A$5:$A$25,"&lt;"&amp;DATE(2027,1,1))</f>
        <v>5072715.3</v>
      </c>
      <c r="M29" s="31"/>
      <c r="N29" s="29" t="n">
        <f aca="false">SUMIFS(N$5:N$25,$A$5:$A$25,"&gt;="&amp;DATE(2025,1,1),$A$5:$A$25,"&lt;"&amp;DATE(2027,1,1))</f>
        <v>16</v>
      </c>
      <c r="O29" s="30" t="n">
        <f aca="false">IF(N29=0,"",COUNTIFS(Trades!$A$2:$A$283,"SILVER",Trades!$B$2:$B$283,"W8C",Trades!$E$2:$E$283,"&gt;="&amp;DATE(2025,1,1),Trades!$E$2:$E$283,"&lt;"&amp;DATE(2027,1,1),Trades!$M$2:$M$283,1)/N29)</f>
        <v>0.9375</v>
      </c>
      <c r="P29" s="31" t="n">
        <f aca="false">SUMIFS(P$5:P$25,$A$5:$A$25,"&gt;="&amp;DATE(2025,1,1),$A$5:$A$25,"&lt;"&amp;DATE(2027,1,1))</f>
        <v>3316208.4</v>
      </c>
      <c r="Q29" s="31"/>
    </row>
  </sheetData>
  <mergeCells count="5">
    <mergeCell ref="A3:A4"/>
    <mergeCell ref="B3:E3"/>
    <mergeCell ref="F3:I3"/>
    <mergeCell ref="J3:M3"/>
    <mergeCell ref="N3:Q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17" min="2" style="0" width="13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5" t="s">
        <v>55</v>
      </c>
    </row>
    <row r="3" customFormat="false" ht="30" hidden="false" customHeight="true" outlineLevel="0" collapsed="false">
      <c r="A3" s="6" t="s">
        <v>56</v>
      </c>
      <c r="B3" s="6" t="s">
        <v>57</v>
      </c>
      <c r="C3" s="6"/>
      <c r="D3" s="6"/>
      <c r="E3" s="6"/>
      <c r="F3" s="6" t="s">
        <v>58</v>
      </c>
      <c r="G3" s="6"/>
      <c r="H3" s="6"/>
      <c r="I3" s="6"/>
      <c r="J3" s="6" t="s">
        <v>59</v>
      </c>
      <c r="K3" s="6"/>
      <c r="L3" s="6"/>
      <c r="M3" s="6"/>
      <c r="N3" s="6" t="s">
        <v>60</v>
      </c>
      <c r="O3" s="6"/>
      <c r="P3" s="6"/>
      <c r="Q3" s="6"/>
    </row>
    <row r="4" customFormat="false" ht="15" hidden="false" customHeight="false" outlineLevel="0" collapsed="false">
      <c r="A4" s="6"/>
      <c r="B4" s="26" t="s">
        <v>12</v>
      </c>
      <c r="C4" s="26" t="s">
        <v>14</v>
      </c>
      <c r="D4" s="26" t="s">
        <v>15</v>
      </c>
      <c r="E4" s="26" t="s">
        <v>61</v>
      </c>
      <c r="F4" s="26" t="s">
        <v>12</v>
      </c>
      <c r="G4" s="26" t="s">
        <v>14</v>
      </c>
      <c r="H4" s="26" t="s">
        <v>15</v>
      </c>
      <c r="I4" s="26" t="s">
        <v>61</v>
      </c>
      <c r="J4" s="26" t="s">
        <v>12</v>
      </c>
      <c r="K4" s="26" t="s">
        <v>14</v>
      </c>
      <c r="L4" s="26" t="s">
        <v>15</v>
      </c>
      <c r="M4" s="26" t="s">
        <v>61</v>
      </c>
      <c r="N4" s="26" t="s">
        <v>12</v>
      </c>
      <c r="O4" s="26" t="s">
        <v>14</v>
      </c>
      <c r="P4" s="26" t="s">
        <v>15</v>
      </c>
      <c r="Q4" s="26" t="s">
        <v>61</v>
      </c>
    </row>
    <row r="5" customFormat="false" ht="15" hidden="false" customHeight="false" outlineLevel="0" collapsed="false">
      <c r="A5" s="27" t="n">
        <v>45658</v>
      </c>
      <c r="B5" s="9" t="n">
        <f aca="false">COUNTIFS(Trades!$A$2:$A$283,"GOLD",Trades!$B$2:$B$283,"V0",Trades!$F$2:$F$283,$A5)</f>
        <v>0</v>
      </c>
      <c r="C5" s="10" t="str">
        <f aca="false">IF(B5=0,"",COUNTIFS(Trades!$A$2:$A$283,"GOLD",Trades!$B$2:$B$283,"V0",Trades!$F$2:$F$283,$A5,Trades!$M$2:$M$283,1)/B5)</f>
        <v/>
      </c>
      <c r="D5" s="11" t="n">
        <f aca="false">SUMIFS(Trades!$K$2:$K$283,Trades!$A$2:$A$283,"GOLD",Trades!$B$2:$B$283,"V0",Trades!$F$2:$F$283,$A5)</f>
        <v>0</v>
      </c>
      <c r="E5" s="11" t="n">
        <f aca="false">D5</f>
        <v>0</v>
      </c>
      <c r="F5" s="9" t="n">
        <f aca="false">COUNTIFS(Trades!$A$2:$A$283,"GOLD",Trades!$B$2:$B$283,"V1",Trades!$F$2:$F$283,$A5)</f>
        <v>0</v>
      </c>
      <c r="G5" s="10" t="str">
        <f aca="false">IF(F5=0,"",COUNTIFS(Trades!$A$2:$A$283,"GOLD",Trades!$B$2:$B$283,"V1",Trades!$F$2:$F$283,$A5,Trades!$M$2:$M$283,1)/F5)</f>
        <v/>
      </c>
      <c r="H5" s="11" t="n">
        <f aca="false">SUMIFS(Trades!$K$2:$K$283,Trades!$A$2:$A$283,"GOLD",Trades!$B$2:$B$283,"V1",Trades!$F$2:$F$283,$A5)</f>
        <v>0</v>
      </c>
      <c r="I5" s="11" t="n">
        <f aca="false">H5</f>
        <v>0</v>
      </c>
      <c r="J5" s="9" t="n">
        <f aca="false">COUNTIFS(Trades!$A$2:$A$283,"GOLD",Trades!$B$2:$B$283,"W8",Trades!$F$2:$F$283,$A5)</f>
        <v>0</v>
      </c>
      <c r="K5" s="10" t="str">
        <f aca="false">IF(J5=0,"",COUNTIFS(Trades!$A$2:$A$283,"GOLD",Trades!$B$2:$B$283,"W8",Trades!$F$2:$F$283,$A5,Trades!$M$2:$M$283,1)/J5)</f>
        <v/>
      </c>
      <c r="L5" s="11" t="n">
        <f aca="false">SUMIFS(Trades!$K$2:$K$283,Trades!$A$2:$A$283,"GOLD",Trades!$B$2:$B$283,"W8",Trades!$F$2:$F$283,$A5)</f>
        <v>0</v>
      </c>
      <c r="M5" s="11" t="n">
        <f aca="false">L5</f>
        <v>0</v>
      </c>
      <c r="N5" s="9" t="n">
        <f aca="false">COUNTIFS(Trades!$A$2:$A$283,"GOLD",Trades!$B$2:$B$283,"W8C",Trades!$F$2:$F$283,$A5)</f>
        <v>0</v>
      </c>
      <c r="O5" s="10" t="str">
        <f aca="false">IF(N5=0,"",COUNTIFS(Trades!$A$2:$A$283,"GOLD",Trades!$B$2:$B$283,"W8C",Trades!$F$2:$F$283,$A5,Trades!$M$2:$M$283,1)/N5)</f>
        <v/>
      </c>
      <c r="P5" s="11" t="n">
        <f aca="false">SUMIFS(Trades!$K$2:$K$283,Trades!$A$2:$A$283,"GOLD",Trades!$B$2:$B$283,"W8C",Trades!$F$2:$F$283,$A5)</f>
        <v>0</v>
      </c>
      <c r="Q5" s="11" t="n">
        <f aca="false">P5</f>
        <v>0</v>
      </c>
    </row>
    <row r="6" customFormat="false" ht="15" hidden="false" customHeight="false" outlineLevel="0" collapsed="false">
      <c r="A6" s="27" t="n">
        <v>45689</v>
      </c>
      <c r="B6" s="9" t="n">
        <f aca="false">COUNTIFS(Trades!$A$2:$A$283,"GOLD",Trades!$B$2:$B$283,"V0",Trades!$F$2:$F$283,$A6)</f>
        <v>3</v>
      </c>
      <c r="C6" s="10" t="n">
        <f aca="false">IF(B6=0,"",COUNTIFS(Trades!$A$2:$A$283,"GOLD",Trades!$B$2:$B$283,"V0",Trades!$F$2:$F$283,$A6,Trades!$M$2:$M$283,1)/B6)</f>
        <v>0.333333333333333</v>
      </c>
      <c r="D6" s="11" t="n">
        <f aca="false">SUMIFS(Trades!$K$2:$K$283,Trades!$A$2:$A$283,"GOLD",Trades!$B$2:$B$283,"V0",Trades!$F$2:$F$283,$A6)</f>
        <v>482841</v>
      </c>
      <c r="E6" s="11" t="n">
        <f aca="false">E5+D6</f>
        <v>482841</v>
      </c>
      <c r="F6" s="9" t="n">
        <f aca="false">COUNTIFS(Trades!$A$2:$A$283,"GOLD",Trades!$B$2:$B$283,"V1",Trades!$F$2:$F$283,$A6)</f>
        <v>1</v>
      </c>
      <c r="G6" s="10" t="n">
        <f aca="false">IF(F6=0,"",COUNTIFS(Trades!$A$2:$A$283,"GOLD",Trades!$B$2:$B$283,"V1",Trades!$F$2:$F$283,$A6,Trades!$M$2:$M$283,1)/F6)</f>
        <v>0</v>
      </c>
      <c r="H6" s="11" t="n">
        <f aca="false">SUMIFS(Trades!$K$2:$K$283,Trades!$A$2:$A$283,"GOLD",Trades!$B$2:$B$283,"V1",Trades!$F$2:$F$283,$A6)</f>
        <v>-104517</v>
      </c>
      <c r="I6" s="11" t="n">
        <f aca="false">I5+H6</f>
        <v>-104517</v>
      </c>
      <c r="J6" s="9" t="n">
        <f aca="false">COUNTIFS(Trades!$A$2:$A$283,"GOLD",Trades!$B$2:$B$283,"W8",Trades!$F$2:$F$283,$A6)</f>
        <v>1</v>
      </c>
      <c r="K6" s="10" t="n">
        <f aca="false">IF(J6=0,"",COUNTIFS(Trades!$A$2:$A$283,"GOLD",Trades!$B$2:$B$283,"W8",Trades!$F$2:$F$283,$A6,Trades!$M$2:$M$283,1)/J6)</f>
        <v>0</v>
      </c>
      <c r="L6" s="11" t="n">
        <f aca="false">SUMIFS(Trades!$K$2:$K$283,Trades!$A$2:$A$283,"GOLD",Trades!$B$2:$B$283,"W8",Trades!$F$2:$F$283,$A6)</f>
        <v>-104517</v>
      </c>
      <c r="M6" s="11" t="n">
        <f aca="false">M5+L6</f>
        <v>-104517</v>
      </c>
      <c r="N6" s="9" t="n">
        <f aca="false">COUNTIFS(Trades!$A$2:$A$283,"GOLD",Trades!$B$2:$B$283,"W8C",Trades!$F$2:$F$283,$A6)</f>
        <v>1</v>
      </c>
      <c r="O6" s="10" t="n">
        <f aca="false">IF(N6=0,"",COUNTIFS(Trades!$A$2:$A$283,"GOLD",Trades!$B$2:$B$283,"W8C",Trades!$F$2:$F$283,$A6,Trades!$M$2:$M$283,1)/N6)</f>
        <v>0</v>
      </c>
      <c r="P6" s="11" t="n">
        <f aca="false">SUMIFS(Trades!$K$2:$K$283,Trades!$A$2:$A$283,"GOLD",Trades!$B$2:$B$283,"W8C",Trades!$F$2:$F$283,$A6)</f>
        <v>-117018</v>
      </c>
      <c r="Q6" s="11" t="n">
        <f aca="false">Q5+P6</f>
        <v>-117018</v>
      </c>
    </row>
    <row r="7" customFormat="false" ht="15" hidden="false" customHeight="false" outlineLevel="0" collapsed="false">
      <c r="A7" s="27" t="n">
        <v>45717</v>
      </c>
      <c r="B7" s="9" t="n">
        <f aca="false">COUNTIFS(Trades!$A$2:$A$283,"GOLD",Trades!$B$2:$B$283,"V0",Trades!$F$2:$F$283,$A7)</f>
        <v>3</v>
      </c>
      <c r="C7" s="10" t="n">
        <f aca="false">IF(B7=0,"",COUNTIFS(Trades!$A$2:$A$283,"GOLD",Trades!$B$2:$B$283,"V0",Trades!$F$2:$F$283,$A7,Trades!$M$2:$M$283,1)/B7)</f>
        <v>0.333333333333333</v>
      </c>
      <c r="D7" s="11" t="n">
        <f aca="false">SUMIFS(Trades!$K$2:$K$283,Trades!$A$2:$A$283,"GOLD",Trades!$B$2:$B$283,"V0",Trades!$F$2:$F$283,$A7)</f>
        <v>45998</v>
      </c>
      <c r="E7" s="11" t="n">
        <f aca="false">E6+D7</f>
        <v>528839</v>
      </c>
      <c r="F7" s="9" t="n">
        <f aca="false">COUNTIFS(Trades!$A$2:$A$283,"GOLD",Trades!$B$2:$B$283,"V1",Trades!$F$2:$F$283,$A7)</f>
        <v>1</v>
      </c>
      <c r="G7" s="10" t="n">
        <f aca="false">IF(F7=0,"",COUNTIFS(Trades!$A$2:$A$283,"GOLD",Trades!$B$2:$B$283,"V1",Trades!$F$2:$F$283,$A7,Trades!$M$2:$M$283,1)/F7)</f>
        <v>1</v>
      </c>
      <c r="H7" s="11" t="n">
        <f aca="false">SUMIFS(Trades!$K$2:$K$283,Trades!$A$2:$A$283,"GOLD",Trades!$B$2:$B$283,"V1",Trades!$F$2:$F$283,$A7)</f>
        <v>181668</v>
      </c>
      <c r="I7" s="11" t="n">
        <f aca="false">I6+H7</f>
        <v>77151</v>
      </c>
      <c r="J7" s="9" t="n">
        <f aca="false">COUNTIFS(Trades!$A$2:$A$283,"GOLD",Trades!$B$2:$B$283,"W8",Trades!$F$2:$F$283,$A7)</f>
        <v>1</v>
      </c>
      <c r="K7" s="10" t="n">
        <f aca="false">IF(J7=0,"",COUNTIFS(Trades!$A$2:$A$283,"GOLD",Trades!$B$2:$B$283,"W8",Trades!$F$2:$F$283,$A7,Trades!$M$2:$M$283,1)/J7)</f>
        <v>1</v>
      </c>
      <c r="L7" s="11" t="n">
        <f aca="false">SUMIFS(Trades!$K$2:$K$283,Trades!$A$2:$A$283,"GOLD",Trades!$B$2:$B$283,"W8",Trades!$F$2:$F$283,$A7)</f>
        <v>181668</v>
      </c>
      <c r="M7" s="11" t="n">
        <f aca="false">M6+L7</f>
        <v>77151</v>
      </c>
      <c r="N7" s="9" t="n">
        <f aca="false">COUNTIFS(Trades!$A$2:$A$283,"GOLD",Trades!$B$2:$B$283,"W8C",Trades!$F$2:$F$283,$A7)</f>
        <v>1</v>
      </c>
      <c r="O7" s="10" t="n">
        <f aca="false">IF(N7=0,"",COUNTIFS(Trades!$A$2:$A$283,"GOLD",Trades!$B$2:$B$283,"W8C",Trades!$F$2:$F$283,$A7,Trades!$M$2:$M$283,1)/N7)</f>
        <v>1</v>
      </c>
      <c r="P7" s="11" t="n">
        <f aca="false">SUMIFS(Trades!$K$2:$K$283,Trades!$A$2:$A$283,"GOLD",Trades!$B$2:$B$283,"W8C",Trades!$F$2:$F$283,$A7)</f>
        <v>138964</v>
      </c>
      <c r="Q7" s="11" t="n">
        <f aca="false">Q6+P7</f>
        <v>21946</v>
      </c>
    </row>
    <row r="8" customFormat="false" ht="15" hidden="false" customHeight="false" outlineLevel="0" collapsed="false">
      <c r="A8" s="27" t="n">
        <v>45748</v>
      </c>
      <c r="B8" s="9" t="n">
        <f aca="false">COUNTIFS(Trades!$A$2:$A$283,"GOLD",Trades!$B$2:$B$283,"V0",Trades!$F$2:$F$283,$A8)</f>
        <v>3</v>
      </c>
      <c r="C8" s="10" t="n">
        <f aca="false">IF(B8=0,"",COUNTIFS(Trades!$A$2:$A$283,"GOLD",Trades!$B$2:$B$283,"V0",Trades!$F$2:$F$283,$A8,Trades!$M$2:$M$283,1)/B8)</f>
        <v>0.666666666666667</v>
      </c>
      <c r="D8" s="11" t="n">
        <f aca="false">SUMIFS(Trades!$K$2:$K$283,Trades!$A$2:$A$283,"GOLD",Trades!$B$2:$B$283,"V0",Trades!$F$2:$F$283,$A8)</f>
        <v>588465</v>
      </c>
      <c r="E8" s="11" t="n">
        <f aca="false">E7+D8</f>
        <v>1117304</v>
      </c>
      <c r="F8" s="9" t="n">
        <f aca="false">COUNTIFS(Trades!$A$2:$A$283,"GOLD",Trades!$B$2:$B$283,"V1",Trades!$F$2:$F$283,$A8)</f>
        <v>2</v>
      </c>
      <c r="G8" s="10" t="n">
        <f aca="false">IF(F8=0,"",COUNTIFS(Trades!$A$2:$A$283,"GOLD",Trades!$B$2:$B$283,"V1",Trades!$F$2:$F$283,$A8,Trades!$M$2:$M$283,1)/F8)</f>
        <v>1</v>
      </c>
      <c r="H8" s="11" t="n">
        <f aca="false">SUMIFS(Trades!$K$2:$K$283,Trades!$A$2:$A$283,"GOLD",Trades!$B$2:$B$283,"V1",Trades!$F$2:$F$283,$A8)</f>
        <v>691060</v>
      </c>
      <c r="I8" s="11" t="n">
        <f aca="false">I7+H8</f>
        <v>768211</v>
      </c>
      <c r="J8" s="9" t="n">
        <f aca="false">COUNTIFS(Trades!$A$2:$A$283,"GOLD",Trades!$B$2:$B$283,"W8",Trades!$F$2:$F$283,$A8)</f>
        <v>2</v>
      </c>
      <c r="K8" s="10" t="n">
        <f aca="false">IF(J8=0,"",COUNTIFS(Trades!$A$2:$A$283,"GOLD",Trades!$B$2:$B$283,"W8",Trades!$F$2:$F$283,$A8,Trades!$M$2:$M$283,1)/J8)</f>
        <v>1</v>
      </c>
      <c r="L8" s="11" t="n">
        <f aca="false">SUMIFS(Trades!$K$2:$K$283,Trades!$A$2:$A$283,"GOLD",Trades!$B$2:$B$283,"W8",Trades!$F$2:$F$283,$A8)</f>
        <v>691060</v>
      </c>
      <c r="M8" s="11" t="n">
        <f aca="false">M7+L8</f>
        <v>768211</v>
      </c>
      <c r="N8" s="9" t="n">
        <f aca="false">COUNTIFS(Trades!$A$2:$A$283,"GOLD",Trades!$B$2:$B$283,"W8C",Trades!$F$2:$F$283,$A8)</f>
        <v>0</v>
      </c>
      <c r="O8" s="10" t="str">
        <f aca="false">IF(N8=0,"",COUNTIFS(Trades!$A$2:$A$283,"GOLD",Trades!$B$2:$B$283,"W8C",Trades!$F$2:$F$283,$A8,Trades!$M$2:$M$283,1)/N8)</f>
        <v/>
      </c>
      <c r="P8" s="11" t="n">
        <f aca="false">SUMIFS(Trades!$K$2:$K$283,Trades!$A$2:$A$283,"GOLD",Trades!$B$2:$B$283,"W8C",Trades!$F$2:$F$283,$A8)</f>
        <v>0</v>
      </c>
      <c r="Q8" s="11" t="n">
        <f aca="false">Q7+P8</f>
        <v>21946</v>
      </c>
    </row>
    <row r="9" customFormat="false" ht="15" hidden="false" customHeight="false" outlineLevel="0" collapsed="false">
      <c r="A9" s="27" t="n">
        <v>45778</v>
      </c>
      <c r="B9" s="9" t="n">
        <f aca="false">COUNTIFS(Trades!$A$2:$A$283,"GOLD",Trades!$B$2:$B$283,"V0",Trades!$F$2:$F$283,$A9)</f>
        <v>4</v>
      </c>
      <c r="C9" s="10" t="n">
        <f aca="false">IF(B9=0,"",COUNTIFS(Trades!$A$2:$A$283,"GOLD",Trades!$B$2:$B$283,"V0",Trades!$F$2:$F$283,$A9,Trades!$M$2:$M$283,1)/B9)</f>
        <v>0.5</v>
      </c>
      <c r="D9" s="11" t="n">
        <f aca="false">SUMIFS(Trades!$K$2:$K$283,Trades!$A$2:$A$283,"GOLD",Trades!$B$2:$B$283,"V0",Trades!$F$2:$F$283,$A9)</f>
        <v>-54474</v>
      </c>
      <c r="E9" s="11" t="n">
        <f aca="false">E8+D9</f>
        <v>1062830</v>
      </c>
      <c r="F9" s="9" t="n">
        <f aca="false">COUNTIFS(Trades!$A$2:$A$283,"GOLD",Trades!$B$2:$B$283,"V1",Trades!$F$2:$F$283,$A9)</f>
        <v>2</v>
      </c>
      <c r="G9" s="10" t="n">
        <f aca="false">IF(F9=0,"",COUNTIFS(Trades!$A$2:$A$283,"GOLD",Trades!$B$2:$B$283,"V1",Trades!$F$2:$F$283,$A9,Trades!$M$2:$M$283,1)/F9)</f>
        <v>0.5</v>
      </c>
      <c r="H9" s="11" t="n">
        <f aca="false">SUMIFS(Trades!$K$2:$K$283,Trades!$A$2:$A$283,"GOLD",Trades!$B$2:$B$283,"V1",Trades!$F$2:$F$283,$A9)</f>
        <v>-85481</v>
      </c>
      <c r="I9" s="11" t="n">
        <f aca="false">I8+H9</f>
        <v>682730</v>
      </c>
      <c r="J9" s="9" t="n">
        <f aca="false">COUNTIFS(Trades!$A$2:$A$283,"GOLD",Trades!$B$2:$B$283,"W8",Trades!$F$2:$F$283,$A9)</f>
        <v>2</v>
      </c>
      <c r="K9" s="10" t="n">
        <f aca="false">IF(J9=0,"",COUNTIFS(Trades!$A$2:$A$283,"GOLD",Trades!$B$2:$B$283,"W8",Trades!$F$2:$F$283,$A9,Trades!$M$2:$M$283,1)/J9)</f>
        <v>1</v>
      </c>
      <c r="L9" s="11" t="n">
        <f aca="false">SUMIFS(Trades!$K$2:$K$283,Trades!$A$2:$A$283,"GOLD",Trades!$B$2:$B$283,"W8",Trades!$F$2:$F$283,$A9)</f>
        <v>126200</v>
      </c>
      <c r="M9" s="11" t="n">
        <f aca="false">M8+L9</f>
        <v>894411</v>
      </c>
      <c r="N9" s="9" t="n">
        <f aca="false">COUNTIFS(Trades!$A$2:$A$283,"GOLD",Trades!$B$2:$B$283,"W8C",Trades!$F$2:$F$283,$A9)</f>
        <v>2</v>
      </c>
      <c r="O9" s="10" t="n">
        <f aca="false">IF(N9=0,"",COUNTIFS(Trades!$A$2:$A$283,"GOLD",Trades!$B$2:$B$283,"W8C",Trades!$F$2:$F$283,$A9,Trades!$M$2:$M$283,1)/N9)</f>
        <v>1</v>
      </c>
      <c r="P9" s="11" t="n">
        <f aca="false">SUMIFS(Trades!$K$2:$K$283,Trades!$A$2:$A$283,"GOLD",Trades!$B$2:$B$283,"W8C",Trades!$F$2:$F$283,$A9)</f>
        <v>122059</v>
      </c>
      <c r="Q9" s="11" t="n">
        <f aca="false">Q8+P9</f>
        <v>144005</v>
      </c>
    </row>
    <row r="10" customFormat="false" ht="15" hidden="false" customHeight="false" outlineLevel="0" collapsed="false">
      <c r="A10" s="27" t="n">
        <v>45809</v>
      </c>
      <c r="B10" s="9" t="n">
        <f aca="false">COUNTIFS(Trades!$A$2:$A$283,"GOLD",Trades!$B$2:$B$283,"V0",Trades!$F$2:$F$283,$A10)</f>
        <v>4</v>
      </c>
      <c r="C10" s="10" t="n">
        <f aca="false">IF(B10=0,"",COUNTIFS(Trades!$A$2:$A$283,"GOLD",Trades!$B$2:$B$283,"V0",Trades!$F$2:$F$283,$A10,Trades!$M$2:$M$283,1)/B10)</f>
        <v>0.25</v>
      </c>
      <c r="D10" s="11" t="n">
        <f aca="false">SUMIFS(Trades!$K$2:$K$283,Trades!$A$2:$A$283,"GOLD",Trades!$B$2:$B$283,"V0",Trades!$F$2:$F$283,$A10)</f>
        <v>-206230</v>
      </c>
      <c r="E10" s="11" t="n">
        <f aca="false">E9+D10</f>
        <v>856600</v>
      </c>
      <c r="F10" s="9" t="n">
        <f aca="false">COUNTIFS(Trades!$A$2:$A$283,"GOLD",Trades!$B$2:$B$283,"V1",Trades!$F$2:$F$283,$A10)</f>
        <v>2</v>
      </c>
      <c r="G10" s="10" t="n">
        <f aca="false">IF(F10=0,"",COUNTIFS(Trades!$A$2:$A$283,"GOLD",Trades!$B$2:$B$283,"V1",Trades!$F$2:$F$283,$A10,Trades!$M$2:$M$283,1)/F10)</f>
        <v>0.5</v>
      </c>
      <c r="H10" s="11" t="n">
        <f aca="false">SUMIFS(Trades!$K$2:$K$283,Trades!$A$2:$A$283,"GOLD",Trades!$B$2:$B$283,"V1",Trades!$F$2:$F$283,$A10)</f>
        <v>8640</v>
      </c>
      <c r="I10" s="11" t="n">
        <f aca="false">I9+H10</f>
        <v>691370</v>
      </c>
      <c r="J10" s="9" t="n">
        <f aca="false">COUNTIFS(Trades!$A$2:$A$283,"GOLD",Trades!$B$2:$B$283,"W8",Trades!$F$2:$F$283,$A10)</f>
        <v>2</v>
      </c>
      <c r="K10" s="10" t="n">
        <f aca="false">IF(J10=0,"",COUNTIFS(Trades!$A$2:$A$283,"GOLD",Trades!$B$2:$B$283,"W8",Trades!$F$2:$F$283,$A10,Trades!$M$2:$M$283,1)/J10)</f>
        <v>1</v>
      </c>
      <c r="L10" s="11" t="n">
        <f aca="false">SUMIFS(Trades!$K$2:$K$283,Trades!$A$2:$A$283,"GOLD",Trades!$B$2:$B$283,"W8",Trades!$F$2:$F$283,$A10)</f>
        <v>30026</v>
      </c>
      <c r="M10" s="11" t="n">
        <f aca="false">M9+L10</f>
        <v>924437</v>
      </c>
      <c r="N10" s="9" t="n">
        <f aca="false">COUNTIFS(Trades!$A$2:$A$283,"GOLD",Trades!$B$2:$B$283,"W8C",Trades!$F$2:$F$283,$A10)</f>
        <v>1</v>
      </c>
      <c r="O10" s="10" t="n">
        <f aca="false">IF(N10=0,"",COUNTIFS(Trades!$A$2:$A$283,"GOLD",Trades!$B$2:$B$283,"W8C",Trades!$F$2:$F$283,$A10,Trades!$M$2:$M$283,1)/N10)</f>
        <v>1</v>
      </c>
      <c r="P10" s="11" t="n">
        <f aca="false">SUMIFS(Trades!$K$2:$K$283,Trades!$A$2:$A$283,"GOLD",Trades!$B$2:$B$283,"W8C",Trades!$F$2:$F$283,$A10)</f>
        <v>15754</v>
      </c>
      <c r="Q10" s="11" t="n">
        <f aca="false">Q9+P10</f>
        <v>159759</v>
      </c>
    </row>
    <row r="11" customFormat="false" ht="15" hidden="false" customHeight="false" outlineLevel="0" collapsed="false">
      <c r="A11" s="27" t="n">
        <v>45839</v>
      </c>
      <c r="B11" s="9" t="n">
        <f aca="false">COUNTIFS(Trades!$A$2:$A$283,"GOLD",Trades!$B$2:$B$283,"V0",Trades!$F$2:$F$283,$A11)</f>
        <v>7</v>
      </c>
      <c r="C11" s="10" t="n">
        <f aca="false">IF(B11=0,"",COUNTIFS(Trades!$A$2:$A$283,"GOLD",Trades!$B$2:$B$283,"V0",Trades!$F$2:$F$283,$A11,Trades!$M$2:$M$283,1)/B11)</f>
        <v>0.428571428571429</v>
      </c>
      <c r="D11" s="11" t="n">
        <f aca="false">SUMIFS(Trades!$K$2:$K$283,Trades!$A$2:$A$283,"GOLD",Trades!$B$2:$B$283,"V0",Trades!$F$2:$F$283,$A11)</f>
        <v>-155577</v>
      </c>
      <c r="E11" s="11" t="n">
        <f aca="false">E10+D11</f>
        <v>701023</v>
      </c>
      <c r="F11" s="9" t="n">
        <f aca="false">COUNTIFS(Trades!$A$2:$A$283,"GOLD",Trades!$B$2:$B$283,"V1",Trades!$F$2:$F$283,$A11)</f>
        <v>3</v>
      </c>
      <c r="G11" s="10" t="n">
        <f aca="false">IF(F11=0,"",COUNTIFS(Trades!$A$2:$A$283,"GOLD",Trades!$B$2:$B$283,"V1",Trades!$F$2:$F$283,$A11,Trades!$M$2:$M$283,1)/F11)</f>
        <v>0.333333333333333</v>
      </c>
      <c r="H11" s="11" t="n">
        <f aca="false">SUMIFS(Trades!$K$2:$K$283,Trades!$A$2:$A$283,"GOLD",Trades!$B$2:$B$283,"V1",Trades!$F$2:$F$283,$A11)</f>
        <v>-51754</v>
      </c>
      <c r="I11" s="11" t="n">
        <f aca="false">I10+H11</f>
        <v>639616</v>
      </c>
      <c r="J11" s="9" t="n">
        <f aca="false">COUNTIFS(Trades!$A$2:$A$283,"GOLD",Trades!$B$2:$B$283,"W8",Trades!$F$2:$F$283,$A11)</f>
        <v>3</v>
      </c>
      <c r="K11" s="10" t="n">
        <f aca="false">IF(J11=0,"",COUNTIFS(Trades!$A$2:$A$283,"GOLD",Trades!$B$2:$B$283,"W8",Trades!$F$2:$F$283,$A11,Trades!$M$2:$M$283,1)/J11)</f>
        <v>0.666666666666667</v>
      </c>
      <c r="L11" s="11" t="n">
        <f aca="false">SUMIFS(Trades!$K$2:$K$283,Trades!$A$2:$A$283,"GOLD",Trades!$B$2:$B$283,"W8",Trades!$F$2:$F$283,$A11)</f>
        <v>-13661</v>
      </c>
      <c r="M11" s="11" t="n">
        <f aca="false">M10+L11</f>
        <v>910776</v>
      </c>
      <c r="N11" s="9" t="n">
        <f aca="false">COUNTIFS(Trades!$A$2:$A$283,"GOLD",Trades!$B$2:$B$283,"W8C",Trades!$F$2:$F$283,$A11)</f>
        <v>2</v>
      </c>
      <c r="O11" s="10" t="n">
        <f aca="false">IF(N11=0,"",COUNTIFS(Trades!$A$2:$A$283,"GOLD",Trades!$B$2:$B$283,"W8C",Trades!$F$2:$F$283,$A11,Trades!$M$2:$M$283,1)/N11)</f>
        <v>1</v>
      </c>
      <c r="P11" s="11" t="n">
        <f aca="false">SUMIFS(Trades!$K$2:$K$283,Trades!$A$2:$A$283,"GOLD",Trades!$B$2:$B$283,"W8C",Trades!$F$2:$F$283,$A11)</f>
        <v>58431</v>
      </c>
      <c r="Q11" s="11" t="n">
        <f aca="false">Q10+P11</f>
        <v>218190</v>
      </c>
    </row>
    <row r="12" customFormat="false" ht="15" hidden="false" customHeight="false" outlineLevel="0" collapsed="false">
      <c r="A12" s="27" t="n">
        <v>45870</v>
      </c>
      <c r="B12" s="9" t="n">
        <f aca="false">COUNTIFS(Trades!$A$2:$A$283,"GOLD",Trades!$B$2:$B$283,"V0",Trades!$F$2:$F$283,$A12)</f>
        <v>2</v>
      </c>
      <c r="C12" s="10" t="n">
        <f aca="false">IF(B12=0,"",COUNTIFS(Trades!$A$2:$A$283,"GOLD",Trades!$B$2:$B$283,"V0",Trades!$F$2:$F$283,$A12,Trades!$M$2:$M$283,1)/B12)</f>
        <v>1</v>
      </c>
      <c r="D12" s="11" t="n">
        <f aca="false">SUMIFS(Trades!$K$2:$K$283,Trades!$A$2:$A$283,"GOLD",Trades!$B$2:$B$283,"V0",Trades!$F$2:$F$283,$A12)</f>
        <v>184005</v>
      </c>
      <c r="E12" s="11" t="n">
        <f aca="false">E11+D12</f>
        <v>885028</v>
      </c>
      <c r="F12" s="9" t="n">
        <f aca="false">COUNTIFS(Trades!$A$2:$A$283,"GOLD",Trades!$B$2:$B$283,"V1",Trades!$F$2:$F$283,$A12)</f>
        <v>1</v>
      </c>
      <c r="G12" s="10" t="n">
        <f aca="false">IF(F12=0,"",COUNTIFS(Trades!$A$2:$A$283,"GOLD",Trades!$B$2:$B$283,"V1",Trades!$F$2:$F$283,$A12,Trades!$M$2:$M$283,1)/F12)</f>
        <v>1</v>
      </c>
      <c r="H12" s="11" t="n">
        <f aca="false">SUMIFS(Trades!$K$2:$K$283,Trades!$A$2:$A$283,"GOLD",Trades!$B$2:$B$283,"V1",Trades!$F$2:$F$283,$A12)</f>
        <v>157410</v>
      </c>
      <c r="I12" s="11" t="n">
        <f aca="false">I11+H12</f>
        <v>797026</v>
      </c>
      <c r="J12" s="9" t="n">
        <f aca="false">COUNTIFS(Trades!$A$2:$A$283,"GOLD",Trades!$B$2:$B$283,"W8",Trades!$F$2:$F$283,$A12)</f>
        <v>1</v>
      </c>
      <c r="K12" s="10" t="n">
        <f aca="false">IF(J12=0,"",COUNTIFS(Trades!$A$2:$A$283,"GOLD",Trades!$B$2:$B$283,"W8",Trades!$F$2:$F$283,$A12,Trades!$M$2:$M$283,1)/J12)</f>
        <v>1</v>
      </c>
      <c r="L12" s="11" t="n">
        <f aca="false">SUMIFS(Trades!$K$2:$K$283,Trades!$A$2:$A$283,"GOLD",Trades!$B$2:$B$283,"W8",Trades!$F$2:$F$283,$A12)</f>
        <v>157410</v>
      </c>
      <c r="M12" s="11" t="n">
        <f aca="false">M11+L12</f>
        <v>1068186</v>
      </c>
      <c r="N12" s="9" t="n">
        <f aca="false">COUNTIFS(Trades!$A$2:$A$283,"GOLD",Trades!$B$2:$B$283,"W8C",Trades!$F$2:$F$283,$A12)</f>
        <v>1</v>
      </c>
      <c r="O12" s="10" t="n">
        <f aca="false">IF(N12=0,"",COUNTIFS(Trades!$A$2:$A$283,"GOLD",Trades!$B$2:$B$283,"W8C",Trades!$F$2:$F$283,$A12,Trades!$M$2:$M$283,1)/N12)</f>
        <v>1</v>
      </c>
      <c r="P12" s="11" t="n">
        <f aca="false">SUMIFS(Trades!$K$2:$K$283,Trades!$A$2:$A$283,"GOLD",Trades!$B$2:$B$283,"W8C",Trades!$F$2:$F$283,$A12)</f>
        <v>147909</v>
      </c>
      <c r="Q12" s="11" t="n">
        <f aca="false">Q11+P12</f>
        <v>366099</v>
      </c>
    </row>
    <row r="13" customFormat="false" ht="15" hidden="false" customHeight="false" outlineLevel="0" collapsed="false">
      <c r="A13" s="27" t="n">
        <v>45901</v>
      </c>
      <c r="B13" s="9" t="n">
        <f aca="false">COUNTIFS(Trades!$A$2:$A$283,"GOLD",Trades!$B$2:$B$283,"V0",Trades!$F$2:$F$283,$A13)</f>
        <v>2</v>
      </c>
      <c r="C13" s="10" t="n">
        <f aca="false">IF(B13=0,"",COUNTIFS(Trades!$A$2:$A$283,"GOLD",Trades!$B$2:$B$283,"V0",Trades!$F$2:$F$283,$A13,Trades!$M$2:$M$283,1)/B13)</f>
        <v>0.5</v>
      </c>
      <c r="D13" s="11" t="n">
        <f aca="false">SUMIFS(Trades!$K$2:$K$283,Trades!$A$2:$A$283,"GOLD",Trades!$B$2:$B$283,"V0",Trades!$F$2:$F$283,$A13)</f>
        <v>692817</v>
      </c>
      <c r="E13" s="11" t="n">
        <f aca="false">E12+D13</f>
        <v>1577845</v>
      </c>
      <c r="F13" s="9" t="n">
        <f aca="false">COUNTIFS(Trades!$A$2:$A$283,"GOLD",Trades!$B$2:$B$283,"V1",Trades!$F$2:$F$283,$A13)</f>
        <v>1</v>
      </c>
      <c r="G13" s="10" t="n">
        <f aca="false">IF(F13=0,"",COUNTIFS(Trades!$A$2:$A$283,"GOLD",Trades!$B$2:$B$283,"V1",Trades!$F$2:$F$283,$A13,Trades!$M$2:$M$283,1)/F13)</f>
        <v>1</v>
      </c>
      <c r="H13" s="11" t="n">
        <f aca="false">SUMIFS(Trades!$K$2:$K$283,Trades!$A$2:$A$283,"GOLD",Trades!$B$2:$B$283,"V1",Trades!$F$2:$F$283,$A13)</f>
        <v>870211</v>
      </c>
      <c r="I13" s="11" t="n">
        <f aca="false">I12+H13</f>
        <v>1667237</v>
      </c>
      <c r="J13" s="9" t="n">
        <f aca="false">COUNTIFS(Trades!$A$2:$A$283,"GOLD",Trades!$B$2:$B$283,"W8",Trades!$F$2:$F$283,$A13)</f>
        <v>1</v>
      </c>
      <c r="K13" s="10" t="n">
        <f aca="false">IF(J13=0,"",COUNTIFS(Trades!$A$2:$A$283,"GOLD",Trades!$B$2:$B$283,"W8",Trades!$F$2:$F$283,$A13,Trades!$M$2:$M$283,1)/J13)</f>
        <v>1</v>
      </c>
      <c r="L13" s="11" t="n">
        <f aca="false">SUMIFS(Trades!$K$2:$K$283,Trades!$A$2:$A$283,"GOLD",Trades!$B$2:$B$283,"W8",Trades!$F$2:$F$283,$A13)</f>
        <v>870211</v>
      </c>
      <c r="M13" s="11" t="n">
        <f aca="false">M12+L13</f>
        <v>1938397</v>
      </c>
      <c r="N13" s="9" t="n">
        <f aca="false">COUNTIFS(Trades!$A$2:$A$283,"GOLD",Trades!$B$2:$B$283,"W8C",Trades!$F$2:$F$283,$A13)</f>
        <v>1</v>
      </c>
      <c r="O13" s="10" t="n">
        <f aca="false">IF(N13=0,"",COUNTIFS(Trades!$A$2:$A$283,"GOLD",Trades!$B$2:$B$283,"W8C",Trades!$F$2:$F$283,$A13,Trades!$M$2:$M$283,1)/N13)</f>
        <v>1</v>
      </c>
      <c r="P13" s="11" t="n">
        <f aca="false">SUMIFS(Trades!$K$2:$K$283,Trades!$A$2:$A$283,"GOLD",Trades!$B$2:$B$283,"W8C",Trades!$F$2:$F$283,$A13)</f>
        <v>838408</v>
      </c>
      <c r="Q13" s="11" t="n">
        <f aca="false">Q12+P13</f>
        <v>1204507</v>
      </c>
    </row>
    <row r="14" customFormat="false" ht="15" hidden="false" customHeight="false" outlineLevel="0" collapsed="false">
      <c r="A14" s="27" t="n">
        <v>45931</v>
      </c>
      <c r="B14" s="9" t="n">
        <f aca="false">COUNTIFS(Trades!$A$2:$A$283,"GOLD",Trades!$B$2:$B$283,"V0",Trades!$F$2:$F$283,$A14)</f>
        <v>3</v>
      </c>
      <c r="C14" s="10" t="n">
        <f aca="false">IF(B14=0,"",COUNTIFS(Trades!$A$2:$A$283,"GOLD",Trades!$B$2:$B$283,"V0",Trades!$F$2:$F$283,$A14,Trades!$M$2:$M$283,1)/B14)</f>
        <v>0.666666666666667</v>
      </c>
      <c r="D14" s="11" t="n">
        <f aca="false">SUMIFS(Trades!$K$2:$K$283,Trades!$A$2:$A$283,"GOLD",Trades!$B$2:$B$283,"V0",Trades!$F$2:$F$283,$A14)</f>
        <v>982511</v>
      </c>
      <c r="E14" s="11" t="n">
        <f aca="false">E13+D14</f>
        <v>2560356</v>
      </c>
      <c r="F14" s="9" t="n">
        <f aca="false">COUNTIFS(Trades!$A$2:$A$283,"GOLD",Trades!$B$2:$B$283,"V1",Trades!$F$2:$F$283,$A14)</f>
        <v>2</v>
      </c>
      <c r="G14" s="10" t="n">
        <f aca="false">IF(F14=0,"",COUNTIFS(Trades!$A$2:$A$283,"GOLD",Trades!$B$2:$B$283,"V1",Trades!$F$2:$F$283,$A14,Trades!$M$2:$M$283,1)/F14)</f>
        <v>1</v>
      </c>
      <c r="H14" s="11" t="n">
        <f aca="false">SUMIFS(Trades!$K$2:$K$283,Trades!$A$2:$A$283,"GOLD",Trades!$B$2:$B$283,"V1",Trades!$F$2:$F$283,$A14)</f>
        <v>1298355</v>
      </c>
      <c r="I14" s="11" t="n">
        <f aca="false">I13+H14</f>
        <v>2965592</v>
      </c>
      <c r="J14" s="9" t="n">
        <f aca="false">COUNTIFS(Trades!$A$2:$A$283,"GOLD",Trades!$B$2:$B$283,"W8",Trades!$F$2:$F$283,$A14)</f>
        <v>2</v>
      </c>
      <c r="K14" s="10" t="n">
        <f aca="false">IF(J14=0,"",COUNTIFS(Trades!$A$2:$A$283,"GOLD",Trades!$B$2:$B$283,"W8",Trades!$F$2:$F$283,$A14,Trades!$M$2:$M$283,1)/J14)</f>
        <v>1</v>
      </c>
      <c r="L14" s="11" t="n">
        <f aca="false">SUMIFS(Trades!$K$2:$K$283,Trades!$A$2:$A$283,"GOLD",Trades!$B$2:$B$283,"W8",Trades!$F$2:$F$283,$A14)</f>
        <v>1298355</v>
      </c>
      <c r="M14" s="11" t="n">
        <f aca="false">M13+L14</f>
        <v>3236752</v>
      </c>
      <c r="N14" s="9" t="n">
        <f aca="false">COUNTIFS(Trades!$A$2:$A$283,"GOLD",Trades!$B$2:$B$283,"W8C",Trades!$F$2:$F$283,$A14)</f>
        <v>1</v>
      </c>
      <c r="O14" s="10" t="n">
        <f aca="false">IF(N14=0,"",COUNTIFS(Trades!$A$2:$A$283,"GOLD",Trades!$B$2:$B$283,"W8C",Trades!$F$2:$F$283,$A14,Trades!$M$2:$M$283,1)/N14)</f>
        <v>1</v>
      </c>
      <c r="P14" s="11" t="n">
        <f aca="false">SUMIFS(Trades!$K$2:$K$283,Trades!$A$2:$A$283,"GOLD",Trades!$B$2:$B$283,"W8C",Trades!$F$2:$F$283,$A14)</f>
        <v>827772</v>
      </c>
      <c r="Q14" s="11" t="n">
        <f aca="false">Q13+P14</f>
        <v>2032279</v>
      </c>
    </row>
    <row r="15" customFormat="false" ht="15" hidden="false" customHeight="false" outlineLevel="0" collapsed="false">
      <c r="A15" s="27" t="n">
        <v>45962</v>
      </c>
      <c r="B15" s="9" t="n">
        <f aca="false">COUNTIFS(Trades!$A$2:$A$283,"GOLD",Trades!$B$2:$B$283,"V0",Trades!$F$2:$F$283,$A15)</f>
        <v>3</v>
      </c>
      <c r="C15" s="10" t="n">
        <f aca="false">IF(B15=0,"",COUNTIFS(Trades!$A$2:$A$283,"GOLD",Trades!$B$2:$B$283,"V0",Trades!$F$2:$F$283,$A15,Trades!$M$2:$M$283,1)/B15)</f>
        <v>0.666666666666667</v>
      </c>
      <c r="D15" s="11" t="n">
        <f aca="false">SUMIFS(Trades!$K$2:$K$283,Trades!$A$2:$A$283,"GOLD",Trades!$B$2:$B$283,"V0",Trades!$F$2:$F$283,$A15)</f>
        <v>510423</v>
      </c>
      <c r="E15" s="11" t="n">
        <f aca="false">E14+D15</f>
        <v>3070779</v>
      </c>
      <c r="F15" s="9" t="n">
        <f aca="false">COUNTIFS(Trades!$A$2:$A$283,"GOLD",Trades!$B$2:$B$283,"V1",Trades!$F$2:$F$283,$A15)</f>
        <v>1</v>
      </c>
      <c r="G15" s="10" t="n">
        <f aca="false">IF(F15=0,"",COUNTIFS(Trades!$A$2:$A$283,"GOLD",Trades!$B$2:$B$283,"V1",Trades!$F$2:$F$283,$A15,Trades!$M$2:$M$283,1)/F15)</f>
        <v>1</v>
      </c>
      <c r="H15" s="11" t="n">
        <f aca="false">SUMIFS(Trades!$K$2:$K$283,Trades!$A$2:$A$283,"GOLD",Trades!$B$2:$B$283,"V1",Trades!$F$2:$F$283,$A15)</f>
        <v>108829</v>
      </c>
      <c r="I15" s="11" t="n">
        <f aca="false">I14+H15</f>
        <v>3074421</v>
      </c>
      <c r="J15" s="9" t="n">
        <f aca="false">COUNTIFS(Trades!$A$2:$A$283,"GOLD",Trades!$B$2:$B$283,"W8",Trades!$F$2:$F$283,$A15)</f>
        <v>1</v>
      </c>
      <c r="K15" s="10" t="n">
        <f aca="false">IF(J15=0,"",COUNTIFS(Trades!$A$2:$A$283,"GOLD",Trades!$B$2:$B$283,"W8",Trades!$F$2:$F$283,$A15,Trades!$M$2:$M$283,1)/J15)</f>
        <v>1</v>
      </c>
      <c r="L15" s="11" t="n">
        <f aca="false">SUMIFS(Trades!$K$2:$K$283,Trades!$A$2:$A$283,"GOLD",Trades!$B$2:$B$283,"W8",Trades!$F$2:$F$283,$A15)</f>
        <v>108829</v>
      </c>
      <c r="M15" s="11" t="n">
        <f aca="false">M14+L15</f>
        <v>3345581</v>
      </c>
      <c r="N15" s="9" t="n">
        <f aca="false">COUNTIFS(Trades!$A$2:$A$283,"GOLD",Trades!$B$2:$B$283,"W8C",Trades!$F$2:$F$283,$A15)</f>
        <v>1</v>
      </c>
      <c r="O15" s="10" t="n">
        <f aca="false">IF(N15=0,"",COUNTIFS(Trades!$A$2:$A$283,"GOLD",Trades!$B$2:$B$283,"W8C",Trades!$F$2:$F$283,$A15,Trades!$M$2:$M$283,1)/N15)</f>
        <v>1</v>
      </c>
      <c r="P15" s="11" t="n">
        <f aca="false">SUMIFS(Trades!$K$2:$K$283,Trades!$A$2:$A$283,"GOLD",Trades!$B$2:$B$283,"W8C",Trades!$F$2:$F$283,$A15)</f>
        <v>103328</v>
      </c>
      <c r="Q15" s="11" t="n">
        <f aca="false">Q14+P15</f>
        <v>2135607</v>
      </c>
    </row>
    <row r="16" customFormat="false" ht="15" hidden="false" customHeight="false" outlineLevel="0" collapsed="false">
      <c r="A16" s="27" t="n">
        <v>45992</v>
      </c>
      <c r="B16" s="9" t="n">
        <f aca="false">COUNTIFS(Trades!$A$2:$A$283,"GOLD",Trades!$B$2:$B$283,"V0",Trades!$F$2:$F$283,$A16)</f>
        <v>1</v>
      </c>
      <c r="C16" s="10" t="n">
        <f aca="false">IF(B16=0,"",COUNTIFS(Trades!$A$2:$A$283,"GOLD",Trades!$B$2:$B$283,"V0",Trades!$F$2:$F$283,$A16,Trades!$M$2:$M$283,1)/B16)</f>
        <v>1</v>
      </c>
      <c r="D16" s="11" t="n">
        <f aca="false">SUMIFS(Trades!$K$2:$K$283,Trades!$A$2:$A$283,"GOLD",Trades!$B$2:$B$283,"V0",Trades!$F$2:$F$283,$A16)</f>
        <v>968052</v>
      </c>
      <c r="E16" s="11" t="n">
        <f aca="false">E15+D16</f>
        <v>4038831</v>
      </c>
      <c r="F16" s="9" t="n">
        <f aca="false">COUNTIFS(Trades!$A$2:$A$283,"GOLD",Trades!$B$2:$B$283,"V1",Trades!$F$2:$F$283,$A16)</f>
        <v>1</v>
      </c>
      <c r="G16" s="10" t="n">
        <f aca="false">IF(F16=0,"",COUNTIFS(Trades!$A$2:$A$283,"GOLD",Trades!$B$2:$B$283,"V1",Trades!$F$2:$F$283,$A16,Trades!$M$2:$M$283,1)/F16)</f>
        <v>1</v>
      </c>
      <c r="H16" s="11" t="n">
        <f aca="false">SUMIFS(Trades!$K$2:$K$283,Trades!$A$2:$A$283,"GOLD",Trades!$B$2:$B$283,"V1",Trades!$F$2:$F$283,$A16)</f>
        <v>968052</v>
      </c>
      <c r="I16" s="11" t="n">
        <f aca="false">I15+H16</f>
        <v>4042473</v>
      </c>
      <c r="J16" s="9" t="n">
        <f aca="false">COUNTIFS(Trades!$A$2:$A$283,"GOLD",Trades!$B$2:$B$283,"W8",Trades!$F$2:$F$283,$A16)</f>
        <v>1</v>
      </c>
      <c r="K16" s="10" t="n">
        <f aca="false">IF(J16=0,"",COUNTIFS(Trades!$A$2:$A$283,"GOLD",Trades!$B$2:$B$283,"W8",Trades!$F$2:$F$283,$A16,Trades!$M$2:$M$283,1)/J16)</f>
        <v>1</v>
      </c>
      <c r="L16" s="11" t="n">
        <f aca="false">SUMIFS(Trades!$K$2:$K$283,Trades!$A$2:$A$283,"GOLD",Trades!$B$2:$B$283,"W8",Trades!$F$2:$F$283,$A16)</f>
        <v>968052</v>
      </c>
      <c r="M16" s="11" t="n">
        <f aca="false">M15+L16</f>
        <v>4313633</v>
      </c>
      <c r="N16" s="9" t="n">
        <f aca="false">COUNTIFS(Trades!$A$2:$A$283,"GOLD",Trades!$B$2:$B$283,"W8C",Trades!$F$2:$F$283,$A16)</f>
        <v>0</v>
      </c>
      <c r="O16" s="10" t="str">
        <f aca="false">IF(N16=0,"",COUNTIFS(Trades!$A$2:$A$283,"GOLD",Trades!$B$2:$B$283,"W8C",Trades!$F$2:$F$283,$A16,Trades!$M$2:$M$283,1)/N16)</f>
        <v/>
      </c>
      <c r="P16" s="11" t="n">
        <f aca="false">SUMIFS(Trades!$K$2:$K$283,Trades!$A$2:$A$283,"GOLD",Trades!$B$2:$B$283,"W8C",Trades!$F$2:$F$283,$A16)</f>
        <v>0</v>
      </c>
      <c r="Q16" s="11" t="n">
        <f aca="false">Q15+P16</f>
        <v>2135607</v>
      </c>
    </row>
    <row r="17" customFormat="false" ht="15" hidden="false" customHeight="false" outlineLevel="0" collapsed="false">
      <c r="A17" s="27" t="n">
        <v>46023</v>
      </c>
      <c r="B17" s="9" t="n">
        <f aca="false">COUNTIFS(Trades!$A$2:$A$283,"GOLD",Trades!$B$2:$B$283,"V0",Trades!$F$2:$F$283,$A17)</f>
        <v>4</v>
      </c>
      <c r="C17" s="10" t="n">
        <f aca="false">IF(B17=0,"",COUNTIFS(Trades!$A$2:$A$283,"GOLD",Trades!$B$2:$B$283,"V0",Trades!$F$2:$F$283,$A17,Trades!$M$2:$M$283,1)/B17)</f>
        <v>0.5</v>
      </c>
      <c r="D17" s="11" t="n">
        <f aca="false">SUMIFS(Trades!$K$2:$K$283,Trades!$A$2:$A$283,"GOLD",Trades!$B$2:$B$283,"V0",Trades!$F$2:$F$283,$A17)</f>
        <v>97296</v>
      </c>
      <c r="E17" s="11" t="n">
        <f aca="false">E16+D17</f>
        <v>4136127</v>
      </c>
      <c r="F17" s="9" t="n">
        <f aca="false">COUNTIFS(Trades!$A$2:$A$283,"GOLD",Trades!$B$2:$B$283,"V1",Trades!$F$2:$F$283,$A17)</f>
        <v>2</v>
      </c>
      <c r="G17" s="10" t="n">
        <f aca="false">IF(F17=0,"",COUNTIFS(Trades!$A$2:$A$283,"GOLD",Trades!$B$2:$B$283,"V1",Trades!$F$2:$F$283,$A17,Trades!$M$2:$M$283,1)/F17)</f>
        <v>1</v>
      </c>
      <c r="H17" s="11" t="n">
        <f aca="false">SUMIFS(Trades!$K$2:$K$283,Trades!$A$2:$A$283,"GOLD",Trades!$B$2:$B$283,"V1",Trades!$F$2:$F$283,$A17)</f>
        <v>1193627</v>
      </c>
      <c r="I17" s="11" t="n">
        <f aca="false">I16+H17</f>
        <v>5236100</v>
      </c>
      <c r="J17" s="9" t="n">
        <f aca="false">COUNTIFS(Trades!$A$2:$A$283,"GOLD",Trades!$B$2:$B$283,"W8",Trades!$F$2:$F$283,$A17)</f>
        <v>2</v>
      </c>
      <c r="K17" s="10" t="n">
        <f aca="false">IF(J17=0,"",COUNTIFS(Trades!$A$2:$A$283,"GOLD",Trades!$B$2:$B$283,"W8",Trades!$F$2:$F$283,$A17,Trades!$M$2:$M$283,1)/J17)</f>
        <v>1</v>
      </c>
      <c r="L17" s="11" t="n">
        <f aca="false">SUMIFS(Trades!$K$2:$K$283,Trades!$A$2:$A$283,"GOLD",Trades!$B$2:$B$283,"W8",Trades!$F$2:$F$283,$A17)</f>
        <v>1187737</v>
      </c>
      <c r="M17" s="11" t="n">
        <f aca="false">M16+L17</f>
        <v>5501370</v>
      </c>
      <c r="N17" s="9" t="n">
        <f aca="false">COUNTIFS(Trades!$A$2:$A$283,"GOLD",Trades!$B$2:$B$283,"W8C",Trades!$F$2:$F$283,$A17)</f>
        <v>1</v>
      </c>
      <c r="O17" s="10" t="n">
        <f aca="false">IF(N17=0,"",COUNTIFS(Trades!$A$2:$A$283,"GOLD",Trades!$B$2:$B$283,"W8C",Trades!$F$2:$F$283,$A17,Trades!$M$2:$M$283,1)/N17)</f>
        <v>1</v>
      </c>
      <c r="P17" s="11" t="n">
        <f aca="false">SUMIFS(Trades!$K$2:$K$283,Trades!$A$2:$A$283,"GOLD",Trades!$B$2:$B$283,"W8C",Trades!$F$2:$F$283,$A17)</f>
        <v>1097317</v>
      </c>
      <c r="Q17" s="11" t="n">
        <f aca="false">Q16+P17</f>
        <v>3232924</v>
      </c>
    </row>
    <row r="18" customFormat="false" ht="15" hidden="false" customHeight="false" outlineLevel="0" collapsed="false">
      <c r="A18" s="27" t="n">
        <v>46054</v>
      </c>
      <c r="B18" s="9" t="n">
        <f aca="false">COUNTIFS(Trades!$A$2:$A$283,"GOLD",Trades!$B$2:$B$283,"V0",Trades!$F$2:$F$283,$A18)</f>
        <v>1</v>
      </c>
      <c r="C18" s="10" t="n">
        <f aca="false">IF(B18=0,"",COUNTIFS(Trades!$A$2:$A$283,"GOLD",Trades!$B$2:$B$283,"V0",Trades!$F$2:$F$283,$A18,Trades!$M$2:$M$283,1)/B18)</f>
        <v>1</v>
      </c>
      <c r="D18" s="11" t="n">
        <f aca="false">SUMIFS(Trades!$K$2:$K$283,Trades!$A$2:$A$283,"GOLD",Trades!$B$2:$B$283,"V0",Trades!$F$2:$F$283,$A18)</f>
        <v>1168483</v>
      </c>
      <c r="E18" s="11" t="n">
        <f aca="false">E17+D18</f>
        <v>5304610</v>
      </c>
      <c r="F18" s="9" t="n">
        <f aca="false">COUNTIFS(Trades!$A$2:$A$283,"GOLD",Trades!$B$2:$B$283,"V1",Trades!$F$2:$F$283,$A18)</f>
        <v>0</v>
      </c>
      <c r="G18" s="10" t="str">
        <f aca="false">IF(F18=0,"",COUNTIFS(Trades!$A$2:$A$283,"GOLD",Trades!$B$2:$B$283,"V1",Trades!$F$2:$F$283,$A18,Trades!$M$2:$M$283,1)/F18)</f>
        <v/>
      </c>
      <c r="H18" s="11" t="n">
        <f aca="false">SUMIFS(Trades!$K$2:$K$283,Trades!$A$2:$A$283,"GOLD",Trades!$B$2:$B$283,"V1",Trades!$F$2:$F$283,$A18)</f>
        <v>0</v>
      </c>
      <c r="I18" s="11" t="n">
        <f aca="false">I17+H18</f>
        <v>5236100</v>
      </c>
      <c r="J18" s="9" t="n">
        <f aca="false">COUNTIFS(Trades!$A$2:$A$283,"GOLD",Trades!$B$2:$B$283,"W8",Trades!$F$2:$F$283,$A18)</f>
        <v>0</v>
      </c>
      <c r="K18" s="10" t="str">
        <f aca="false">IF(J18=0,"",COUNTIFS(Trades!$A$2:$A$283,"GOLD",Trades!$B$2:$B$283,"W8",Trades!$F$2:$F$283,$A18,Trades!$M$2:$M$283,1)/J18)</f>
        <v/>
      </c>
      <c r="L18" s="11" t="n">
        <f aca="false">SUMIFS(Trades!$K$2:$K$283,Trades!$A$2:$A$283,"GOLD",Trades!$B$2:$B$283,"W8",Trades!$F$2:$F$283,$A18)</f>
        <v>0</v>
      </c>
      <c r="M18" s="11" t="n">
        <f aca="false">M17+L18</f>
        <v>5501370</v>
      </c>
      <c r="N18" s="9" t="n">
        <f aca="false">COUNTIFS(Trades!$A$2:$A$283,"GOLD",Trades!$B$2:$B$283,"W8C",Trades!$F$2:$F$283,$A18)</f>
        <v>0</v>
      </c>
      <c r="O18" s="10" t="str">
        <f aca="false">IF(N18=0,"",COUNTIFS(Trades!$A$2:$A$283,"GOLD",Trades!$B$2:$B$283,"W8C",Trades!$F$2:$F$283,$A18,Trades!$M$2:$M$283,1)/N18)</f>
        <v/>
      </c>
      <c r="P18" s="11" t="n">
        <f aca="false">SUMIFS(Trades!$K$2:$K$283,Trades!$A$2:$A$283,"GOLD",Trades!$B$2:$B$283,"W8C",Trades!$F$2:$F$283,$A18)</f>
        <v>0</v>
      </c>
      <c r="Q18" s="11" t="n">
        <f aca="false">Q17+P18</f>
        <v>3232924</v>
      </c>
    </row>
    <row r="19" customFormat="false" ht="15" hidden="false" customHeight="false" outlineLevel="0" collapsed="false">
      <c r="A19" s="27" t="n">
        <v>46082</v>
      </c>
      <c r="B19" s="9" t="n">
        <f aca="false">COUNTIFS(Trades!$A$2:$A$283,"GOLD",Trades!$B$2:$B$283,"V0",Trades!$F$2:$F$283,$A19)</f>
        <v>2</v>
      </c>
      <c r="C19" s="10" t="n">
        <f aca="false">IF(B19=0,"",COUNTIFS(Trades!$A$2:$A$283,"GOLD",Trades!$B$2:$B$283,"V0",Trades!$F$2:$F$283,$A19,Trades!$M$2:$M$283,1)/B19)</f>
        <v>1</v>
      </c>
      <c r="D19" s="11" t="n">
        <f aca="false">SUMIFS(Trades!$K$2:$K$283,Trades!$A$2:$A$283,"GOLD",Trades!$B$2:$B$283,"V0",Trades!$F$2:$F$283,$A19)</f>
        <v>2723501</v>
      </c>
      <c r="E19" s="11" t="n">
        <f aca="false">E18+D19</f>
        <v>8028111</v>
      </c>
      <c r="F19" s="9" t="n">
        <f aca="false">COUNTIFS(Trades!$A$2:$A$283,"GOLD",Trades!$B$2:$B$283,"V1",Trades!$F$2:$F$283,$A19)</f>
        <v>1</v>
      </c>
      <c r="G19" s="10" t="n">
        <f aca="false">IF(F19=0,"",COUNTIFS(Trades!$A$2:$A$283,"GOLD",Trades!$B$2:$B$283,"V1",Trades!$F$2:$F$283,$A19,Trades!$M$2:$M$283,1)/F19)</f>
        <v>1</v>
      </c>
      <c r="H19" s="11" t="n">
        <f aca="false">SUMIFS(Trades!$K$2:$K$283,Trades!$A$2:$A$283,"GOLD",Trades!$B$2:$B$283,"V1",Trades!$F$2:$F$283,$A19)</f>
        <v>1995214</v>
      </c>
      <c r="I19" s="11" t="n">
        <f aca="false">I18+H19</f>
        <v>7231314</v>
      </c>
      <c r="J19" s="9" t="n">
        <f aca="false">COUNTIFS(Trades!$A$2:$A$283,"GOLD",Trades!$B$2:$B$283,"W8",Trades!$F$2:$F$283,$A19)</f>
        <v>1</v>
      </c>
      <c r="K19" s="10" t="n">
        <f aca="false">IF(J19=0,"",COUNTIFS(Trades!$A$2:$A$283,"GOLD",Trades!$B$2:$B$283,"W8",Trades!$F$2:$F$283,$A19,Trades!$M$2:$M$283,1)/J19)</f>
        <v>1</v>
      </c>
      <c r="L19" s="11" t="n">
        <f aca="false">SUMIFS(Trades!$K$2:$K$283,Trades!$A$2:$A$283,"GOLD",Trades!$B$2:$B$283,"W8",Trades!$F$2:$F$283,$A19)</f>
        <v>53857</v>
      </c>
      <c r="M19" s="11" t="n">
        <f aca="false">M18+L19</f>
        <v>5555227</v>
      </c>
      <c r="N19" s="9" t="n">
        <f aca="false">COUNTIFS(Trades!$A$2:$A$283,"GOLD",Trades!$B$2:$B$283,"W8C",Trades!$F$2:$F$283,$A19)</f>
        <v>1</v>
      </c>
      <c r="O19" s="10" t="n">
        <f aca="false">IF(N19=0,"",COUNTIFS(Trades!$A$2:$A$283,"GOLD",Trades!$B$2:$B$283,"W8C",Trades!$F$2:$F$283,$A19,Trades!$M$2:$M$283,1)/N19)</f>
        <v>1</v>
      </c>
      <c r="P19" s="11" t="n">
        <f aca="false">SUMIFS(Trades!$K$2:$K$283,Trades!$A$2:$A$283,"GOLD",Trades!$B$2:$B$283,"W8C",Trades!$F$2:$F$283,$A19)</f>
        <v>25430</v>
      </c>
      <c r="Q19" s="11" t="n">
        <f aca="false">Q18+P19</f>
        <v>3258354</v>
      </c>
    </row>
    <row r="20" customFormat="false" ht="15" hidden="false" customHeight="false" outlineLevel="0" collapsed="false">
      <c r="A20" s="27" t="n">
        <v>46113</v>
      </c>
      <c r="B20" s="9" t="n">
        <f aca="false">COUNTIFS(Trades!$A$2:$A$283,"GOLD",Trades!$B$2:$B$283,"V0",Trades!$F$2:$F$283,$A20)</f>
        <v>4</v>
      </c>
      <c r="C20" s="10" t="n">
        <f aca="false">IF(B20=0,"",COUNTIFS(Trades!$A$2:$A$283,"GOLD",Trades!$B$2:$B$283,"V0",Trades!$F$2:$F$283,$A20,Trades!$M$2:$M$283,1)/B20)</f>
        <v>0.25</v>
      </c>
      <c r="D20" s="11" t="n">
        <f aca="false">SUMIFS(Trades!$K$2:$K$283,Trades!$A$2:$A$283,"GOLD",Trades!$B$2:$B$283,"V0",Trades!$F$2:$F$283,$A20)</f>
        <v>-792407</v>
      </c>
      <c r="E20" s="11" t="n">
        <f aca="false">E19+D20</f>
        <v>7235704</v>
      </c>
      <c r="F20" s="9" t="n">
        <f aca="false">COUNTIFS(Trades!$A$2:$A$283,"GOLD",Trades!$B$2:$B$283,"V1",Trades!$F$2:$F$283,$A20)</f>
        <v>2</v>
      </c>
      <c r="G20" s="10" t="n">
        <f aca="false">IF(F20=0,"",COUNTIFS(Trades!$A$2:$A$283,"GOLD",Trades!$B$2:$B$283,"V1",Trades!$F$2:$F$283,$A20,Trades!$M$2:$M$283,1)/F20)</f>
        <v>0</v>
      </c>
      <c r="H20" s="11" t="n">
        <f aca="false">SUMIFS(Trades!$K$2:$K$283,Trades!$A$2:$A$283,"GOLD",Trades!$B$2:$B$283,"V1",Trades!$F$2:$F$283,$A20)</f>
        <v>-605434</v>
      </c>
      <c r="I20" s="11" t="n">
        <f aca="false">I19+H20</f>
        <v>6625880</v>
      </c>
      <c r="J20" s="9" t="n">
        <f aca="false">COUNTIFS(Trades!$A$2:$A$283,"GOLD",Trades!$B$2:$B$283,"W8",Trades!$F$2:$F$283,$A20)</f>
        <v>2</v>
      </c>
      <c r="K20" s="10" t="n">
        <f aca="false">IF(J20=0,"",COUNTIFS(Trades!$A$2:$A$283,"GOLD",Trades!$B$2:$B$283,"W8",Trades!$F$2:$F$283,$A20,Trades!$M$2:$M$283,1)/J20)</f>
        <v>0.5</v>
      </c>
      <c r="L20" s="11" t="n">
        <f aca="false">SUMIFS(Trades!$K$2:$K$283,Trades!$A$2:$A$283,"GOLD",Trades!$B$2:$B$283,"W8",Trades!$F$2:$F$283,$A20)</f>
        <v>-544020</v>
      </c>
      <c r="M20" s="11" t="n">
        <f aca="false">M19+L20</f>
        <v>5011207</v>
      </c>
      <c r="N20" s="9" t="n">
        <f aca="false">COUNTIFS(Trades!$A$2:$A$283,"GOLD",Trades!$B$2:$B$283,"W8C",Trades!$F$2:$F$283,$A20)</f>
        <v>0</v>
      </c>
      <c r="O20" s="10" t="str">
        <f aca="false">IF(N20=0,"",COUNTIFS(Trades!$A$2:$A$283,"GOLD",Trades!$B$2:$B$283,"W8C",Trades!$F$2:$F$283,$A20,Trades!$M$2:$M$283,1)/N20)</f>
        <v/>
      </c>
      <c r="P20" s="11" t="n">
        <f aca="false">SUMIFS(Trades!$K$2:$K$283,Trades!$A$2:$A$283,"GOLD",Trades!$B$2:$B$283,"W8C",Trades!$F$2:$F$283,$A20)</f>
        <v>0</v>
      </c>
      <c r="Q20" s="11" t="n">
        <f aca="false">Q19+P20</f>
        <v>3258354</v>
      </c>
    </row>
    <row r="21" customFormat="false" ht="15" hidden="false" customHeight="false" outlineLevel="0" collapsed="false">
      <c r="A21" s="27" t="n">
        <v>46143</v>
      </c>
      <c r="B21" s="9" t="n">
        <f aca="false">COUNTIFS(Trades!$A$2:$A$283,"GOLD",Trades!$B$2:$B$283,"V0",Trades!$F$2:$F$283,$A21)</f>
        <v>1</v>
      </c>
      <c r="C21" s="10" t="n">
        <f aca="false">IF(B21=0,"",COUNTIFS(Trades!$A$2:$A$283,"GOLD",Trades!$B$2:$B$283,"V0",Trades!$F$2:$F$283,$A21,Trades!$M$2:$M$283,1)/B21)</f>
        <v>1</v>
      </c>
      <c r="D21" s="11" t="n">
        <f aca="false">SUMIFS(Trades!$K$2:$K$283,Trades!$A$2:$A$283,"GOLD",Trades!$B$2:$B$283,"V0",Trades!$F$2:$F$283,$A21)</f>
        <v>658300</v>
      </c>
      <c r="E21" s="11" t="n">
        <f aca="false">E20+D21</f>
        <v>7894004</v>
      </c>
      <c r="F21" s="9" t="n">
        <f aca="false">COUNTIFS(Trades!$A$2:$A$283,"GOLD",Trades!$B$2:$B$283,"V1",Trades!$F$2:$F$283,$A21)</f>
        <v>0</v>
      </c>
      <c r="G21" s="10" t="str">
        <f aca="false">IF(F21=0,"",COUNTIFS(Trades!$A$2:$A$283,"GOLD",Trades!$B$2:$B$283,"V1",Trades!$F$2:$F$283,$A21,Trades!$M$2:$M$283,1)/F21)</f>
        <v/>
      </c>
      <c r="H21" s="11" t="n">
        <f aca="false">SUMIFS(Trades!$K$2:$K$283,Trades!$A$2:$A$283,"GOLD",Trades!$B$2:$B$283,"V1",Trades!$F$2:$F$283,$A21)</f>
        <v>0</v>
      </c>
      <c r="I21" s="11" t="n">
        <f aca="false">I20+H21</f>
        <v>6625880</v>
      </c>
      <c r="J21" s="9" t="n">
        <f aca="false">COUNTIFS(Trades!$A$2:$A$283,"GOLD",Trades!$B$2:$B$283,"W8",Trades!$F$2:$F$283,$A21)</f>
        <v>0</v>
      </c>
      <c r="K21" s="10" t="str">
        <f aca="false">IF(J21=0,"",COUNTIFS(Trades!$A$2:$A$283,"GOLD",Trades!$B$2:$B$283,"W8",Trades!$F$2:$F$283,$A21,Trades!$M$2:$M$283,1)/J21)</f>
        <v/>
      </c>
      <c r="L21" s="11" t="n">
        <f aca="false">SUMIFS(Trades!$K$2:$K$283,Trades!$A$2:$A$283,"GOLD",Trades!$B$2:$B$283,"W8",Trades!$F$2:$F$283,$A21)</f>
        <v>0</v>
      </c>
      <c r="M21" s="11" t="n">
        <f aca="false">M20+L21</f>
        <v>5011207</v>
      </c>
      <c r="N21" s="9" t="n">
        <f aca="false">COUNTIFS(Trades!$A$2:$A$283,"GOLD",Trades!$B$2:$B$283,"W8C",Trades!$F$2:$F$283,$A21)</f>
        <v>0</v>
      </c>
      <c r="O21" s="10" t="str">
        <f aca="false">IF(N21=0,"",COUNTIFS(Trades!$A$2:$A$283,"GOLD",Trades!$B$2:$B$283,"W8C",Trades!$F$2:$F$283,$A21,Trades!$M$2:$M$283,1)/N21)</f>
        <v/>
      </c>
      <c r="P21" s="11" t="n">
        <f aca="false">SUMIFS(Trades!$K$2:$K$283,Trades!$A$2:$A$283,"GOLD",Trades!$B$2:$B$283,"W8C",Trades!$F$2:$F$283,$A21)</f>
        <v>0</v>
      </c>
      <c r="Q21" s="11" t="n">
        <f aca="false">Q20+P21</f>
        <v>3258354</v>
      </c>
    </row>
    <row r="22" customFormat="false" ht="15" hidden="false" customHeight="false" outlineLevel="0" collapsed="false">
      <c r="A22" s="27" t="n">
        <v>46174</v>
      </c>
      <c r="B22" s="9" t="n">
        <f aca="false">COUNTIFS(Trades!$A$2:$A$283,"GOLD",Trades!$B$2:$B$283,"V0",Trades!$F$2:$F$283,$A22)</f>
        <v>2</v>
      </c>
      <c r="C22" s="10" t="n">
        <f aca="false">IF(B22=0,"",COUNTIFS(Trades!$A$2:$A$283,"GOLD",Trades!$B$2:$B$283,"V0",Trades!$F$2:$F$283,$A22,Trades!$M$2:$M$283,1)/B22)</f>
        <v>0.5</v>
      </c>
      <c r="D22" s="11" t="n">
        <f aca="false">SUMIFS(Trades!$K$2:$K$283,Trades!$A$2:$A$283,"GOLD",Trades!$B$2:$B$283,"V0",Trades!$F$2:$F$283,$A22)</f>
        <v>442683</v>
      </c>
      <c r="E22" s="11" t="n">
        <f aca="false">E21+D22</f>
        <v>8336687</v>
      </c>
      <c r="F22" s="9" t="n">
        <f aca="false">COUNTIFS(Trades!$A$2:$A$283,"GOLD",Trades!$B$2:$B$283,"V1",Trades!$F$2:$F$283,$A22)</f>
        <v>1</v>
      </c>
      <c r="G22" s="10" t="n">
        <f aca="false">IF(F22=0,"",COUNTIFS(Trades!$A$2:$A$283,"GOLD",Trades!$B$2:$B$283,"V1",Trades!$F$2:$F$283,$A22,Trades!$M$2:$M$283,1)/F22)</f>
        <v>1</v>
      </c>
      <c r="H22" s="11" t="n">
        <f aca="false">SUMIFS(Trades!$K$2:$K$283,Trades!$A$2:$A$283,"GOLD",Trades!$B$2:$B$283,"V1",Trades!$F$2:$F$283,$A22)</f>
        <v>674823</v>
      </c>
      <c r="I22" s="11" t="n">
        <f aca="false">I21+H22</f>
        <v>7300703</v>
      </c>
      <c r="J22" s="9" t="n">
        <f aca="false">COUNTIFS(Trades!$A$2:$A$283,"GOLD",Trades!$B$2:$B$283,"W8",Trades!$F$2:$F$283,$A22)</f>
        <v>1</v>
      </c>
      <c r="K22" s="10" t="n">
        <f aca="false">IF(J22=0,"",COUNTIFS(Trades!$A$2:$A$283,"GOLD",Trades!$B$2:$B$283,"W8",Trades!$F$2:$F$283,$A22,Trades!$M$2:$M$283,1)/J22)</f>
        <v>1</v>
      </c>
      <c r="L22" s="11" t="n">
        <f aca="false">SUMIFS(Trades!$K$2:$K$283,Trades!$A$2:$A$283,"GOLD",Trades!$B$2:$B$283,"W8",Trades!$F$2:$F$283,$A22)</f>
        <v>674823</v>
      </c>
      <c r="M22" s="11" t="n">
        <f aca="false">M21+L22</f>
        <v>5686030</v>
      </c>
      <c r="N22" s="9" t="n">
        <f aca="false">COUNTIFS(Trades!$A$2:$A$283,"GOLD",Trades!$B$2:$B$283,"W8C",Trades!$F$2:$F$283,$A22)</f>
        <v>1</v>
      </c>
      <c r="O22" s="10" t="n">
        <f aca="false">IF(N22=0,"",COUNTIFS(Trades!$A$2:$A$283,"GOLD",Trades!$B$2:$B$283,"W8C",Trades!$F$2:$F$283,$A22,Trades!$M$2:$M$283,1)/N22)</f>
        <v>1</v>
      </c>
      <c r="P22" s="11" t="n">
        <f aca="false">SUMIFS(Trades!$K$2:$K$283,Trades!$A$2:$A$283,"GOLD",Trades!$B$2:$B$283,"W8C",Trades!$F$2:$F$283,$A22)</f>
        <v>673323</v>
      </c>
      <c r="Q22" s="11" t="n">
        <f aca="false">Q21+P22</f>
        <v>3931677</v>
      </c>
    </row>
    <row r="23" customFormat="false" ht="15" hidden="false" customHeight="false" outlineLevel="0" collapsed="false">
      <c r="A23" s="27" t="n">
        <v>46204</v>
      </c>
      <c r="B23" s="9" t="n">
        <f aca="false">COUNTIFS(Trades!$A$2:$A$283,"GOLD",Trades!$B$2:$B$283,"V0",Trades!$F$2:$F$283,$A23)</f>
        <v>5</v>
      </c>
      <c r="C23" s="10" t="n">
        <f aca="false">IF(B23=0,"",COUNTIFS(Trades!$A$2:$A$283,"GOLD",Trades!$B$2:$B$283,"V0",Trades!$F$2:$F$283,$A23,Trades!$M$2:$M$283,1)/B23)</f>
        <v>0.6</v>
      </c>
      <c r="D23" s="11" t="n">
        <f aca="false">SUMIFS(Trades!$K$2:$K$283,Trades!$A$2:$A$283,"GOLD",Trades!$B$2:$B$283,"V0",Trades!$F$2:$F$283,$A23)</f>
        <v>439267</v>
      </c>
      <c r="E23" s="11" t="n">
        <f aca="false">E22+D23</f>
        <v>8775954</v>
      </c>
      <c r="F23" s="9" t="n">
        <f aca="false">COUNTIFS(Trades!$A$2:$A$283,"GOLD",Trades!$B$2:$B$283,"V1",Trades!$F$2:$F$283,$A23)</f>
        <v>3</v>
      </c>
      <c r="G23" s="10" t="n">
        <f aca="false">IF(F23=0,"",COUNTIFS(Trades!$A$2:$A$283,"GOLD",Trades!$B$2:$B$283,"V1",Trades!$F$2:$F$283,$A23,Trades!$M$2:$M$283,1)/F23)</f>
        <v>0.666666666666667</v>
      </c>
      <c r="H23" s="11" t="n">
        <f aca="false">SUMIFS(Trades!$K$2:$K$283,Trades!$A$2:$A$283,"GOLD",Trades!$B$2:$B$283,"V1",Trades!$F$2:$F$283,$A23)</f>
        <v>595412</v>
      </c>
      <c r="I23" s="11" t="n">
        <f aca="false">I22+H23</f>
        <v>7896115</v>
      </c>
      <c r="J23" s="9" t="n">
        <f aca="false">COUNTIFS(Trades!$A$2:$A$283,"GOLD",Trades!$B$2:$B$283,"W8",Trades!$F$2:$F$283,$A23)</f>
        <v>3</v>
      </c>
      <c r="K23" s="10" t="n">
        <f aca="false">IF(J23=0,"",COUNTIFS(Trades!$A$2:$A$283,"GOLD",Trades!$B$2:$B$283,"W8",Trades!$F$2:$F$283,$A23,Trades!$M$2:$M$283,1)/J23)</f>
        <v>1</v>
      </c>
      <c r="L23" s="11" t="n">
        <f aca="false">SUMIFS(Trades!$K$2:$K$283,Trades!$A$2:$A$283,"GOLD",Trades!$B$2:$B$283,"W8",Trades!$F$2:$F$283,$A23)</f>
        <v>636945</v>
      </c>
      <c r="M23" s="11" t="n">
        <f aca="false">M22+L23</f>
        <v>6322975</v>
      </c>
      <c r="N23" s="9" t="n">
        <f aca="false">COUNTIFS(Trades!$A$2:$A$283,"GOLD",Trades!$B$2:$B$283,"W8C",Trades!$F$2:$F$283,$A23)</f>
        <v>3</v>
      </c>
      <c r="O23" s="10" t="n">
        <f aca="false">IF(N23=0,"",COUNTIFS(Trades!$A$2:$A$283,"GOLD",Trades!$B$2:$B$283,"W8C",Trades!$F$2:$F$283,$A23,Trades!$M$2:$M$283,1)/N23)</f>
        <v>1</v>
      </c>
      <c r="P23" s="11" t="n">
        <f aca="false">SUMIFS(Trades!$K$2:$K$283,Trades!$A$2:$A$283,"GOLD",Trades!$B$2:$B$283,"W8C",Trades!$F$2:$F$283,$A23)</f>
        <v>597951</v>
      </c>
      <c r="Q23" s="11" t="n">
        <f aca="false">Q22+P23</f>
        <v>4529628</v>
      </c>
    </row>
    <row r="24" customFormat="false" ht="15" hidden="false" customHeight="false" outlineLevel="0" collapsed="false">
      <c r="A24" s="27" t="n">
        <v>46235</v>
      </c>
      <c r="B24" s="9" t="n">
        <f aca="false">COUNTIFS(Trades!$A$2:$A$283,"GOLD",Trades!$B$2:$B$283,"V0",Trades!$F$2:$F$283,$A24)</f>
        <v>1</v>
      </c>
      <c r="C24" s="10" t="n">
        <f aca="false">IF(B24=0,"",COUNTIFS(Trades!$A$2:$A$283,"GOLD",Trades!$B$2:$B$283,"V0",Trades!$F$2:$F$283,$A24,Trades!$M$2:$M$283,1)/B24)</f>
        <v>1</v>
      </c>
      <c r="D24" s="11" t="n">
        <f aca="false">SUMIFS(Trades!$K$2:$K$283,Trades!$A$2:$A$283,"GOLD",Trades!$B$2:$B$283,"V0",Trades!$F$2:$F$283,$A24)</f>
        <v>1421858</v>
      </c>
      <c r="E24" s="11" t="n">
        <f aca="false">E23+D24</f>
        <v>10197812</v>
      </c>
      <c r="F24" s="9" t="n">
        <f aca="false">COUNTIFS(Trades!$A$2:$A$283,"GOLD",Trades!$B$2:$B$283,"V1",Trades!$F$2:$F$283,$A24)</f>
        <v>0</v>
      </c>
      <c r="G24" s="10" t="str">
        <f aca="false">IF(F24=0,"",COUNTIFS(Trades!$A$2:$A$283,"GOLD",Trades!$B$2:$B$283,"V1",Trades!$F$2:$F$283,$A24,Trades!$M$2:$M$283,1)/F24)</f>
        <v/>
      </c>
      <c r="H24" s="11" t="n">
        <f aca="false">SUMIFS(Trades!$K$2:$K$283,Trades!$A$2:$A$283,"GOLD",Trades!$B$2:$B$283,"V1",Trades!$F$2:$F$283,$A24)</f>
        <v>0</v>
      </c>
      <c r="I24" s="11" t="n">
        <f aca="false">I23+H24</f>
        <v>7896115</v>
      </c>
      <c r="J24" s="9" t="n">
        <f aca="false">COUNTIFS(Trades!$A$2:$A$283,"GOLD",Trades!$B$2:$B$283,"W8",Trades!$F$2:$F$283,$A24)</f>
        <v>0</v>
      </c>
      <c r="K24" s="10" t="str">
        <f aca="false">IF(J24=0,"",COUNTIFS(Trades!$A$2:$A$283,"GOLD",Trades!$B$2:$B$283,"W8",Trades!$F$2:$F$283,$A24,Trades!$M$2:$M$283,1)/J24)</f>
        <v/>
      </c>
      <c r="L24" s="11" t="n">
        <f aca="false">SUMIFS(Trades!$K$2:$K$283,Trades!$A$2:$A$283,"GOLD",Trades!$B$2:$B$283,"W8",Trades!$F$2:$F$283,$A24)</f>
        <v>0</v>
      </c>
      <c r="M24" s="11" t="n">
        <f aca="false">M23+L24</f>
        <v>6322975</v>
      </c>
      <c r="N24" s="9" t="n">
        <f aca="false">COUNTIFS(Trades!$A$2:$A$283,"GOLD",Trades!$B$2:$B$283,"W8C",Trades!$F$2:$F$283,$A24)</f>
        <v>0</v>
      </c>
      <c r="O24" s="10" t="str">
        <f aca="false">IF(N24=0,"",COUNTIFS(Trades!$A$2:$A$283,"GOLD",Trades!$B$2:$B$283,"W8C",Trades!$F$2:$F$283,$A24,Trades!$M$2:$M$283,1)/N24)</f>
        <v/>
      </c>
      <c r="P24" s="11" t="n">
        <f aca="false">SUMIFS(Trades!$K$2:$K$283,Trades!$A$2:$A$283,"GOLD",Trades!$B$2:$B$283,"W8C",Trades!$F$2:$F$283,$A24)</f>
        <v>0</v>
      </c>
      <c r="Q24" s="11" t="n">
        <f aca="false">Q23+P24</f>
        <v>4529628</v>
      </c>
    </row>
    <row r="25" customFormat="false" ht="15" hidden="false" customHeight="false" outlineLevel="0" collapsed="false">
      <c r="A25" s="27" t="n">
        <v>46266</v>
      </c>
      <c r="B25" s="9" t="n">
        <f aca="false">COUNTIFS(Trades!$A$2:$A$283,"GOLD",Trades!$B$2:$B$283,"V0",Trades!$F$2:$F$283,$A25)</f>
        <v>4</v>
      </c>
      <c r="C25" s="10" t="n">
        <f aca="false">IF(B25=0,"",COUNTIFS(Trades!$A$2:$A$283,"GOLD",Trades!$B$2:$B$283,"V0",Trades!$F$2:$F$283,$A25,Trades!$M$2:$M$283,1)/B25)</f>
        <v>0.25</v>
      </c>
      <c r="D25" s="11" t="n">
        <f aca="false">SUMIFS(Trades!$K$2:$K$283,Trades!$A$2:$A$283,"GOLD",Trades!$B$2:$B$283,"V0",Trades!$F$2:$F$283,$A25)</f>
        <v>-633117</v>
      </c>
      <c r="E25" s="11" t="n">
        <f aca="false">E24+D25</f>
        <v>9564695</v>
      </c>
      <c r="F25" s="9" t="n">
        <f aca="false">COUNTIFS(Trades!$A$2:$A$283,"GOLD",Trades!$B$2:$B$283,"V1",Trades!$F$2:$F$283,$A25)</f>
        <v>2</v>
      </c>
      <c r="G25" s="10" t="n">
        <f aca="false">IF(F25=0,"",COUNTIFS(Trades!$A$2:$A$283,"GOLD",Trades!$B$2:$B$283,"V1",Trades!$F$2:$F$283,$A25,Trades!$M$2:$M$283,1)/F25)</f>
        <v>0</v>
      </c>
      <c r="H25" s="11" t="n">
        <f aca="false">SUMIFS(Trades!$K$2:$K$283,Trades!$A$2:$A$283,"GOLD",Trades!$B$2:$B$283,"V1",Trades!$F$2:$F$283,$A25)</f>
        <v>-762014</v>
      </c>
      <c r="I25" s="11" t="n">
        <f aca="false">I24+H25</f>
        <v>7134101</v>
      </c>
      <c r="J25" s="9" t="n">
        <f aca="false">COUNTIFS(Trades!$A$2:$A$283,"GOLD",Trades!$B$2:$B$283,"W8",Trades!$F$2:$F$283,$A25)</f>
        <v>2</v>
      </c>
      <c r="K25" s="10" t="n">
        <f aca="false">IF(J25=0,"",COUNTIFS(Trades!$A$2:$A$283,"GOLD",Trades!$B$2:$B$283,"W8",Trades!$F$2:$F$283,$A25,Trades!$M$2:$M$283,1)/J25)</f>
        <v>0</v>
      </c>
      <c r="L25" s="11" t="n">
        <f aca="false">SUMIFS(Trades!$K$2:$K$283,Trades!$A$2:$A$283,"GOLD",Trades!$B$2:$B$283,"W8",Trades!$F$2:$F$283,$A25)</f>
        <v>-762014</v>
      </c>
      <c r="M25" s="11" t="n">
        <f aca="false">M24+L25</f>
        <v>5560961</v>
      </c>
      <c r="N25" s="9" t="n">
        <f aca="false">COUNTIFS(Trades!$A$2:$A$283,"GOLD",Trades!$B$2:$B$283,"W8C",Trades!$F$2:$F$283,$A25)</f>
        <v>1</v>
      </c>
      <c r="O25" s="10" t="n">
        <f aca="false">IF(N25=0,"",COUNTIFS(Trades!$A$2:$A$283,"GOLD",Trades!$B$2:$B$283,"W8C",Trades!$F$2:$F$283,$A25,Trades!$M$2:$M$283,1)/N25)</f>
        <v>0</v>
      </c>
      <c r="P25" s="11" t="n">
        <f aca="false">SUMIFS(Trades!$K$2:$K$283,Trades!$A$2:$A$283,"GOLD",Trades!$B$2:$B$283,"W8C",Trades!$F$2:$F$283,$A25)</f>
        <v>-295056</v>
      </c>
      <c r="Q25" s="11" t="n">
        <f aca="false">Q24+P25</f>
        <v>4234572</v>
      </c>
    </row>
    <row r="27" customFormat="false" ht="15" hidden="false" customHeight="false" outlineLevel="0" collapsed="false">
      <c r="A27" s="28" t="s">
        <v>62</v>
      </c>
      <c r="B27" s="29" t="n">
        <f aca="false">SUMIFS(B$5:B$25,$A$5:$A$25,"&gt;="&amp;DATE(2025,1,1),$A$5:$A$25,"&lt;"&amp;DATE(2026,1,1))</f>
        <v>35</v>
      </c>
      <c r="C27" s="30" t="n">
        <f aca="false">IF(B27=0,"",COUNTIFS(Trades!$A$2:$A$283,"GOLD",Trades!$B$2:$B$283,"V0",Trades!$E$2:$E$283,"&gt;="&amp;DATE(2025,1,1),Trades!$E$2:$E$283,"&lt;"&amp;DATE(2026,1,1),Trades!$M$2:$M$283,1)/B27)</f>
        <v>0.514285714285714</v>
      </c>
      <c r="D27" s="31" t="n">
        <f aca="false">SUMIFS(D$5:D$25,$A$5:$A$25,"&gt;="&amp;DATE(2025,1,1),$A$5:$A$25,"&lt;"&amp;DATE(2026,1,1))</f>
        <v>4038831</v>
      </c>
      <c r="E27" s="31"/>
      <c r="F27" s="29" t="n">
        <f aca="false">SUMIFS(F$5:F$25,$A$5:$A$25,"&gt;="&amp;DATE(2025,1,1),$A$5:$A$25,"&lt;"&amp;DATE(2026,1,1))</f>
        <v>17</v>
      </c>
      <c r="G27" s="30" t="n">
        <f aca="false">IF(F27=0,"",COUNTIFS(Trades!$A$2:$A$283,"GOLD",Trades!$B$2:$B$283,"V1",Trades!$E$2:$E$283,"&gt;="&amp;DATE(2025,1,1),Trades!$E$2:$E$283,"&lt;"&amp;DATE(2026,1,1),Trades!$M$2:$M$283,1)/F27)</f>
        <v>0.705882352941177</v>
      </c>
      <c r="H27" s="31" t="n">
        <f aca="false">SUMIFS(H$5:H$25,$A$5:$A$25,"&gt;="&amp;DATE(2025,1,1),$A$5:$A$25,"&lt;"&amp;DATE(2026,1,1))</f>
        <v>4042473</v>
      </c>
      <c r="I27" s="31"/>
      <c r="J27" s="29" t="n">
        <f aca="false">SUMIFS(J$5:J$25,$A$5:$A$25,"&gt;="&amp;DATE(2025,1,1),$A$5:$A$25,"&lt;"&amp;DATE(2026,1,1))</f>
        <v>17</v>
      </c>
      <c r="K27" s="30" t="n">
        <f aca="false">IF(J27=0,"",COUNTIFS(Trades!$A$2:$A$283,"GOLD",Trades!$B$2:$B$283,"W8",Trades!$E$2:$E$283,"&gt;="&amp;DATE(2025,1,1),Trades!$E$2:$E$283,"&lt;"&amp;DATE(2026,1,1),Trades!$M$2:$M$283,1)/J27)</f>
        <v>0.882352941176471</v>
      </c>
      <c r="L27" s="31" t="n">
        <f aca="false">SUMIFS(L$5:L$25,$A$5:$A$25,"&gt;="&amp;DATE(2025,1,1),$A$5:$A$25,"&lt;"&amp;DATE(2026,1,1))</f>
        <v>4313633</v>
      </c>
      <c r="M27" s="31"/>
      <c r="N27" s="29" t="n">
        <f aca="false">SUMIFS(N$5:N$25,$A$5:$A$25,"&gt;="&amp;DATE(2025,1,1),$A$5:$A$25,"&lt;"&amp;DATE(2026,1,1))</f>
        <v>11</v>
      </c>
      <c r="O27" s="30" t="n">
        <f aca="false">IF(N27=0,"",COUNTIFS(Trades!$A$2:$A$283,"GOLD",Trades!$B$2:$B$283,"W8C",Trades!$E$2:$E$283,"&gt;="&amp;DATE(2025,1,1),Trades!$E$2:$E$283,"&lt;"&amp;DATE(2026,1,1),Trades!$M$2:$M$283,1)/N27)</f>
        <v>0.909090909090909</v>
      </c>
      <c r="P27" s="31" t="n">
        <f aca="false">SUMIFS(P$5:P$25,$A$5:$A$25,"&gt;="&amp;DATE(2025,1,1),$A$5:$A$25,"&lt;"&amp;DATE(2026,1,1))</f>
        <v>2135607</v>
      </c>
      <c r="Q27" s="31"/>
    </row>
    <row r="28" customFormat="false" ht="15" hidden="false" customHeight="false" outlineLevel="0" collapsed="false">
      <c r="A28" s="28" t="s">
        <v>63</v>
      </c>
      <c r="B28" s="29" t="n">
        <f aca="false">SUMIFS(B$5:B$25,$A$5:$A$25,"&gt;="&amp;DATE(2026,1,1),$A$5:$A$25,"&lt;"&amp;DATE(2027,1,1))</f>
        <v>24</v>
      </c>
      <c r="C28" s="30" t="n">
        <f aca="false">IF(B28=0,"",COUNTIFS(Trades!$A$2:$A$283,"GOLD",Trades!$B$2:$B$283,"V0",Trades!$E$2:$E$283,"&gt;="&amp;DATE(2026,1,1),Trades!$E$2:$E$283,"&lt;"&amp;DATE(2027,1,1),Trades!$M$2:$M$283,1)/B28)</f>
        <v>0.541666666666667</v>
      </c>
      <c r="D28" s="31" t="n">
        <f aca="false">SUMIFS(D$5:D$25,$A$5:$A$25,"&gt;="&amp;DATE(2026,1,1),$A$5:$A$25,"&lt;"&amp;DATE(2027,1,1))</f>
        <v>5525864</v>
      </c>
      <c r="E28" s="31"/>
      <c r="F28" s="29" t="n">
        <f aca="false">SUMIFS(F$5:F$25,$A$5:$A$25,"&gt;="&amp;DATE(2026,1,1),$A$5:$A$25,"&lt;"&amp;DATE(2027,1,1))</f>
        <v>11</v>
      </c>
      <c r="G28" s="30" t="n">
        <f aca="false">IF(F28=0,"",COUNTIFS(Trades!$A$2:$A$283,"GOLD",Trades!$B$2:$B$283,"V1",Trades!$E$2:$E$283,"&gt;="&amp;DATE(2026,1,1),Trades!$E$2:$E$283,"&lt;"&amp;DATE(2027,1,1),Trades!$M$2:$M$283,1)/F28)</f>
        <v>0.545454545454545</v>
      </c>
      <c r="H28" s="31" t="n">
        <f aca="false">SUMIFS(H$5:H$25,$A$5:$A$25,"&gt;="&amp;DATE(2026,1,1),$A$5:$A$25,"&lt;"&amp;DATE(2027,1,1))</f>
        <v>3091628</v>
      </c>
      <c r="I28" s="31"/>
      <c r="J28" s="29" t="n">
        <f aca="false">SUMIFS(J$5:J$25,$A$5:$A$25,"&gt;="&amp;DATE(2026,1,1),$A$5:$A$25,"&lt;"&amp;DATE(2027,1,1))</f>
        <v>11</v>
      </c>
      <c r="K28" s="30" t="n">
        <f aca="false">IF(J28=0,"",COUNTIFS(Trades!$A$2:$A$283,"GOLD",Trades!$B$2:$B$283,"W8",Trades!$E$2:$E$283,"&gt;="&amp;DATE(2026,1,1),Trades!$E$2:$E$283,"&lt;"&amp;DATE(2027,1,1),Trades!$M$2:$M$283,1)/J28)</f>
        <v>0.727272727272727</v>
      </c>
      <c r="L28" s="31" t="n">
        <f aca="false">SUMIFS(L$5:L$25,$A$5:$A$25,"&gt;="&amp;DATE(2026,1,1),$A$5:$A$25,"&lt;"&amp;DATE(2027,1,1))</f>
        <v>1247328</v>
      </c>
      <c r="M28" s="31"/>
      <c r="N28" s="29" t="n">
        <f aca="false">SUMIFS(N$5:N$25,$A$5:$A$25,"&gt;="&amp;DATE(2026,1,1),$A$5:$A$25,"&lt;"&amp;DATE(2027,1,1))</f>
        <v>7</v>
      </c>
      <c r="O28" s="30" t="n">
        <f aca="false">IF(N28=0,"",COUNTIFS(Trades!$A$2:$A$283,"GOLD",Trades!$B$2:$B$283,"W8C",Trades!$E$2:$E$283,"&gt;="&amp;DATE(2026,1,1),Trades!$E$2:$E$283,"&lt;"&amp;DATE(2027,1,1),Trades!$M$2:$M$283,1)/N28)</f>
        <v>0.857142857142857</v>
      </c>
      <c r="P28" s="31" t="n">
        <f aca="false">SUMIFS(P$5:P$25,$A$5:$A$25,"&gt;="&amp;DATE(2026,1,1),$A$5:$A$25,"&lt;"&amp;DATE(2027,1,1))</f>
        <v>2098965</v>
      </c>
      <c r="Q28" s="31"/>
    </row>
    <row r="29" customFormat="false" ht="15" hidden="false" customHeight="false" outlineLevel="0" collapsed="false">
      <c r="A29" s="28" t="s">
        <v>64</v>
      </c>
      <c r="B29" s="29" t="n">
        <f aca="false">SUMIFS(B$5:B$25,$A$5:$A$25,"&gt;="&amp;DATE(2025,1,1),$A$5:$A$25,"&lt;"&amp;DATE(2027,1,1))</f>
        <v>59</v>
      </c>
      <c r="C29" s="30" t="n">
        <f aca="false">IF(B29=0,"",COUNTIFS(Trades!$A$2:$A$283,"GOLD",Trades!$B$2:$B$283,"V0",Trades!$E$2:$E$283,"&gt;="&amp;DATE(2025,1,1),Trades!$E$2:$E$283,"&lt;"&amp;DATE(2027,1,1),Trades!$M$2:$M$283,1)/B29)</f>
        <v>0.525423728813559</v>
      </c>
      <c r="D29" s="31" t="n">
        <f aca="false">SUMIFS(D$5:D$25,$A$5:$A$25,"&gt;="&amp;DATE(2025,1,1),$A$5:$A$25,"&lt;"&amp;DATE(2027,1,1))</f>
        <v>9564695</v>
      </c>
      <c r="E29" s="31"/>
      <c r="F29" s="29" t="n">
        <f aca="false">SUMIFS(F$5:F$25,$A$5:$A$25,"&gt;="&amp;DATE(2025,1,1),$A$5:$A$25,"&lt;"&amp;DATE(2027,1,1))</f>
        <v>28</v>
      </c>
      <c r="G29" s="30" t="n">
        <f aca="false">IF(F29=0,"",COUNTIFS(Trades!$A$2:$A$283,"GOLD",Trades!$B$2:$B$283,"V1",Trades!$E$2:$E$283,"&gt;="&amp;DATE(2025,1,1),Trades!$E$2:$E$283,"&lt;"&amp;DATE(2027,1,1),Trades!$M$2:$M$283,1)/F29)</f>
        <v>0.642857142857143</v>
      </c>
      <c r="H29" s="31" t="n">
        <f aca="false">SUMIFS(H$5:H$25,$A$5:$A$25,"&gt;="&amp;DATE(2025,1,1),$A$5:$A$25,"&lt;"&amp;DATE(2027,1,1))</f>
        <v>7134101</v>
      </c>
      <c r="I29" s="31"/>
      <c r="J29" s="29" t="n">
        <f aca="false">SUMIFS(J$5:J$25,$A$5:$A$25,"&gt;="&amp;DATE(2025,1,1),$A$5:$A$25,"&lt;"&amp;DATE(2027,1,1))</f>
        <v>28</v>
      </c>
      <c r="K29" s="30" t="n">
        <f aca="false">IF(J29=0,"",COUNTIFS(Trades!$A$2:$A$283,"GOLD",Trades!$B$2:$B$283,"W8",Trades!$E$2:$E$283,"&gt;="&amp;DATE(2025,1,1),Trades!$E$2:$E$283,"&lt;"&amp;DATE(2027,1,1),Trades!$M$2:$M$283,1)/J29)</f>
        <v>0.821428571428571</v>
      </c>
      <c r="L29" s="31" t="n">
        <f aca="false">SUMIFS(L$5:L$25,$A$5:$A$25,"&gt;="&amp;DATE(2025,1,1),$A$5:$A$25,"&lt;"&amp;DATE(2027,1,1))</f>
        <v>5560961</v>
      </c>
      <c r="M29" s="31"/>
      <c r="N29" s="29" t="n">
        <f aca="false">SUMIFS(N$5:N$25,$A$5:$A$25,"&gt;="&amp;DATE(2025,1,1),$A$5:$A$25,"&lt;"&amp;DATE(2027,1,1))</f>
        <v>18</v>
      </c>
      <c r="O29" s="30" t="n">
        <f aca="false">IF(N29=0,"",COUNTIFS(Trades!$A$2:$A$283,"GOLD",Trades!$B$2:$B$283,"W8C",Trades!$E$2:$E$283,"&gt;="&amp;DATE(2025,1,1),Trades!$E$2:$E$283,"&lt;"&amp;DATE(2027,1,1),Trades!$M$2:$M$283,1)/N29)</f>
        <v>0.888888888888889</v>
      </c>
      <c r="P29" s="31" t="n">
        <f aca="false">SUMIFS(P$5:P$25,$A$5:$A$25,"&gt;="&amp;DATE(2025,1,1),$A$5:$A$25,"&lt;"&amp;DATE(2027,1,1))</f>
        <v>4234572</v>
      </c>
      <c r="Q29" s="31"/>
    </row>
  </sheetData>
  <mergeCells count="5">
    <mergeCell ref="A3:A4"/>
    <mergeCell ref="B3:E3"/>
    <mergeCell ref="F3:I3"/>
    <mergeCell ref="J3:M3"/>
    <mergeCell ref="N3:Q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66</v>
      </c>
    </row>
    <row r="3" customFormat="false" ht="30" hidden="false" customHeight="true" outlineLevel="0" collapsed="false">
      <c r="A3" s="2" t="s">
        <v>67</v>
      </c>
      <c r="B3" s="32" t="s">
        <v>68</v>
      </c>
    </row>
    <row r="4" customFormat="false" ht="30" hidden="false" customHeight="true" outlineLevel="0" collapsed="false">
      <c r="A4" s="2" t="s">
        <v>69</v>
      </c>
      <c r="B4" s="32" t="s">
        <v>70</v>
      </c>
    </row>
    <row r="5" customFormat="false" ht="30" hidden="false" customHeight="true" outlineLevel="0" collapsed="false">
      <c r="A5" s="2" t="s">
        <v>71</v>
      </c>
      <c r="B5" s="32" t="s">
        <v>72</v>
      </c>
    </row>
    <row r="6" customFormat="false" ht="30" hidden="false" customHeight="true" outlineLevel="0" collapsed="false">
      <c r="A6" s="2" t="s">
        <v>26</v>
      </c>
      <c r="B6" s="32" t="s">
        <v>73</v>
      </c>
    </row>
    <row r="7" customFormat="false" ht="30" hidden="false" customHeight="true" outlineLevel="0" collapsed="false">
      <c r="A7" s="2" t="s">
        <v>28</v>
      </c>
      <c r="B7" s="32" t="s">
        <v>74</v>
      </c>
    </row>
    <row r="8" customFormat="false" ht="30" hidden="false" customHeight="true" outlineLevel="0" collapsed="false">
      <c r="A8" s="2" t="s">
        <v>30</v>
      </c>
      <c r="B8" s="32" t="s">
        <v>75</v>
      </c>
    </row>
    <row r="9" customFormat="false" ht="30" hidden="false" customHeight="true" outlineLevel="0" collapsed="false">
      <c r="A9" s="2" t="s">
        <v>32</v>
      </c>
      <c r="B9" s="32" t="s">
        <v>76</v>
      </c>
    </row>
    <row r="10" customFormat="false" ht="30" hidden="false" customHeight="true" outlineLevel="0" collapsed="false">
      <c r="A10" s="2" t="s">
        <v>77</v>
      </c>
      <c r="B10" s="32" t="s">
        <v>78</v>
      </c>
    </row>
    <row r="11" customFormat="false" ht="30" hidden="false" customHeight="true" outlineLevel="0" collapsed="false">
      <c r="A11" s="2" t="s">
        <v>79</v>
      </c>
      <c r="B11" s="32" t="s">
        <v>80</v>
      </c>
    </row>
    <row r="12" customFormat="false" ht="30" hidden="false" customHeight="true" outlineLevel="0" collapsed="false">
      <c r="A12" s="2" t="s">
        <v>81</v>
      </c>
      <c r="B12" s="32" t="s">
        <v>82</v>
      </c>
    </row>
    <row r="13" customFormat="false" ht="30" hidden="false" customHeight="true" outlineLevel="0" collapsed="false">
      <c r="A13" s="2" t="s">
        <v>83</v>
      </c>
      <c r="B13" s="32" t="s">
        <v>84</v>
      </c>
    </row>
    <row r="14" customFormat="false" ht="30" hidden="false" customHeight="true" outlineLevel="0" collapsed="false">
      <c r="A14" s="2" t="s">
        <v>85</v>
      </c>
      <c r="B14" s="32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2026-10-03T21:57:21Z</dcterms:created>
  <dc:creator>openpyxl</dc:creator>
  <dc:description/>
  <dc:language>en-US</dc:language>
  <cp:lastModifiedBy/>
  <dcterms:modified xsi:type="dcterms:W3CDTF">2026-10-03T22:10:24Z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